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75" windowWidth="20115" windowHeight="7695" activeTab="1"/>
  </bookViews>
  <sheets>
    <sheet name="Intro" sheetId="5" r:id="rId1"/>
    <sheet name="Trade Data" sheetId="1" r:id="rId2"/>
    <sheet name="Daily Performance" sheetId="4" r:id="rId3"/>
    <sheet name="P&amp;L Graph" sheetId="2" r:id="rId4"/>
    <sheet name="States" sheetId="6" r:id="rId5"/>
  </sheets>
  <definedNames>
    <definedName name="_xlnm._FilterDatabase" localSheetId="1" hidden="1">'Trade Data'!$A$1:$AD$999</definedName>
  </definedNames>
  <calcPr calcId="145621"/>
  <pivotCaches>
    <pivotCache cacheId="45" r:id="rId6"/>
  </pivotCaches>
</workbook>
</file>

<file path=xl/calcChain.xml><?xml version="1.0" encoding="utf-8"?>
<calcChain xmlns="http://schemas.openxmlformats.org/spreadsheetml/2006/main">
  <c r="AC5" i="1" l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4" i="1"/>
  <c r="AB603" i="1" l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I7" i="6" l="1"/>
  <c r="I2" i="6" s="1"/>
  <c r="N16" i="1"/>
  <c r="O16" i="1"/>
  <c r="W16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4" i="1"/>
  <c r="BL16" i="1" l="1"/>
  <c r="H2" i="6"/>
  <c r="J2" i="6"/>
  <c r="K2" i="6"/>
  <c r="O62" i="1" l="1"/>
  <c r="T36" i="1" l="1"/>
  <c r="AA36" i="1" s="1"/>
  <c r="T37" i="1"/>
  <c r="AA37" i="1" s="1"/>
  <c r="T38" i="1"/>
  <c r="T39" i="1"/>
  <c r="AA39" i="1" s="1"/>
  <c r="T40" i="1"/>
  <c r="AA40" i="1" s="1"/>
  <c r="T41" i="1"/>
  <c r="AA41" i="1" s="1"/>
  <c r="T42" i="1"/>
  <c r="T43" i="1"/>
  <c r="AA43" i="1" s="1"/>
  <c r="T44" i="1"/>
  <c r="AA44" i="1" s="1"/>
  <c r="T45" i="1"/>
  <c r="AA45" i="1" s="1"/>
  <c r="T46" i="1"/>
  <c r="T47" i="1"/>
  <c r="AA47" i="1" s="1"/>
  <c r="T48" i="1"/>
  <c r="AA48" i="1" s="1"/>
  <c r="T49" i="1"/>
  <c r="AA49" i="1" s="1"/>
  <c r="T50" i="1"/>
  <c r="T51" i="1"/>
  <c r="AA51" i="1" s="1"/>
  <c r="T52" i="1"/>
  <c r="AA52" i="1" s="1"/>
  <c r="T53" i="1"/>
  <c r="AA53" i="1" s="1"/>
  <c r="T54" i="1"/>
  <c r="T55" i="1"/>
  <c r="AA55" i="1" s="1"/>
  <c r="T56" i="1"/>
  <c r="AA56" i="1" s="1"/>
  <c r="T57" i="1"/>
  <c r="AA57" i="1" s="1"/>
  <c r="T58" i="1"/>
  <c r="T59" i="1"/>
  <c r="AA59" i="1" s="1"/>
  <c r="T60" i="1"/>
  <c r="AA60" i="1" s="1"/>
  <c r="T61" i="1"/>
  <c r="AA61" i="1" s="1"/>
  <c r="T62" i="1"/>
  <c r="T63" i="1"/>
  <c r="AA63" i="1" s="1"/>
  <c r="T64" i="1"/>
  <c r="AA64" i="1" s="1"/>
  <c r="T65" i="1"/>
  <c r="AA65" i="1" s="1"/>
  <c r="T66" i="1"/>
  <c r="T67" i="1"/>
  <c r="AA67" i="1" s="1"/>
  <c r="T68" i="1"/>
  <c r="AA68" i="1" s="1"/>
  <c r="T69" i="1"/>
  <c r="AA69" i="1" s="1"/>
  <c r="T70" i="1"/>
  <c r="T71" i="1"/>
  <c r="AA71" i="1" s="1"/>
  <c r="T72" i="1"/>
  <c r="AA72" i="1" s="1"/>
  <c r="T73" i="1"/>
  <c r="AA73" i="1" s="1"/>
  <c r="T74" i="1"/>
  <c r="T75" i="1"/>
  <c r="AA75" i="1" s="1"/>
  <c r="T76" i="1"/>
  <c r="AA76" i="1" s="1"/>
  <c r="T77" i="1"/>
  <c r="AA77" i="1" s="1"/>
  <c r="T78" i="1"/>
  <c r="T79" i="1"/>
  <c r="AA79" i="1" s="1"/>
  <c r="T80" i="1"/>
  <c r="AA80" i="1" s="1"/>
  <c r="T81" i="1"/>
  <c r="AA81" i="1" s="1"/>
  <c r="T82" i="1"/>
  <c r="T83" i="1"/>
  <c r="AA83" i="1" s="1"/>
  <c r="T84" i="1"/>
  <c r="AA84" i="1" s="1"/>
  <c r="T85" i="1"/>
  <c r="AA85" i="1" s="1"/>
  <c r="T86" i="1"/>
  <c r="T87" i="1"/>
  <c r="AA87" i="1" s="1"/>
  <c r="T88" i="1"/>
  <c r="AA88" i="1" s="1"/>
  <c r="T89" i="1"/>
  <c r="AA89" i="1" s="1"/>
  <c r="T90" i="1"/>
  <c r="T91" i="1"/>
  <c r="AA91" i="1" s="1"/>
  <c r="T92" i="1"/>
  <c r="AA92" i="1" s="1"/>
  <c r="T93" i="1"/>
  <c r="AA93" i="1" s="1"/>
  <c r="T94" i="1"/>
  <c r="T95" i="1"/>
  <c r="AA95" i="1" s="1"/>
  <c r="T96" i="1"/>
  <c r="AA96" i="1" s="1"/>
  <c r="T97" i="1"/>
  <c r="AA97" i="1" s="1"/>
  <c r="T98" i="1"/>
  <c r="T99" i="1"/>
  <c r="AA99" i="1" s="1"/>
  <c r="T100" i="1"/>
  <c r="AA100" i="1" s="1"/>
  <c r="T101" i="1"/>
  <c r="AA101" i="1" s="1"/>
  <c r="T102" i="1"/>
  <c r="T103" i="1"/>
  <c r="AA103" i="1" s="1"/>
  <c r="T104" i="1"/>
  <c r="AA104" i="1" s="1"/>
  <c r="T105" i="1"/>
  <c r="AA105" i="1" s="1"/>
  <c r="T106" i="1"/>
  <c r="T107" i="1"/>
  <c r="AA107" i="1" s="1"/>
  <c r="T108" i="1"/>
  <c r="AA108" i="1" s="1"/>
  <c r="T109" i="1"/>
  <c r="AA109" i="1" s="1"/>
  <c r="T110" i="1"/>
  <c r="T111" i="1"/>
  <c r="AA111" i="1" s="1"/>
  <c r="T112" i="1"/>
  <c r="AA112" i="1" s="1"/>
  <c r="T113" i="1"/>
  <c r="AA113" i="1" s="1"/>
  <c r="T114" i="1"/>
  <c r="T115" i="1"/>
  <c r="AA115" i="1" s="1"/>
  <c r="T116" i="1"/>
  <c r="AA116" i="1" s="1"/>
  <c r="T117" i="1"/>
  <c r="AA117" i="1" s="1"/>
  <c r="T118" i="1"/>
  <c r="T119" i="1"/>
  <c r="AA119" i="1" s="1"/>
  <c r="T120" i="1"/>
  <c r="AA120" i="1" s="1"/>
  <c r="T121" i="1"/>
  <c r="AA121" i="1" s="1"/>
  <c r="T122" i="1"/>
  <c r="T123" i="1"/>
  <c r="AA123" i="1" s="1"/>
  <c r="T124" i="1"/>
  <c r="AA124" i="1" s="1"/>
  <c r="T125" i="1"/>
  <c r="AA125" i="1" s="1"/>
  <c r="T126" i="1"/>
  <c r="T127" i="1"/>
  <c r="AA127" i="1" s="1"/>
  <c r="T128" i="1"/>
  <c r="AA128" i="1" s="1"/>
  <c r="T129" i="1"/>
  <c r="AA129" i="1" s="1"/>
  <c r="T130" i="1"/>
  <c r="T131" i="1"/>
  <c r="AA131" i="1" s="1"/>
  <c r="T132" i="1"/>
  <c r="AA132" i="1" s="1"/>
  <c r="T133" i="1"/>
  <c r="AA133" i="1" s="1"/>
  <c r="T134" i="1"/>
  <c r="T135" i="1"/>
  <c r="AA135" i="1" s="1"/>
  <c r="T136" i="1"/>
  <c r="AA136" i="1" s="1"/>
  <c r="T137" i="1"/>
  <c r="AA137" i="1" s="1"/>
  <c r="T138" i="1"/>
  <c r="T139" i="1"/>
  <c r="AA139" i="1" s="1"/>
  <c r="T140" i="1"/>
  <c r="AA140" i="1" s="1"/>
  <c r="T141" i="1"/>
  <c r="AA141" i="1" s="1"/>
  <c r="T142" i="1"/>
  <c r="T143" i="1"/>
  <c r="AA143" i="1" s="1"/>
  <c r="T144" i="1"/>
  <c r="AA144" i="1" s="1"/>
  <c r="T145" i="1"/>
  <c r="AA145" i="1" s="1"/>
  <c r="T146" i="1"/>
  <c r="T147" i="1"/>
  <c r="AA147" i="1" s="1"/>
  <c r="T148" i="1"/>
  <c r="AA148" i="1" s="1"/>
  <c r="T149" i="1"/>
  <c r="AA149" i="1" s="1"/>
  <c r="T150" i="1"/>
  <c r="T151" i="1"/>
  <c r="AA151" i="1" s="1"/>
  <c r="T152" i="1"/>
  <c r="AA152" i="1" s="1"/>
  <c r="T153" i="1"/>
  <c r="AA153" i="1" s="1"/>
  <c r="T154" i="1"/>
  <c r="T155" i="1"/>
  <c r="AA155" i="1" s="1"/>
  <c r="T156" i="1"/>
  <c r="T157" i="1"/>
  <c r="AA157" i="1" s="1"/>
  <c r="T158" i="1"/>
  <c r="T159" i="1"/>
  <c r="AA159" i="1" s="1"/>
  <c r="T160" i="1"/>
  <c r="T161" i="1"/>
  <c r="AA161" i="1" s="1"/>
  <c r="T162" i="1"/>
  <c r="AA162" i="1" s="1"/>
  <c r="T163" i="1"/>
  <c r="AA163" i="1" s="1"/>
  <c r="T164" i="1"/>
  <c r="T165" i="1"/>
  <c r="AA165" i="1" s="1"/>
  <c r="T166" i="1"/>
  <c r="T167" i="1"/>
  <c r="AA167" i="1" s="1"/>
  <c r="T168" i="1"/>
  <c r="T169" i="1"/>
  <c r="AA169" i="1" s="1"/>
  <c r="T170" i="1"/>
  <c r="T171" i="1"/>
  <c r="AA171" i="1" s="1"/>
  <c r="T172" i="1"/>
  <c r="T173" i="1"/>
  <c r="AA173" i="1" s="1"/>
  <c r="T174" i="1"/>
  <c r="T175" i="1"/>
  <c r="AA175" i="1" s="1"/>
  <c r="T176" i="1"/>
  <c r="T177" i="1"/>
  <c r="AA177" i="1" s="1"/>
  <c r="T178" i="1"/>
  <c r="T179" i="1"/>
  <c r="AA179" i="1" s="1"/>
  <c r="T180" i="1"/>
  <c r="T181" i="1"/>
  <c r="AA181" i="1" s="1"/>
  <c r="T182" i="1"/>
  <c r="T183" i="1"/>
  <c r="AA183" i="1" s="1"/>
  <c r="T184" i="1"/>
  <c r="T185" i="1"/>
  <c r="AA185" i="1" s="1"/>
  <c r="T186" i="1"/>
  <c r="T187" i="1"/>
  <c r="AA187" i="1" s="1"/>
  <c r="T188" i="1"/>
  <c r="T189" i="1"/>
  <c r="AA189" i="1" s="1"/>
  <c r="T190" i="1"/>
  <c r="T191" i="1"/>
  <c r="AA191" i="1" s="1"/>
  <c r="T192" i="1"/>
  <c r="T193" i="1"/>
  <c r="AA193" i="1" s="1"/>
  <c r="T194" i="1"/>
  <c r="T195" i="1"/>
  <c r="AA195" i="1" s="1"/>
  <c r="T196" i="1"/>
  <c r="T197" i="1"/>
  <c r="AA197" i="1" s="1"/>
  <c r="T198" i="1"/>
  <c r="T199" i="1"/>
  <c r="AA199" i="1" s="1"/>
  <c r="T200" i="1"/>
  <c r="T201" i="1"/>
  <c r="AA201" i="1" s="1"/>
  <c r="T202" i="1"/>
  <c r="T203" i="1"/>
  <c r="AA203" i="1" s="1"/>
  <c r="T204" i="1"/>
  <c r="T205" i="1"/>
  <c r="AA205" i="1" s="1"/>
  <c r="T206" i="1"/>
  <c r="T207" i="1"/>
  <c r="AA207" i="1" s="1"/>
  <c r="T208" i="1"/>
  <c r="T209" i="1"/>
  <c r="AA209" i="1" s="1"/>
  <c r="T210" i="1"/>
  <c r="T211" i="1"/>
  <c r="AA211" i="1" s="1"/>
  <c r="T212" i="1"/>
  <c r="T213" i="1"/>
  <c r="AA213" i="1" s="1"/>
  <c r="T214" i="1"/>
  <c r="T215" i="1"/>
  <c r="AA215" i="1" s="1"/>
  <c r="T216" i="1"/>
  <c r="T217" i="1"/>
  <c r="AA217" i="1" s="1"/>
  <c r="T218" i="1"/>
  <c r="T219" i="1"/>
  <c r="AA219" i="1" s="1"/>
  <c r="T220" i="1"/>
  <c r="T221" i="1"/>
  <c r="AA221" i="1" s="1"/>
  <c r="T222" i="1"/>
  <c r="T223" i="1"/>
  <c r="AA223" i="1" s="1"/>
  <c r="T224" i="1"/>
  <c r="T225" i="1"/>
  <c r="AA225" i="1" s="1"/>
  <c r="T226" i="1"/>
  <c r="T227" i="1"/>
  <c r="AA227" i="1" s="1"/>
  <c r="T228" i="1"/>
  <c r="T229" i="1"/>
  <c r="AA229" i="1" s="1"/>
  <c r="T230" i="1"/>
  <c r="T231" i="1"/>
  <c r="AA231" i="1" s="1"/>
  <c r="T232" i="1"/>
  <c r="T233" i="1"/>
  <c r="AA233" i="1" s="1"/>
  <c r="T234" i="1"/>
  <c r="T235" i="1"/>
  <c r="AA235" i="1" s="1"/>
  <c r="T236" i="1"/>
  <c r="T237" i="1"/>
  <c r="AA237" i="1" s="1"/>
  <c r="T238" i="1"/>
  <c r="T239" i="1"/>
  <c r="AA239" i="1" s="1"/>
  <c r="T240" i="1"/>
  <c r="T241" i="1"/>
  <c r="AA241" i="1" s="1"/>
  <c r="T242" i="1"/>
  <c r="T243" i="1"/>
  <c r="AA243" i="1" s="1"/>
  <c r="T244" i="1"/>
  <c r="T245" i="1"/>
  <c r="AA245" i="1" s="1"/>
  <c r="T246" i="1"/>
  <c r="T247" i="1"/>
  <c r="AA247" i="1" s="1"/>
  <c r="T248" i="1"/>
  <c r="T249" i="1"/>
  <c r="AA249" i="1" s="1"/>
  <c r="T250" i="1"/>
  <c r="T251" i="1"/>
  <c r="AA251" i="1" s="1"/>
  <c r="T252" i="1"/>
  <c r="T253" i="1"/>
  <c r="AA253" i="1" s="1"/>
  <c r="T254" i="1"/>
  <c r="T255" i="1"/>
  <c r="AA255" i="1" s="1"/>
  <c r="T256" i="1"/>
  <c r="T257" i="1"/>
  <c r="AA257" i="1" s="1"/>
  <c r="T258" i="1"/>
  <c r="T259" i="1"/>
  <c r="AA259" i="1" s="1"/>
  <c r="T260" i="1"/>
  <c r="T261" i="1"/>
  <c r="AA261" i="1" s="1"/>
  <c r="T262" i="1"/>
  <c r="T263" i="1"/>
  <c r="AA263" i="1" s="1"/>
  <c r="T264" i="1"/>
  <c r="T265" i="1"/>
  <c r="AA265" i="1" s="1"/>
  <c r="T266" i="1"/>
  <c r="T267" i="1"/>
  <c r="AA267" i="1" s="1"/>
  <c r="T268" i="1"/>
  <c r="T269" i="1"/>
  <c r="AA269" i="1" s="1"/>
  <c r="T270" i="1"/>
  <c r="T271" i="1"/>
  <c r="AA271" i="1" s="1"/>
  <c r="T272" i="1"/>
  <c r="T273" i="1"/>
  <c r="AA273" i="1" s="1"/>
  <c r="T274" i="1"/>
  <c r="T275" i="1"/>
  <c r="AA275" i="1" s="1"/>
  <c r="T276" i="1"/>
  <c r="T277" i="1"/>
  <c r="AA277" i="1" s="1"/>
  <c r="T278" i="1"/>
  <c r="T279" i="1"/>
  <c r="AA279" i="1" s="1"/>
  <c r="T280" i="1"/>
  <c r="T281" i="1"/>
  <c r="AA281" i="1" s="1"/>
  <c r="T282" i="1"/>
  <c r="T283" i="1"/>
  <c r="AA283" i="1" s="1"/>
  <c r="T284" i="1"/>
  <c r="T285" i="1"/>
  <c r="AA285" i="1" s="1"/>
  <c r="T286" i="1"/>
  <c r="T287" i="1"/>
  <c r="AA287" i="1" s="1"/>
  <c r="T288" i="1"/>
  <c r="T289" i="1"/>
  <c r="AA289" i="1" s="1"/>
  <c r="T290" i="1"/>
  <c r="T291" i="1"/>
  <c r="AA291" i="1" s="1"/>
  <c r="T292" i="1"/>
  <c r="T293" i="1"/>
  <c r="AA293" i="1" s="1"/>
  <c r="T294" i="1"/>
  <c r="T295" i="1"/>
  <c r="AA295" i="1" s="1"/>
  <c r="T296" i="1"/>
  <c r="T297" i="1"/>
  <c r="AA297" i="1" s="1"/>
  <c r="T298" i="1"/>
  <c r="T299" i="1"/>
  <c r="AA299" i="1" s="1"/>
  <c r="T300" i="1"/>
  <c r="T301" i="1"/>
  <c r="AA301" i="1" s="1"/>
  <c r="T302" i="1"/>
  <c r="T303" i="1"/>
  <c r="AA303" i="1" s="1"/>
  <c r="T304" i="1"/>
  <c r="T305" i="1"/>
  <c r="AA305" i="1" s="1"/>
  <c r="T306" i="1"/>
  <c r="T307" i="1"/>
  <c r="AA307" i="1" s="1"/>
  <c r="T308" i="1"/>
  <c r="T309" i="1"/>
  <c r="AA309" i="1" s="1"/>
  <c r="T310" i="1"/>
  <c r="T311" i="1"/>
  <c r="AA311" i="1" s="1"/>
  <c r="T312" i="1"/>
  <c r="T313" i="1"/>
  <c r="AA313" i="1" s="1"/>
  <c r="T314" i="1"/>
  <c r="T315" i="1"/>
  <c r="AA315" i="1" s="1"/>
  <c r="T316" i="1"/>
  <c r="T317" i="1"/>
  <c r="AA317" i="1" s="1"/>
  <c r="T318" i="1"/>
  <c r="T319" i="1"/>
  <c r="AA319" i="1" s="1"/>
  <c r="T320" i="1"/>
  <c r="T321" i="1"/>
  <c r="AA321" i="1" s="1"/>
  <c r="T322" i="1"/>
  <c r="T323" i="1"/>
  <c r="AA323" i="1" s="1"/>
  <c r="T324" i="1"/>
  <c r="T325" i="1"/>
  <c r="AA325" i="1" s="1"/>
  <c r="T326" i="1"/>
  <c r="T327" i="1"/>
  <c r="AA327" i="1" s="1"/>
  <c r="T328" i="1"/>
  <c r="T329" i="1"/>
  <c r="AA329" i="1" s="1"/>
  <c r="T330" i="1"/>
  <c r="T331" i="1"/>
  <c r="AA331" i="1" s="1"/>
  <c r="T332" i="1"/>
  <c r="T333" i="1"/>
  <c r="AA333" i="1" s="1"/>
  <c r="T334" i="1"/>
  <c r="T335" i="1"/>
  <c r="AA335" i="1" s="1"/>
  <c r="T336" i="1"/>
  <c r="T337" i="1"/>
  <c r="AA337" i="1" s="1"/>
  <c r="T338" i="1"/>
  <c r="T339" i="1"/>
  <c r="AA339" i="1" s="1"/>
  <c r="T340" i="1"/>
  <c r="T341" i="1"/>
  <c r="AA341" i="1" s="1"/>
  <c r="T342" i="1"/>
  <c r="T343" i="1"/>
  <c r="AA343" i="1" s="1"/>
  <c r="T344" i="1"/>
  <c r="T345" i="1"/>
  <c r="AA345" i="1" s="1"/>
  <c r="T346" i="1"/>
  <c r="T347" i="1"/>
  <c r="AA347" i="1" s="1"/>
  <c r="T348" i="1"/>
  <c r="T349" i="1"/>
  <c r="AA349" i="1" s="1"/>
  <c r="T350" i="1"/>
  <c r="T351" i="1"/>
  <c r="AA351" i="1" s="1"/>
  <c r="T352" i="1"/>
  <c r="T353" i="1"/>
  <c r="AA353" i="1" s="1"/>
  <c r="T354" i="1"/>
  <c r="T355" i="1"/>
  <c r="AA355" i="1" s="1"/>
  <c r="T356" i="1"/>
  <c r="T357" i="1"/>
  <c r="AA357" i="1" s="1"/>
  <c r="T358" i="1"/>
  <c r="T359" i="1"/>
  <c r="AA359" i="1" s="1"/>
  <c r="T360" i="1"/>
  <c r="T361" i="1"/>
  <c r="AA361" i="1" s="1"/>
  <c r="T362" i="1"/>
  <c r="T363" i="1"/>
  <c r="AA363" i="1" s="1"/>
  <c r="T364" i="1"/>
  <c r="T365" i="1"/>
  <c r="AA365" i="1" s="1"/>
  <c r="T366" i="1"/>
  <c r="T367" i="1"/>
  <c r="AA367" i="1" s="1"/>
  <c r="T368" i="1"/>
  <c r="T369" i="1"/>
  <c r="AA369" i="1" s="1"/>
  <c r="T370" i="1"/>
  <c r="T371" i="1"/>
  <c r="AA371" i="1" s="1"/>
  <c r="T372" i="1"/>
  <c r="T373" i="1"/>
  <c r="AA373" i="1" s="1"/>
  <c r="T374" i="1"/>
  <c r="T375" i="1"/>
  <c r="AA375" i="1" s="1"/>
  <c r="T376" i="1"/>
  <c r="T377" i="1"/>
  <c r="AA377" i="1" s="1"/>
  <c r="T378" i="1"/>
  <c r="T379" i="1"/>
  <c r="AA379" i="1" s="1"/>
  <c r="T380" i="1"/>
  <c r="T381" i="1"/>
  <c r="AA381" i="1" s="1"/>
  <c r="T382" i="1"/>
  <c r="T383" i="1"/>
  <c r="AA383" i="1" s="1"/>
  <c r="T384" i="1"/>
  <c r="T385" i="1"/>
  <c r="AA385" i="1" s="1"/>
  <c r="T386" i="1"/>
  <c r="T387" i="1"/>
  <c r="AA387" i="1" s="1"/>
  <c r="T388" i="1"/>
  <c r="T389" i="1"/>
  <c r="AA389" i="1" s="1"/>
  <c r="T390" i="1"/>
  <c r="T391" i="1"/>
  <c r="AA391" i="1" s="1"/>
  <c r="T392" i="1"/>
  <c r="T393" i="1"/>
  <c r="AA393" i="1" s="1"/>
  <c r="T394" i="1"/>
  <c r="T395" i="1"/>
  <c r="AA395" i="1" s="1"/>
  <c r="T396" i="1"/>
  <c r="T397" i="1"/>
  <c r="AA397" i="1" s="1"/>
  <c r="T398" i="1"/>
  <c r="T399" i="1"/>
  <c r="AA399" i="1" s="1"/>
  <c r="T400" i="1"/>
  <c r="T401" i="1"/>
  <c r="AA401" i="1" s="1"/>
  <c r="T402" i="1"/>
  <c r="T403" i="1"/>
  <c r="AA403" i="1" s="1"/>
  <c r="T404" i="1"/>
  <c r="T405" i="1"/>
  <c r="AA405" i="1" s="1"/>
  <c r="T406" i="1"/>
  <c r="T407" i="1"/>
  <c r="AA407" i="1" s="1"/>
  <c r="T408" i="1"/>
  <c r="T409" i="1"/>
  <c r="AA409" i="1" s="1"/>
  <c r="T410" i="1"/>
  <c r="T411" i="1"/>
  <c r="AA411" i="1" s="1"/>
  <c r="T412" i="1"/>
  <c r="T413" i="1"/>
  <c r="AA413" i="1" s="1"/>
  <c r="T414" i="1"/>
  <c r="T415" i="1"/>
  <c r="AA415" i="1" s="1"/>
  <c r="T416" i="1"/>
  <c r="T417" i="1"/>
  <c r="AA417" i="1" s="1"/>
  <c r="T418" i="1"/>
  <c r="T419" i="1"/>
  <c r="AA419" i="1" s="1"/>
  <c r="T420" i="1"/>
  <c r="T421" i="1"/>
  <c r="AA421" i="1" s="1"/>
  <c r="T422" i="1"/>
  <c r="T423" i="1"/>
  <c r="AA423" i="1" s="1"/>
  <c r="T424" i="1"/>
  <c r="T425" i="1"/>
  <c r="AA425" i="1" s="1"/>
  <c r="T426" i="1"/>
  <c r="T427" i="1"/>
  <c r="AA427" i="1" s="1"/>
  <c r="T428" i="1"/>
  <c r="T429" i="1"/>
  <c r="AA429" i="1" s="1"/>
  <c r="T430" i="1"/>
  <c r="T431" i="1"/>
  <c r="AA431" i="1" s="1"/>
  <c r="T432" i="1"/>
  <c r="T433" i="1"/>
  <c r="AA433" i="1" s="1"/>
  <c r="T434" i="1"/>
  <c r="T435" i="1"/>
  <c r="AA435" i="1" s="1"/>
  <c r="T436" i="1"/>
  <c r="T437" i="1"/>
  <c r="AA437" i="1" s="1"/>
  <c r="T438" i="1"/>
  <c r="T439" i="1"/>
  <c r="AA439" i="1" s="1"/>
  <c r="T440" i="1"/>
  <c r="T441" i="1"/>
  <c r="AA441" i="1" s="1"/>
  <c r="T442" i="1"/>
  <c r="T443" i="1"/>
  <c r="AA443" i="1" s="1"/>
  <c r="T444" i="1"/>
  <c r="T445" i="1"/>
  <c r="AA445" i="1" s="1"/>
  <c r="T446" i="1"/>
  <c r="T447" i="1"/>
  <c r="AA447" i="1" s="1"/>
  <c r="T448" i="1"/>
  <c r="T449" i="1"/>
  <c r="AA449" i="1" s="1"/>
  <c r="T450" i="1"/>
  <c r="T451" i="1"/>
  <c r="AA451" i="1" s="1"/>
  <c r="T452" i="1"/>
  <c r="T453" i="1"/>
  <c r="AA453" i="1" s="1"/>
  <c r="T454" i="1"/>
  <c r="T455" i="1"/>
  <c r="AA455" i="1" s="1"/>
  <c r="T456" i="1"/>
  <c r="T457" i="1"/>
  <c r="AA457" i="1" s="1"/>
  <c r="T458" i="1"/>
  <c r="T459" i="1"/>
  <c r="AA459" i="1" s="1"/>
  <c r="T460" i="1"/>
  <c r="T461" i="1"/>
  <c r="AA461" i="1" s="1"/>
  <c r="T462" i="1"/>
  <c r="T463" i="1"/>
  <c r="AA463" i="1" s="1"/>
  <c r="T464" i="1"/>
  <c r="T465" i="1"/>
  <c r="AA465" i="1" s="1"/>
  <c r="T466" i="1"/>
  <c r="T467" i="1"/>
  <c r="AA467" i="1" s="1"/>
  <c r="T468" i="1"/>
  <c r="T469" i="1"/>
  <c r="AA469" i="1" s="1"/>
  <c r="T470" i="1"/>
  <c r="T471" i="1"/>
  <c r="AA471" i="1" s="1"/>
  <c r="T472" i="1"/>
  <c r="T473" i="1"/>
  <c r="AA473" i="1" s="1"/>
  <c r="T474" i="1"/>
  <c r="T475" i="1"/>
  <c r="AA475" i="1" s="1"/>
  <c r="T476" i="1"/>
  <c r="T477" i="1"/>
  <c r="AA477" i="1" s="1"/>
  <c r="T478" i="1"/>
  <c r="T479" i="1"/>
  <c r="AA479" i="1" s="1"/>
  <c r="T480" i="1"/>
  <c r="T481" i="1"/>
  <c r="AA481" i="1" s="1"/>
  <c r="T482" i="1"/>
  <c r="T483" i="1"/>
  <c r="AA483" i="1" s="1"/>
  <c r="T484" i="1"/>
  <c r="T485" i="1"/>
  <c r="AA485" i="1" s="1"/>
  <c r="T486" i="1"/>
  <c r="T487" i="1"/>
  <c r="AA487" i="1" s="1"/>
  <c r="T488" i="1"/>
  <c r="T489" i="1"/>
  <c r="AA489" i="1" s="1"/>
  <c r="T490" i="1"/>
  <c r="T491" i="1"/>
  <c r="AA491" i="1" s="1"/>
  <c r="T492" i="1"/>
  <c r="T493" i="1"/>
  <c r="AA493" i="1" s="1"/>
  <c r="T494" i="1"/>
  <c r="T495" i="1"/>
  <c r="AA495" i="1" s="1"/>
  <c r="T496" i="1"/>
  <c r="T497" i="1"/>
  <c r="AA497" i="1" s="1"/>
  <c r="T498" i="1"/>
  <c r="T499" i="1"/>
  <c r="AA499" i="1" s="1"/>
  <c r="T500" i="1"/>
  <c r="T501" i="1"/>
  <c r="AA501" i="1" s="1"/>
  <c r="T502" i="1"/>
  <c r="T503" i="1"/>
  <c r="AA503" i="1" s="1"/>
  <c r="T504" i="1"/>
  <c r="T505" i="1"/>
  <c r="AA505" i="1" s="1"/>
  <c r="T506" i="1"/>
  <c r="T507" i="1"/>
  <c r="AA507" i="1" s="1"/>
  <c r="T508" i="1"/>
  <c r="T509" i="1"/>
  <c r="AA509" i="1" s="1"/>
  <c r="T510" i="1"/>
  <c r="T511" i="1"/>
  <c r="AA511" i="1" s="1"/>
  <c r="T512" i="1"/>
  <c r="T513" i="1"/>
  <c r="AA513" i="1" s="1"/>
  <c r="T514" i="1"/>
  <c r="T515" i="1"/>
  <c r="AA515" i="1" s="1"/>
  <c r="T516" i="1"/>
  <c r="T517" i="1"/>
  <c r="AA517" i="1" s="1"/>
  <c r="T518" i="1"/>
  <c r="T519" i="1"/>
  <c r="AA519" i="1" s="1"/>
  <c r="T520" i="1"/>
  <c r="T521" i="1"/>
  <c r="AA521" i="1" s="1"/>
  <c r="T522" i="1"/>
  <c r="T523" i="1"/>
  <c r="AA523" i="1" s="1"/>
  <c r="T524" i="1"/>
  <c r="T525" i="1"/>
  <c r="AA525" i="1" s="1"/>
  <c r="T526" i="1"/>
  <c r="T527" i="1"/>
  <c r="AA527" i="1" s="1"/>
  <c r="T528" i="1"/>
  <c r="T529" i="1"/>
  <c r="AA529" i="1" s="1"/>
  <c r="T530" i="1"/>
  <c r="T531" i="1"/>
  <c r="AA531" i="1" s="1"/>
  <c r="T532" i="1"/>
  <c r="T533" i="1"/>
  <c r="AA533" i="1" s="1"/>
  <c r="T534" i="1"/>
  <c r="T535" i="1"/>
  <c r="AA535" i="1" s="1"/>
  <c r="T536" i="1"/>
  <c r="T537" i="1"/>
  <c r="AA537" i="1" s="1"/>
  <c r="T538" i="1"/>
  <c r="T539" i="1"/>
  <c r="AA539" i="1" s="1"/>
  <c r="T540" i="1"/>
  <c r="T541" i="1"/>
  <c r="AA541" i="1" s="1"/>
  <c r="T542" i="1"/>
  <c r="T543" i="1"/>
  <c r="AA543" i="1" s="1"/>
  <c r="T544" i="1"/>
  <c r="T545" i="1"/>
  <c r="AA545" i="1" s="1"/>
  <c r="T546" i="1"/>
  <c r="T547" i="1"/>
  <c r="AA547" i="1" s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AA595" i="1" s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35" i="1"/>
  <c r="T17" i="1"/>
  <c r="AA17" i="1" s="1"/>
  <c r="T18" i="1"/>
  <c r="AA18" i="1" s="1"/>
  <c r="T19" i="1"/>
  <c r="AA19" i="1" s="1"/>
  <c r="T20" i="1"/>
  <c r="T21" i="1"/>
  <c r="AA21" i="1" s="1"/>
  <c r="T22" i="1"/>
  <c r="AA22" i="1" s="1"/>
  <c r="T23" i="1"/>
  <c r="AA23" i="1" s="1"/>
  <c r="T24" i="1"/>
  <c r="T25" i="1"/>
  <c r="AA25" i="1" s="1"/>
  <c r="T26" i="1"/>
  <c r="AA26" i="1" s="1"/>
  <c r="T27" i="1"/>
  <c r="AA27" i="1" s="1"/>
  <c r="T28" i="1"/>
  <c r="T29" i="1"/>
  <c r="AA29" i="1" s="1"/>
  <c r="T30" i="1"/>
  <c r="AA30" i="1" s="1"/>
  <c r="T31" i="1"/>
  <c r="AA31" i="1" s="1"/>
  <c r="T32" i="1"/>
  <c r="T33" i="1"/>
  <c r="AA33" i="1" s="1"/>
  <c r="T34" i="1"/>
  <c r="AA34" i="1" s="1"/>
  <c r="T16" i="1"/>
  <c r="T5" i="1"/>
  <c r="T6" i="1"/>
  <c r="T7" i="1"/>
  <c r="AA7" i="1" s="1"/>
  <c r="T8" i="1"/>
  <c r="T9" i="1"/>
  <c r="AA9" i="1" s="1"/>
  <c r="T10" i="1"/>
  <c r="T11" i="1"/>
  <c r="AA11" i="1" s="1"/>
  <c r="T12" i="1"/>
  <c r="T13" i="1"/>
  <c r="AA13" i="1" s="1"/>
  <c r="T14" i="1"/>
  <c r="T15" i="1"/>
  <c r="AA15" i="1" s="1"/>
  <c r="T4" i="1"/>
  <c r="AA4" i="1" s="1"/>
  <c r="R19" i="1"/>
  <c r="R20" i="1"/>
  <c r="Z20" i="1" s="1"/>
  <c r="R21" i="1"/>
  <c r="Z21" i="1" s="1"/>
  <c r="R22" i="1"/>
  <c r="Z22" i="1" s="1"/>
  <c r="R23" i="1"/>
  <c r="R24" i="1"/>
  <c r="Z24" i="1" s="1"/>
  <c r="R18" i="1"/>
  <c r="Z18" i="1" s="1"/>
  <c r="R17" i="1"/>
  <c r="Z17" i="1" s="1"/>
  <c r="R15" i="1"/>
  <c r="R16" i="1"/>
  <c r="Z16" i="1" s="1"/>
  <c r="R13" i="1"/>
  <c r="Z13" i="1" s="1"/>
  <c r="R14" i="1"/>
  <c r="Z14" i="1" s="1"/>
  <c r="R12" i="1"/>
  <c r="R10" i="1"/>
  <c r="Z10" i="1" s="1"/>
  <c r="R11" i="1"/>
  <c r="Z11" i="1" s="1"/>
  <c r="R8" i="1"/>
  <c r="Z8" i="1" s="1"/>
  <c r="R9" i="1"/>
  <c r="Z9" i="1" s="1"/>
  <c r="R5" i="1"/>
  <c r="Z5" i="1" s="1"/>
  <c r="R6" i="1"/>
  <c r="Z6" i="1" s="1"/>
  <c r="R7" i="1"/>
  <c r="Z7" i="1" s="1"/>
  <c r="R4" i="1"/>
  <c r="Z4" i="1" s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Y599" i="1" s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Y357" i="1" s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Y219" i="1" s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Y128" i="1" s="1"/>
  <c r="P127" i="1"/>
  <c r="Y127" i="1" s="1"/>
  <c r="P126" i="1"/>
  <c r="P125" i="1"/>
  <c r="Y125" i="1" s="1"/>
  <c r="P124" i="1"/>
  <c r="Y124" i="1" s="1"/>
  <c r="P123" i="1"/>
  <c r="Y123" i="1" s="1"/>
  <c r="P122" i="1"/>
  <c r="P121" i="1"/>
  <c r="Y121" i="1" s="1"/>
  <c r="P120" i="1"/>
  <c r="Y120" i="1" s="1"/>
  <c r="P119" i="1"/>
  <c r="Y119" i="1" s="1"/>
  <c r="P118" i="1"/>
  <c r="P117" i="1"/>
  <c r="Y117" i="1" s="1"/>
  <c r="P116" i="1"/>
  <c r="Y116" i="1" s="1"/>
  <c r="P115" i="1"/>
  <c r="Y115" i="1" s="1"/>
  <c r="P114" i="1"/>
  <c r="P113" i="1"/>
  <c r="Y113" i="1" s="1"/>
  <c r="P112" i="1"/>
  <c r="Y112" i="1" s="1"/>
  <c r="P111" i="1"/>
  <c r="Y111" i="1" s="1"/>
  <c r="P110" i="1"/>
  <c r="P109" i="1"/>
  <c r="Y109" i="1" s="1"/>
  <c r="P108" i="1"/>
  <c r="Y108" i="1" s="1"/>
  <c r="P107" i="1"/>
  <c r="Y107" i="1" s="1"/>
  <c r="P106" i="1"/>
  <c r="P105" i="1"/>
  <c r="Y105" i="1" s="1"/>
  <c r="P104" i="1"/>
  <c r="Y104" i="1" s="1"/>
  <c r="P103" i="1"/>
  <c r="Y103" i="1" s="1"/>
  <c r="P102" i="1"/>
  <c r="P101" i="1"/>
  <c r="Y101" i="1" s="1"/>
  <c r="P100" i="1"/>
  <c r="Y100" i="1" s="1"/>
  <c r="P99" i="1"/>
  <c r="Y99" i="1" s="1"/>
  <c r="P98" i="1"/>
  <c r="P97" i="1"/>
  <c r="Y97" i="1" s="1"/>
  <c r="P96" i="1"/>
  <c r="Y96" i="1" s="1"/>
  <c r="P95" i="1"/>
  <c r="Y95" i="1" s="1"/>
  <c r="P94" i="1"/>
  <c r="P93" i="1"/>
  <c r="Y93" i="1" s="1"/>
  <c r="P92" i="1"/>
  <c r="Y92" i="1" s="1"/>
  <c r="P91" i="1"/>
  <c r="Y91" i="1" s="1"/>
  <c r="P90" i="1"/>
  <c r="P89" i="1"/>
  <c r="Y89" i="1" s="1"/>
  <c r="P88" i="1"/>
  <c r="Y88" i="1" s="1"/>
  <c r="P87" i="1"/>
  <c r="Y87" i="1" s="1"/>
  <c r="P86" i="1"/>
  <c r="P85" i="1"/>
  <c r="Y85" i="1" s="1"/>
  <c r="P84" i="1"/>
  <c r="Y84" i="1" s="1"/>
  <c r="P83" i="1"/>
  <c r="Y83" i="1" s="1"/>
  <c r="P82" i="1"/>
  <c r="P81" i="1"/>
  <c r="Y81" i="1" s="1"/>
  <c r="P80" i="1"/>
  <c r="Y80" i="1" s="1"/>
  <c r="P79" i="1"/>
  <c r="Y79" i="1" s="1"/>
  <c r="P78" i="1"/>
  <c r="P77" i="1"/>
  <c r="Y77" i="1" s="1"/>
  <c r="P76" i="1"/>
  <c r="Y76" i="1" s="1"/>
  <c r="P75" i="1"/>
  <c r="Y75" i="1" s="1"/>
  <c r="P74" i="1"/>
  <c r="P73" i="1"/>
  <c r="Y73" i="1" s="1"/>
  <c r="P72" i="1"/>
  <c r="Y72" i="1" s="1"/>
  <c r="P71" i="1"/>
  <c r="Y71" i="1" s="1"/>
  <c r="P70" i="1"/>
  <c r="P69" i="1"/>
  <c r="Y69" i="1" s="1"/>
  <c r="P68" i="1"/>
  <c r="Y68" i="1" s="1"/>
  <c r="P67" i="1"/>
  <c r="Y67" i="1" s="1"/>
  <c r="P66" i="1"/>
  <c r="P65" i="1"/>
  <c r="Y65" i="1" s="1"/>
  <c r="P64" i="1"/>
  <c r="Y64" i="1" s="1"/>
  <c r="P63" i="1"/>
  <c r="Y63" i="1" s="1"/>
  <c r="P62" i="1"/>
  <c r="P61" i="1"/>
  <c r="Y61" i="1" s="1"/>
  <c r="P60" i="1"/>
  <c r="Y60" i="1" s="1"/>
  <c r="P59" i="1"/>
  <c r="Y59" i="1" s="1"/>
  <c r="P58" i="1"/>
  <c r="P57" i="1"/>
  <c r="Y57" i="1" s="1"/>
  <c r="P56" i="1"/>
  <c r="Y56" i="1" s="1"/>
  <c r="P55" i="1"/>
  <c r="Y55" i="1" s="1"/>
  <c r="P54" i="1"/>
  <c r="P53" i="1"/>
  <c r="Y53" i="1" s="1"/>
  <c r="P52" i="1"/>
  <c r="Y52" i="1" s="1"/>
  <c r="P51" i="1"/>
  <c r="Y51" i="1" s="1"/>
  <c r="P50" i="1"/>
  <c r="P49" i="1"/>
  <c r="Y49" i="1" s="1"/>
  <c r="P48" i="1"/>
  <c r="Y48" i="1" s="1"/>
  <c r="P47" i="1"/>
  <c r="Y47" i="1" s="1"/>
  <c r="P46" i="1"/>
  <c r="P45" i="1"/>
  <c r="Y45" i="1" s="1"/>
  <c r="P44" i="1"/>
  <c r="Y44" i="1" s="1"/>
  <c r="P43" i="1"/>
  <c r="Y43" i="1" s="1"/>
  <c r="P42" i="1"/>
  <c r="P41" i="1"/>
  <c r="Y41" i="1" s="1"/>
  <c r="P40" i="1"/>
  <c r="Y40" i="1" s="1"/>
  <c r="P39" i="1"/>
  <c r="Y39" i="1" s="1"/>
  <c r="P38" i="1"/>
  <c r="P37" i="1"/>
  <c r="Y37" i="1" s="1"/>
  <c r="P36" i="1"/>
  <c r="Y36" i="1" s="1"/>
  <c r="P35" i="1"/>
  <c r="Y35" i="1" s="1"/>
  <c r="P34" i="1"/>
  <c r="P33" i="1"/>
  <c r="Y33" i="1" s="1"/>
  <c r="P32" i="1"/>
  <c r="Y32" i="1" s="1"/>
  <c r="P31" i="1"/>
  <c r="Y31" i="1" s="1"/>
  <c r="P30" i="1"/>
  <c r="P29" i="1"/>
  <c r="Y29" i="1" s="1"/>
  <c r="P28" i="1"/>
  <c r="Y28" i="1" s="1"/>
  <c r="P27" i="1"/>
  <c r="Y27" i="1" s="1"/>
  <c r="P26" i="1"/>
  <c r="P25" i="1"/>
  <c r="Y25" i="1" s="1"/>
  <c r="P24" i="1"/>
  <c r="Y24" i="1" s="1"/>
  <c r="P23" i="1"/>
  <c r="Y23" i="1" s="1"/>
  <c r="P22" i="1"/>
  <c r="P21" i="1"/>
  <c r="Y21" i="1" s="1"/>
  <c r="P20" i="1"/>
  <c r="Y20" i="1" s="1"/>
  <c r="P19" i="1"/>
  <c r="Y19" i="1" s="1"/>
  <c r="P18" i="1"/>
  <c r="P17" i="1"/>
  <c r="Y17" i="1" s="1"/>
  <c r="P16" i="1"/>
  <c r="V16" i="1" s="1"/>
  <c r="P15" i="1"/>
  <c r="Y15" i="1" s="1"/>
  <c r="P14" i="1"/>
  <c r="P13" i="1"/>
  <c r="Y13" i="1" s="1"/>
  <c r="P12" i="1"/>
  <c r="Y12" i="1" s="1"/>
  <c r="P11" i="1"/>
  <c r="Y11" i="1" s="1"/>
  <c r="P10" i="1"/>
  <c r="Y10" i="1" s="1"/>
  <c r="P9" i="1"/>
  <c r="Y9" i="1" s="1"/>
  <c r="P8" i="1"/>
  <c r="Y8" i="1" s="1"/>
  <c r="P7" i="1"/>
  <c r="Y7" i="1" s="1"/>
  <c r="P6" i="1"/>
  <c r="V6" i="1" s="1"/>
  <c r="P5" i="1"/>
  <c r="Y5" i="1" s="1"/>
  <c r="P4" i="1"/>
  <c r="Y4" i="1" s="1"/>
  <c r="R42" i="1"/>
  <c r="Z42" i="1" s="1"/>
  <c r="R43" i="1"/>
  <c r="Z43" i="1" s="1"/>
  <c r="R44" i="1"/>
  <c r="Z44" i="1" s="1"/>
  <c r="R45" i="1"/>
  <c r="R46" i="1"/>
  <c r="Z46" i="1" s="1"/>
  <c r="R47" i="1"/>
  <c r="Z47" i="1" s="1"/>
  <c r="R48" i="1"/>
  <c r="Z48" i="1" s="1"/>
  <c r="R49" i="1"/>
  <c r="R50" i="1"/>
  <c r="Z50" i="1" s="1"/>
  <c r="R51" i="1"/>
  <c r="Z51" i="1" s="1"/>
  <c r="R52" i="1"/>
  <c r="Z52" i="1" s="1"/>
  <c r="R53" i="1"/>
  <c r="R54" i="1"/>
  <c r="Z54" i="1" s="1"/>
  <c r="R55" i="1"/>
  <c r="Z55" i="1" s="1"/>
  <c r="R56" i="1"/>
  <c r="Z56" i="1" s="1"/>
  <c r="R57" i="1"/>
  <c r="R58" i="1"/>
  <c r="Z58" i="1" s="1"/>
  <c r="R59" i="1"/>
  <c r="Z59" i="1" s="1"/>
  <c r="R60" i="1"/>
  <c r="Z60" i="1" s="1"/>
  <c r="R61" i="1"/>
  <c r="R62" i="1"/>
  <c r="Z62" i="1" s="1"/>
  <c r="R63" i="1"/>
  <c r="Z63" i="1" s="1"/>
  <c r="R64" i="1"/>
  <c r="Z64" i="1" s="1"/>
  <c r="R65" i="1"/>
  <c r="R66" i="1"/>
  <c r="Z66" i="1" s="1"/>
  <c r="R67" i="1"/>
  <c r="Z67" i="1" s="1"/>
  <c r="R68" i="1"/>
  <c r="Z68" i="1" s="1"/>
  <c r="R69" i="1"/>
  <c r="R70" i="1"/>
  <c r="Z70" i="1" s="1"/>
  <c r="R71" i="1"/>
  <c r="Z71" i="1" s="1"/>
  <c r="R72" i="1"/>
  <c r="Z72" i="1" s="1"/>
  <c r="R73" i="1"/>
  <c r="R74" i="1"/>
  <c r="Z74" i="1" s="1"/>
  <c r="R75" i="1"/>
  <c r="Z75" i="1" s="1"/>
  <c r="R76" i="1"/>
  <c r="Z76" i="1" s="1"/>
  <c r="R77" i="1"/>
  <c r="R78" i="1"/>
  <c r="Z78" i="1" s="1"/>
  <c r="R79" i="1"/>
  <c r="Z79" i="1" s="1"/>
  <c r="R80" i="1"/>
  <c r="Z80" i="1" s="1"/>
  <c r="R81" i="1"/>
  <c r="R82" i="1"/>
  <c r="Z82" i="1" s="1"/>
  <c r="R83" i="1"/>
  <c r="Z83" i="1" s="1"/>
  <c r="R84" i="1"/>
  <c r="Z84" i="1" s="1"/>
  <c r="R85" i="1"/>
  <c r="R86" i="1"/>
  <c r="Z86" i="1" s="1"/>
  <c r="R87" i="1"/>
  <c r="Z87" i="1" s="1"/>
  <c r="R88" i="1"/>
  <c r="Z88" i="1" s="1"/>
  <c r="R89" i="1"/>
  <c r="R90" i="1"/>
  <c r="Z90" i="1" s="1"/>
  <c r="R91" i="1"/>
  <c r="Z91" i="1" s="1"/>
  <c r="R92" i="1"/>
  <c r="Z92" i="1" s="1"/>
  <c r="R93" i="1"/>
  <c r="R94" i="1"/>
  <c r="Z94" i="1" s="1"/>
  <c r="R95" i="1"/>
  <c r="Z95" i="1" s="1"/>
  <c r="R96" i="1"/>
  <c r="Z96" i="1" s="1"/>
  <c r="R97" i="1"/>
  <c r="R98" i="1"/>
  <c r="Z98" i="1" s="1"/>
  <c r="R99" i="1"/>
  <c r="Z99" i="1" s="1"/>
  <c r="R100" i="1"/>
  <c r="Z100" i="1" s="1"/>
  <c r="R101" i="1"/>
  <c r="R102" i="1"/>
  <c r="Z102" i="1" s="1"/>
  <c r="R103" i="1"/>
  <c r="Z103" i="1" s="1"/>
  <c r="R104" i="1"/>
  <c r="Z104" i="1" s="1"/>
  <c r="R105" i="1"/>
  <c r="R106" i="1"/>
  <c r="Z106" i="1" s="1"/>
  <c r="R107" i="1"/>
  <c r="Z107" i="1" s="1"/>
  <c r="R108" i="1"/>
  <c r="Z108" i="1" s="1"/>
  <c r="R109" i="1"/>
  <c r="R110" i="1"/>
  <c r="Z110" i="1" s="1"/>
  <c r="R111" i="1"/>
  <c r="Z111" i="1" s="1"/>
  <c r="R112" i="1"/>
  <c r="Z112" i="1" s="1"/>
  <c r="R113" i="1"/>
  <c r="R114" i="1"/>
  <c r="Z114" i="1" s="1"/>
  <c r="R115" i="1"/>
  <c r="Z115" i="1" s="1"/>
  <c r="R116" i="1"/>
  <c r="Z116" i="1" s="1"/>
  <c r="R117" i="1"/>
  <c r="R118" i="1"/>
  <c r="Z118" i="1" s="1"/>
  <c r="R119" i="1"/>
  <c r="Z119" i="1" s="1"/>
  <c r="R120" i="1"/>
  <c r="Z120" i="1" s="1"/>
  <c r="R121" i="1"/>
  <c r="R122" i="1"/>
  <c r="Z122" i="1" s="1"/>
  <c r="R123" i="1"/>
  <c r="Z123" i="1" s="1"/>
  <c r="R124" i="1"/>
  <c r="Z124" i="1" s="1"/>
  <c r="R125" i="1"/>
  <c r="R126" i="1"/>
  <c r="Z126" i="1" s="1"/>
  <c r="R127" i="1"/>
  <c r="Z127" i="1" s="1"/>
  <c r="R128" i="1"/>
  <c r="Z128" i="1" s="1"/>
  <c r="R129" i="1"/>
  <c r="R130" i="1"/>
  <c r="Z130" i="1" s="1"/>
  <c r="R131" i="1"/>
  <c r="Z131" i="1" s="1"/>
  <c r="R132" i="1"/>
  <c r="Z132" i="1" s="1"/>
  <c r="R133" i="1"/>
  <c r="R134" i="1"/>
  <c r="Z134" i="1" s="1"/>
  <c r="R135" i="1"/>
  <c r="Z135" i="1" s="1"/>
  <c r="R136" i="1"/>
  <c r="Z136" i="1" s="1"/>
  <c r="R137" i="1"/>
  <c r="R138" i="1"/>
  <c r="Z138" i="1" s="1"/>
  <c r="R139" i="1"/>
  <c r="Z139" i="1" s="1"/>
  <c r="R140" i="1"/>
  <c r="Z140" i="1" s="1"/>
  <c r="R141" i="1"/>
  <c r="R142" i="1"/>
  <c r="Z142" i="1" s="1"/>
  <c r="R143" i="1"/>
  <c r="Z143" i="1" s="1"/>
  <c r="R144" i="1"/>
  <c r="Z144" i="1" s="1"/>
  <c r="R145" i="1"/>
  <c r="R146" i="1"/>
  <c r="Z146" i="1" s="1"/>
  <c r="R147" i="1"/>
  <c r="Z147" i="1" s="1"/>
  <c r="R148" i="1"/>
  <c r="Z148" i="1" s="1"/>
  <c r="R149" i="1"/>
  <c r="R150" i="1"/>
  <c r="Z150" i="1" s="1"/>
  <c r="R151" i="1"/>
  <c r="Z151" i="1" s="1"/>
  <c r="R152" i="1"/>
  <c r="Z152" i="1" s="1"/>
  <c r="R153" i="1"/>
  <c r="R154" i="1"/>
  <c r="Z154" i="1" s="1"/>
  <c r="R155" i="1"/>
  <c r="R156" i="1"/>
  <c r="Z156" i="1" s="1"/>
  <c r="R157" i="1"/>
  <c r="R158" i="1"/>
  <c r="Z158" i="1" s="1"/>
  <c r="R159" i="1"/>
  <c r="R160" i="1"/>
  <c r="Z160" i="1" s="1"/>
  <c r="R161" i="1"/>
  <c r="R162" i="1"/>
  <c r="Z162" i="1" s="1"/>
  <c r="R163" i="1"/>
  <c r="R164" i="1"/>
  <c r="Z164" i="1" s="1"/>
  <c r="R165" i="1"/>
  <c r="R166" i="1"/>
  <c r="Z166" i="1" s="1"/>
  <c r="R167" i="1"/>
  <c r="R168" i="1"/>
  <c r="Z168" i="1" s="1"/>
  <c r="R169" i="1"/>
  <c r="R170" i="1"/>
  <c r="Z170" i="1" s="1"/>
  <c r="R171" i="1"/>
  <c r="R172" i="1"/>
  <c r="Z172" i="1" s="1"/>
  <c r="R173" i="1"/>
  <c r="R174" i="1"/>
  <c r="Z174" i="1" s="1"/>
  <c r="R175" i="1"/>
  <c r="R176" i="1"/>
  <c r="Z176" i="1" s="1"/>
  <c r="R177" i="1"/>
  <c r="R178" i="1"/>
  <c r="Z178" i="1" s="1"/>
  <c r="R179" i="1"/>
  <c r="R180" i="1"/>
  <c r="Z180" i="1" s="1"/>
  <c r="R181" i="1"/>
  <c r="R182" i="1"/>
  <c r="Z182" i="1" s="1"/>
  <c r="R183" i="1"/>
  <c r="R184" i="1"/>
  <c r="Z184" i="1" s="1"/>
  <c r="R185" i="1"/>
  <c r="R186" i="1"/>
  <c r="Z186" i="1" s="1"/>
  <c r="R187" i="1"/>
  <c r="R188" i="1"/>
  <c r="Z188" i="1" s="1"/>
  <c r="R189" i="1"/>
  <c r="R190" i="1"/>
  <c r="Z190" i="1" s="1"/>
  <c r="R191" i="1"/>
  <c r="R192" i="1"/>
  <c r="Z192" i="1" s="1"/>
  <c r="R193" i="1"/>
  <c r="R194" i="1"/>
  <c r="Z194" i="1" s="1"/>
  <c r="R195" i="1"/>
  <c r="R196" i="1"/>
  <c r="Z196" i="1" s="1"/>
  <c r="R197" i="1"/>
  <c r="R198" i="1"/>
  <c r="Z198" i="1" s="1"/>
  <c r="R199" i="1"/>
  <c r="R200" i="1"/>
  <c r="Z200" i="1" s="1"/>
  <c r="R201" i="1"/>
  <c r="R202" i="1"/>
  <c r="Z202" i="1" s="1"/>
  <c r="R203" i="1"/>
  <c r="R204" i="1"/>
  <c r="Z204" i="1" s="1"/>
  <c r="R205" i="1"/>
  <c r="R206" i="1"/>
  <c r="Z206" i="1" s="1"/>
  <c r="R207" i="1"/>
  <c r="R208" i="1"/>
  <c r="Z208" i="1" s="1"/>
  <c r="R209" i="1"/>
  <c r="R210" i="1"/>
  <c r="Z210" i="1" s="1"/>
  <c r="R211" i="1"/>
  <c r="R212" i="1"/>
  <c r="Z212" i="1" s="1"/>
  <c r="R213" i="1"/>
  <c r="R214" i="1"/>
  <c r="Z214" i="1" s="1"/>
  <c r="R215" i="1"/>
  <c r="R216" i="1"/>
  <c r="Z216" i="1" s="1"/>
  <c r="R217" i="1"/>
  <c r="R218" i="1"/>
  <c r="Z218" i="1" s="1"/>
  <c r="R219" i="1"/>
  <c r="R220" i="1"/>
  <c r="Z220" i="1" s="1"/>
  <c r="R221" i="1"/>
  <c r="R222" i="1"/>
  <c r="Z222" i="1" s="1"/>
  <c r="R223" i="1"/>
  <c r="R224" i="1"/>
  <c r="Z224" i="1" s="1"/>
  <c r="R225" i="1"/>
  <c r="R226" i="1"/>
  <c r="Z226" i="1" s="1"/>
  <c r="R227" i="1"/>
  <c r="R228" i="1"/>
  <c r="Z228" i="1" s="1"/>
  <c r="R229" i="1"/>
  <c r="R230" i="1"/>
  <c r="Z230" i="1" s="1"/>
  <c r="R231" i="1"/>
  <c r="R232" i="1"/>
  <c r="Z232" i="1" s="1"/>
  <c r="R233" i="1"/>
  <c r="R234" i="1"/>
  <c r="Z234" i="1" s="1"/>
  <c r="R235" i="1"/>
  <c r="R236" i="1"/>
  <c r="Z236" i="1" s="1"/>
  <c r="R237" i="1"/>
  <c r="R238" i="1"/>
  <c r="Z238" i="1" s="1"/>
  <c r="R239" i="1"/>
  <c r="R240" i="1"/>
  <c r="Z240" i="1" s="1"/>
  <c r="R241" i="1"/>
  <c r="R242" i="1"/>
  <c r="Z242" i="1" s="1"/>
  <c r="R243" i="1"/>
  <c r="R244" i="1"/>
  <c r="Z244" i="1" s="1"/>
  <c r="R245" i="1"/>
  <c r="R246" i="1"/>
  <c r="Z246" i="1" s="1"/>
  <c r="R247" i="1"/>
  <c r="R248" i="1"/>
  <c r="Z248" i="1" s="1"/>
  <c r="R249" i="1"/>
  <c r="R250" i="1"/>
  <c r="Z250" i="1" s="1"/>
  <c r="R251" i="1"/>
  <c r="R252" i="1"/>
  <c r="Z252" i="1" s="1"/>
  <c r="R253" i="1"/>
  <c r="R254" i="1"/>
  <c r="Z254" i="1" s="1"/>
  <c r="R255" i="1"/>
  <c r="R256" i="1"/>
  <c r="Z256" i="1" s="1"/>
  <c r="R257" i="1"/>
  <c r="R258" i="1"/>
  <c r="Z258" i="1" s="1"/>
  <c r="R259" i="1"/>
  <c r="R260" i="1"/>
  <c r="Z260" i="1" s="1"/>
  <c r="R261" i="1"/>
  <c r="R262" i="1"/>
  <c r="Z262" i="1" s="1"/>
  <c r="R263" i="1"/>
  <c r="R264" i="1"/>
  <c r="Z264" i="1" s="1"/>
  <c r="R265" i="1"/>
  <c r="R266" i="1"/>
  <c r="Z266" i="1" s="1"/>
  <c r="R267" i="1"/>
  <c r="R268" i="1"/>
  <c r="Z268" i="1" s="1"/>
  <c r="R269" i="1"/>
  <c r="R270" i="1"/>
  <c r="Z270" i="1" s="1"/>
  <c r="R271" i="1"/>
  <c r="R272" i="1"/>
  <c r="Z272" i="1" s="1"/>
  <c r="R273" i="1"/>
  <c r="R274" i="1"/>
  <c r="Z274" i="1" s="1"/>
  <c r="R275" i="1"/>
  <c r="R276" i="1"/>
  <c r="Z276" i="1" s="1"/>
  <c r="R277" i="1"/>
  <c r="R278" i="1"/>
  <c r="Z278" i="1" s="1"/>
  <c r="R279" i="1"/>
  <c r="R280" i="1"/>
  <c r="Z280" i="1" s="1"/>
  <c r="R281" i="1"/>
  <c r="R282" i="1"/>
  <c r="Z282" i="1" s="1"/>
  <c r="R283" i="1"/>
  <c r="R284" i="1"/>
  <c r="Z284" i="1" s="1"/>
  <c r="R285" i="1"/>
  <c r="R286" i="1"/>
  <c r="Z286" i="1" s="1"/>
  <c r="R287" i="1"/>
  <c r="R288" i="1"/>
  <c r="Z288" i="1" s="1"/>
  <c r="R289" i="1"/>
  <c r="R290" i="1"/>
  <c r="Z290" i="1" s="1"/>
  <c r="R291" i="1"/>
  <c r="R292" i="1"/>
  <c r="Z292" i="1" s="1"/>
  <c r="R293" i="1"/>
  <c r="R294" i="1"/>
  <c r="Z294" i="1" s="1"/>
  <c r="R295" i="1"/>
  <c r="R296" i="1"/>
  <c r="Z296" i="1" s="1"/>
  <c r="R297" i="1"/>
  <c r="R298" i="1"/>
  <c r="Z298" i="1" s="1"/>
  <c r="R299" i="1"/>
  <c r="R300" i="1"/>
  <c r="Z300" i="1" s="1"/>
  <c r="R301" i="1"/>
  <c r="R302" i="1"/>
  <c r="Z302" i="1" s="1"/>
  <c r="R303" i="1"/>
  <c r="R304" i="1"/>
  <c r="Z304" i="1" s="1"/>
  <c r="R305" i="1"/>
  <c r="R306" i="1"/>
  <c r="Z306" i="1" s="1"/>
  <c r="R307" i="1"/>
  <c r="R308" i="1"/>
  <c r="Z308" i="1" s="1"/>
  <c r="R309" i="1"/>
  <c r="R310" i="1"/>
  <c r="Z310" i="1" s="1"/>
  <c r="R311" i="1"/>
  <c r="R312" i="1"/>
  <c r="Z312" i="1" s="1"/>
  <c r="R313" i="1"/>
  <c r="R314" i="1"/>
  <c r="Z314" i="1" s="1"/>
  <c r="R315" i="1"/>
  <c r="R316" i="1"/>
  <c r="Z316" i="1" s="1"/>
  <c r="R317" i="1"/>
  <c r="R318" i="1"/>
  <c r="Z318" i="1" s="1"/>
  <c r="R319" i="1"/>
  <c r="R320" i="1"/>
  <c r="Z320" i="1" s="1"/>
  <c r="R321" i="1"/>
  <c r="R322" i="1"/>
  <c r="Z322" i="1" s="1"/>
  <c r="R323" i="1"/>
  <c r="R324" i="1"/>
  <c r="Z324" i="1" s="1"/>
  <c r="R325" i="1"/>
  <c r="R326" i="1"/>
  <c r="Z326" i="1" s="1"/>
  <c r="R327" i="1"/>
  <c r="R328" i="1"/>
  <c r="Z328" i="1" s="1"/>
  <c r="R329" i="1"/>
  <c r="R330" i="1"/>
  <c r="Z330" i="1" s="1"/>
  <c r="R331" i="1"/>
  <c r="R332" i="1"/>
  <c r="Z332" i="1" s="1"/>
  <c r="R333" i="1"/>
  <c r="R334" i="1"/>
  <c r="Z334" i="1" s="1"/>
  <c r="R335" i="1"/>
  <c r="R336" i="1"/>
  <c r="Z336" i="1" s="1"/>
  <c r="R337" i="1"/>
  <c r="R338" i="1"/>
  <c r="Z338" i="1" s="1"/>
  <c r="R339" i="1"/>
  <c r="R340" i="1"/>
  <c r="Z340" i="1" s="1"/>
  <c r="R341" i="1"/>
  <c r="R342" i="1"/>
  <c r="Z342" i="1" s="1"/>
  <c r="R343" i="1"/>
  <c r="R344" i="1"/>
  <c r="Z344" i="1" s="1"/>
  <c r="R345" i="1"/>
  <c r="R346" i="1"/>
  <c r="Z346" i="1" s="1"/>
  <c r="R347" i="1"/>
  <c r="R348" i="1"/>
  <c r="Z348" i="1" s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39" i="1"/>
  <c r="Z39" i="1" s="1"/>
  <c r="R40" i="1"/>
  <c r="R41" i="1"/>
  <c r="Z41" i="1" s="1"/>
  <c r="R36" i="1"/>
  <c r="R37" i="1"/>
  <c r="Z37" i="1" s="1"/>
  <c r="R38" i="1"/>
  <c r="Z38" i="1" s="1"/>
  <c r="R35" i="1"/>
  <c r="Z35" i="1" s="1"/>
  <c r="R26" i="1"/>
  <c r="Z26" i="1" s="1"/>
  <c r="R27" i="1"/>
  <c r="Z27" i="1" s="1"/>
  <c r="R28" i="1"/>
  <c r="R29" i="1"/>
  <c r="Z29" i="1" s="1"/>
  <c r="R30" i="1"/>
  <c r="Z30" i="1" s="1"/>
  <c r="R31" i="1"/>
  <c r="Z31" i="1" s="1"/>
  <c r="R32" i="1"/>
  <c r="R33" i="1"/>
  <c r="Z33" i="1" s="1"/>
  <c r="R34" i="1"/>
  <c r="Z34" i="1" s="1"/>
  <c r="R25" i="1"/>
  <c r="Z25" i="1" s="1"/>
  <c r="AA5" i="1"/>
  <c r="AA6" i="1"/>
  <c r="AA8" i="1"/>
  <c r="AA10" i="1"/>
  <c r="AA12" i="1"/>
  <c r="AA14" i="1"/>
  <c r="AA16" i="1"/>
  <c r="AA20" i="1"/>
  <c r="AA24" i="1"/>
  <c r="AA28" i="1"/>
  <c r="AA32" i="1"/>
  <c r="AA35" i="1"/>
  <c r="AA38" i="1"/>
  <c r="AA42" i="1"/>
  <c r="AA46" i="1"/>
  <c r="AA50" i="1"/>
  <c r="AA54" i="1"/>
  <c r="AA58" i="1"/>
  <c r="AA62" i="1"/>
  <c r="AA66" i="1"/>
  <c r="AA70" i="1"/>
  <c r="AA74" i="1"/>
  <c r="AA78" i="1"/>
  <c r="AA82" i="1"/>
  <c r="AA86" i="1"/>
  <c r="AA90" i="1"/>
  <c r="AA94" i="1"/>
  <c r="AA98" i="1"/>
  <c r="AA102" i="1"/>
  <c r="AA106" i="1"/>
  <c r="AA110" i="1"/>
  <c r="AA114" i="1"/>
  <c r="AA118" i="1"/>
  <c r="AA122" i="1"/>
  <c r="AA126" i="1"/>
  <c r="AA130" i="1"/>
  <c r="AA134" i="1"/>
  <c r="AA138" i="1"/>
  <c r="AA142" i="1"/>
  <c r="AA146" i="1"/>
  <c r="AA150" i="1"/>
  <c r="AA154" i="1"/>
  <c r="AA156" i="1"/>
  <c r="AA158" i="1"/>
  <c r="AA160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A296" i="1"/>
  <c r="AA298" i="1"/>
  <c r="AA300" i="1"/>
  <c r="AA302" i="1"/>
  <c r="AA304" i="1"/>
  <c r="AA306" i="1"/>
  <c r="AA308" i="1"/>
  <c r="AA310" i="1"/>
  <c r="AA312" i="1"/>
  <c r="AA314" i="1"/>
  <c r="AA316" i="1"/>
  <c r="AA318" i="1"/>
  <c r="AA320" i="1"/>
  <c r="AA322" i="1"/>
  <c r="AA324" i="1"/>
  <c r="AA326" i="1"/>
  <c r="AA328" i="1"/>
  <c r="AA330" i="1"/>
  <c r="AA332" i="1"/>
  <c r="AA334" i="1"/>
  <c r="AA336" i="1"/>
  <c r="AA338" i="1"/>
  <c r="AA340" i="1"/>
  <c r="AA342" i="1"/>
  <c r="AA344" i="1"/>
  <c r="AA346" i="1"/>
  <c r="AA348" i="1"/>
  <c r="AA350" i="1"/>
  <c r="AA352" i="1"/>
  <c r="AA354" i="1"/>
  <c r="AA356" i="1"/>
  <c r="AA358" i="1"/>
  <c r="AA360" i="1"/>
  <c r="AA362" i="1"/>
  <c r="AA364" i="1"/>
  <c r="AA366" i="1"/>
  <c r="AA368" i="1"/>
  <c r="AA370" i="1"/>
  <c r="AA372" i="1"/>
  <c r="AA374" i="1"/>
  <c r="AA376" i="1"/>
  <c r="AA378" i="1"/>
  <c r="AA380" i="1"/>
  <c r="AA382" i="1"/>
  <c r="AA384" i="1"/>
  <c r="AA386" i="1"/>
  <c r="AA388" i="1"/>
  <c r="AA390" i="1"/>
  <c r="AA392" i="1"/>
  <c r="AA394" i="1"/>
  <c r="AA396" i="1"/>
  <c r="AA398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426" i="1"/>
  <c r="AA428" i="1"/>
  <c r="AA430" i="1"/>
  <c r="AA432" i="1"/>
  <c r="AA434" i="1"/>
  <c r="AA436" i="1"/>
  <c r="AA438" i="1"/>
  <c r="AA440" i="1"/>
  <c r="AA442" i="1"/>
  <c r="AA444" i="1"/>
  <c r="AA446" i="1"/>
  <c r="AA448" i="1"/>
  <c r="AA450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A478" i="1"/>
  <c r="AA480" i="1"/>
  <c r="AA482" i="1"/>
  <c r="AA484" i="1"/>
  <c r="AA486" i="1"/>
  <c r="AA488" i="1"/>
  <c r="AA490" i="1"/>
  <c r="AA492" i="1"/>
  <c r="AA494" i="1"/>
  <c r="AA496" i="1"/>
  <c r="AA498" i="1"/>
  <c r="AA500" i="1"/>
  <c r="AA502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A530" i="1"/>
  <c r="AA532" i="1"/>
  <c r="AA534" i="1"/>
  <c r="AA536" i="1"/>
  <c r="AA538" i="1"/>
  <c r="AA540" i="1"/>
  <c r="AA542" i="1"/>
  <c r="AA544" i="1"/>
  <c r="AA546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Z12" i="1"/>
  <c r="Z15" i="1"/>
  <c r="Z19" i="1"/>
  <c r="Z23" i="1"/>
  <c r="Z28" i="1"/>
  <c r="Z32" i="1"/>
  <c r="Z36" i="1"/>
  <c r="Z40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5" i="1"/>
  <c r="Z157" i="1"/>
  <c r="Z159" i="1"/>
  <c r="Z161" i="1"/>
  <c r="Z163" i="1"/>
  <c r="Z165" i="1"/>
  <c r="Z167" i="1"/>
  <c r="Z169" i="1"/>
  <c r="Z171" i="1"/>
  <c r="Z173" i="1"/>
  <c r="Z175" i="1"/>
  <c r="Z177" i="1"/>
  <c r="Z179" i="1"/>
  <c r="Z181" i="1"/>
  <c r="Z183" i="1"/>
  <c r="Z185" i="1"/>
  <c r="Z187" i="1"/>
  <c r="Z189" i="1"/>
  <c r="Z191" i="1"/>
  <c r="Z193" i="1"/>
  <c r="Z195" i="1"/>
  <c r="Z197" i="1"/>
  <c r="Z199" i="1"/>
  <c r="Z201" i="1"/>
  <c r="Z203" i="1"/>
  <c r="Z205" i="1"/>
  <c r="Z207" i="1"/>
  <c r="Z209" i="1"/>
  <c r="Z211" i="1"/>
  <c r="Z213" i="1"/>
  <c r="Z215" i="1"/>
  <c r="Z217" i="1"/>
  <c r="Z219" i="1"/>
  <c r="Z221" i="1"/>
  <c r="Z223" i="1"/>
  <c r="Z225" i="1"/>
  <c r="Z227" i="1"/>
  <c r="Z229" i="1"/>
  <c r="Z231" i="1"/>
  <c r="Z233" i="1"/>
  <c r="Z235" i="1"/>
  <c r="Z237" i="1"/>
  <c r="Z239" i="1"/>
  <c r="Z241" i="1"/>
  <c r="Z243" i="1"/>
  <c r="Z245" i="1"/>
  <c r="Z247" i="1"/>
  <c r="Z249" i="1"/>
  <c r="Z251" i="1"/>
  <c r="Z253" i="1"/>
  <c r="Z255" i="1"/>
  <c r="Z257" i="1"/>
  <c r="Z259" i="1"/>
  <c r="Z261" i="1"/>
  <c r="Z263" i="1"/>
  <c r="Z265" i="1"/>
  <c r="Z267" i="1"/>
  <c r="Z269" i="1"/>
  <c r="Z271" i="1"/>
  <c r="Z273" i="1"/>
  <c r="Z275" i="1"/>
  <c r="Z277" i="1"/>
  <c r="Z279" i="1"/>
  <c r="Z281" i="1"/>
  <c r="Z283" i="1"/>
  <c r="Z285" i="1"/>
  <c r="Z287" i="1"/>
  <c r="Z289" i="1"/>
  <c r="Z291" i="1"/>
  <c r="Z293" i="1"/>
  <c r="Z295" i="1"/>
  <c r="Z297" i="1"/>
  <c r="Z299" i="1"/>
  <c r="Z301" i="1"/>
  <c r="Z303" i="1"/>
  <c r="Z305" i="1"/>
  <c r="Z307" i="1"/>
  <c r="Z309" i="1"/>
  <c r="Z311" i="1"/>
  <c r="Z313" i="1"/>
  <c r="Z315" i="1"/>
  <c r="Z317" i="1"/>
  <c r="Z319" i="1"/>
  <c r="Z321" i="1"/>
  <c r="Z323" i="1"/>
  <c r="Z325" i="1"/>
  <c r="Z327" i="1"/>
  <c r="Z329" i="1"/>
  <c r="Z331" i="1"/>
  <c r="Z333" i="1"/>
  <c r="Z335" i="1"/>
  <c r="Z337" i="1"/>
  <c r="Z339" i="1"/>
  <c r="Z341" i="1"/>
  <c r="Z343" i="1"/>
  <c r="Z345" i="1"/>
  <c r="Z347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Y6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4" i="1"/>
  <c r="W6" i="1"/>
  <c r="BM6" i="1" l="1"/>
  <c r="AV16" i="1"/>
  <c r="AF16" i="1"/>
  <c r="BM16" i="1"/>
  <c r="BN16" i="1" s="1"/>
  <c r="Y16" i="1"/>
  <c r="AW6" i="1"/>
  <c r="AO6" i="1"/>
  <c r="BF16" i="1"/>
  <c r="BG16" i="1" s="1"/>
  <c r="BH16" i="1" s="1"/>
  <c r="BJ16" i="1"/>
  <c r="AX16" i="1"/>
  <c r="BB16" i="1"/>
  <c r="AS16" i="1"/>
  <c r="AO16" i="1"/>
  <c r="BI16" i="1"/>
  <c r="BE16" i="1"/>
  <c r="AW16" i="1"/>
  <c r="BA16" i="1"/>
  <c r="AP16" i="1"/>
  <c r="AQ16" i="1" s="1"/>
  <c r="AR16" i="1" s="1"/>
  <c r="AT16" i="1"/>
  <c r="AH16" i="1"/>
  <c r="AG16" i="1"/>
  <c r="AG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V739" i="1"/>
  <c r="W739" i="1"/>
  <c r="V740" i="1"/>
  <c r="W740" i="1"/>
  <c r="V741" i="1"/>
  <c r="W741" i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V757" i="1"/>
  <c r="W757" i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V819" i="1"/>
  <c r="W819" i="1"/>
  <c r="V820" i="1"/>
  <c r="W820" i="1"/>
  <c r="V821" i="1"/>
  <c r="W821" i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V835" i="1"/>
  <c r="W835" i="1"/>
  <c r="V836" i="1"/>
  <c r="W836" i="1"/>
  <c r="V837" i="1"/>
  <c r="W837" i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V863" i="1"/>
  <c r="W863" i="1"/>
  <c r="V864" i="1"/>
  <c r="W864" i="1"/>
  <c r="V865" i="1"/>
  <c r="W865" i="1"/>
  <c r="V866" i="1"/>
  <c r="W866" i="1"/>
  <c r="V867" i="1"/>
  <c r="W867" i="1"/>
  <c r="V868" i="1"/>
  <c r="W868" i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V876" i="1"/>
  <c r="W876" i="1"/>
  <c r="V877" i="1"/>
  <c r="W877" i="1"/>
  <c r="V878" i="1"/>
  <c r="W878" i="1"/>
  <c r="V879" i="1"/>
  <c r="W879" i="1"/>
  <c r="V880" i="1"/>
  <c r="W880" i="1"/>
  <c r="V881" i="1"/>
  <c r="W881" i="1"/>
  <c r="V882" i="1"/>
  <c r="W882" i="1"/>
  <c r="V883" i="1"/>
  <c r="W883" i="1"/>
  <c r="V884" i="1"/>
  <c r="W884" i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V965" i="1"/>
  <c r="W965" i="1"/>
  <c r="V966" i="1"/>
  <c r="W966" i="1"/>
  <c r="V967" i="1"/>
  <c r="W967" i="1"/>
  <c r="V968" i="1"/>
  <c r="W968" i="1"/>
  <c r="V969" i="1"/>
  <c r="W969" i="1"/>
  <c r="V970" i="1"/>
  <c r="W970" i="1"/>
  <c r="V971" i="1"/>
  <c r="W971" i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BL62" i="1" s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E603" i="1" s="1"/>
  <c r="G604" i="1"/>
  <c r="E604" i="1" s="1"/>
  <c r="G605" i="1"/>
  <c r="E605" i="1" s="1"/>
  <c r="G606" i="1"/>
  <c r="E606" i="1" s="1"/>
  <c r="G607" i="1"/>
  <c r="E607" i="1" s="1"/>
  <c r="G608" i="1"/>
  <c r="E608" i="1" s="1"/>
  <c r="G609" i="1"/>
  <c r="E609" i="1" s="1"/>
  <c r="G610" i="1"/>
  <c r="E610" i="1" s="1"/>
  <c r="G611" i="1"/>
  <c r="E611" i="1" s="1"/>
  <c r="G612" i="1"/>
  <c r="E612" i="1" s="1"/>
  <c r="G613" i="1"/>
  <c r="E613" i="1" s="1"/>
  <c r="G614" i="1"/>
  <c r="E614" i="1" s="1"/>
  <c r="G615" i="1"/>
  <c r="E615" i="1" s="1"/>
  <c r="G616" i="1"/>
  <c r="E616" i="1" s="1"/>
  <c r="G617" i="1"/>
  <c r="E617" i="1" s="1"/>
  <c r="G618" i="1"/>
  <c r="E618" i="1" s="1"/>
  <c r="G619" i="1"/>
  <c r="E619" i="1" s="1"/>
  <c r="G620" i="1"/>
  <c r="E620" i="1" s="1"/>
  <c r="G621" i="1"/>
  <c r="E621" i="1" s="1"/>
  <c r="G622" i="1"/>
  <c r="E622" i="1" s="1"/>
  <c r="G623" i="1"/>
  <c r="E623" i="1" s="1"/>
  <c r="G624" i="1"/>
  <c r="E624" i="1" s="1"/>
  <c r="G625" i="1"/>
  <c r="E625" i="1" s="1"/>
  <c r="G626" i="1"/>
  <c r="E626" i="1" s="1"/>
  <c r="G627" i="1"/>
  <c r="E627" i="1" s="1"/>
  <c r="G628" i="1"/>
  <c r="E628" i="1" s="1"/>
  <c r="G629" i="1"/>
  <c r="E629" i="1" s="1"/>
  <c r="G630" i="1"/>
  <c r="E630" i="1" s="1"/>
  <c r="G631" i="1"/>
  <c r="E631" i="1" s="1"/>
  <c r="G632" i="1"/>
  <c r="E632" i="1" s="1"/>
  <c r="G633" i="1"/>
  <c r="E633" i="1" s="1"/>
  <c r="G634" i="1"/>
  <c r="E634" i="1" s="1"/>
  <c r="G635" i="1"/>
  <c r="E635" i="1" s="1"/>
  <c r="G636" i="1"/>
  <c r="E636" i="1" s="1"/>
  <c r="G637" i="1"/>
  <c r="E637" i="1" s="1"/>
  <c r="G638" i="1"/>
  <c r="E638" i="1" s="1"/>
  <c r="G639" i="1"/>
  <c r="E639" i="1" s="1"/>
  <c r="G640" i="1"/>
  <c r="E640" i="1" s="1"/>
  <c r="G641" i="1"/>
  <c r="E641" i="1" s="1"/>
  <c r="G642" i="1"/>
  <c r="E642" i="1" s="1"/>
  <c r="G643" i="1"/>
  <c r="E643" i="1" s="1"/>
  <c r="G644" i="1"/>
  <c r="E644" i="1" s="1"/>
  <c r="G645" i="1"/>
  <c r="E645" i="1" s="1"/>
  <c r="G646" i="1"/>
  <c r="E646" i="1" s="1"/>
  <c r="G647" i="1"/>
  <c r="E647" i="1" s="1"/>
  <c r="G648" i="1"/>
  <c r="E648" i="1" s="1"/>
  <c r="G649" i="1"/>
  <c r="E649" i="1" s="1"/>
  <c r="G650" i="1"/>
  <c r="E650" i="1" s="1"/>
  <c r="G651" i="1"/>
  <c r="E651" i="1" s="1"/>
  <c r="G652" i="1"/>
  <c r="E652" i="1" s="1"/>
  <c r="G653" i="1"/>
  <c r="E653" i="1" s="1"/>
  <c r="G654" i="1"/>
  <c r="E654" i="1" s="1"/>
  <c r="G655" i="1"/>
  <c r="E655" i="1" s="1"/>
  <c r="G656" i="1"/>
  <c r="E656" i="1" s="1"/>
  <c r="G657" i="1"/>
  <c r="E657" i="1" s="1"/>
  <c r="G658" i="1"/>
  <c r="E658" i="1" s="1"/>
  <c r="G659" i="1"/>
  <c r="E659" i="1" s="1"/>
  <c r="G660" i="1"/>
  <c r="E660" i="1" s="1"/>
  <c r="G661" i="1"/>
  <c r="E661" i="1" s="1"/>
  <c r="G662" i="1"/>
  <c r="E662" i="1" s="1"/>
  <c r="G663" i="1"/>
  <c r="E663" i="1" s="1"/>
  <c r="G664" i="1"/>
  <c r="E664" i="1" s="1"/>
  <c r="G665" i="1"/>
  <c r="E665" i="1" s="1"/>
  <c r="G666" i="1"/>
  <c r="E666" i="1" s="1"/>
  <c r="G667" i="1"/>
  <c r="E667" i="1" s="1"/>
  <c r="G668" i="1"/>
  <c r="E668" i="1" s="1"/>
  <c r="G669" i="1"/>
  <c r="E669" i="1" s="1"/>
  <c r="G670" i="1"/>
  <c r="E670" i="1" s="1"/>
  <c r="G671" i="1"/>
  <c r="E671" i="1" s="1"/>
  <c r="G672" i="1"/>
  <c r="E672" i="1" s="1"/>
  <c r="G673" i="1"/>
  <c r="E673" i="1" s="1"/>
  <c r="G674" i="1"/>
  <c r="E674" i="1" s="1"/>
  <c r="G675" i="1"/>
  <c r="E675" i="1" s="1"/>
  <c r="G676" i="1"/>
  <c r="E676" i="1" s="1"/>
  <c r="G677" i="1"/>
  <c r="E677" i="1" s="1"/>
  <c r="G678" i="1"/>
  <c r="E678" i="1" s="1"/>
  <c r="G679" i="1"/>
  <c r="E679" i="1" s="1"/>
  <c r="G680" i="1"/>
  <c r="E680" i="1" s="1"/>
  <c r="G681" i="1"/>
  <c r="E681" i="1" s="1"/>
  <c r="G682" i="1"/>
  <c r="E682" i="1" s="1"/>
  <c r="G683" i="1"/>
  <c r="E683" i="1" s="1"/>
  <c r="G684" i="1"/>
  <c r="E684" i="1" s="1"/>
  <c r="G685" i="1"/>
  <c r="E685" i="1" s="1"/>
  <c r="G686" i="1"/>
  <c r="E686" i="1" s="1"/>
  <c r="G687" i="1"/>
  <c r="E687" i="1" s="1"/>
  <c r="G688" i="1"/>
  <c r="E688" i="1" s="1"/>
  <c r="G689" i="1"/>
  <c r="E689" i="1" s="1"/>
  <c r="G690" i="1"/>
  <c r="E690" i="1" s="1"/>
  <c r="G691" i="1"/>
  <c r="E691" i="1" s="1"/>
  <c r="G692" i="1"/>
  <c r="E692" i="1" s="1"/>
  <c r="G693" i="1"/>
  <c r="E693" i="1" s="1"/>
  <c r="G694" i="1"/>
  <c r="E694" i="1" s="1"/>
  <c r="G695" i="1"/>
  <c r="E695" i="1" s="1"/>
  <c r="G696" i="1"/>
  <c r="E696" i="1" s="1"/>
  <c r="G697" i="1"/>
  <c r="E697" i="1" s="1"/>
  <c r="G698" i="1"/>
  <c r="E698" i="1" s="1"/>
  <c r="G699" i="1"/>
  <c r="E699" i="1" s="1"/>
  <c r="G700" i="1"/>
  <c r="E700" i="1" s="1"/>
  <c r="G701" i="1"/>
  <c r="E701" i="1" s="1"/>
  <c r="G702" i="1"/>
  <c r="E702" i="1" s="1"/>
  <c r="G703" i="1"/>
  <c r="E703" i="1" s="1"/>
  <c r="G704" i="1"/>
  <c r="E704" i="1" s="1"/>
  <c r="G705" i="1"/>
  <c r="E705" i="1" s="1"/>
  <c r="G706" i="1"/>
  <c r="E706" i="1" s="1"/>
  <c r="G707" i="1"/>
  <c r="E707" i="1" s="1"/>
  <c r="G708" i="1"/>
  <c r="E708" i="1" s="1"/>
  <c r="G709" i="1"/>
  <c r="E709" i="1" s="1"/>
  <c r="G710" i="1"/>
  <c r="E710" i="1" s="1"/>
  <c r="G711" i="1"/>
  <c r="E711" i="1" s="1"/>
  <c r="G712" i="1"/>
  <c r="E712" i="1" s="1"/>
  <c r="G713" i="1"/>
  <c r="E713" i="1" s="1"/>
  <c r="G714" i="1"/>
  <c r="E714" i="1" s="1"/>
  <c r="G715" i="1"/>
  <c r="E715" i="1" s="1"/>
  <c r="G716" i="1"/>
  <c r="E716" i="1" s="1"/>
  <c r="G717" i="1"/>
  <c r="E717" i="1" s="1"/>
  <c r="G718" i="1"/>
  <c r="E718" i="1" s="1"/>
  <c r="G719" i="1"/>
  <c r="E719" i="1" s="1"/>
  <c r="G720" i="1"/>
  <c r="E720" i="1" s="1"/>
  <c r="G721" i="1"/>
  <c r="E721" i="1" s="1"/>
  <c r="G722" i="1"/>
  <c r="E722" i="1" s="1"/>
  <c r="G723" i="1"/>
  <c r="E723" i="1" s="1"/>
  <c r="G724" i="1"/>
  <c r="E724" i="1" s="1"/>
  <c r="G725" i="1"/>
  <c r="E725" i="1" s="1"/>
  <c r="G726" i="1"/>
  <c r="E726" i="1" s="1"/>
  <c r="G727" i="1"/>
  <c r="E727" i="1" s="1"/>
  <c r="G728" i="1"/>
  <c r="E728" i="1" s="1"/>
  <c r="G729" i="1"/>
  <c r="E729" i="1" s="1"/>
  <c r="G730" i="1"/>
  <c r="E730" i="1" s="1"/>
  <c r="G731" i="1"/>
  <c r="E731" i="1" s="1"/>
  <c r="G732" i="1"/>
  <c r="E732" i="1" s="1"/>
  <c r="G733" i="1"/>
  <c r="E733" i="1" s="1"/>
  <c r="G734" i="1"/>
  <c r="E734" i="1" s="1"/>
  <c r="G735" i="1"/>
  <c r="E735" i="1" s="1"/>
  <c r="G736" i="1"/>
  <c r="E736" i="1" s="1"/>
  <c r="G737" i="1"/>
  <c r="E737" i="1" s="1"/>
  <c r="G738" i="1"/>
  <c r="E738" i="1" s="1"/>
  <c r="G739" i="1"/>
  <c r="E739" i="1" s="1"/>
  <c r="G740" i="1"/>
  <c r="E740" i="1" s="1"/>
  <c r="G741" i="1"/>
  <c r="E741" i="1" s="1"/>
  <c r="G742" i="1"/>
  <c r="E742" i="1" s="1"/>
  <c r="G743" i="1"/>
  <c r="E743" i="1" s="1"/>
  <c r="G744" i="1"/>
  <c r="E744" i="1" s="1"/>
  <c r="G745" i="1"/>
  <c r="E745" i="1" s="1"/>
  <c r="G746" i="1"/>
  <c r="E746" i="1" s="1"/>
  <c r="G747" i="1"/>
  <c r="E747" i="1" s="1"/>
  <c r="G748" i="1"/>
  <c r="E748" i="1" s="1"/>
  <c r="G749" i="1"/>
  <c r="E749" i="1" s="1"/>
  <c r="G750" i="1"/>
  <c r="E750" i="1" s="1"/>
  <c r="G751" i="1"/>
  <c r="E751" i="1" s="1"/>
  <c r="G752" i="1"/>
  <c r="E752" i="1" s="1"/>
  <c r="G753" i="1"/>
  <c r="E753" i="1" s="1"/>
  <c r="G754" i="1"/>
  <c r="E754" i="1" s="1"/>
  <c r="G755" i="1"/>
  <c r="E755" i="1" s="1"/>
  <c r="G756" i="1"/>
  <c r="E756" i="1" s="1"/>
  <c r="G757" i="1"/>
  <c r="E757" i="1" s="1"/>
  <c r="G758" i="1"/>
  <c r="E758" i="1" s="1"/>
  <c r="G759" i="1"/>
  <c r="E759" i="1" s="1"/>
  <c r="G760" i="1"/>
  <c r="E760" i="1" s="1"/>
  <c r="G761" i="1"/>
  <c r="E761" i="1" s="1"/>
  <c r="G762" i="1"/>
  <c r="E762" i="1" s="1"/>
  <c r="G763" i="1"/>
  <c r="E763" i="1" s="1"/>
  <c r="G764" i="1"/>
  <c r="E764" i="1" s="1"/>
  <c r="G765" i="1"/>
  <c r="E765" i="1" s="1"/>
  <c r="G766" i="1"/>
  <c r="E766" i="1" s="1"/>
  <c r="G767" i="1"/>
  <c r="E767" i="1" s="1"/>
  <c r="G768" i="1"/>
  <c r="E768" i="1" s="1"/>
  <c r="G769" i="1"/>
  <c r="E769" i="1" s="1"/>
  <c r="G770" i="1"/>
  <c r="E770" i="1" s="1"/>
  <c r="G771" i="1"/>
  <c r="E771" i="1" s="1"/>
  <c r="G772" i="1"/>
  <c r="E772" i="1" s="1"/>
  <c r="G773" i="1"/>
  <c r="E773" i="1" s="1"/>
  <c r="G774" i="1"/>
  <c r="E774" i="1" s="1"/>
  <c r="G775" i="1"/>
  <c r="E775" i="1" s="1"/>
  <c r="G776" i="1"/>
  <c r="E776" i="1" s="1"/>
  <c r="G777" i="1"/>
  <c r="E777" i="1" s="1"/>
  <c r="G778" i="1"/>
  <c r="E778" i="1" s="1"/>
  <c r="G779" i="1"/>
  <c r="E779" i="1" s="1"/>
  <c r="G780" i="1"/>
  <c r="E780" i="1" s="1"/>
  <c r="G781" i="1"/>
  <c r="E781" i="1" s="1"/>
  <c r="G782" i="1"/>
  <c r="E782" i="1" s="1"/>
  <c r="G783" i="1"/>
  <c r="E783" i="1" s="1"/>
  <c r="G784" i="1"/>
  <c r="E784" i="1" s="1"/>
  <c r="G785" i="1"/>
  <c r="E785" i="1" s="1"/>
  <c r="G786" i="1"/>
  <c r="E786" i="1" s="1"/>
  <c r="G787" i="1"/>
  <c r="E787" i="1" s="1"/>
  <c r="G788" i="1"/>
  <c r="E788" i="1" s="1"/>
  <c r="G789" i="1"/>
  <c r="E789" i="1" s="1"/>
  <c r="G790" i="1"/>
  <c r="E790" i="1" s="1"/>
  <c r="G791" i="1"/>
  <c r="E791" i="1" s="1"/>
  <c r="G792" i="1"/>
  <c r="E792" i="1" s="1"/>
  <c r="G793" i="1"/>
  <c r="E793" i="1" s="1"/>
  <c r="G794" i="1"/>
  <c r="E794" i="1" s="1"/>
  <c r="G795" i="1"/>
  <c r="E795" i="1" s="1"/>
  <c r="G796" i="1"/>
  <c r="E796" i="1" s="1"/>
  <c r="G797" i="1"/>
  <c r="E797" i="1" s="1"/>
  <c r="G798" i="1"/>
  <c r="E798" i="1" s="1"/>
  <c r="G799" i="1"/>
  <c r="E799" i="1" s="1"/>
  <c r="G800" i="1"/>
  <c r="E800" i="1" s="1"/>
  <c r="G801" i="1"/>
  <c r="E801" i="1" s="1"/>
  <c r="G802" i="1"/>
  <c r="E802" i="1" s="1"/>
  <c r="G803" i="1"/>
  <c r="E803" i="1" s="1"/>
  <c r="G804" i="1"/>
  <c r="E804" i="1" s="1"/>
  <c r="G805" i="1"/>
  <c r="E805" i="1" s="1"/>
  <c r="G806" i="1"/>
  <c r="E806" i="1" s="1"/>
  <c r="G807" i="1"/>
  <c r="E807" i="1" s="1"/>
  <c r="G808" i="1"/>
  <c r="E808" i="1" s="1"/>
  <c r="G809" i="1"/>
  <c r="E809" i="1" s="1"/>
  <c r="G810" i="1"/>
  <c r="E810" i="1" s="1"/>
  <c r="G811" i="1"/>
  <c r="E811" i="1" s="1"/>
  <c r="G812" i="1"/>
  <c r="E812" i="1" s="1"/>
  <c r="G813" i="1"/>
  <c r="E813" i="1" s="1"/>
  <c r="G814" i="1"/>
  <c r="E814" i="1" s="1"/>
  <c r="G815" i="1"/>
  <c r="E815" i="1" s="1"/>
  <c r="G816" i="1"/>
  <c r="E816" i="1" s="1"/>
  <c r="G817" i="1"/>
  <c r="E817" i="1" s="1"/>
  <c r="G818" i="1"/>
  <c r="E818" i="1" s="1"/>
  <c r="G819" i="1"/>
  <c r="E819" i="1" s="1"/>
  <c r="G820" i="1"/>
  <c r="E820" i="1" s="1"/>
  <c r="G821" i="1"/>
  <c r="E821" i="1" s="1"/>
  <c r="G822" i="1"/>
  <c r="E822" i="1" s="1"/>
  <c r="G823" i="1"/>
  <c r="E823" i="1" s="1"/>
  <c r="G824" i="1"/>
  <c r="E824" i="1" s="1"/>
  <c r="G825" i="1"/>
  <c r="E825" i="1" s="1"/>
  <c r="G826" i="1"/>
  <c r="E826" i="1" s="1"/>
  <c r="G827" i="1"/>
  <c r="E827" i="1" s="1"/>
  <c r="G828" i="1"/>
  <c r="E828" i="1" s="1"/>
  <c r="G829" i="1"/>
  <c r="E829" i="1" s="1"/>
  <c r="G830" i="1"/>
  <c r="E830" i="1" s="1"/>
  <c r="G831" i="1"/>
  <c r="E831" i="1" s="1"/>
  <c r="G832" i="1"/>
  <c r="E832" i="1" s="1"/>
  <c r="G833" i="1"/>
  <c r="E833" i="1" s="1"/>
  <c r="G834" i="1"/>
  <c r="E834" i="1" s="1"/>
  <c r="G835" i="1"/>
  <c r="E835" i="1" s="1"/>
  <c r="G836" i="1"/>
  <c r="E836" i="1" s="1"/>
  <c r="G837" i="1"/>
  <c r="E837" i="1" s="1"/>
  <c r="G838" i="1"/>
  <c r="E838" i="1" s="1"/>
  <c r="G839" i="1"/>
  <c r="E839" i="1" s="1"/>
  <c r="G840" i="1"/>
  <c r="E840" i="1" s="1"/>
  <c r="G841" i="1"/>
  <c r="E841" i="1" s="1"/>
  <c r="G842" i="1"/>
  <c r="E842" i="1" s="1"/>
  <c r="G843" i="1"/>
  <c r="E843" i="1" s="1"/>
  <c r="G844" i="1"/>
  <c r="E844" i="1" s="1"/>
  <c r="G845" i="1"/>
  <c r="E845" i="1" s="1"/>
  <c r="G846" i="1"/>
  <c r="E846" i="1" s="1"/>
  <c r="G847" i="1"/>
  <c r="E847" i="1" s="1"/>
  <c r="G848" i="1"/>
  <c r="E848" i="1" s="1"/>
  <c r="G849" i="1"/>
  <c r="E849" i="1" s="1"/>
  <c r="G850" i="1"/>
  <c r="E850" i="1" s="1"/>
  <c r="G851" i="1"/>
  <c r="E851" i="1" s="1"/>
  <c r="G852" i="1"/>
  <c r="E852" i="1" s="1"/>
  <c r="G853" i="1"/>
  <c r="E853" i="1" s="1"/>
  <c r="G854" i="1"/>
  <c r="E854" i="1" s="1"/>
  <c r="G855" i="1"/>
  <c r="E855" i="1" s="1"/>
  <c r="G856" i="1"/>
  <c r="E856" i="1" s="1"/>
  <c r="G857" i="1"/>
  <c r="E857" i="1" s="1"/>
  <c r="G858" i="1"/>
  <c r="E858" i="1" s="1"/>
  <c r="G859" i="1"/>
  <c r="E859" i="1" s="1"/>
  <c r="G860" i="1"/>
  <c r="E860" i="1" s="1"/>
  <c r="G861" i="1"/>
  <c r="E861" i="1" s="1"/>
  <c r="G862" i="1"/>
  <c r="E862" i="1" s="1"/>
  <c r="G863" i="1"/>
  <c r="E863" i="1" s="1"/>
  <c r="G864" i="1"/>
  <c r="E864" i="1" s="1"/>
  <c r="G865" i="1"/>
  <c r="E865" i="1" s="1"/>
  <c r="G866" i="1"/>
  <c r="E866" i="1" s="1"/>
  <c r="G867" i="1"/>
  <c r="E867" i="1" s="1"/>
  <c r="G868" i="1"/>
  <c r="E868" i="1" s="1"/>
  <c r="G869" i="1"/>
  <c r="E869" i="1" s="1"/>
  <c r="G870" i="1"/>
  <c r="E870" i="1" s="1"/>
  <c r="G871" i="1"/>
  <c r="E871" i="1" s="1"/>
  <c r="G872" i="1"/>
  <c r="E872" i="1" s="1"/>
  <c r="G873" i="1"/>
  <c r="E873" i="1" s="1"/>
  <c r="G874" i="1"/>
  <c r="E874" i="1" s="1"/>
  <c r="G875" i="1"/>
  <c r="E875" i="1" s="1"/>
  <c r="G876" i="1"/>
  <c r="E876" i="1" s="1"/>
  <c r="G877" i="1"/>
  <c r="E877" i="1" s="1"/>
  <c r="G878" i="1"/>
  <c r="E878" i="1" s="1"/>
  <c r="G879" i="1"/>
  <c r="E879" i="1" s="1"/>
  <c r="G880" i="1"/>
  <c r="E880" i="1" s="1"/>
  <c r="G881" i="1"/>
  <c r="E881" i="1" s="1"/>
  <c r="G882" i="1"/>
  <c r="E882" i="1" s="1"/>
  <c r="G883" i="1"/>
  <c r="E883" i="1" s="1"/>
  <c r="G884" i="1"/>
  <c r="E884" i="1" s="1"/>
  <c r="G885" i="1"/>
  <c r="E885" i="1" s="1"/>
  <c r="G886" i="1"/>
  <c r="E886" i="1" s="1"/>
  <c r="G887" i="1"/>
  <c r="E887" i="1" s="1"/>
  <c r="G888" i="1"/>
  <c r="E888" i="1" s="1"/>
  <c r="G889" i="1"/>
  <c r="E889" i="1" s="1"/>
  <c r="G890" i="1"/>
  <c r="E890" i="1" s="1"/>
  <c r="G891" i="1"/>
  <c r="E891" i="1" s="1"/>
  <c r="G892" i="1"/>
  <c r="E892" i="1" s="1"/>
  <c r="G893" i="1"/>
  <c r="E893" i="1" s="1"/>
  <c r="G894" i="1"/>
  <c r="E894" i="1" s="1"/>
  <c r="G895" i="1"/>
  <c r="E895" i="1" s="1"/>
  <c r="G896" i="1"/>
  <c r="E896" i="1" s="1"/>
  <c r="G897" i="1"/>
  <c r="E897" i="1" s="1"/>
  <c r="G898" i="1"/>
  <c r="E898" i="1" s="1"/>
  <c r="G899" i="1"/>
  <c r="E899" i="1" s="1"/>
  <c r="G900" i="1"/>
  <c r="E900" i="1" s="1"/>
  <c r="G901" i="1"/>
  <c r="E901" i="1" s="1"/>
  <c r="G902" i="1"/>
  <c r="E902" i="1" s="1"/>
  <c r="G903" i="1"/>
  <c r="E903" i="1" s="1"/>
  <c r="G904" i="1"/>
  <c r="E904" i="1" s="1"/>
  <c r="G905" i="1"/>
  <c r="E905" i="1" s="1"/>
  <c r="G906" i="1"/>
  <c r="E906" i="1" s="1"/>
  <c r="G907" i="1"/>
  <c r="E907" i="1" s="1"/>
  <c r="G908" i="1"/>
  <c r="E908" i="1" s="1"/>
  <c r="G909" i="1"/>
  <c r="E909" i="1" s="1"/>
  <c r="G910" i="1"/>
  <c r="E910" i="1" s="1"/>
  <c r="G911" i="1"/>
  <c r="E911" i="1" s="1"/>
  <c r="G912" i="1"/>
  <c r="E912" i="1" s="1"/>
  <c r="G913" i="1"/>
  <c r="E913" i="1" s="1"/>
  <c r="G914" i="1"/>
  <c r="E914" i="1" s="1"/>
  <c r="G915" i="1"/>
  <c r="E915" i="1" s="1"/>
  <c r="G916" i="1"/>
  <c r="E916" i="1" s="1"/>
  <c r="G917" i="1"/>
  <c r="E917" i="1" s="1"/>
  <c r="G918" i="1"/>
  <c r="E918" i="1" s="1"/>
  <c r="G919" i="1"/>
  <c r="E919" i="1" s="1"/>
  <c r="G920" i="1"/>
  <c r="E920" i="1" s="1"/>
  <c r="G921" i="1"/>
  <c r="E921" i="1" s="1"/>
  <c r="G922" i="1"/>
  <c r="E922" i="1" s="1"/>
  <c r="G923" i="1"/>
  <c r="E923" i="1" s="1"/>
  <c r="G924" i="1"/>
  <c r="E924" i="1" s="1"/>
  <c r="G925" i="1"/>
  <c r="E925" i="1" s="1"/>
  <c r="G926" i="1"/>
  <c r="E926" i="1" s="1"/>
  <c r="G927" i="1"/>
  <c r="E927" i="1" s="1"/>
  <c r="G928" i="1"/>
  <c r="E928" i="1" s="1"/>
  <c r="G929" i="1"/>
  <c r="E929" i="1" s="1"/>
  <c r="G930" i="1"/>
  <c r="E930" i="1" s="1"/>
  <c r="G931" i="1"/>
  <c r="E931" i="1" s="1"/>
  <c r="G932" i="1"/>
  <c r="E932" i="1" s="1"/>
  <c r="G933" i="1"/>
  <c r="E933" i="1" s="1"/>
  <c r="G934" i="1"/>
  <c r="E934" i="1" s="1"/>
  <c r="G935" i="1"/>
  <c r="E935" i="1" s="1"/>
  <c r="G936" i="1"/>
  <c r="E936" i="1" s="1"/>
  <c r="G937" i="1"/>
  <c r="E937" i="1" s="1"/>
  <c r="G938" i="1"/>
  <c r="E938" i="1" s="1"/>
  <c r="G939" i="1"/>
  <c r="E939" i="1" s="1"/>
  <c r="G940" i="1"/>
  <c r="E940" i="1" s="1"/>
  <c r="G941" i="1"/>
  <c r="E941" i="1" s="1"/>
  <c r="G942" i="1"/>
  <c r="E942" i="1" s="1"/>
  <c r="G943" i="1"/>
  <c r="E943" i="1" s="1"/>
  <c r="G944" i="1"/>
  <c r="E944" i="1" s="1"/>
  <c r="G945" i="1"/>
  <c r="E945" i="1" s="1"/>
  <c r="G946" i="1"/>
  <c r="E946" i="1" s="1"/>
  <c r="G947" i="1"/>
  <c r="E947" i="1" s="1"/>
  <c r="G948" i="1"/>
  <c r="E948" i="1" s="1"/>
  <c r="G949" i="1"/>
  <c r="E949" i="1" s="1"/>
  <c r="G950" i="1"/>
  <c r="E950" i="1" s="1"/>
  <c r="G951" i="1"/>
  <c r="E951" i="1" s="1"/>
  <c r="G952" i="1"/>
  <c r="E952" i="1" s="1"/>
  <c r="G953" i="1"/>
  <c r="E953" i="1" s="1"/>
  <c r="G954" i="1"/>
  <c r="E954" i="1" s="1"/>
  <c r="G955" i="1"/>
  <c r="E955" i="1" s="1"/>
  <c r="G956" i="1"/>
  <c r="E956" i="1" s="1"/>
  <c r="G957" i="1"/>
  <c r="E957" i="1" s="1"/>
  <c r="G958" i="1"/>
  <c r="E958" i="1" s="1"/>
  <c r="G959" i="1"/>
  <c r="E959" i="1" s="1"/>
  <c r="G960" i="1"/>
  <c r="E960" i="1" s="1"/>
  <c r="G961" i="1"/>
  <c r="E961" i="1" s="1"/>
  <c r="G962" i="1"/>
  <c r="E962" i="1" s="1"/>
  <c r="G963" i="1"/>
  <c r="E963" i="1" s="1"/>
  <c r="G964" i="1"/>
  <c r="E964" i="1" s="1"/>
  <c r="G965" i="1"/>
  <c r="E965" i="1" s="1"/>
  <c r="G966" i="1"/>
  <c r="E966" i="1" s="1"/>
  <c r="G967" i="1"/>
  <c r="E967" i="1" s="1"/>
  <c r="G968" i="1"/>
  <c r="E968" i="1" s="1"/>
  <c r="G969" i="1"/>
  <c r="E969" i="1" s="1"/>
  <c r="G970" i="1"/>
  <c r="E970" i="1" s="1"/>
  <c r="G971" i="1"/>
  <c r="E971" i="1" s="1"/>
  <c r="G972" i="1"/>
  <c r="E972" i="1" s="1"/>
  <c r="G973" i="1"/>
  <c r="E973" i="1" s="1"/>
  <c r="G974" i="1"/>
  <c r="E974" i="1" s="1"/>
  <c r="G975" i="1"/>
  <c r="E975" i="1" s="1"/>
  <c r="G976" i="1"/>
  <c r="E976" i="1" s="1"/>
  <c r="G977" i="1"/>
  <c r="E977" i="1" s="1"/>
  <c r="G978" i="1"/>
  <c r="E978" i="1" s="1"/>
  <c r="G979" i="1"/>
  <c r="E979" i="1" s="1"/>
  <c r="G980" i="1"/>
  <c r="E980" i="1" s="1"/>
  <c r="G981" i="1"/>
  <c r="E981" i="1" s="1"/>
  <c r="G982" i="1"/>
  <c r="E982" i="1" s="1"/>
  <c r="G983" i="1"/>
  <c r="E983" i="1" s="1"/>
  <c r="G984" i="1"/>
  <c r="E984" i="1" s="1"/>
  <c r="G985" i="1"/>
  <c r="E985" i="1" s="1"/>
  <c r="G986" i="1"/>
  <c r="E986" i="1" s="1"/>
  <c r="G987" i="1"/>
  <c r="E987" i="1" s="1"/>
  <c r="G988" i="1"/>
  <c r="E988" i="1" s="1"/>
  <c r="G989" i="1"/>
  <c r="E989" i="1" s="1"/>
  <c r="G990" i="1"/>
  <c r="E990" i="1" s="1"/>
  <c r="G991" i="1"/>
  <c r="E991" i="1" s="1"/>
  <c r="G992" i="1"/>
  <c r="E992" i="1" s="1"/>
  <c r="G993" i="1"/>
  <c r="E993" i="1" s="1"/>
  <c r="G994" i="1"/>
  <c r="E994" i="1" s="1"/>
  <c r="G995" i="1"/>
  <c r="E995" i="1" s="1"/>
  <c r="G996" i="1"/>
  <c r="E996" i="1" s="1"/>
  <c r="G997" i="1"/>
  <c r="E997" i="1" s="1"/>
  <c r="G998" i="1"/>
  <c r="E998" i="1" s="1"/>
  <c r="G999" i="1"/>
  <c r="E999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5" i="1"/>
  <c r="V5" i="1"/>
  <c r="W5" i="1"/>
  <c r="N5" i="1"/>
  <c r="O5" i="1"/>
  <c r="G4" i="1"/>
  <c r="N4" i="1"/>
  <c r="W4" i="1"/>
  <c r="V4" i="1"/>
  <c r="O4" i="1"/>
  <c r="F396" i="1" l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5" i="1"/>
  <c r="BL5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5" i="1"/>
  <c r="BL14" i="1"/>
  <c r="BL13" i="1"/>
  <c r="BL12" i="1"/>
  <c r="BL11" i="1"/>
  <c r="BL10" i="1"/>
  <c r="BL9" i="1"/>
  <c r="BL8" i="1"/>
  <c r="BL7" i="1"/>
  <c r="BL6" i="1"/>
  <c r="AV5" i="1"/>
  <c r="AF5" i="1"/>
  <c r="BM5" i="1"/>
  <c r="BN5" i="1" s="1"/>
  <c r="AV4" i="1"/>
  <c r="AF4" i="1"/>
  <c r="BM4" i="1"/>
  <c r="BL4" i="1"/>
  <c r="BL999" i="1"/>
  <c r="BE999" i="1"/>
  <c r="BK999" i="1" s="1"/>
  <c r="AX999" i="1"/>
  <c r="AP999" i="1"/>
  <c r="AQ999" i="1" s="1"/>
  <c r="AR999" i="1" s="1"/>
  <c r="BL998" i="1"/>
  <c r="BE998" i="1"/>
  <c r="BK998" i="1" s="1"/>
  <c r="AX998" i="1"/>
  <c r="AP998" i="1"/>
  <c r="AQ998" i="1" s="1"/>
  <c r="AR998" i="1" s="1"/>
  <c r="BL997" i="1"/>
  <c r="BE997" i="1"/>
  <c r="BK997" i="1" s="1"/>
  <c r="AX997" i="1"/>
  <c r="AP997" i="1"/>
  <c r="AQ997" i="1" s="1"/>
  <c r="AR997" i="1" s="1"/>
  <c r="BL996" i="1"/>
  <c r="BE996" i="1"/>
  <c r="BK996" i="1" s="1"/>
  <c r="AX996" i="1"/>
  <c r="AP996" i="1"/>
  <c r="AQ996" i="1" s="1"/>
  <c r="AR996" i="1" s="1"/>
  <c r="BL995" i="1"/>
  <c r="BE995" i="1"/>
  <c r="BK995" i="1" s="1"/>
  <c r="AX995" i="1"/>
  <c r="AP995" i="1"/>
  <c r="AQ995" i="1" s="1"/>
  <c r="AR995" i="1" s="1"/>
  <c r="BL994" i="1"/>
  <c r="BE994" i="1"/>
  <c r="BK994" i="1" s="1"/>
  <c r="AX994" i="1"/>
  <c r="AP994" i="1"/>
  <c r="AQ994" i="1" s="1"/>
  <c r="AR994" i="1" s="1"/>
  <c r="BL993" i="1"/>
  <c r="BE993" i="1"/>
  <c r="BK993" i="1" s="1"/>
  <c r="AX993" i="1"/>
  <c r="AP993" i="1"/>
  <c r="AQ993" i="1" s="1"/>
  <c r="AR993" i="1" s="1"/>
  <c r="BL992" i="1"/>
  <c r="BE992" i="1"/>
  <c r="BK992" i="1" s="1"/>
  <c r="AX992" i="1"/>
  <c r="AP992" i="1"/>
  <c r="AQ992" i="1" s="1"/>
  <c r="AR992" i="1" s="1"/>
  <c r="BL991" i="1"/>
  <c r="BE991" i="1"/>
  <c r="BK991" i="1" s="1"/>
  <c r="AX991" i="1"/>
  <c r="AP991" i="1"/>
  <c r="AQ991" i="1" s="1"/>
  <c r="AR991" i="1" s="1"/>
  <c r="BL990" i="1"/>
  <c r="BE990" i="1"/>
  <c r="BK990" i="1" s="1"/>
  <c r="AX990" i="1"/>
  <c r="AP990" i="1"/>
  <c r="AQ990" i="1" s="1"/>
  <c r="AR990" i="1" s="1"/>
  <c r="BL989" i="1"/>
  <c r="BE989" i="1"/>
  <c r="BK989" i="1" s="1"/>
  <c r="AX989" i="1"/>
  <c r="AP989" i="1"/>
  <c r="AQ989" i="1" s="1"/>
  <c r="AR989" i="1" s="1"/>
  <c r="BL988" i="1"/>
  <c r="BE988" i="1"/>
  <c r="BK988" i="1" s="1"/>
  <c r="AX988" i="1"/>
  <c r="AP988" i="1"/>
  <c r="AQ988" i="1" s="1"/>
  <c r="AR988" i="1" s="1"/>
  <c r="BL987" i="1"/>
  <c r="BE987" i="1"/>
  <c r="BK987" i="1" s="1"/>
  <c r="AX987" i="1"/>
  <c r="AP987" i="1"/>
  <c r="AQ987" i="1" s="1"/>
  <c r="AR987" i="1" s="1"/>
  <c r="BL986" i="1"/>
  <c r="BE986" i="1"/>
  <c r="BK986" i="1" s="1"/>
  <c r="AX986" i="1"/>
  <c r="AP986" i="1"/>
  <c r="AQ986" i="1" s="1"/>
  <c r="AR986" i="1" s="1"/>
  <c r="BL985" i="1"/>
  <c r="BE985" i="1"/>
  <c r="BK985" i="1" s="1"/>
  <c r="AX985" i="1"/>
  <c r="AP985" i="1"/>
  <c r="AQ985" i="1" s="1"/>
  <c r="AR985" i="1" s="1"/>
  <c r="BL984" i="1"/>
  <c r="BE984" i="1"/>
  <c r="BK984" i="1" s="1"/>
  <c r="AX984" i="1"/>
  <c r="AP984" i="1"/>
  <c r="AQ984" i="1" s="1"/>
  <c r="AR984" i="1" s="1"/>
  <c r="BL983" i="1"/>
  <c r="BE983" i="1"/>
  <c r="BK983" i="1" s="1"/>
  <c r="AX983" i="1"/>
  <c r="AP983" i="1"/>
  <c r="AQ983" i="1" s="1"/>
  <c r="AR983" i="1" s="1"/>
  <c r="BL982" i="1"/>
  <c r="BE982" i="1"/>
  <c r="BK982" i="1" s="1"/>
  <c r="AX982" i="1"/>
  <c r="AP982" i="1"/>
  <c r="AQ982" i="1" s="1"/>
  <c r="AR982" i="1" s="1"/>
  <c r="BL981" i="1"/>
  <c r="BE981" i="1"/>
  <c r="BK981" i="1" s="1"/>
  <c r="AX981" i="1"/>
  <c r="AP981" i="1"/>
  <c r="AQ981" i="1" s="1"/>
  <c r="AR981" i="1" s="1"/>
  <c r="BL980" i="1"/>
  <c r="BE980" i="1"/>
  <c r="BK980" i="1" s="1"/>
  <c r="AX980" i="1"/>
  <c r="AP980" i="1"/>
  <c r="AQ980" i="1" s="1"/>
  <c r="AR980" i="1" s="1"/>
  <c r="BL979" i="1"/>
  <c r="BE979" i="1"/>
  <c r="BK979" i="1" s="1"/>
  <c r="AX979" i="1"/>
  <c r="AP979" i="1"/>
  <c r="AQ979" i="1" s="1"/>
  <c r="AR979" i="1" s="1"/>
  <c r="BL978" i="1"/>
  <c r="BE978" i="1"/>
  <c r="BK978" i="1" s="1"/>
  <c r="AX978" i="1"/>
  <c r="AP978" i="1"/>
  <c r="AQ978" i="1" s="1"/>
  <c r="AR978" i="1" s="1"/>
  <c r="BL977" i="1"/>
  <c r="BE977" i="1"/>
  <c r="BK977" i="1" s="1"/>
  <c r="AX977" i="1"/>
  <c r="AP977" i="1"/>
  <c r="AQ977" i="1" s="1"/>
  <c r="AR977" i="1" s="1"/>
  <c r="BL976" i="1"/>
  <c r="BE976" i="1"/>
  <c r="BK976" i="1" s="1"/>
  <c r="AX976" i="1"/>
  <c r="AP976" i="1"/>
  <c r="AQ976" i="1" s="1"/>
  <c r="AR976" i="1" s="1"/>
  <c r="BL975" i="1"/>
  <c r="BE975" i="1"/>
  <c r="BK975" i="1" s="1"/>
  <c r="AX975" i="1"/>
  <c r="AP975" i="1"/>
  <c r="AQ975" i="1" s="1"/>
  <c r="AR975" i="1" s="1"/>
  <c r="BL974" i="1"/>
  <c r="BE974" i="1"/>
  <c r="BK974" i="1" s="1"/>
  <c r="AX974" i="1"/>
  <c r="AP974" i="1"/>
  <c r="AQ974" i="1" s="1"/>
  <c r="AR974" i="1" s="1"/>
  <c r="BL973" i="1"/>
  <c r="BE973" i="1"/>
  <c r="BK973" i="1" s="1"/>
  <c r="AX973" i="1"/>
  <c r="AP973" i="1"/>
  <c r="AQ973" i="1" s="1"/>
  <c r="AR973" i="1" s="1"/>
  <c r="BL972" i="1"/>
  <c r="BE972" i="1"/>
  <c r="BK972" i="1" s="1"/>
  <c r="AX972" i="1"/>
  <c r="AP972" i="1"/>
  <c r="AQ972" i="1" s="1"/>
  <c r="AR972" i="1" s="1"/>
  <c r="BL971" i="1"/>
  <c r="BE971" i="1"/>
  <c r="BK971" i="1" s="1"/>
  <c r="AX971" i="1"/>
  <c r="AP971" i="1"/>
  <c r="AQ971" i="1" s="1"/>
  <c r="AR971" i="1" s="1"/>
  <c r="BL970" i="1"/>
  <c r="BE970" i="1"/>
  <c r="BK970" i="1" s="1"/>
  <c r="AX970" i="1"/>
  <c r="AP970" i="1"/>
  <c r="AQ970" i="1" s="1"/>
  <c r="AR970" i="1" s="1"/>
  <c r="BL969" i="1"/>
  <c r="BE969" i="1"/>
  <c r="BK969" i="1" s="1"/>
  <c r="AX969" i="1"/>
  <c r="AP969" i="1"/>
  <c r="AQ969" i="1" s="1"/>
  <c r="AR969" i="1" s="1"/>
  <c r="BL968" i="1"/>
  <c r="BE968" i="1"/>
  <c r="BK968" i="1" s="1"/>
  <c r="AX968" i="1"/>
  <c r="AP968" i="1"/>
  <c r="AQ968" i="1" s="1"/>
  <c r="AR968" i="1" s="1"/>
  <c r="BL967" i="1"/>
  <c r="BE967" i="1"/>
  <c r="BK967" i="1" s="1"/>
  <c r="AX967" i="1"/>
  <c r="AP967" i="1"/>
  <c r="AQ967" i="1" s="1"/>
  <c r="AR967" i="1" s="1"/>
  <c r="BL966" i="1"/>
  <c r="BE966" i="1"/>
  <c r="BK966" i="1" s="1"/>
  <c r="AX966" i="1"/>
  <c r="AP966" i="1"/>
  <c r="AQ966" i="1" s="1"/>
  <c r="AR966" i="1" s="1"/>
  <c r="BL965" i="1"/>
  <c r="BE965" i="1"/>
  <c r="BK965" i="1" s="1"/>
  <c r="AX965" i="1"/>
  <c r="AP965" i="1"/>
  <c r="AQ965" i="1" s="1"/>
  <c r="AR965" i="1" s="1"/>
  <c r="BL964" i="1"/>
  <c r="BE964" i="1"/>
  <c r="BK964" i="1" s="1"/>
  <c r="AX964" i="1"/>
  <c r="AP964" i="1"/>
  <c r="AQ964" i="1" s="1"/>
  <c r="AR964" i="1" s="1"/>
  <c r="BL963" i="1"/>
  <c r="BE963" i="1"/>
  <c r="BK963" i="1" s="1"/>
  <c r="AX963" i="1"/>
  <c r="AP963" i="1"/>
  <c r="AQ963" i="1" s="1"/>
  <c r="AR963" i="1" s="1"/>
  <c r="BL962" i="1"/>
  <c r="BE962" i="1"/>
  <c r="BK962" i="1" s="1"/>
  <c r="AX962" i="1"/>
  <c r="AP962" i="1"/>
  <c r="AQ962" i="1" s="1"/>
  <c r="AR962" i="1" s="1"/>
  <c r="BL961" i="1"/>
  <c r="BE961" i="1"/>
  <c r="BK961" i="1" s="1"/>
  <c r="AX961" i="1"/>
  <c r="AP961" i="1"/>
  <c r="AQ961" i="1" s="1"/>
  <c r="AR961" i="1" s="1"/>
  <c r="BL960" i="1"/>
  <c r="BE960" i="1"/>
  <c r="BK960" i="1" s="1"/>
  <c r="AX960" i="1"/>
  <c r="AP960" i="1"/>
  <c r="AQ960" i="1" s="1"/>
  <c r="AR960" i="1" s="1"/>
  <c r="BL959" i="1"/>
  <c r="BE959" i="1"/>
  <c r="BK959" i="1" s="1"/>
  <c r="AX959" i="1"/>
  <c r="AP959" i="1"/>
  <c r="AQ959" i="1" s="1"/>
  <c r="AR959" i="1" s="1"/>
  <c r="BL958" i="1"/>
  <c r="BE958" i="1"/>
  <c r="BK958" i="1" s="1"/>
  <c r="AX958" i="1"/>
  <c r="AP958" i="1"/>
  <c r="AQ958" i="1" s="1"/>
  <c r="AR958" i="1" s="1"/>
  <c r="BL957" i="1"/>
  <c r="BE957" i="1"/>
  <c r="BK957" i="1" s="1"/>
  <c r="AX957" i="1"/>
  <c r="AP957" i="1"/>
  <c r="AQ957" i="1" s="1"/>
  <c r="AR957" i="1" s="1"/>
  <c r="BL956" i="1"/>
  <c r="BE956" i="1"/>
  <c r="BK956" i="1" s="1"/>
  <c r="AX956" i="1"/>
  <c r="AP956" i="1"/>
  <c r="AQ956" i="1" s="1"/>
  <c r="AR956" i="1" s="1"/>
  <c r="BL955" i="1"/>
  <c r="BE955" i="1"/>
  <c r="BK955" i="1" s="1"/>
  <c r="AX955" i="1"/>
  <c r="AP955" i="1"/>
  <c r="AQ955" i="1" s="1"/>
  <c r="AR955" i="1" s="1"/>
  <c r="BL954" i="1"/>
  <c r="BE954" i="1"/>
  <c r="BK954" i="1" s="1"/>
  <c r="AX954" i="1"/>
  <c r="AP954" i="1"/>
  <c r="AQ954" i="1" s="1"/>
  <c r="AR954" i="1" s="1"/>
  <c r="BL953" i="1"/>
  <c r="BE953" i="1"/>
  <c r="BK953" i="1" s="1"/>
  <c r="AX953" i="1"/>
  <c r="AP953" i="1"/>
  <c r="AQ953" i="1" s="1"/>
  <c r="AR953" i="1" s="1"/>
  <c r="BL952" i="1"/>
  <c r="BE952" i="1"/>
  <c r="BK952" i="1" s="1"/>
  <c r="AX952" i="1"/>
  <c r="AP952" i="1"/>
  <c r="AQ952" i="1" s="1"/>
  <c r="AR952" i="1" s="1"/>
  <c r="BL951" i="1"/>
  <c r="BE951" i="1"/>
  <c r="BK951" i="1" s="1"/>
  <c r="AX951" i="1"/>
  <c r="AP951" i="1"/>
  <c r="AQ951" i="1" s="1"/>
  <c r="AR951" i="1" s="1"/>
  <c r="BL950" i="1"/>
  <c r="BE950" i="1"/>
  <c r="BK950" i="1" s="1"/>
  <c r="AX950" i="1"/>
  <c r="AP950" i="1"/>
  <c r="AQ950" i="1" s="1"/>
  <c r="AR950" i="1" s="1"/>
  <c r="BL949" i="1"/>
  <c r="BE949" i="1"/>
  <c r="BK949" i="1" s="1"/>
  <c r="AX949" i="1"/>
  <c r="AP949" i="1"/>
  <c r="AQ949" i="1" s="1"/>
  <c r="AR949" i="1" s="1"/>
  <c r="BL948" i="1"/>
  <c r="BE948" i="1"/>
  <c r="BK948" i="1" s="1"/>
  <c r="AX948" i="1"/>
  <c r="AP948" i="1"/>
  <c r="AQ948" i="1" s="1"/>
  <c r="AR948" i="1" s="1"/>
  <c r="BL947" i="1"/>
  <c r="BE947" i="1"/>
  <c r="BK947" i="1" s="1"/>
  <c r="AX947" i="1"/>
  <c r="AP947" i="1"/>
  <c r="AQ947" i="1" s="1"/>
  <c r="AR947" i="1" s="1"/>
  <c r="BL946" i="1"/>
  <c r="BE946" i="1"/>
  <c r="BK946" i="1" s="1"/>
  <c r="AX946" i="1"/>
  <c r="AP946" i="1"/>
  <c r="AQ946" i="1" s="1"/>
  <c r="AR946" i="1" s="1"/>
  <c r="BL945" i="1"/>
  <c r="BE945" i="1"/>
  <c r="BK945" i="1" s="1"/>
  <c r="AX945" i="1"/>
  <c r="AP945" i="1"/>
  <c r="AQ945" i="1" s="1"/>
  <c r="AR945" i="1" s="1"/>
  <c r="BL944" i="1"/>
  <c r="BE944" i="1"/>
  <c r="BK944" i="1" s="1"/>
  <c r="AX944" i="1"/>
  <c r="AP944" i="1"/>
  <c r="AQ944" i="1" s="1"/>
  <c r="AR944" i="1" s="1"/>
  <c r="BL943" i="1"/>
  <c r="BE943" i="1"/>
  <c r="BK943" i="1" s="1"/>
  <c r="AX943" i="1"/>
  <c r="AP943" i="1"/>
  <c r="AQ943" i="1" s="1"/>
  <c r="AR943" i="1" s="1"/>
  <c r="BL942" i="1"/>
  <c r="BE942" i="1"/>
  <c r="BK942" i="1" s="1"/>
  <c r="AX942" i="1"/>
  <c r="AP942" i="1"/>
  <c r="AQ942" i="1" s="1"/>
  <c r="AR942" i="1" s="1"/>
  <c r="BL941" i="1"/>
  <c r="BE941" i="1"/>
  <c r="BK941" i="1" s="1"/>
  <c r="AX941" i="1"/>
  <c r="AP941" i="1"/>
  <c r="AQ941" i="1" s="1"/>
  <c r="AR941" i="1" s="1"/>
  <c r="BL940" i="1"/>
  <c r="BE940" i="1"/>
  <c r="BK940" i="1" s="1"/>
  <c r="AX940" i="1"/>
  <c r="AP940" i="1"/>
  <c r="AQ940" i="1" s="1"/>
  <c r="AR940" i="1" s="1"/>
  <c r="BL939" i="1"/>
  <c r="BE939" i="1"/>
  <c r="BK939" i="1" s="1"/>
  <c r="AX939" i="1"/>
  <c r="AP939" i="1"/>
  <c r="AQ939" i="1" s="1"/>
  <c r="AR939" i="1" s="1"/>
  <c r="BL938" i="1"/>
  <c r="BE938" i="1"/>
  <c r="BK938" i="1" s="1"/>
  <c r="AX938" i="1"/>
  <c r="AP938" i="1"/>
  <c r="AQ938" i="1" s="1"/>
  <c r="AR938" i="1" s="1"/>
  <c r="BL937" i="1"/>
  <c r="BE937" i="1"/>
  <c r="BK937" i="1" s="1"/>
  <c r="AX937" i="1"/>
  <c r="AP937" i="1"/>
  <c r="AQ937" i="1" s="1"/>
  <c r="AR937" i="1" s="1"/>
  <c r="BL936" i="1"/>
  <c r="BE936" i="1"/>
  <c r="BK936" i="1" s="1"/>
  <c r="AX936" i="1"/>
  <c r="AP936" i="1"/>
  <c r="AQ936" i="1" s="1"/>
  <c r="AR936" i="1" s="1"/>
  <c r="BL935" i="1"/>
  <c r="BE935" i="1"/>
  <c r="BK935" i="1" s="1"/>
  <c r="AX935" i="1"/>
  <c r="AP935" i="1"/>
  <c r="AQ935" i="1" s="1"/>
  <c r="AR935" i="1" s="1"/>
  <c r="BL934" i="1"/>
  <c r="BE934" i="1"/>
  <c r="BK934" i="1" s="1"/>
  <c r="AX934" i="1"/>
  <c r="AP934" i="1"/>
  <c r="AQ934" i="1" s="1"/>
  <c r="AR934" i="1" s="1"/>
  <c r="BL933" i="1"/>
  <c r="BE933" i="1"/>
  <c r="BK933" i="1" s="1"/>
  <c r="AX933" i="1"/>
  <c r="AP933" i="1"/>
  <c r="AQ933" i="1" s="1"/>
  <c r="AR933" i="1" s="1"/>
  <c r="BL932" i="1"/>
  <c r="BE932" i="1"/>
  <c r="BK932" i="1" s="1"/>
  <c r="AX932" i="1"/>
  <c r="AP932" i="1"/>
  <c r="AQ932" i="1" s="1"/>
  <c r="AR932" i="1" s="1"/>
  <c r="BL931" i="1"/>
  <c r="BE931" i="1"/>
  <c r="BK931" i="1" s="1"/>
  <c r="AX931" i="1"/>
  <c r="AP931" i="1"/>
  <c r="AQ931" i="1" s="1"/>
  <c r="AR931" i="1" s="1"/>
  <c r="BL930" i="1"/>
  <c r="BE930" i="1"/>
  <c r="BK930" i="1" s="1"/>
  <c r="AX930" i="1"/>
  <c r="AP930" i="1"/>
  <c r="AQ930" i="1" s="1"/>
  <c r="AR930" i="1" s="1"/>
  <c r="BL929" i="1"/>
  <c r="BE929" i="1"/>
  <c r="BK929" i="1" s="1"/>
  <c r="AX929" i="1"/>
  <c r="AP929" i="1"/>
  <c r="AQ929" i="1" s="1"/>
  <c r="AR929" i="1" s="1"/>
  <c r="BL928" i="1"/>
  <c r="BE928" i="1"/>
  <c r="BK928" i="1" s="1"/>
  <c r="AX928" i="1"/>
  <c r="AP928" i="1"/>
  <c r="AQ928" i="1" s="1"/>
  <c r="AR928" i="1" s="1"/>
  <c r="BL927" i="1"/>
  <c r="BE927" i="1"/>
  <c r="BK927" i="1" s="1"/>
  <c r="AX927" i="1"/>
  <c r="AP927" i="1"/>
  <c r="AQ927" i="1" s="1"/>
  <c r="AR927" i="1" s="1"/>
  <c r="BL926" i="1"/>
  <c r="BE926" i="1"/>
  <c r="BK926" i="1" s="1"/>
  <c r="AX926" i="1"/>
  <c r="AP926" i="1"/>
  <c r="AQ926" i="1" s="1"/>
  <c r="AR926" i="1" s="1"/>
  <c r="BL925" i="1"/>
  <c r="BE925" i="1"/>
  <c r="BK925" i="1" s="1"/>
  <c r="AX925" i="1"/>
  <c r="AP925" i="1"/>
  <c r="AQ925" i="1" s="1"/>
  <c r="AR925" i="1" s="1"/>
  <c r="BL924" i="1"/>
  <c r="BE924" i="1"/>
  <c r="BK924" i="1" s="1"/>
  <c r="AX924" i="1"/>
  <c r="AP924" i="1"/>
  <c r="AQ924" i="1" s="1"/>
  <c r="AR924" i="1" s="1"/>
  <c r="BL923" i="1"/>
  <c r="BE923" i="1"/>
  <c r="BK923" i="1" s="1"/>
  <c r="AX923" i="1"/>
  <c r="AP923" i="1"/>
  <c r="AQ923" i="1" s="1"/>
  <c r="AR923" i="1" s="1"/>
  <c r="BL922" i="1"/>
  <c r="BE922" i="1"/>
  <c r="BK922" i="1" s="1"/>
  <c r="AX922" i="1"/>
  <c r="AP922" i="1"/>
  <c r="AQ922" i="1" s="1"/>
  <c r="AR922" i="1" s="1"/>
  <c r="BL921" i="1"/>
  <c r="BE921" i="1"/>
  <c r="BK921" i="1" s="1"/>
  <c r="AX921" i="1"/>
  <c r="AP921" i="1"/>
  <c r="AQ921" i="1" s="1"/>
  <c r="AR921" i="1" s="1"/>
  <c r="BL920" i="1"/>
  <c r="BE920" i="1"/>
  <c r="BK920" i="1" s="1"/>
  <c r="AX920" i="1"/>
  <c r="AP920" i="1"/>
  <c r="AQ920" i="1" s="1"/>
  <c r="AR920" i="1" s="1"/>
  <c r="BL919" i="1"/>
  <c r="BE919" i="1"/>
  <c r="BK919" i="1" s="1"/>
  <c r="AX919" i="1"/>
  <c r="AP919" i="1"/>
  <c r="AQ919" i="1" s="1"/>
  <c r="AR919" i="1" s="1"/>
  <c r="BL918" i="1"/>
  <c r="BE918" i="1"/>
  <c r="BK918" i="1" s="1"/>
  <c r="AX918" i="1"/>
  <c r="AP918" i="1"/>
  <c r="AQ918" i="1" s="1"/>
  <c r="AR918" i="1" s="1"/>
  <c r="BL917" i="1"/>
  <c r="BE917" i="1"/>
  <c r="BK917" i="1" s="1"/>
  <c r="AX917" i="1"/>
  <c r="AP917" i="1"/>
  <c r="AQ917" i="1" s="1"/>
  <c r="AR917" i="1" s="1"/>
  <c r="BL916" i="1"/>
  <c r="BE916" i="1"/>
  <c r="BK916" i="1" s="1"/>
  <c r="AX916" i="1"/>
  <c r="AP916" i="1"/>
  <c r="AQ916" i="1" s="1"/>
  <c r="AR916" i="1" s="1"/>
  <c r="BL915" i="1"/>
  <c r="BE915" i="1"/>
  <c r="BK915" i="1" s="1"/>
  <c r="AX915" i="1"/>
  <c r="AP915" i="1"/>
  <c r="AQ915" i="1" s="1"/>
  <c r="AR915" i="1" s="1"/>
  <c r="BL914" i="1"/>
  <c r="BE914" i="1"/>
  <c r="BK914" i="1" s="1"/>
  <c r="AX914" i="1"/>
  <c r="AP914" i="1"/>
  <c r="AQ914" i="1" s="1"/>
  <c r="AR914" i="1" s="1"/>
  <c r="BL913" i="1"/>
  <c r="BE913" i="1"/>
  <c r="BK913" i="1" s="1"/>
  <c r="AX913" i="1"/>
  <c r="AP913" i="1"/>
  <c r="AQ913" i="1" s="1"/>
  <c r="AR913" i="1" s="1"/>
  <c r="BL912" i="1"/>
  <c r="BE912" i="1"/>
  <c r="BK912" i="1" s="1"/>
  <c r="AX912" i="1"/>
  <c r="AP912" i="1"/>
  <c r="AQ912" i="1" s="1"/>
  <c r="AR912" i="1" s="1"/>
  <c r="BL911" i="1"/>
  <c r="BE911" i="1"/>
  <c r="BK911" i="1" s="1"/>
  <c r="AX911" i="1"/>
  <c r="AP911" i="1"/>
  <c r="AQ911" i="1" s="1"/>
  <c r="AR911" i="1" s="1"/>
  <c r="BL910" i="1"/>
  <c r="BE910" i="1"/>
  <c r="BK910" i="1" s="1"/>
  <c r="AX910" i="1"/>
  <c r="AP910" i="1"/>
  <c r="AQ910" i="1" s="1"/>
  <c r="AR910" i="1" s="1"/>
  <c r="BL909" i="1"/>
  <c r="BE909" i="1"/>
  <c r="BK909" i="1" s="1"/>
  <c r="AX909" i="1"/>
  <c r="AP909" i="1"/>
  <c r="AQ909" i="1" s="1"/>
  <c r="AR909" i="1" s="1"/>
  <c r="BL908" i="1"/>
  <c r="BE908" i="1"/>
  <c r="BK908" i="1" s="1"/>
  <c r="AX908" i="1"/>
  <c r="AP908" i="1"/>
  <c r="AQ908" i="1" s="1"/>
  <c r="AR908" i="1" s="1"/>
  <c r="BL907" i="1"/>
  <c r="BE907" i="1"/>
  <c r="BK907" i="1" s="1"/>
  <c r="AX907" i="1"/>
  <c r="AP907" i="1"/>
  <c r="AQ907" i="1" s="1"/>
  <c r="AR907" i="1" s="1"/>
  <c r="BL906" i="1"/>
  <c r="BE906" i="1"/>
  <c r="BK906" i="1" s="1"/>
  <c r="AX906" i="1"/>
  <c r="AP906" i="1"/>
  <c r="AQ906" i="1" s="1"/>
  <c r="AR906" i="1" s="1"/>
  <c r="BL905" i="1"/>
  <c r="BE905" i="1"/>
  <c r="BK905" i="1" s="1"/>
  <c r="AX905" i="1"/>
  <c r="AP905" i="1"/>
  <c r="AQ905" i="1" s="1"/>
  <c r="AR905" i="1" s="1"/>
  <c r="BL904" i="1"/>
  <c r="BE904" i="1"/>
  <c r="BK904" i="1" s="1"/>
  <c r="AX904" i="1"/>
  <c r="AP904" i="1"/>
  <c r="AQ904" i="1" s="1"/>
  <c r="AR904" i="1" s="1"/>
  <c r="BL903" i="1"/>
  <c r="BE903" i="1"/>
  <c r="BK903" i="1" s="1"/>
  <c r="AX903" i="1"/>
  <c r="AP903" i="1"/>
  <c r="AQ903" i="1" s="1"/>
  <c r="AR903" i="1" s="1"/>
  <c r="BL902" i="1"/>
  <c r="BE902" i="1"/>
  <c r="BK902" i="1" s="1"/>
  <c r="AX902" i="1"/>
  <c r="AP902" i="1"/>
  <c r="AQ902" i="1" s="1"/>
  <c r="AR902" i="1" s="1"/>
  <c r="BL901" i="1"/>
  <c r="BE901" i="1"/>
  <c r="BK901" i="1" s="1"/>
  <c r="AX901" i="1"/>
  <c r="AP901" i="1"/>
  <c r="AQ901" i="1" s="1"/>
  <c r="AR901" i="1" s="1"/>
  <c r="BL900" i="1"/>
  <c r="BE900" i="1"/>
  <c r="BK900" i="1" s="1"/>
  <c r="AX900" i="1"/>
  <c r="AP900" i="1"/>
  <c r="AQ900" i="1" s="1"/>
  <c r="AR900" i="1" s="1"/>
  <c r="BL899" i="1"/>
  <c r="BE899" i="1"/>
  <c r="BK899" i="1" s="1"/>
  <c r="AX899" i="1"/>
  <c r="AP899" i="1"/>
  <c r="AQ899" i="1" s="1"/>
  <c r="AR899" i="1" s="1"/>
  <c r="BL898" i="1"/>
  <c r="BE898" i="1"/>
  <c r="BK898" i="1" s="1"/>
  <c r="AX898" i="1"/>
  <c r="AP898" i="1"/>
  <c r="AQ898" i="1" s="1"/>
  <c r="AR898" i="1" s="1"/>
  <c r="BL897" i="1"/>
  <c r="BE897" i="1"/>
  <c r="BK897" i="1" s="1"/>
  <c r="AX897" i="1"/>
  <c r="AP897" i="1"/>
  <c r="AQ897" i="1" s="1"/>
  <c r="AR897" i="1" s="1"/>
  <c r="BL896" i="1"/>
  <c r="BE896" i="1"/>
  <c r="BK896" i="1" s="1"/>
  <c r="AX896" i="1"/>
  <c r="AP896" i="1"/>
  <c r="AQ896" i="1" s="1"/>
  <c r="AR896" i="1" s="1"/>
  <c r="BL895" i="1"/>
  <c r="BE895" i="1"/>
  <c r="BK895" i="1" s="1"/>
  <c r="AX895" i="1"/>
  <c r="AP895" i="1"/>
  <c r="AQ895" i="1" s="1"/>
  <c r="AR895" i="1" s="1"/>
  <c r="BL894" i="1"/>
  <c r="BE894" i="1"/>
  <c r="BK894" i="1" s="1"/>
  <c r="AX894" i="1"/>
  <c r="AP894" i="1"/>
  <c r="AQ894" i="1" s="1"/>
  <c r="AR894" i="1" s="1"/>
  <c r="BL893" i="1"/>
  <c r="BE893" i="1"/>
  <c r="BK893" i="1" s="1"/>
  <c r="AX893" i="1"/>
  <c r="AP893" i="1"/>
  <c r="AQ893" i="1" s="1"/>
  <c r="AR893" i="1" s="1"/>
  <c r="BL892" i="1"/>
  <c r="BE892" i="1"/>
  <c r="BK892" i="1" s="1"/>
  <c r="AX892" i="1"/>
  <c r="AP892" i="1"/>
  <c r="AQ892" i="1" s="1"/>
  <c r="AR892" i="1" s="1"/>
  <c r="BL891" i="1"/>
  <c r="BE891" i="1"/>
  <c r="BK891" i="1" s="1"/>
  <c r="AX891" i="1"/>
  <c r="AP891" i="1"/>
  <c r="AQ891" i="1" s="1"/>
  <c r="AR891" i="1" s="1"/>
  <c r="BL890" i="1"/>
  <c r="BE890" i="1"/>
  <c r="BK890" i="1" s="1"/>
  <c r="AX890" i="1"/>
  <c r="AP890" i="1"/>
  <c r="AQ890" i="1" s="1"/>
  <c r="AR890" i="1" s="1"/>
  <c r="BL889" i="1"/>
  <c r="BE889" i="1"/>
  <c r="BK889" i="1" s="1"/>
  <c r="AX889" i="1"/>
  <c r="AP889" i="1"/>
  <c r="AQ889" i="1" s="1"/>
  <c r="AR889" i="1" s="1"/>
  <c r="BL888" i="1"/>
  <c r="BE888" i="1"/>
  <c r="BK888" i="1" s="1"/>
  <c r="AX888" i="1"/>
  <c r="AP888" i="1"/>
  <c r="AQ888" i="1" s="1"/>
  <c r="AR888" i="1" s="1"/>
  <c r="BL887" i="1"/>
  <c r="BE887" i="1"/>
  <c r="BK887" i="1" s="1"/>
  <c r="AX887" i="1"/>
  <c r="AP887" i="1"/>
  <c r="AQ887" i="1" s="1"/>
  <c r="AR887" i="1" s="1"/>
  <c r="BL886" i="1"/>
  <c r="BE886" i="1"/>
  <c r="BK886" i="1" s="1"/>
  <c r="AX886" i="1"/>
  <c r="AP886" i="1"/>
  <c r="AQ886" i="1" s="1"/>
  <c r="AR886" i="1" s="1"/>
  <c r="BL885" i="1"/>
  <c r="BE885" i="1"/>
  <c r="BK885" i="1" s="1"/>
  <c r="AX885" i="1"/>
  <c r="AP885" i="1"/>
  <c r="AQ885" i="1" s="1"/>
  <c r="AR885" i="1" s="1"/>
  <c r="BL884" i="1"/>
  <c r="BE884" i="1"/>
  <c r="BK884" i="1" s="1"/>
  <c r="AX884" i="1"/>
  <c r="AP884" i="1"/>
  <c r="AQ884" i="1" s="1"/>
  <c r="AR884" i="1" s="1"/>
  <c r="BL883" i="1"/>
  <c r="BE883" i="1"/>
  <c r="BK883" i="1" s="1"/>
  <c r="AX883" i="1"/>
  <c r="AP883" i="1"/>
  <c r="AQ883" i="1" s="1"/>
  <c r="AR883" i="1" s="1"/>
  <c r="BL882" i="1"/>
  <c r="BE882" i="1"/>
  <c r="BK882" i="1" s="1"/>
  <c r="AX882" i="1"/>
  <c r="AP882" i="1"/>
  <c r="AQ882" i="1" s="1"/>
  <c r="AR882" i="1" s="1"/>
  <c r="BL881" i="1"/>
  <c r="BE881" i="1"/>
  <c r="BK881" i="1" s="1"/>
  <c r="AX881" i="1"/>
  <c r="AP881" i="1"/>
  <c r="AQ881" i="1" s="1"/>
  <c r="AR881" i="1" s="1"/>
  <c r="BL880" i="1"/>
  <c r="BE880" i="1"/>
  <c r="BK880" i="1" s="1"/>
  <c r="AX880" i="1"/>
  <c r="AP880" i="1"/>
  <c r="AQ880" i="1" s="1"/>
  <c r="AR880" i="1" s="1"/>
  <c r="BL879" i="1"/>
  <c r="BE879" i="1"/>
  <c r="BK879" i="1" s="1"/>
  <c r="AX879" i="1"/>
  <c r="AP879" i="1"/>
  <c r="AQ879" i="1" s="1"/>
  <c r="AR879" i="1" s="1"/>
  <c r="BL878" i="1"/>
  <c r="BE878" i="1"/>
  <c r="BK878" i="1" s="1"/>
  <c r="AX878" i="1"/>
  <c r="AP878" i="1"/>
  <c r="AQ878" i="1" s="1"/>
  <c r="AR878" i="1" s="1"/>
  <c r="BL877" i="1"/>
  <c r="BE877" i="1"/>
  <c r="BK877" i="1" s="1"/>
  <c r="AX877" i="1"/>
  <c r="AP877" i="1"/>
  <c r="AQ877" i="1" s="1"/>
  <c r="AR877" i="1" s="1"/>
  <c r="BL876" i="1"/>
  <c r="BE876" i="1"/>
  <c r="BK876" i="1" s="1"/>
  <c r="AX876" i="1"/>
  <c r="AP876" i="1"/>
  <c r="AQ876" i="1" s="1"/>
  <c r="AR876" i="1" s="1"/>
  <c r="BL875" i="1"/>
  <c r="BE875" i="1"/>
  <c r="BK875" i="1" s="1"/>
  <c r="AX875" i="1"/>
  <c r="AP875" i="1"/>
  <c r="AQ875" i="1" s="1"/>
  <c r="AR875" i="1" s="1"/>
  <c r="BL874" i="1"/>
  <c r="BE874" i="1"/>
  <c r="BK874" i="1" s="1"/>
  <c r="AX874" i="1"/>
  <c r="AP874" i="1"/>
  <c r="AQ874" i="1" s="1"/>
  <c r="AR874" i="1" s="1"/>
  <c r="BL873" i="1"/>
  <c r="BE873" i="1"/>
  <c r="BK873" i="1" s="1"/>
  <c r="AX873" i="1"/>
  <c r="AP873" i="1"/>
  <c r="AQ873" i="1" s="1"/>
  <c r="AR873" i="1" s="1"/>
  <c r="BL872" i="1"/>
  <c r="BE872" i="1"/>
  <c r="BK872" i="1" s="1"/>
  <c r="AX872" i="1"/>
  <c r="AP872" i="1"/>
  <c r="AQ872" i="1" s="1"/>
  <c r="AR872" i="1" s="1"/>
  <c r="BL871" i="1"/>
  <c r="BE871" i="1"/>
  <c r="BK871" i="1" s="1"/>
  <c r="AX871" i="1"/>
  <c r="AP871" i="1"/>
  <c r="AQ871" i="1" s="1"/>
  <c r="AR871" i="1" s="1"/>
  <c r="BL870" i="1"/>
  <c r="BE870" i="1"/>
  <c r="BK870" i="1" s="1"/>
  <c r="AX870" i="1"/>
  <c r="AP870" i="1"/>
  <c r="AQ870" i="1" s="1"/>
  <c r="AR870" i="1" s="1"/>
  <c r="BL869" i="1"/>
  <c r="BE869" i="1"/>
  <c r="BK869" i="1" s="1"/>
  <c r="AX869" i="1"/>
  <c r="AP869" i="1"/>
  <c r="AQ869" i="1" s="1"/>
  <c r="AR869" i="1" s="1"/>
  <c r="BL868" i="1"/>
  <c r="BE868" i="1"/>
  <c r="BK868" i="1" s="1"/>
  <c r="AX868" i="1"/>
  <c r="AP868" i="1"/>
  <c r="AQ868" i="1" s="1"/>
  <c r="AR868" i="1" s="1"/>
  <c r="BL867" i="1"/>
  <c r="BE867" i="1"/>
  <c r="BK867" i="1" s="1"/>
  <c r="AX867" i="1"/>
  <c r="AP867" i="1"/>
  <c r="AQ867" i="1" s="1"/>
  <c r="AR867" i="1" s="1"/>
  <c r="BL866" i="1"/>
  <c r="BE866" i="1"/>
  <c r="BK866" i="1" s="1"/>
  <c r="AX866" i="1"/>
  <c r="AP866" i="1"/>
  <c r="AQ866" i="1" s="1"/>
  <c r="AR866" i="1" s="1"/>
  <c r="BL865" i="1"/>
  <c r="BE865" i="1"/>
  <c r="BK865" i="1" s="1"/>
  <c r="AX865" i="1"/>
  <c r="AP865" i="1"/>
  <c r="AQ865" i="1" s="1"/>
  <c r="AR865" i="1" s="1"/>
  <c r="BL864" i="1"/>
  <c r="BE864" i="1"/>
  <c r="BK864" i="1" s="1"/>
  <c r="AX864" i="1"/>
  <c r="AP864" i="1"/>
  <c r="AQ864" i="1" s="1"/>
  <c r="AR864" i="1" s="1"/>
  <c r="BL863" i="1"/>
  <c r="BE863" i="1"/>
  <c r="BK863" i="1" s="1"/>
  <c r="AX863" i="1"/>
  <c r="AP863" i="1"/>
  <c r="AQ863" i="1" s="1"/>
  <c r="AR863" i="1" s="1"/>
  <c r="BL862" i="1"/>
  <c r="BE862" i="1"/>
  <c r="BK862" i="1" s="1"/>
  <c r="AX862" i="1"/>
  <c r="AP862" i="1"/>
  <c r="AQ862" i="1" s="1"/>
  <c r="AR862" i="1" s="1"/>
  <c r="BL861" i="1"/>
  <c r="BE861" i="1"/>
  <c r="BK861" i="1" s="1"/>
  <c r="AX861" i="1"/>
  <c r="AP861" i="1"/>
  <c r="AQ861" i="1" s="1"/>
  <c r="AR861" i="1" s="1"/>
  <c r="BL860" i="1"/>
  <c r="BE860" i="1"/>
  <c r="BK860" i="1" s="1"/>
  <c r="AX860" i="1"/>
  <c r="AP860" i="1"/>
  <c r="AQ860" i="1" s="1"/>
  <c r="AR860" i="1" s="1"/>
  <c r="BL859" i="1"/>
  <c r="BE859" i="1"/>
  <c r="BK859" i="1" s="1"/>
  <c r="AX859" i="1"/>
  <c r="AP859" i="1"/>
  <c r="AQ859" i="1" s="1"/>
  <c r="AR859" i="1" s="1"/>
  <c r="BL858" i="1"/>
  <c r="BE858" i="1"/>
  <c r="BK858" i="1" s="1"/>
  <c r="AX858" i="1"/>
  <c r="AP858" i="1"/>
  <c r="AQ858" i="1" s="1"/>
  <c r="AR858" i="1" s="1"/>
  <c r="BL857" i="1"/>
  <c r="BE857" i="1"/>
  <c r="BK857" i="1" s="1"/>
  <c r="AX857" i="1"/>
  <c r="AP857" i="1"/>
  <c r="AQ857" i="1" s="1"/>
  <c r="AR857" i="1" s="1"/>
  <c r="BL856" i="1"/>
  <c r="BE856" i="1"/>
  <c r="BK856" i="1" s="1"/>
  <c r="AX856" i="1"/>
  <c r="AP856" i="1"/>
  <c r="AQ856" i="1" s="1"/>
  <c r="AR856" i="1" s="1"/>
  <c r="BL855" i="1"/>
  <c r="BE855" i="1"/>
  <c r="BK855" i="1" s="1"/>
  <c r="AX855" i="1"/>
  <c r="AP855" i="1"/>
  <c r="AQ855" i="1" s="1"/>
  <c r="AR855" i="1" s="1"/>
  <c r="BL854" i="1"/>
  <c r="BE854" i="1"/>
  <c r="BK854" i="1" s="1"/>
  <c r="AX854" i="1"/>
  <c r="AP854" i="1"/>
  <c r="AQ854" i="1" s="1"/>
  <c r="AR854" i="1" s="1"/>
  <c r="BL853" i="1"/>
  <c r="BE853" i="1"/>
  <c r="BK853" i="1" s="1"/>
  <c r="AX853" i="1"/>
  <c r="AP853" i="1"/>
  <c r="AQ853" i="1" s="1"/>
  <c r="AR853" i="1" s="1"/>
  <c r="BL852" i="1"/>
  <c r="BE852" i="1"/>
  <c r="BK852" i="1" s="1"/>
  <c r="AX852" i="1"/>
  <c r="AP852" i="1"/>
  <c r="AQ852" i="1" s="1"/>
  <c r="AR852" i="1" s="1"/>
  <c r="BL851" i="1"/>
  <c r="BE851" i="1"/>
  <c r="BK851" i="1" s="1"/>
  <c r="AX851" i="1"/>
  <c r="AP851" i="1"/>
  <c r="AQ851" i="1" s="1"/>
  <c r="AR851" i="1" s="1"/>
  <c r="BL850" i="1"/>
  <c r="BE850" i="1"/>
  <c r="BK850" i="1" s="1"/>
  <c r="AX850" i="1"/>
  <c r="AP850" i="1"/>
  <c r="AQ850" i="1" s="1"/>
  <c r="AR850" i="1" s="1"/>
  <c r="BL849" i="1"/>
  <c r="BE849" i="1"/>
  <c r="BK849" i="1" s="1"/>
  <c r="AX849" i="1"/>
  <c r="AP849" i="1"/>
  <c r="AQ849" i="1" s="1"/>
  <c r="AR849" i="1" s="1"/>
  <c r="BL848" i="1"/>
  <c r="BE848" i="1"/>
  <c r="BK848" i="1" s="1"/>
  <c r="AX848" i="1"/>
  <c r="AP848" i="1"/>
  <c r="AQ848" i="1" s="1"/>
  <c r="AR848" i="1" s="1"/>
  <c r="BL847" i="1"/>
  <c r="BE847" i="1"/>
  <c r="BK847" i="1" s="1"/>
  <c r="AX847" i="1"/>
  <c r="AP847" i="1"/>
  <c r="AQ847" i="1" s="1"/>
  <c r="AR847" i="1" s="1"/>
  <c r="BL846" i="1"/>
  <c r="BE846" i="1"/>
  <c r="BK846" i="1" s="1"/>
  <c r="AX846" i="1"/>
  <c r="AP846" i="1"/>
  <c r="AQ846" i="1" s="1"/>
  <c r="AR846" i="1" s="1"/>
  <c r="BL845" i="1"/>
  <c r="BE845" i="1"/>
  <c r="BK845" i="1" s="1"/>
  <c r="AX845" i="1"/>
  <c r="AP845" i="1"/>
  <c r="AQ845" i="1" s="1"/>
  <c r="AR845" i="1" s="1"/>
  <c r="BL844" i="1"/>
  <c r="BE844" i="1"/>
  <c r="BK844" i="1" s="1"/>
  <c r="AX844" i="1"/>
  <c r="AP844" i="1"/>
  <c r="AQ844" i="1" s="1"/>
  <c r="AR844" i="1" s="1"/>
  <c r="BL843" i="1"/>
  <c r="BE843" i="1"/>
  <c r="BK843" i="1" s="1"/>
  <c r="AX843" i="1"/>
  <c r="AP843" i="1"/>
  <c r="AQ843" i="1" s="1"/>
  <c r="AR843" i="1" s="1"/>
  <c r="BL842" i="1"/>
  <c r="BE842" i="1"/>
  <c r="BK842" i="1" s="1"/>
  <c r="AX842" i="1"/>
  <c r="AP842" i="1"/>
  <c r="AQ842" i="1" s="1"/>
  <c r="AR842" i="1" s="1"/>
  <c r="BL841" i="1"/>
  <c r="BE841" i="1"/>
  <c r="BK841" i="1" s="1"/>
  <c r="AX841" i="1"/>
  <c r="AP841" i="1"/>
  <c r="AQ841" i="1" s="1"/>
  <c r="AR841" i="1" s="1"/>
  <c r="BL840" i="1"/>
  <c r="BE840" i="1"/>
  <c r="BK840" i="1" s="1"/>
  <c r="AX840" i="1"/>
  <c r="AP840" i="1"/>
  <c r="AQ840" i="1" s="1"/>
  <c r="AR840" i="1" s="1"/>
  <c r="BL839" i="1"/>
  <c r="BE839" i="1"/>
  <c r="BK839" i="1" s="1"/>
  <c r="AX839" i="1"/>
  <c r="AP839" i="1"/>
  <c r="AQ839" i="1" s="1"/>
  <c r="AR839" i="1" s="1"/>
  <c r="BL838" i="1"/>
  <c r="BE838" i="1"/>
  <c r="BK838" i="1" s="1"/>
  <c r="AX838" i="1"/>
  <c r="AP838" i="1"/>
  <c r="AQ838" i="1" s="1"/>
  <c r="AR838" i="1" s="1"/>
  <c r="BL837" i="1"/>
  <c r="BE837" i="1"/>
  <c r="BK837" i="1" s="1"/>
  <c r="AX837" i="1"/>
  <c r="AP837" i="1"/>
  <c r="AQ837" i="1" s="1"/>
  <c r="AR837" i="1" s="1"/>
  <c r="BL836" i="1"/>
  <c r="BE836" i="1"/>
  <c r="BK836" i="1" s="1"/>
  <c r="AX836" i="1"/>
  <c r="AP836" i="1"/>
  <c r="AQ836" i="1" s="1"/>
  <c r="AR836" i="1" s="1"/>
  <c r="BL835" i="1"/>
  <c r="BE835" i="1"/>
  <c r="BK835" i="1" s="1"/>
  <c r="AX835" i="1"/>
  <c r="AP835" i="1"/>
  <c r="AQ835" i="1" s="1"/>
  <c r="AR835" i="1" s="1"/>
  <c r="BL834" i="1"/>
  <c r="BE834" i="1"/>
  <c r="BK834" i="1" s="1"/>
  <c r="AX834" i="1"/>
  <c r="AP834" i="1"/>
  <c r="AQ834" i="1" s="1"/>
  <c r="AR834" i="1" s="1"/>
  <c r="BL833" i="1"/>
  <c r="BE833" i="1"/>
  <c r="BK833" i="1" s="1"/>
  <c r="AX833" i="1"/>
  <c r="AP833" i="1"/>
  <c r="AQ833" i="1" s="1"/>
  <c r="AR833" i="1" s="1"/>
  <c r="BL832" i="1"/>
  <c r="BE832" i="1"/>
  <c r="BK832" i="1" s="1"/>
  <c r="AX832" i="1"/>
  <c r="AP832" i="1"/>
  <c r="AQ832" i="1" s="1"/>
  <c r="AR832" i="1" s="1"/>
  <c r="BL831" i="1"/>
  <c r="BE831" i="1"/>
  <c r="BK831" i="1" s="1"/>
  <c r="AX831" i="1"/>
  <c r="AP831" i="1"/>
  <c r="AQ831" i="1" s="1"/>
  <c r="AR831" i="1" s="1"/>
  <c r="BL830" i="1"/>
  <c r="BE830" i="1"/>
  <c r="BK830" i="1" s="1"/>
  <c r="AX830" i="1"/>
  <c r="AP830" i="1"/>
  <c r="AQ830" i="1" s="1"/>
  <c r="AR830" i="1" s="1"/>
  <c r="BL829" i="1"/>
  <c r="BE829" i="1"/>
  <c r="BK829" i="1" s="1"/>
  <c r="AX829" i="1"/>
  <c r="AP829" i="1"/>
  <c r="AQ829" i="1" s="1"/>
  <c r="AR829" i="1" s="1"/>
  <c r="BL828" i="1"/>
  <c r="BE828" i="1"/>
  <c r="BK828" i="1" s="1"/>
  <c r="AX828" i="1"/>
  <c r="AP828" i="1"/>
  <c r="AQ828" i="1" s="1"/>
  <c r="AR828" i="1" s="1"/>
  <c r="BL827" i="1"/>
  <c r="BE827" i="1"/>
  <c r="BK827" i="1" s="1"/>
  <c r="AX827" i="1"/>
  <c r="AP827" i="1"/>
  <c r="AQ827" i="1" s="1"/>
  <c r="AR827" i="1" s="1"/>
  <c r="BL826" i="1"/>
  <c r="BE826" i="1"/>
  <c r="BK826" i="1" s="1"/>
  <c r="AX826" i="1"/>
  <c r="AP826" i="1"/>
  <c r="AQ826" i="1" s="1"/>
  <c r="AR826" i="1" s="1"/>
  <c r="BL825" i="1"/>
  <c r="BE825" i="1"/>
  <c r="BK825" i="1" s="1"/>
  <c r="AX825" i="1"/>
  <c r="AP825" i="1"/>
  <c r="AQ825" i="1" s="1"/>
  <c r="AR825" i="1" s="1"/>
  <c r="BL824" i="1"/>
  <c r="BE824" i="1"/>
  <c r="BK824" i="1" s="1"/>
  <c r="AX824" i="1"/>
  <c r="AP824" i="1"/>
  <c r="AQ824" i="1" s="1"/>
  <c r="AR824" i="1" s="1"/>
  <c r="BL823" i="1"/>
  <c r="BE823" i="1"/>
  <c r="BK823" i="1" s="1"/>
  <c r="AX823" i="1"/>
  <c r="AP823" i="1"/>
  <c r="AQ823" i="1" s="1"/>
  <c r="AR823" i="1" s="1"/>
  <c r="BL822" i="1"/>
  <c r="BE822" i="1"/>
  <c r="BK822" i="1" s="1"/>
  <c r="AX822" i="1"/>
  <c r="AP822" i="1"/>
  <c r="AQ822" i="1" s="1"/>
  <c r="AR822" i="1" s="1"/>
  <c r="BL821" i="1"/>
  <c r="BE821" i="1"/>
  <c r="BK821" i="1" s="1"/>
  <c r="AX821" i="1"/>
  <c r="AP821" i="1"/>
  <c r="AQ821" i="1" s="1"/>
  <c r="AR821" i="1" s="1"/>
  <c r="BL820" i="1"/>
  <c r="BE820" i="1"/>
  <c r="BK820" i="1" s="1"/>
  <c r="AX820" i="1"/>
  <c r="AP820" i="1"/>
  <c r="AQ820" i="1" s="1"/>
  <c r="AR820" i="1" s="1"/>
  <c r="BL819" i="1"/>
  <c r="BE819" i="1"/>
  <c r="BK819" i="1" s="1"/>
  <c r="AX819" i="1"/>
  <c r="AP819" i="1"/>
  <c r="AQ819" i="1" s="1"/>
  <c r="AR819" i="1" s="1"/>
  <c r="BL818" i="1"/>
  <c r="BE818" i="1"/>
  <c r="BK818" i="1" s="1"/>
  <c r="AX818" i="1"/>
  <c r="AP818" i="1"/>
  <c r="AQ818" i="1" s="1"/>
  <c r="AR818" i="1" s="1"/>
  <c r="BL817" i="1"/>
  <c r="BE817" i="1"/>
  <c r="BK817" i="1" s="1"/>
  <c r="AX817" i="1"/>
  <c r="AP817" i="1"/>
  <c r="AQ817" i="1" s="1"/>
  <c r="AR817" i="1" s="1"/>
  <c r="BL816" i="1"/>
  <c r="BE816" i="1"/>
  <c r="BK816" i="1" s="1"/>
  <c r="AX816" i="1"/>
  <c r="AP816" i="1"/>
  <c r="AQ816" i="1" s="1"/>
  <c r="AR816" i="1" s="1"/>
  <c r="BL815" i="1"/>
  <c r="BE815" i="1"/>
  <c r="BK815" i="1" s="1"/>
  <c r="AX815" i="1"/>
  <c r="AP815" i="1"/>
  <c r="AQ815" i="1" s="1"/>
  <c r="AR815" i="1" s="1"/>
  <c r="BL814" i="1"/>
  <c r="BE814" i="1"/>
  <c r="BK814" i="1" s="1"/>
  <c r="AX814" i="1"/>
  <c r="AP814" i="1"/>
  <c r="AQ814" i="1" s="1"/>
  <c r="AR814" i="1" s="1"/>
  <c r="BL813" i="1"/>
  <c r="BE813" i="1"/>
  <c r="BK813" i="1" s="1"/>
  <c r="AX813" i="1"/>
  <c r="AP813" i="1"/>
  <c r="AQ813" i="1" s="1"/>
  <c r="AR813" i="1" s="1"/>
  <c r="BL812" i="1"/>
  <c r="BE812" i="1"/>
  <c r="BK812" i="1" s="1"/>
  <c r="AX812" i="1"/>
  <c r="AP812" i="1"/>
  <c r="AQ812" i="1" s="1"/>
  <c r="AR812" i="1" s="1"/>
  <c r="BL811" i="1"/>
  <c r="BE811" i="1"/>
  <c r="BK811" i="1" s="1"/>
  <c r="AX811" i="1"/>
  <c r="AP811" i="1"/>
  <c r="AQ811" i="1" s="1"/>
  <c r="AR811" i="1" s="1"/>
  <c r="BL810" i="1"/>
  <c r="BE810" i="1"/>
  <c r="BK810" i="1" s="1"/>
  <c r="AX810" i="1"/>
  <c r="AP810" i="1"/>
  <c r="AQ810" i="1" s="1"/>
  <c r="AR810" i="1" s="1"/>
  <c r="BL809" i="1"/>
  <c r="BE809" i="1"/>
  <c r="BK809" i="1" s="1"/>
  <c r="AX809" i="1"/>
  <c r="AP809" i="1"/>
  <c r="AQ809" i="1" s="1"/>
  <c r="AR809" i="1" s="1"/>
  <c r="BL808" i="1"/>
  <c r="BE808" i="1"/>
  <c r="BK808" i="1" s="1"/>
  <c r="AX808" i="1"/>
  <c r="AP808" i="1"/>
  <c r="AQ808" i="1" s="1"/>
  <c r="AR808" i="1" s="1"/>
  <c r="BL807" i="1"/>
  <c r="BE807" i="1"/>
  <c r="BK807" i="1" s="1"/>
  <c r="AX807" i="1"/>
  <c r="AP807" i="1"/>
  <c r="AQ807" i="1" s="1"/>
  <c r="AR807" i="1" s="1"/>
  <c r="BL806" i="1"/>
  <c r="BE806" i="1"/>
  <c r="BK806" i="1" s="1"/>
  <c r="AX806" i="1"/>
  <c r="AP806" i="1"/>
  <c r="AQ806" i="1" s="1"/>
  <c r="AR806" i="1" s="1"/>
  <c r="BL805" i="1"/>
  <c r="BE805" i="1"/>
  <c r="BK805" i="1" s="1"/>
  <c r="AX805" i="1"/>
  <c r="AP805" i="1"/>
  <c r="AQ805" i="1" s="1"/>
  <c r="AR805" i="1" s="1"/>
  <c r="BL804" i="1"/>
  <c r="BE804" i="1"/>
  <c r="BK804" i="1" s="1"/>
  <c r="AX804" i="1"/>
  <c r="AP804" i="1"/>
  <c r="AQ804" i="1" s="1"/>
  <c r="AR804" i="1" s="1"/>
  <c r="BL803" i="1"/>
  <c r="BE803" i="1"/>
  <c r="BK803" i="1" s="1"/>
  <c r="AX803" i="1"/>
  <c r="AP803" i="1"/>
  <c r="AQ803" i="1" s="1"/>
  <c r="AR803" i="1" s="1"/>
  <c r="BL802" i="1"/>
  <c r="BE802" i="1"/>
  <c r="BK802" i="1" s="1"/>
  <c r="AX802" i="1"/>
  <c r="AP802" i="1"/>
  <c r="AQ802" i="1" s="1"/>
  <c r="AR802" i="1" s="1"/>
  <c r="BL801" i="1"/>
  <c r="BE801" i="1"/>
  <c r="BK801" i="1" s="1"/>
  <c r="AX801" i="1"/>
  <c r="AP801" i="1"/>
  <c r="AQ801" i="1" s="1"/>
  <c r="AR801" i="1" s="1"/>
  <c r="BL800" i="1"/>
  <c r="BE800" i="1"/>
  <c r="BK800" i="1" s="1"/>
  <c r="AX800" i="1"/>
  <c r="AP800" i="1"/>
  <c r="AQ800" i="1" s="1"/>
  <c r="AR800" i="1" s="1"/>
  <c r="BL799" i="1"/>
  <c r="BE799" i="1"/>
  <c r="BK799" i="1" s="1"/>
  <c r="AX799" i="1"/>
  <c r="AP799" i="1"/>
  <c r="AQ799" i="1" s="1"/>
  <c r="AR799" i="1" s="1"/>
  <c r="BL798" i="1"/>
  <c r="BE798" i="1"/>
  <c r="BK798" i="1" s="1"/>
  <c r="AX798" i="1"/>
  <c r="AP798" i="1"/>
  <c r="AQ798" i="1" s="1"/>
  <c r="AR798" i="1" s="1"/>
  <c r="BL797" i="1"/>
  <c r="BE797" i="1"/>
  <c r="BK797" i="1" s="1"/>
  <c r="AX797" i="1"/>
  <c r="AP797" i="1"/>
  <c r="AQ797" i="1" s="1"/>
  <c r="AR797" i="1" s="1"/>
  <c r="BL796" i="1"/>
  <c r="BE796" i="1"/>
  <c r="BK796" i="1" s="1"/>
  <c r="AX796" i="1"/>
  <c r="AP796" i="1"/>
  <c r="AQ796" i="1" s="1"/>
  <c r="AR796" i="1" s="1"/>
  <c r="BL795" i="1"/>
  <c r="BE795" i="1"/>
  <c r="BK795" i="1" s="1"/>
  <c r="AX795" i="1"/>
  <c r="AP795" i="1"/>
  <c r="AQ795" i="1" s="1"/>
  <c r="AR795" i="1" s="1"/>
  <c r="BL794" i="1"/>
  <c r="BE794" i="1"/>
  <c r="BK794" i="1" s="1"/>
  <c r="AX794" i="1"/>
  <c r="AP794" i="1"/>
  <c r="AQ794" i="1" s="1"/>
  <c r="AR794" i="1" s="1"/>
  <c r="BL793" i="1"/>
  <c r="BE793" i="1"/>
  <c r="BK793" i="1" s="1"/>
  <c r="AX793" i="1"/>
  <c r="AP793" i="1"/>
  <c r="AQ793" i="1" s="1"/>
  <c r="AR793" i="1" s="1"/>
  <c r="BL792" i="1"/>
  <c r="BE792" i="1"/>
  <c r="BK792" i="1" s="1"/>
  <c r="AX792" i="1"/>
  <c r="AP792" i="1"/>
  <c r="AQ792" i="1" s="1"/>
  <c r="AR792" i="1" s="1"/>
  <c r="BL791" i="1"/>
  <c r="BE791" i="1"/>
  <c r="BK791" i="1" s="1"/>
  <c r="AX791" i="1"/>
  <c r="AP791" i="1"/>
  <c r="AQ791" i="1" s="1"/>
  <c r="AR791" i="1" s="1"/>
  <c r="BL790" i="1"/>
  <c r="BE790" i="1"/>
  <c r="BK790" i="1" s="1"/>
  <c r="AX790" i="1"/>
  <c r="AP790" i="1"/>
  <c r="AQ790" i="1" s="1"/>
  <c r="AR790" i="1" s="1"/>
  <c r="BL789" i="1"/>
  <c r="BE789" i="1"/>
  <c r="BK789" i="1" s="1"/>
  <c r="AX789" i="1"/>
  <c r="AP789" i="1"/>
  <c r="AQ789" i="1" s="1"/>
  <c r="AR789" i="1" s="1"/>
  <c r="BL788" i="1"/>
  <c r="BE788" i="1"/>
  <c r="BK788" i="1" s="1"/>
  <c r="AX788" i="1"/>
  <c r="AP788" i="1"/>
  <c r="AQ788" i="1" s="1"/>
  <c r="AR788" i="1" s="1"/>
  <c r="BL787" i="1"/>
  <c r="BE787" i="1"/>
  <c r="BK787" i="1" s="1"/>
  <c r="AX787" i="1"/>
  <c r="AP787" i="1"/>
  <c r="AQ787" i="1" s="1"/>
  <c r="AR787" i="1" s="1"/>
  <c r="BL786" i="1"/>
  <c r="BE786" i="1"/>
  <c r="BK786" i="1" s="1"/>
  <c r="AX786" i="1"/>
  <c r="AP786" i="1"/>
  <c r="AQ786" i="1" s="1"/>
  <c r="AR786" i="1" s="1"/>
  <c r="BL785" i="1"/>
  <c r="BE785" i="1"/>
  <c r="BK785" i="1" s="1"/>
  <c r="AX785" i="1"/>
  <c r="AP785" i="1"/>
  <c r="AQ785" i="1" s="1"/>
  <c r="AR785" i="1" s="1"/>
  <c r="BL784" i="1"/>
  <c r="BE784" i="1"/>
  <c r="BK784" i="1" s="1"/>
  <c r="AX784" i="1"/>
  <c r="AP784" i="1"/>
  <c r="AQ784" i="1" s="1"/>
  <c r="AR784" i="1" s="1"/>
  <c r="BL783" i="1"/>
  <c r="BE783" i="1"/>
  <c r="BK783" i="1" s="1"/>
  <c r="AX783" i="1"/>
  <c r="AP783" i="1"/>
  <c r="AQ783" i="1" s="1"/>
  <c r="AR783" i="1" s="1"/>
  <c r="BL782" i="1"/>
  <c r="BE782" i="1"/>
  <c r="BK782" i="1" s="1"/>
  <c r="AX782" i="1"/>
  <c r="AP782" i="1"/>
  <c r="AQ782" i="1" s="1"/>
  <c r="AR782" i="1" s="1"/>
  <c r="BL781" i="1"/>
  <c r="BE781" i="1"/>
  <c r="BK781" i="1" s="1"/>
  <c r="AX781" i="1"/>
  <c r="AP781" i="1"/>
  <c r="AQ781" i="1" s="1"/>
  <c r="AR781" i="1" s="1"/>
  <c r="BL780" i="1"/>
  <c r="BE780" i="1"/>
  <c r="BK780" i="1" s="1"/>
  <c r="AX780" i="1"/>
  <c r="AP780" i="1"/>
  <c r="AQ780" i="1" s="1"/>
  <c r="AR780" i="1" s="1"/>
  <c r="BL779" i="1"/>
  <c r="BE779" i="1"/>
  <c r="BK779" i="1" s="1"/>
  <c r="AX779" i="1"/>
  <c r="AP779" i="1"/>
  <c r="AQ779" i="1" s="1"/>
  <c r="AR779" i="1" s="1"/>
  <c r="BL778" i="1"/>
  <c r="BE778" i="1"/>
  <c r="BK778" i="1" s="1"/>
  <c r="AX778" i="1"/>
  <c r="AP778" i="1"/>
  <c r="AQ778" i="1" s="1"/>
  <c r="AR778" i="1" s="1"/>
  <c r="BL777" i="1"/>
  <c r="BE777" i="1"/>
  <c r="BK777" i="1" s="1"/>
  <c r="AX777" i="1"/>
  <c r="AP777" i="1"/>
  <c r="AQ777" i="1" s="1"/>
  <c r="AR777" i="1" s="1"/>
  <c r="BL776" i="1"/>
  <c r="BE776" i="1"/>
  <c r="BK776" i="1" s="1"/>
  <c r="AX776" i="1"/>
  <c r="AP776" i="1"/>
  <c r="AQ776" i="1" s="1"/>
  <c r="AR776" i="1" s="1"/>
  <c r="BL775" i="1"/>
  <c r="BE775" i="1"/>
  <c r="BK775" i="1" s="1"/>
  <c r="AX775" i="1"/>
  <c r="AP775" i="1"/>
  <c r="AQ775" i="1" s="1"/>
  <c r="AR775" i="1" s="1"/>
  <c r="BL774" i="1"/>
  <c r="BE774" i="1"/>
  <c r="BK774" i="1" s="1"/>
  <c r="AX774" i="1"/>
  <c r="AP774" i="1"/>
  <c r="AQ774" i="1" s="1"/>
  <c r="AR774" i="1" s="1"/>
  <c r="BL773" i="1"/>
  <c r="BE773" i="1"/>
  <c r="BK773" i="1" s="1"/>
  <c r="AX773" i="1"/>
  <c r="AP773" i="1"/>
  <c r="AQ773" i="1" s="1"/>
  <c r="AR773" i="1" s="1"/>
  <c r="BL772" i="1"/>
  <c r="BE772" i="1"/>
  <c r="BK772" i="1" s="1"/>
  <c r="AX772" i="1"/>
  <c r="AP772" i="1"/>
  <c r="AQ772" i="1" s="1"/>
  <c r="AR772" i="1" s="1"/>
  <c r="BL771" i="1"/>
  <c r="BE771" i="1"/>
  <c r="BK771" i="1" s="1"/>
  <c r="AX771" i="1"/>
  <c r="AP771" i="1"/>
  <c r="AQ771" i="1" s="1"/>
  <c r="AR771" i="1" s="1"/>
  <c r="BL770" i="1"/>
  <c r="BE770" i="1"/>
  <c r="BK770" i="1" s="1"/>
  <c r="AX770" i="1"/>
  <c r="AP770" i="1"/>
  <c r="AQ770" i="1" s="1"/>
  <c r="AR770" i="1" s="1"/>
  <c r="BL769" i="1"/>
  <c r="BE769" i="1"/>
  <c r="BK769" i="1" s="1"/>
  <c r="AX769" i="1"/>
  <c r="AP769" i="1"/>
  <c r="AQ769" i="1" s="1"/>
  <c r="AR769" i="1" s="1"/>
  <c r="BL768" i="1"/>
  <c r="BE768" i="1"/>
  <c r="BK768" i="1" s="1"/>
  <c r="AX768" i="1"/>
  <c r="AP768" i="1"/>
  <c r="AQ768" i="1" s="1"/>
  <c r="AR768" i="1" s="1"/>
  <c r="BL767" i="1"/>
  <c r="BE767" i="1"/>
  <c r="BK767" i="1" s="1"/>
  <c r="AX767" i="1"/>
  <c r="AP767" i="1"/>
  <c r="AQ767" i="1" s="1"/>
  <c r="AR767" i="1" s="1"/>
  <c r="BL766" i="1"/>
  <c r="BE766" i="1"/>
  <c r="BK766" i="1" s="1"/>
  <c r="AX766" i="1"/>
  <c r="AP766" i="1"/>
  <c r="AQ766" i="1" s="1"/>
  <c r="AR766" i="1" s="1"/>
  <c r="BL765" i="1"/>
  <c r="BE765" i="1"/>
  <c r="BK765" i="1" s="1"/>
  <c r="AX765" i="1"/>
  <c r="AP765" i="1"/>
  <c r="AQ765" i="1" s="1"/>
  <c r="AR765" i="1" s="1"/>
  <c r="BL764" i="1"/>
  <c r="BE764" i="1"/>
  <c r="BK764" i="1" s="1"/>
  <c r="AX764" i="1"/>
  <c r="AP764" i="1"/>
  <c r="AQ764" i="1" s="1"/>
  <c r="AR764" i="1" s="1"/>
  <c r="BL763" i="1"/>
  <c r="BE763" i="1"/>
  <c r="BK763" i="1" s="1"/>
  <c r="AX763" i="1"/>
  <c r="AP763" i="1"/>
  <c r="AQ763" i="1" s="1"/>
  <c r="AR763" i="1" s="1"/>
  <c r="BL762" i="1"/>
  <c r="BE762" i="1"/>
  <c r="BK762" i="1" s="1"/>
  <c r="AX762" i="1"/>
  <c r="AP762" i="1"/>
  <c r="AQ762" i="1" s="1"/>
  <c r="AR762" i="1" s="1"/>
  <c r="BL761" i="1"/>
  <c r="BE761" i="1"/>
  <c r="BK761" i="1" s="1"/>
  <c r="AX761" i="1"/>
  <c r="AP761" i="1"/>
  <c r="AQ761" i="1" s="1"/>
  <c r="AR761" i="1" s="1"/>
  <c r="BL760" i="1"/>
  <c r="BE760" i="1"/>
  <c r="BK760" i="1" s="1"/>
  <c r="AX760" i="1"/>
  <c r="AP760" i="1"/>
  <c r="AQ760" i="1" s="1"/>
  <c r="AR760" i="1" s="1"/>
  <c r="BL759" i="1"/>
  <c r="BE759" i="1"/>
  <c r="BK759" i="1" s="1"/>
  <c r="AX759" i="1"/>
  <c r="AP759" i="1"/>
  <c r="AQ759" i="1" s="1"/>
  <c r="AR759" i="1" s="1"/>
  <c r="BL758" i="1"/>
  <c r="BE758" i="1"/>
  <c r="BK758" i="1" s="1"/>
  <c r="AX758" i="1"/>
  <c r="AP758" i="1"/>
  <c r="AQ758" i="1" s="1"/>
  <c r="AR758" i="1" s="1"/>
  <c r="BL757" i="1"/>
  <c r="BE757" i="1"/>
  <c r="BK757" i="1" s="1"/>
  <c r="AX757" i="1"/>
  <c r="AP757" i="1"/>
  <c r="AQ757" i="1" s="1"/>
  <c r="AR757" i="1" s="1"/>
  <c r="BL756" i="1"/>
  <c r="BE756" i="1"/>
  <c r="BK756" i="1" s="1"/>
  <c r="AX756" i="1"/>
  <c r="AP756" i="1"/>
  <c r="AQ756" i="1" s="1"/>
  <c r="AR756" i="1" s="1"/>
  <c r="BL755" i="1"/>
  <c r="BE755" i="1"/>
  <c r="BK755" i="1" s="1"/>
  <c r="AX755" i="1"/>
  <c r="AP755" i="1"/>
  <c r="AQ755" i="1" s="1"/>
  <c r="AR755" i="1" s="1"/>
  <c r="BL754" i="1"/>
  <c r="BE754" i="1"/>
  <c r="BK754" i="1" s="1"/>
  <c r="AX754" i="1"/>
  <c r="AP754" i="1"/>
  <c r="AQ754" i="1" s="1"/>
  <c r="AR754" i="1" s="1"/>
  <c r="BL753" i="1"/>
  <c r="BE753" i="1"/>
  <c r="BK753" i="1" s="1"/>
  <c r="AX753" i="1"/>
  <c r="AP753" i="1"/>
  <c r="AQ753" i="1" s="1"/>
  <c r="AR753" i="1" s="1"/>
  <c r="BL752" i="1"/>
  <c r="BE752" i="1"/>
  <c r="BK752" i="1" s="1"/>
  <c r="AX752" i="1"/>
  <c r="AP752" i="1"/>
  <c r="AQ752" i="1" s="1"/>
  <c r="AR752" i="1" s="1"/>
  <c r="BL751" i="1"/>
  <c r="BE751" i="1"/>
  <c r="BK751" i="1" s="1"/>
  <c r="AX751" i="1"/>
  <c r="AP751" i="1"/>
  <c r="AQ751" i="1" s="1"/>
  <c r="AR751" i="1" s="1"/>
  <c r="BL750" i="1"/>
  <c r="BE750" i="1"/>
  <c r="BK750" i="1" s="1"/>
  <c r="AX750" i="1"/>
  <c r="AP750" i="1"/>
  <c r="AQ750" i="1" s="1"/>
  <c r="AR750" i="1" s="1"/>
  <c r="BL749" i="1"/>
  <c r="AX749" i="1"/>
  <c r="BE749" i="1"/>
  <c r="BK749" i="1" s="1"/>
  <c r="AP749" i="1"/>
  <c r="AQ749" i="1" s="1"/>
  <c r="AR749" i="1" s="1"/>
  <c r="BL748" i="1"/>
  <c r="BE748" i="1"/>
  <c r="BK748" i="1" s="1"/>
  <c r="AX748" i="1"/>
  <c r="AP748" i="1"/>
  <c r="AQ748" i="1" s="1"/>
  <c r="AR748" i="1" s="1"/>
  <c r="BL747" i="1"/>
  <c r="AX747" i="1"/>
  <c r="BE747" i="1"/>
  <c r="BK747" i="1" s="1"/>
  <c r="AP747" i="1"/>
  <c r="AQ747" i="1" s="1"/>
  <c r="AR747" i="1" s="1"/>
  <c r="BL746" i="1"/>
  <c r="BE746" i="1"/>
  <c r="BK746" i="1" s="1"/>
  <c r="AX746" i="1"/>
  <c r="AP746" i="1"/>
  <c r="AQ746" i="1" s="1"/>
  <c r="AR746" i="1" s="1"/>
  <c r="BL745" i="1"/>
  <c r="AX745" i="1"/>
  <c r="BE745" i="1"/>
  <c r="BK745" i="1" s="1"/>
  <c r="AP745" i="1"/>
  <c r="AQ745" i="1" s="1"/>
  <c r="AR745" i="1" s="1"/>
  <c r="BL744" i="1"/>
  <c r="BE744" i="1"/>
  <c r="BK744" i="1" s="1"/>
  <c r="AX744" i="1"/>
  <c r="AP744" i="1"/>
  <c r="AQ744" i="1" s="1"/>
  <c r="AR744" i="1" s="1"/>
  <c r="BL743" i="1"/>
  <c r="AX743" i="1"/>
  <c r="BE743" i="1"/>
  <c r="BK743" i="1" s="1"/>
  <c r="AP743" i="1"/>
  <c r="AQ743" i="1" s="1"/>
  <c r="AR743" i="1" s="1"/>
  <c r="BL742" i="1"/>
  <c r="BE742" i="1"/>
  <c r="BK742" i="1" s="1"/>
  <c r="AX742" i="1"/>
  <c r="AP742" i="1"/>
  <c r="AQ742" i="1" s="1"/>
  <c r="AR742" i="1" s="1"/>
  <c r="BL741" i="1"/>
  <c r="AX741" i="1"/>
  <c r="BE741" i="1"/>
  <c r="BK741" i="1" s="1"/>
  <c r="AP741" i="1"/>
  <c r="AQ741" i="1" s="1"/>
  <c r="AR741" i="1" s="1"/>
  <c r="BL740" i="1"/>
  <c r="BE740" i="1"/>
  <c r="BK740" i="1" s="1"/>
  <c r="AX740" i="1"/>
  <c r="AP740" i="1"/>
  <c r="AQ740" i="1" s="1"/>
  <c r="AR740" i="1" s="1"/>
  <c r="BL739" i="1"/>
  <c r="AX739" i="1"/>
  <c r="BE739" i="1"/>
  <c r="BK739" i="1" s="1"/>
  <c r="AP739" i="1"/>
  <c r="AQ739" i="1" s="1"/>
  <c r="AR739" i="1" s="1"/>
  <c r="BL738" i="1"/>
  <c r="BE738" i="1"/>
  <c r="BK738" i="1" s="1"/>
  <c r="AX738" i="1"/>
  <c r="AP738" i="1"/>
  <c r="AQ738" i="1" s="1"/>
  <c r="AR738" i="1" s="1"/>
  <c r="BL737" i="1"/>
  <c r="AX737" i="1"/>
  <c r="BE737" i="1"/>
  <c r="BK737" i="1" s="1"/>
  <c r="AP737" i="1"/>
  <c r="AQ737" i="1" s="1"/>
  <c r="AR737" i="1" s="1"/>
  <c r="BL736" i="1"/>
  <c r="BE736" i="1"/>
  <c r="BK736" i="1" s="1"/>
  <c r="AX736" i="1"/>
  <c r="AP736" i="1"/>
  <c r="AQ736" i="1" s="1"/>
  <c r="AR736" i="1" s="1"/>
  <c r="BL735" i="1"/>
  <c r="AX735" i="1"/>
  <c r="BE735" i="1"/>
  <c r="BK735" i="1" s="1"/>
  <c r="AP735" i="1"/>
  <c r="AQ735" i="1" s="1"/>
  <c r="AR735" i="1" s="1"/>
  <c r="BL734" i="1"/>
  <c r="BE734" i="1"/>
  <c r="BK734" i="1" s="1"/>
  <c r="AX734" i="1"/>
  <c r="AP734" i="1"/>
  <c r="AQ734" i="1" s="1"/>
  <c r="AR734" i="1" s="1"/>
  <c r="BL733" i="1"/>
  <c r="AX733" i="1"/>
  <c r="BE733" i="1"/>
  <c r="BK733" i="1" s="1"/>
  <c r="AP733" i="1"/>
  <c r="AQ733" i="1" s="1"/>
  <c r="AR733" i="1" s="1"/>
  <c r="BL732" i="1"/>
  <c r="BE732" i="1"/>
  <c r="BK732" i="1" s="1"/>
  <c r="AX732" i="1"/>
  <c r="AP732" i="1"/>
  <c r="AQ732" i="1" s="1"/>
  <c r="AR732" i="1" s="1"/>
  <c r="BL731" i="1"/>
  <c r="AX731" i="1"/>
  <c r="BE731" i="1"/>
  <c r="BK731" i="1" s="1"/>
  <c r="AP731" i="1"/>
  <c r="AQ731" i="1" s="1"/>
  <c r="AR731" i="1" s="1"/>
  <c r="BL730" i="1"/>
  <c r="BE730" i="1"/>
  <c r="BK730" i="1" s="1"/>
  <c r="AX730" i="1"/>
  <c r="AP730" i="1"/>
  <c r="AQ730" i="1" s="1"/>
  <c r="AR730" i="1" s="1"/>
  <c r="BL729" i="1"/>
  <c r="AX729" i="1"/>
  <c r="BE729" i="1"/>
  <c r="BK729" i="1" s="1"/>
  <c r="AP729" i="1"/>
  <c r="AQ729" i="1" s="1"/>
  <c r="AR729" i="1" s="1"/>
  <c r="BL728" i="1"/>
  <c r="BE728" i="1"/>
  <c r="BK728" i="1" s="1"/>
  <c r="AX728" i="1"/>
  <c r="AP728" i="1"/>
  <c r="AQ728" i="1" s="1"/>
  <c r="AR728" i="1" s="1"/>
  <c r="BL727" i="1"/>
  <c r="AX727" i="1"/>
  <c r="BE727" i="1"/>
  <c r="BK727" i="1" s="1"/>
  <c r="AP727" i="1"/>
  <c r="AQ727" i="1" s="1"/>
  <c r="AR727" i="1" s="1"/>
  <c r="BL726" i="1"/>
  <c r="BE726" i="1"/>
  <c r="BK726" i="1" s="1"/>
  <c r="AX726" i="1"/>
  <c r="AP726" i="1"/>
  <c r="AQ726" i="1" s="1"/>
  <c r="AR726" i="1" s="1"/>
  <c r="BL725" i="1"/>
  <c r="AX725" i="1"/>
  <c r="BE725" i="1"/>
  <c r="BK725" i="1" s="1"/>
  <c r="AP725" i="1"/>
  <c r="AQ725" i="1" s="1"/>
  <c r="AR725" i="1" s="1"/>
  <c r="BL724" i="1"/>
  <c r="BE724" i="1"/>
  <c r="BK724" i="1" s="1"/>
  <c r="AX724" i="1"/>
  <c r="AP724" i="1"/>
  <c r="AQ724" i="1" s="1"/>
  <c r="AR724" i="1" s="1"/>
  <c r="BL723" i="1"/>
  <c r="AX723" i="1"/>
  <c r="BE723" i="1"/>
  <c r="BK723" i="1" s="1"/>
  <c r="AP723" i="1"/>
  <c r="AQ723" i="1" s="1"/>
  <c r="AR723" i="1" s="1"/>
  <c r="BL722" i="1"/>
  <c r="BE722" i="1"/>
  <c r="BK722" i="1" s="1"/>
  <c r="AX722" i="1"/>
  <c r="AP722" i="1"/>
  <c r="AQ722" i="1" s="1"/>
  <c r="AR722" i="1" s="1"/>
  <c r="BL721" i="1"/>
  <c r="AX721" i="1"/>
  <c r="BE721" i="1"/>
  <c r="BK721" i="1" s="1"/>
  <c r="AP721" i="1"/>
  <c r="AQ721" i="1" s="1"/>
  <c r="AR721" i="1" s="1"/>
  <c r="BL720" i="1"/>
  <c r="BE720" i="1"/>
  <c r="BK720" i="1" s="1"/>
  <c r="AX720" i="1"/>
  <c r="AP720" i="1"/>
  <c r="AQ720" i="1" s="1"/>
  <c r="AR720" i="1" s="1"/>
  <c r="BL719" i="1"/>
  <c r="AX719" i="1"/>
  <c r="BE719" i="1"/>
  <c r="BK719" i="1" s="1"/>
  <c r="AP719" i="1"/>
  <c r="AQ719" i="1" s="1"/>
  <c r="AR719" i="1" s="1"/>
  <c r="BL718" i="1"/>
  <c r="BE718" i="1"/>
  <c r="BK718" i="1" s="1"/>
  <c r="AX718" i="1"/>
  <c r="AP718" i="1"/>
  <c r="AQ718" i="1" s="1"/>
  <c r="AR718" i="1" s="1"/>
  <c r="BL717" i="1"/>
  <c r="AX717" i="1"/>
  <c r="BE717" i="1"/>
  <c r="BK717" i="1" s="1"/>
  <c r="AP717" i="1"/>
  <c r="AQ717" i="1" s="1"/>
  <c r="AR717" i="1" s="1"/>
  <c r="BL716" i="1"/>
  <c r="BE716" i="1"/>
  <c r="BK716" i="1" s="1"/>
  <c r="AX716" i="1"/>
  <c r="AP716" i="1"/>
  <c r="AQ716" i="1" s="1"/>
  <c r="AR716" i="1" s="1"/>
  <c r="BL715" i="1"/>
  <c r="AX715" i="1"/>
  <c r="BE715" i="1"/>
  <c r="BK715" i="1" s="1"/>
  <c r="AP715" i="1"/>
  <c r="AQ715" i="1" s="1"/>
  <c r="AR715" i="1" s="1"/>
  <c r="BL714" i="1"/>
  <c r="BE714" i="1"/>
  <c r="BK714" i="1" s="1"/>
  <c r="AX714" i="1"/>
  <c r="AP714" i="1"/>
  <c r="AQ714" i="1" s="1"/>
  <c r="AR714" i="1" s="1"/>
  <c r="BL713" i="1"/>
  <c r="BE713" i="1"/>
  <c r="BK713" i="1" s="1"/>
  <c r="AX713" i="1"/>
  <c r="AP713" i="1"/>
  <c r="AQ713" i="1" s="1"/>
  <c r="AR713" i="1" s="1"/>
  <c r="BL712" i="1"/>
  <c r="BE712" i="1"/>
  <c r="BK712" i="1" s="1"/>
  <c r="AX712" i="1"/>
  <c r="AP712" i="1"/>
  <c r="AQ712" i="1" s="1"/>
  <c r="AR712" i="1" s="1"/>
  <c r="BL711" i="1"/>
  <c r="BE711" i="1"/>
  <c r="BK711" i="1" s="1"/>
  <c r="AX711" i="1"/>
  <c r="AP711" i="1"/>
  <c r="AQ711" i="1" s="1"/>
  <c r="AR711" i="1" s="1"/>
  <c r="BL710" i="1"/>
  <c r="BE710" i="1"/>
  <c r="BK710" i="1" s="1"/>
  <c r="AX710" i="1"/>
  <c r="AP710" i="1"/>
  <c r="AQ710" i="1" s="1"/>
  <c r="AR710" i="1" s="1"/>
  <c r="BL709" i="1"/>
  <c r="BE709" i="1"/>
  <c r="BK709" i="1" s="1"/>
  <c r="AX709" i="1"/>
  <c r="AP709" i="1"/>
  <c r="AQ709" i="1" s="1"/>
  <c r="AR709" i="1" s="1"/>
  <c r="BL708" i="1"/>
  <c r="BE708" i="1"/>
  <c r="BK708" i="1" s="1"/>
  <c r="AX708" i="1"/>
  <c r="AP708" i="1"/>
  <c r="AQ708" i="1" s="1"/>
  <c r="AR708" i="1" s="1"/>
  <c r="BL707" i="1"/>
  <c r="BE707" i="1"/>
  <c r="BK707" i="1" s="1"/>
  <c r="AX707" i="1"/>
  <c r="AP707" i="1"/>
  <c r="AQ707" i="1" s="1"/>
  <c r="AR707" i="1" s="1"/>
  <c r="BL706" i="1"/>
  <c r="BE706" i="1"/>
  <c r="BK706" i="1" s="1"/>
  <c r="AX706" i="1"/>
  <c r="AP706" i="1"/>
  <c r="AQ706" i="1" s="1"/>
  <c r="AR706" i="1" s="1"/>
  <c r="BL705" i="1"/>
  <c r="BE705" i="1"/>
  <c r="BK705" i="1" s="1"/>
  <c r="AX705" i="1"/>
  <c r="AP705" i="1"/>
  <c r="AQ705" i="1" s="1"/>
  <c r="AR705" i="1" s="1"/>
  <c r="BL704" i="1"/>
  <c r="BE704" i="1"/>
  <c r="BK704" i="1" s="1"/>
  <c r="AX704" i="1"/>
  <c r="AP704" i="1"/>
  <c r="AQ704" i="1" s="1"/>
  <c r="AR704" i="1" s="1"/>
  <c r="BL703" i="1"/>
  <c r="BE703" i="1"/>
  <c r="BK703" i="1" s="1"/>
  <c r="AX703" i="1"/>
  <c r="AP703" i="1"/>
  <c r="AQ703" i="1" s="1"/>
  <c r="AR703" i="1" s="1"/>
  <c r="BL702" i="1"/>
  <c r="BE702" i="1"/>
  <c r="BK702" i="1" s="1"/>
  <c r="AX702" i="1"/>
  <c r="AP702" i="1"/>
  <c r="AQ702" i="1" s="1"/>
  <c r="AR702" i="1" s="1"/>
  <c r="BL701" i="1"/>
  <c r="BE701" i="1"/>
  <c r="BK701" i="1" s="1"/>
  <c r="AX701" i="1"/>
  <c r="AP701" i="1"/>
  <c r="AQ701" i="1" s="1"/>
  <c r="AR701" i="1" s="1"/>
  <c r="BL700" i="1"/>
  <c r="BE700" i="1"/>
  <c r="BK700" i="1" s="1"/>
  <c r="AX700" i="1"/>
  <c r="AP700" i="1"/>
  <c r="AQ700" i="1" s="1"/>
  <c r="AR700" i="1" s="1"/>
  <c r="BL699" i="1"/>
  <c r="BE699" i="1"/>
  <c r="BK699" i="1" s="1"/>
  <c r="AX699" i="1"/>
  <c r="AP699" i="1"/>
  <c r="AQ699" i="1" s="1"/>
  <c r="AR699" i="1" s="1"/>
  <c r="BL698" i="1"/>
  <c r="BE698" i="1"/>
  <c r="BK698" i="1" s="1"/>
  <c r="AX698" i="1"/>
  <c r="AP698" i="1"/>
  <c r="AQ698" i="1" s="1"/>
  <c r="AR698" i="1" s="1"/>
  <c r="BL697" i="1"/>
  <c r="BE697" i="1"/>
  <c r="BK697" i="1" s="1"/>
  <c r="AX697" i="1"/>
  <c r="AP697" i="1"/>
  <c r="AQ697" i="1" s="1"/>
  <c r="AR697" i="1" s="1"/>
  <c r="BL696" i="1"/>
  <c r="BE696" i="1"/>
  <c r="BK696" i="1" s="1"/>
  <c r="AX696" i="1"/>
  <c r="AP696" i="1"/>
  <c r="AQ696" i="1" s="1"/>
  <c r="AR696" i="1" s="1"/>
  <c r="BL695" i="1"/>
  <c r="BE695" i="1"/>
  <c r="BK695" i="1" s="1"/>
  <c r="AX695" i="1"/>
  <c r="AP695" i="1"/>
  <c r="AQ695" i="1" s="1"/>
  <c r="AR695" i="1" s="1"/>
  <c r="BL694" i="1"/>
  <c r="BE694" i="1"/>
  <c r="BK694" i="1" s="1"/>
  <c r="AX694" i="1"/>
  <c r="AP694" i="1"/>
  <c r="AQ694" i="1" s="1"/>
  <c r="AR694" i="1" s="1"/>
  <c r="BL693" i="1"/>
  <c r="BE693" i="1"/>
  <c r="BK693" i="1" s="1"/>
  <c r="AX693" i="1"/>
  <c r="AP693" i="1"/>
  <c r="AQ693" i="1" s="1"/>
  <c r="AR693" i="1" s="1"/>
  <c r="BL692" i="1"/>
  <c r="BE692" i="1"/>
  <c r="BK692" i="1" s="1"/>
  <c r="AX692" i="1"/>
  <c r="AP692" i="1"/>
  <c r="AQ692" i="1" s="1"/>
  <c r="AR692" i="1" s="1"/>
  <c r="BL691" i="1"/>
  <c r="BE691" i="1"/>
  <c r="BK691" i="1" s="1"/>
  <c r="AX691" i="1"/>
  <c r="AP691" i="1"/>
  <c r="AQ691" i="1" s="1"/>
  <c r="AR691" i="1" s="1"/>
  <c r="BL690" i="1"/>
  <c r="BE690" i="1"/>
  <c r="BK690" i="1" s="1"/>
  <c r="AX690" i="1"/>
  <c r="AP690" i="1"/>
  <c r="AQ690" i="1" s="1"/>
  <c r="AR690" i="1" s="1"/>
  <c r="BL689" i="1"/>
  <c r="BE689" i="1"/>
  <c r="BK689" i="1" s="1"/>
  <c r="AX689" i="1"/>
  <c r="AP689" i="1"/>
  <c r="AQ689" i="1" s="1"/>
  <c r="AR689" i="1" s="1"/>
  <c r="BL688" i="1"/>
  <c r="BE688" i="1"/>
  <c r="BK688" i="1" s="1"/>
  <c r="AX688" i="1"/>
  <c r="AP688" i="1"/>
  <c r="AQ688" i="1" s="1"/>
  <c r="AR688" i="1" s="1"/>
  <c r="BL687" i="1"/>
  <c r="BE687" i="1"/>
  <c r="BK687" i="1" s="1"/>
  <c r="AX687" i="1"/>
  <c r="AP687" i="1"/>
  <c r="AQ687" i="1" s="1"/>
  <c r="AR687" i="1" s="1"/>
  <c r="BL686" i="1"/>
  <c r="BE686" i="1"/>
  <c r="BK686" i="1" s="1"/>
  <c r="AX686" i="1"/>
  <c r="AP686" i="1"/>
  <c r="AQ686" i="1" s="1"/>
  <c r="AR686" i="1" s="1"/>
  <c r="BL685" i="1"/>
  <c r="BE685" i="1"/>
  <c r="BK685" i="1" s="1"/>
  <c r="AX685" i="1"/>
  <c r="AP685" i="1"/>
  <c r="AQ685" i="1" s="1"/>
  <c r="AR685" i="1" s="1"/>
  <c r="BL684" i="1"/>
  <c r="BE684" i="1"/>
  <c r="BK684" i="1" s="1"/>
  <c r="AX684" i="1"/>
  <c r="AP684" i="1"/>
  <c r="AQ684" i="1" s="1"/>
  <c r="AR684" i="1" s="1"/>
  <c r="BL683" i="1"/>
  <c r="BE683" i="1"/>
  <c r="BK683" i="1" s="1"/>
  <c r="AX683" i="1"/>
  <c r="AP683" i="1"/>
  <c r="AQ683" i="1" s="1"/>
  <c r="AR683" i="1" s="1"/>
  <c r="BL682" i="1"/>
  <c r="BE682" i="1"/>
  <c r="BK682" i="1" s="1"/>
  <c r="AX682" i="1"/>
  <c r="AP682" i="1"/>
  <c r="AQ682" i="1" s="1"/>
  <c r="AR682" i="1" s="1"/>
  <c r="BL681" i="1"/>
  <c r="BE681" i="1"/>
  <c r="BK681" i="1" s="1"/>
  <c r="AX681" i="1"/>
  <c r="AP681" i="1"/>
  <c r="AQ681" i="1" s="1"/>
  <c r="AR681" i="1" s="1"/>
  <c r="BL680" i="1"/>
  <c r="BE680" i="1"/>
  <c r="BK680" i="1" s="1"/>
  <c r="AX680" i="1"/>
  <c r="AP680" i="1"/>
  <c r="AQ680" i="1" s="1"/>
  <c r="AR680" i="1" s="1"/>
  <c r="BL679" i="1"/>
  <c r="BE679" i="1"/>
  <c r="BK679" i="1" s="1"/>
  <c r="AX679" i="1"/>
  <c r="AP679" i="1"/>
  <c r="AQ679" i="1" s="1"/>
  <c r="AR679" i="1" s="1"/>
  <c r="BL678" i="1"/>
  <c r="BE678" i="1"/>
  <c r="BK678" i="1" s="1"/>
  <c r="AX678" i="1"/>
  <c r="AP678" i="1"/>
  <c r="AQ678" i="1" s="1"/>
  <c r="AR678" i="1" s="1"/>
  <c r="BL677" i="1"/>
  <c r="BE677" i="1"/>
  <c r="BK677" i="1" s="1"/>
  <c r="AX677" i="1"/>
  <c r="AP677" i="1"/>
  <c r="AQ677" i="1" s="1"/>
  <c r="AR677" i="1" s="1"/>
  <c r="BL676" i="1"/>
  <c r="BE676" i="1"/>
  <c r="BK676" i="1" s="1"/>
  <c r="AX676" i="1"/>
  <c r="AP676" i="1"/>
  <c r="AQ676" i="1" s="1"/>
  <c r="AR676" i="1" s="1"/>
  <c r="BL675" i="1"/>
  <c r="BE675" i="1"/>
  <c r="BK675" i="1" s="1"/>
  <c r="AX675" i="1"/>
  <c r="AP675" i="1"/>
  <c r="AQ675" i="1" s="1"/>
  <c r="AR675" i="1" s="1"/>
  <c r="BL674" i="1"/>
  <c r="BE674" i="1"/>
  <c r="BK674" i="1" s="1"/>
  <c r="AX674" i="1"/>
  <c r="AP674" i="1"/>
  <c r="AQ674" i="1" s="1"/>
  <c r="AR674" i="1" s="1"/>
  <c r="BL673" i="1"/>
  <c r="BE673" i="1"/>
  <c r="BK673" i="1" s="1"/>
  <c r="AX673" i="1"/>
  <c r="AP673" i="1"/>
  <c r="AQ673" i="1" s="1"/>
  <c r="AR673" i="1" s="1"/>
  <c r="BL672" i="1"/>
  <c r="BE672" i="1"/>
  <c r="BK672" i="1" s="1"/>
  <c r="AX672" i="1"/>
  <c r="AP672" i="1"/>
  <c r="AQ672" i="1" s="1"/>
  <c r="AR672" i="1" s="1"/>
  <c r="BL671" i="1"/>
  <c r="BE671" i="1"/>
  <c r="BK671" i="1" s="1"/>
  <c r="AX671" i="1"/>
  <c r="AP671" i="1"/>
  <c r="AQ671" i="1" s="1"/>
  <c r="AR671" i="1" s="1"/>
  <c r="BL670" i="1"/>
  <c r="BE670" i="1"/>
  <c r="BK670" i="1" s="1"/>
  <c r="AX670" i="1"/>
  <c r="AP670" i="1"/>
  <c r="AQ670" i="1" s="1"/>
  <c r="AR670" i="1" s="1"/>
  <c r="BL669" i="1"/>
  <c r="BE669" i="1"/>
  <c r="BK669" i="1" s="1"/>
  <c r="AX669" i="1"/>
  <c r="AP669" i="1"/>
  <c r="AQ669" i="1" s="1"/>
  <c r="AR669" i="1" s="1"/>
  <c r="BL668" i="1"/>
  <c r="BE668" i="1"/>
  <c r="BK668" i="1" s="1"/>
  <c r="AX668" i="1"/>
  <c r="AP668" i="1"/>
  <c r="AQ668" i="1" s="1"/>
  <c r="AR668" i="1" s="1"/>
  <c r="BL667" i="1"/>
  <c r="BE667" i="1"/>
  <c r="BK667" i="1" s="1"/>
  <c r="AX667" i="1"/>
  <c r="AP667" i="1"/>
  <c r="AQ667" i="1" s="1"/>
  <c r="AR667" i="1" s="1"/>
  <c r="BL666" i="1"/>
  <c r="BE666" i="1"/>
  <c r="BK666" i="1" s="1"/>
  <c r="AX666" i="1"/>
  <c r="AP666" i="1"/>
  <c r="AQ666" i="1" s="1"/>
  <c r="AR666" i="1" s="1"/>
  <c r="BL665" i="1"/>
  <c r="BE665" i="1"/>
  <c r="BK665" i="1" s="1"/>
  <c r="AX665" i="1"/>
  <c r="AP665" i="1"/>
  <c r="AQ665" i="1" s="1"/>
  <c r="AR665" i="1" s="1"/>
  <c r="BL664" i="1"/>
  <c r="BE664" i="1"/>
  <c r="BK664" i="1" s="1"/>
  <c r="AX664" i="1"/>
  <c r="AP664" i="1"/>
  <c r="AQ664" i="1" s="1"/>
  <c r="AR664" i="1" s="1"/>
  <c r="BL663" i="1"/>
  <c r="BE663" i="1"/>
  <c r="BK663" i="1" s="1"/>
  <c r="AX663" i="1"/>
  <c r="AP663" i="1"/>
  <c r="AQ663" i="1" s="1"/>
  <c r="AR663" i="1" s="1"/>
  <c r="BL662" i="1"/>
  <c r="BE662" i="1"/>
  <c r="BK662" i="1" s="1"/>
  <c r="AX662" i="1"/>
  <c r="AP662" i="1"/>
  <c r="AQ662" i="1" s="1"/>
  <c r="AR662" i="1" s="1"/>
  <c r="BL661" i="1"/>
  <c r="BE661" i="1"/>
  <c r="BK661" i="1" s="1"/>
  <c r="AX661" i="1"/>
  <c r="AP661" i="1"/>
  <c r="AQ661" i="1" s="1"/>
  <c r="AR661" i="1" s="1"/>
  <c r="BL660" i="1"/>
  <c r="BE660" i="1"/>
  <c r="BK660" i="1" s="1"/>
  <c r="AX660" i="1"/>
  <c r="AP660" i="1"/>
  <c r="AQ660" i="1" s="1"/>
  <c r="AR660" i="1" s="1"/>
  <c r="BL659" i="1"/>
  <c r="BE659" i="1"/>
  <c r="BK659" i="1" s="1"/>
  <c r="AX659" i="1"/>
  <c r="AP659" i="1"/>
  <c r="AQ659" i="1" s="1"/>
  <c r="AR659" i="1" s="1"/>
  <c r="BL658" i="1"/>
  <c r="BE658" i="1"/>
  <c r="BK658" i="1" s="1"/>
  <c r="AX658" i="1"/>
  <c r="AP658" i="1"/>
  <c r="AQ658" i="1" s="1"/>
  <c r="AR658" i="1" s="1"/>
  <c r="BL657" i="1"/>
  <c r="BE657" i="1"/>
  <c r="BK657" i="1" s="1"/>
  <c r="AX657" i="1"/>
  <c r="AP657" i="1"/>
  <c r="AQ657" i="1" s="1"/>
  <c r="AR657" i="1" s="1"/>
  <c r="BL656" i="1"/>
  <c r="BE656" i="1"/>
  <c r="BK656" i="1" s="1"/>
  <c r="AX656" i="1"/>
  <c r="AP656" i="1"/>
  <c r="AQ656" i="1" s="1"/>
  <c r="AR656" i="1" s="1"/>
  <c r="BL655" i="1"/>
  <c r="BE655" i="1"/>
  <c r="BK655" i="1" s="1"/>
  <c r="AX655" i="1"/>
  <c r="AP655" i="1"/>
  <c r="AQ655" i="1" s="1"/>
  <c r="AR655" i="1" s="1"/>
  <c r="BL654" i="1"/>
  <c r="BE654" i="1"/>
  <c r="BK654" i="1" s="1"/>
  <c r="AX654" i="1"/>
  <c r="AP654" i="1"/>
  <c r="AQ654" i="1" s="1"/>
  <c r="AR654" i="1" s="1"/>
  <c r="BL653" i="1"/>
  <c r="BE653" i="1"/>
  <c r="BK653" i="1" s="1"/>
  <c r="AX653" i="1"/>
  <c r="AP653" i="1"/>
  <c r="AQ653" i="1" s="1"/>
  <c r="AR653" i="1" s="1"/>
  <c r="BL652" i="1"/>
  <c r="BE652" i="1"/>
  <c r="BK652" i="1" s="1"/>
  <c r="AX652" i="1"/>
  <c r="AP652" i="1"/>
  <c r="AQ652" i="1" s="1"/>
  <c r="AR652" i="1" s="1"/>
  <c r="BL651" i="1"/>
  <c r="BE651" i="1"/>
  <c r="BK651" i="1" s="1"/>
  <c r="AX651" i="1"/>
  <c r="AP651" i="1"/>
  <c r="AQ651" i="1" s="1"/>
  <c r="AR651" i="1" s="1"/>
  <c r="BL650" i="1"/>
  <c r="BE650" i="1"/>
  <c r="BK650" i="1" s="1"/>
  <c r="AX650" i="1"/>
  <c r="AP650" i="1"/>
  <c r="AQ650" i="1" s="1"/>
  <c r="AR650" i="1" s="1"/>
  <c r="BL649" i="1"/>
  <c r="BE649" i="1"/>
  <c r="BK649" i="1" s="1"/>
  <c r="AX649" i="1"/>
  <c r="AP649" i="1"/>
  <c r="AQ649" i="1" s="1"/>
  <c r="AR649" i="1" s="1"/>
  <c r="BL648" i="1"/>
  <c r="BE648" i="1"/>
  <c r="BK648" i="1" s="1"/>
  <c r="AX648" i="1"/>
  <c r="AP648" i="1"/>
  <c r="AQ648" i="1" s="1"/>
  <c r="AR648" i="1" s="1"/>
  <c r="BL647" i="1"/>
  <c r="BE647" i="1"/>
  <c r="BK647" i="1" s="1"/>
  <c r="AX647" i="1"/>
  <c r="AP647" i="1"/>
  <c r="AQ647" i="1" s="1"/>
  <c r="AR647" i="1" s="1"/>
  <c r="BL646" i="1"/>
  <c r="BE646" i="1"/>
  <c r="BK646" i="1" s="1"/>
  <c r="AX646" i="1"/>
  <c r="AP646" i="1"/>
  <c r="AQ646" i="1" s="1"/>
  <c r="AR646" i="1" s="1"/>
  <c r="BL645" i="1"/>
  <c r="BE645" i="1"/>
  <c r="BK645" i="1" s="1"/>
  <c r="AX645" i="1"/>
  <c r="AP645" i="1"/>
  <c r="AQ645" i="1" s="1"/>
  <c r="AR645" i="1" s="1"/>
  <c r="BL644" i="1"/>
  <c r="BE644" i="1"/>
  <c r="BK644" i="1" s="1"/>
  <c r="AX644" i="1"/>
  <c r="AP644" i="1"/>
  <c r="AQ644" i="1" s="1"/>
  <c r="AR644" i="1" s="1"/>
  <c r="BL643" i="1"/>
  <c r="BE643" i="1"/>
  <c r="BK643" i="1" s="1"/>
  <c r="AX643" i="1"/>
  <c r="AP643" i="1"/>
  <c r="AQ643" i="1" s="1"/>
  <c r="AR643" i="1" s="1"/>
  <c r="BL642" i="1"/>
  <c r="BE642" i="1"/>
  <c r="BK642" i="1" s="1"/>
  <c r="AX642" i="1"/>
  <c r="AP642" i="1"/>
  <c r="AQ642" i="1" s="1"/>
  <c r="AR642" i="1" s="1"/>
  <c r="BL641" i="1"/>
  <c r="BE641" i="1"/>
  <c r="BK641" i="1" s="1"/>
  <c r="AX641" i="1"/>
  <c r="AP641" i="1"/>
  <c r="AQ641" i="1" s="1"/>
  <c r="AR641" i="1" s="1"/>
  <c r="BL640" i="1"/>
  <c r="BE640" i="1"/>
  <c r="BK640" i="1" s="1"/>
  <c r="AX640" i="1"/>
  <c r="AP640" i="1"/>
  <c r="AQ640" i="1" s="1"/>
  <c r="AR640" i="1" s="1"/>
  <c r="BL639" i="1"/>
  <c r="BE639" i="1"/>
  <c r="BK639" i="1" s="1"/>
  <c r="AX639" i="1"/>
  <c r="AP639" i="1"/>
  <c r="AQ639" i="1" s="1"/>
  <c r="AR639" i="1" s="1"/>
  <c r="BL638" i="1"/>
  <c r="BE638" i="1"/>
  <c r="BK638" i="1" s="1"/>
  <c r="AX638" i="1"/>
  <c r="AP638" i="1"/>
  <c r="AQ638" i="1" s="1"/>
  <c r="AR638" i="1" s="1"/>
  <c r="BL637" i="1"/>
  <c r="BE637" i="1"/>
  <c r="BK637" i="1" s="1"/>
  <c r="AX637" i="1"/>
  <c r="AP637" i="1"/>
  <c r="AQ637" i="1" s="1"/>
  <c r="AR637" i="1" s="1"/>
  <c r="BL636" i="1"/>
  <c r="BE636" i="1"/>
  <c r="BK636" i="1" s="1"/>
  <c r="AX636" i="1"/>
  <c r="AP636" i="1"/>
  <c r="AQ636" i="1" s="1"/>
  <c r="AR636" i="1" s="1"/>
  <c r="BL635" i="1"/>
  <c r="BE635" i="1"/>
  <c r="BK635" i="1" s="1"/>
  <c r="AX635" i="1"/>
  <c r="AP635" i="1"/>
  <c r="AQ635" i="1" s="1"/>
  <c r="AR635" i="1" s="1"/>
  <c r="BL634" i="1"/>
  <c r="BE634" i="1"/>
  <c r="BK634" i="1" s="1"/>
  <c r="AX634" i="1"/>
  <c r="AP634" i="1"/>
  <c r="AQ634" i="1" s="1"/>
  <c r="AR634" i="1" s="1"/>
  <c r="BL633" i="1"/>
  <c r="BE633" i="1"/>
  <c r="BK633" i="1" s="1"/>
  <c r="AX633" i="1"/>
  <c r="AP633" i="1"/>
  <c r="AQ633" i="1" s="1"/>
  <c r="AR633" i="1" s="1"/>
  <c r="BL632" i="1"/>
  <c r="BE632" i="1"/>
  <c r="BK632" i="1" s="1"/>
  <c r="AX632" i="1"/>
  <c r="AP632" i="1"/>
  <c r="AQ632" i="1" s="1"/>
  <c r="AR632" i="1" s="1"/>
  <c r="BL631" i="1"/>
  <c r="BE631" i="1"/>
  <c r="BK631" i="1" s="1"/>
  <c r="AX631" i="1"/>
  <c r="AP631" i="1"/>
  <c r="AQ631" i="1" s="1"/>
  <c r="AR631" i="1" s="1"/>
  <c r="BL630" i="1"/>
  <c r="BE630" i="1"/>
  <c r="BK630" i="1" s="1"/>
  <c r="AX630" i="1"/>
  <c r="AP630" i="1"/>
  <c r="AQ630" i="1" s="1"/>
  <c r="AR630" i="1" s="1"/>
  <c r="BL629" i="1"/>
  <c r="BE629" i="1"/>
  <c r="BK629" i="1" s="1"/>
  <c r="AX629" i="1"/>
  <c r="AP629" i="1"/>
  <c r="AQ629" i="1" s="1"/>
  <c r="AR629" i="1" s="1"/>
  <c r="BL628" i="1"/>
  <c r="BE628" i="1"/>
  <c r="BK628" i="1" s="1"/>
  <c r="AX628" i="1"/>
  <c r="AP628" i="1"/>
  <c r="AQ628" i="1" s="1"/>
  <c r="AR628" i="1" s="1"/>
  <c r="BL627" i="1"/>
  <c r="BE627" i="1"/>
  <c r="BK627" i="1" s="1"/>
  <c r="AX627" i="1"/>
  <c r="AP627" i="1"/>
  <c r="AQ627" i="1" s="1"/>
  <c r="AR627" i="1" s="1"/>
  <c r="BL626" i="1"/>
  <c r="BE626" i="1"/>
  <c r="BK626" i="1" s="1"/>
  <c r="AX626" i="1"/>
  <c r="AP626" i="1"/>
  <c r="AQ626" i="1" s="1"/>
  <c r="AR626" i="1" s="1"/>
  <c r="BL625" i="1"/>
  <c r="BE625" i="1"/>
  <c r="BK625" i="1" s="1"/>
  <c r="AX625" i="1"/>
  <c r="AP625" i="1"/>
  <c r="AQ625" i="1" s="1"/>
  <c r="AR625" i="1" s="1"/>
  <c r="BL624" i="1"/>
  <c r="BE624" i="1"/>
  <c r="BK624" i="1" s="1"/>
  <c r="AX624" i="1"/>
  <c r="AP624" i="1"/>
  <c r="AQ624" i="1" s="1"/>
  <c r="AR624" i="1" s="1"/>
  <c r="BL623" i="1"/>
  <c r="BE623" i="1"/>
  <c r="BK623" i="1" s="1"/>
  <c r="AX623" i="1"/>
  <c r="AP623" i="1"/>
  <c r="AQ623" i="1" s="1"/>
  <c r="AR623" i="1" s="1"/>
  <c r="BL622" i="1"/>
  <c r="BE622" i="1"/>
  <c r="BK622" i="1" s="1"/>
  <c r="AX622" i="1"/>
  <c r="AP622" i="1"/>
  <c r="AQ622" i="1" s="1"/>
  <c r="AR622" i="1" s="1"/>
  <c r="BL621" i="1"/>
  <c r="BE621" i="1"/>
  <c r="BK621" i="1" s="1"/>
  <c r="AX621" i="1"/>
  <c r="AP621" i="1"/>
  <c r="AQ621" i="1" s="1"/>
  <c r="AR621" i="1" s="1"/>
  <c r="BL620" i="1"/>
  <c r="BE620" i="1"/>
  <c r="BK620" i="1" s="1"/>
  <c r="AX620" i="1"/>
  <c r="AP620" i="1"/>
  <c r="AQ620" i="1" s="1"/>
  <c r="AR620" i="1" s="1"/>
  <c r="BL619" i="1"/>
  <c r="BE619" i="1"/>
  <c r="BK619" i="1" s="1"/>
  <c r="AX619" i="1"/>
  <c r="AP619" i="1"/>
  <c r="AQ619" i="1" s="1"/>
  <c r="AR619" i="1" s="1"/>
  <c r="BL618" i="1"/>
  <c r="BE618" i="1"/>
  <c r="BK618" i="1" s="1"/>
  <c r="AX618" i="1"/>
  <c r="AP618" i="1"/>
  <c r="AQ618" i="1" s="1"/>
  <c r="AR618" i="1" s="1"/>
  <c r="BL617" i="1"/>
  <c r="BE617" i="1"/>
  <c r="BK617" i="1" s="1"/>
  <c r="AX617" i="1"/>
  <c r="AP617" i="1"/>
  <c r="AQ617" i="1" s="1"/>
  <c r="AR617" i="1" s="1"/>
  <c r="BL616" i="1"/>
  <c r="BE616" i="1"/>
  <c r="BK616" i="1" s="1"/>
  <c r="AX616" i="1"/>
  <c r="AP616" i="1"/>
  <c r="AQ616" i="1" s="1"/>
  <c r="AR616" i="1" s="1"/>
  <c r="BL615" i="1"/>
  <c r="BE615" i="1"/>
  <c r="BK615" i="1" s="1"/>
  <c r="AX615" i="1"/>
  <c r="AP615" i="1"/>
  <c r="AQ615" i="1" s="1"/>
  <c r="AR615" i="1" s="1"/>
  <c r="BL614" i="1"/>
  <c r="BE614" i="1"/>
  <c r="BK614" i="1" s="1"/>
  <c r="AX614" i="1"/>
  <c r="AP614" i="1"/>
  <c r="AQ614" i="1" s="1"/>
  <c r="AR614" i="1" s="1"/>
  <c r="BL613" i="1"/>
  <c r="BE613" i="1"/>
  <c r="BK613" i="1" s="1"/>
  <c r="AX613" i="1"/>
  <c r="AP613" i="1"/>
  <c r="AQ613" i="1" s="1"/>
  <c r="AR613" i="1" s="1"/>
  <c r="BL612" i="1"/>
  <c r="BE612" i="1"/>
  <c r="BK612" i="1" s="1"/>
  <c r="AX612" i="1"/>
  <c r="AP612" i="1"/>
  <c r="AQ612" i="1" s="1"/>
  <c r="AR612" i="1" s="1"/>
  <c r="BL611" i="1"/>
  <c r="BE611" i="1"/>
  <c r="BK611" i="1" s="1"/>
  <c r="AX611" i="1"/>
  <c r="AP611" i="1"/>
  <c r="AQ611" i="1" s="1"/>
  <c r="AR611" i="1" s="1"/>
  <c r="BL610" i="1"/>
  <c r="BE610" i="1"/>
  <c r="BK610" i="1" s="1"/>
  <c r="AX610" i="1"/>
  <c r="AP610" i="1"/>
  <c r="AQ610" i="1" s="1"/>
  <c r="AR610" i="1" s="1"/>
  <c r="BL609" i="1"/>
  <c r="BE609" i="1"/>
  <c r="BK609" i="1" s="1"/>
  <c r="AX609" i="1"/>
  <c r="AP609" i="1"/>
  <c r="AQ609" i="1" s="1"/>
  <c r="AR609" i="1" s="1"/>
  <c r="BL608" i="1"/>
  <c r="BE608" i="1"/>
  <c r="BK608" i="1" s="1"/>
  <c r="AX608" i="1"/>
  <c r="AP608" i="1"/>
  <c r="AQ608" i="1" s="1"/>
  <c r="AR608" i="1" s="1"/>
  <c r="BL607" i="1"/>
  <c r="BE607" i="1"/>
  <c r="BK607" i="1" s="1"/>
  <c r="AX607" i="1"/>
  <c r="AP607" i="1"/>
  <c r="AQ607" i="1" s="1"/>
  <c r="AR607" i="1" s="1"/>
  <c r="BL606" i="1"/>
  <c r="BE606" i="1"/>
  <c r="BK606" i="1" s="1"/>
  <c r="AX606" i="1"/>
  <c r="AP606" i="1"/>
  <c r="AQ606" i="1" s="1"/>
  <c r="AR606" i="1" s="1"/>
  <c r="BL605" i="1"/>
  <c r="BE605" i="1"/>
  <c r="BK605" i="1" s="1"/>
  <c r="AX605" i="1"/>
  <c r="AP605" i="1"/>
  <c r="AQ605" i="1" s="1"/>
  <c r="AR605" i="1" s="1"/>
  <c r="BL604" i="1"/>
  <c r="BE604" i="1"/>
  <c r="BK604" i="1" s="1"/>
  <c r="AX604" i="1"/>
  <c r="AP604" i="1"/>
  <c r="AQ604" i="1" s="1"/>
  <c r="AR604" i="1" s="1"/>
  <c r="BL603" i="1"/>
  <c r="BE603" i="1"/>
  <c r="BK603" i="1" s="1"/>
  <c r="AX603" i="1"/>
  <c r="AP603" i="1"/>
  <c r="AQ603" i="1" s="1"/>
  <c r="AR603" i="1" s="1"/>
  <c r="BL602" i="1"/>
  <c r="BE602" i="1"/>
  <c r="AX602" i="1"/>
  <c r="AP602" i="1"/>
  <c r="AQ602" i="1" s="1"/>
  <c r="AR602" i="1" s="1"/>
  <c r="BL601" i="1"/>
  <c r="BE601" i="1"/>
  <c r="AX601" i="1"/>
  <c r="AP601" i="1"/>
  <c r="AQ601" i="1" s="1"/>
  <c r="AR601" i="1" s="1"/>
  <c r="BL600" i="1"/>
  <c r="BE600" i="1"/>
  <c r="AX600" i="1"/>
  <c r="AP600" i="1"/>
  <c r="AQ600" i="1" s="1"/>
  <c r="AR600" i="1" s="1"/>
  <c r="BL599" i="1"/>
  <c r="BE599" i="1"/>
  <c r="AX599" i="1"/>
  <c r="AP599" i="1"/>
  <c r="AQ599" i="1" s="1"/>
  <c r="AR599" i="1" s="1"/>
  <c r="BL598" i="1"/>
  <c r="BE598" i="1"/>
  <c r="AX598" i="1"/>
  <c r="AP598" i="1"/>
  <c r="AQ598" i="1" s="1"/>
  <c r="AR598" i="1" s="1"/>
  <c r="BL597" i="1"/>
  <c r="BE597" i="1"/>
  <c r="AX597" i="1"/>
  <c r="AP597" i="1"/>
  <c r="AQ597" i="1" s="1"/>
  <c r="AR597" i="1" s="1"/>
  <c r="BL596" i="1"/>
  <c r="BE596" i="1"/>
  <c r="AX596" i="1"/>
  <c r="AP596" i="1"/>
  <c r="AQ596" i="1" s="1"/>
  <c r="AR596" i="1" s="1"/>
  <c r="BL595" i="1"/>
  <c r="BE595" i="1"/>
  <c r="AX595" i="1"/>
  <c r="AP595" i="1"/>
  <c r="AQ595" i="1" s="1"/>
  <c r="AR595" i="1" s="1"/>
  <c r="BL594" i="1"/>
  <c r="BE594" i="1"/>
  <c r="AX594" i="1"/>
  <c r="AP594" i="1"/>
  <c r="AQ594" i="1" s="1"/>
  <c r="AR594" i="1" s="1"/>
  <c r="BL593" i="1"/>
  <c r="BE593" i="1"/>
  <c r="AX593" i="1"/>
  <c r="AP593" i="1"/>
  <c r="AQ593" i="1" s="1"/>
  <c r="AR593" i="1" s="1"/>
  <c r="BL592" i="1"/>
  <c r="BE592" i="1"/>
  <c r="AX592" i="1"/>
  <c r="AP592" i="1"/>
  <c r="AQ592" i="1" s="1"/>
  <c r="AR592" i="1" s="1"/>
  <c r="BL591" i="1"/>
  <c r="BE591" i="1"/>
  <c r="AX591" i="1"/>
  <c r="AP591" i="1"/>
  <c r="AQ591" i="1" s="1"/>
  <c r="AR591" i="1" s="1"/>
  <c r="BL590" i="1"/>
  <c r="BE590" i="1"/>
  <c r="AX590" i="1"/>
  <c r="AP590" i="1"/>
  <c r="AQ590" i="1" s="1"/>
  <c r="AR590" i="1" s="1"/>
  <c r="BL589" i="1"/>
  <c r="BE589" i="1"/>
  <c r="AX589" i="1"/>
  <c r="AP589" i="1"/>
  <c r="AQ589" i="1" s="1"/>
  <c r="AR589" i="1" s="1"/>
  <c r="BL588" i="1"/>
  <c r="BE588" i="1"/>
  <c r="AX588" i="1"/>
  <c r="AP588" i="1"/>
  <c r="AQ588" i="1" s="1"/>
  <c r="AR588" i="1" s="1"/>
  <c r="BL587" i="1"/>
  <c r="BE587" i="1"/>
  <c r="AX587" i="1"/>
  <c r="AP587" i="1"/>
  <c r="AQ587" i="1" s="1"/>
  <c r="AR587" i="1" s="1"/>
  <c r="BL586" i="1"/>
  <c r="BE586" i="1"/>
  <c r="AX586" i="1"/>
  <c r="AP586" i="1"/>
  <c r="AQ586" i="1" s="1"/>
  <c r="AR586" i="1" s="1"/>
  <c r="BL585" i="1"/>
  <c r="BE585" i="1"/>
  <c r="AX585" i="1"/>
  <c r="AP585" i="1"/>
  <c r="AQ585" i="1" s="1"/>
  <c r="AR585" i="1" s="1"/>
  <c r="BL584" i="1"/>
  <c r="BE584" i="1"/>
  <c r="AX584" i="1"/>
  <c r="AP584" i="1"/>
  <c r="AQ584" i="1" s="1"/>
  <c r="AR584" i="1" s="1"/>
  <c r="BL583" i="1"/>
  <c r="BE583" i="1"/>
  <c r="AX583" i="1"/>
  <c r="AP583" i="1"/>
  <c r="AQ583" i="1" s="1"/>
  <c r="AR583" i="1" s="1"/>
  <c r="BL582" i="1"/>
  <c r="BE582" i="1"/>
  <c r="AX582" i="1"/>
  <c r="AP582" i="1"/>
  <c r="AQ582" i="1" s="1"/>
  <c r="AR582" i="1" s="1"/>
  <c r="BL581" i="1"/>
  <c r="BE581" i="1"/>
  <c r="AX581" i="1"/>
  <c r="AP581" i="1"/>
  <c r="AQ581" i="1" s="1"/>
  <c r="AR581" i="1" s="1"/>
  <c r="BL580" i="1"/>
  <c r="BE580" i="1"/>
  <c r="AX580" i="1"/>
  <c r="AP580" i="1"/>
  <c r="AQ580" i="1" s="1"/>
  <c r="AR580" i="1" s="1"/>
  <c r="BL579" i="1"/>
  <c r="BE579" i="1"/>
  <c r="AX579" i="1"/>
  <c r="AP579" i="1"/>
  <c r="AQ579" i="1" s="1"/>
  <c r="AR579" i="1" s="1"/>
  <c r="BL578" i="1"/>
  <c r="BE578" i="1"/>
  <c r="AX578" i="1"/>
  <c r="AP578" i="1"/>
  <c r="AQ578" i="1" s="1"/>
  <c r="AR578" i="1" s="1"/>
  <c r="BL577" i="1"/>
  <c r="BE577" i="1"/>
  <c r="AX577" i="1"/>
  <c r="AP577" i="1"/>
  <c r="AQ577" i="1" s="1"/>
  <c r="AR577" i="1" s="1"/>
  <c r="BL576" i="1"/>
  <c r="BE576" i="1"/>
  <c r="AX576" i="1"/>
  <c r="AP576" i="1"/>
  <c r="AQ576" i="1" s="1"/>
  <c r="AR576" i="1" s="1"/>
  <c r="BL575" i="1"/>
  <c r="BE575" i="1"/>
  <c r="AX575" i="1"/>
  <c r="AP575" i="1"/>
  <c r="AQ575" i="1" s="1"/>
  <c r="AR575" i="1" s="1"/>
  <c r="BL574" i="1"/>
  <c r="BE574" i="1"/>
  <c r="AX574" i="1"/>
  <c r="AP574" i="1"/>
  <c r="AQ574" i="1" s="1"/>
  <c r="AR574" i="1" s="1"/>
  <c r="BL573" i="1"/>
  <c r="BE573" i="1"/>
  <c r="AX573" i="1"/>
  <c r="AP573" i="1"/>
  <c r="AQ573" i="1" s="1"/>
  <c r="AR573" i="1" s="1"/>
  <c r="BL572" i="1"/>
  <c r="BE572" i="1"/>
  <c r="AX572" i="1"/>
  <c r="AP572" i="1"/>
  <c r="AQ572" i="1" s="1"/>
  <c r="AR572" i="1" s="1"/>
  <c r="BL571" i="1"/>
  <c r="BE571" i="1"/>
  <c r="AX571" i="1"/>
  <c r="AP571" i="1"/>
  <c r="AQ571" i="1" s="1"/>
  <c r="AR571" i="1" s="1"/>
  <c r="BL570" i="1"/>
  <c r="BE570" i="1"/>
  <c r="AX570" i="1"/>
  <c r="AP570" i="1"/>
  <c r="AQ570" i="1" s="1"/>
  <c r="AR570" i="1" s="1"/>
  <c r="BL569" i="1"/>
  <c r="BE569" i="1"/>
  <c r="AX569" i="1"/>
  <c r="AP569" i="1"/>
  <c r="AQ569" i="1" s="1"/>
  <c r="AR569" i="1" s="1"/>
  <c r="BL568" i="1"/>
  <c r="BE568" i="1"/>
  <c r="AX568" i="1"/>
  <c r="AP568" i="1"/>
  <c r="AQ568" i="1" s="1"/>
  <c r="AR568" i="1" s="1"/>
  <c r="BL567" i="1"/>
  <c r="BE567" i="1"/>
  <c r="AX567" i="1"/>
  <c r="AP567" i="1"/>
  <c r="AQ567" i="1" s="1"/>
  <c r="AR567" i="1" s="1"/>
  <c r="BL566" i="1"/>
  <c r="BE566" i="1"/>
  <c r="AX566" i="1"/>
  <c r="AP566" i="1"/>
  <c r="AQ566" i="1" s="1"/>
  <c r="AR566" i="1" s="1"/>
  <c r="BL565" i="1"/>
  <c r="BE565" i="1"/>
  <c r="AX565" i="1"/>
  <c r="AP565" i="1"/>
  <c r="AQ565" i="1" s="1"/>
  <c r="AR565" i="1" s="1"/>
  <c r="BL564" i="1"/>
  <c r="BE564" i="1"/>
  <c r="AX564" i="1"/>
  <c r="AP564" i="1"/>
  <c r="AQ564" i="1" s="1"/>
  <c r="AR564" i="1" s="1"/>
  <c r="BL563" i="1"/>
  <c r="BE563" i="1"/>
  <c r="AX563" i="1"/>
  <c r="AP563" i="1"/>
  <c r="AQ563" i="1" s="1"/>
  <c r="AR563" i="1" s="1"/>
  <c r="BL562" i="1"/>
  <c r="BE562" i="1"/>
  <c r="AX562" i="1"/>
  <c r="AP562" i="1"/>
  <c r="AQ562" i="1" s="1"/>
  <c r="AR562" i="1" s="1"/>
  <c r="BL561" i="1"/>
  <c r="BE561" i="1"/>
  <c r="AX561" i="1"/>
  <c r="AP561" i="1"/>
  <c r="AQ561" i="1" s="1"/>
  <c r="AR561" i="1" s="1"/>
  <c r="BL560" i="1"/>
  <c r="BE560" i="1"/>
  <c r="AX560" i="1"/>
  <c r="AP560" i="1"/>
  <c r="AQ560" i="1" s="1"/>
  <c r="AR560" i="1" s="1"/>
  <c r="BL559" i="1"/>
  <c r="BE559" i="1"/>
  <c r="AX559" i="1"/>
  <c r="AP559" i="1"/>
  <c r="AQ559" i="1" s="1"/>
  <c r="AR559" i="1" s="1"/>
  <c r="BL558" i="1"/>
  <c r="BE558" i="1"/>
  <c r="AX558" i="1"/>
  <c r="AP558" i="1"/>
  <c r="AQ558" i="1" s="1"/>
  <c r="AR558" i="1" s="1"/>
  <c r="BL557" i="1"/>
  <c r="BE557" i="1"/>
  <c r="AX557" i="1"/>
  <c r="AP557" i="1"/>
  <c r="AQ557" i="1" s="1"/>
  <c r="AR557" i="1" s="1"/>
  <c r="BL556" i="1"/>
  <c r="BE556" i="1"/>
  <c r="AX556" i="1"/>
  <c r="AP556" i="1"/>
  <c r="AQ556" i="1" s="1"/>
  <c r="AR556" i="1" s="1"/>
  <c r="BL555" i="1"/>
  <c r="BE555" i="1"/>
  <c r="AX555" i="1"/>
  <c r="AP555" i="1"/>
  <c r="AQ555" i="1" s="1"/>
  <c r="AR555" i="1" s="1"/>
  <c r="BL554" i="1"/>
  <c r="BE554" i="1"/>
  <c r="AX554" i="1"/>
  <c r="AP554" i="1"/>
  <c r="AQ554" i="1" s="1"/>
  <c r="AR554" i="1" s="1"/>
  <c r="BL553" i="1"/>
  <c r="BE553" i="1"/>
  <c r="AX553" i="1"/>
  <c r="AP553" i="1"/>
  <c r="AQ553" i="1" s="1"/>
  <c r="AR553" i="1" s="1"/>
  <c r="BL552" i="1"/>
  <c r="BE552" i="1"/>
  <c r="AX552" i="1"/>
  <c r="AP552" i="1"/>
  <c r="AQ552" i="1" s="1"/>
  <c r="AR552" i="1" s="1"/>
  <c r="BL551" i="1"/>
  <c r="BE551" i="1"/>
  <c r="AX551" i="1"/>
  <c r="AP551" i="1"/>
  <c r="AQ551" i="1" s="1"/>
  <c r="AR551" i="1" s="1"/>
  <c r="BL550" i="1"/>
  <c r="BE550" i="1"/>
  <c r="AX550" i="1"/>
  <c r="AP550" i="1"/>
  <c r="AQ550" i="1" s="1"/>
  <c r="AR550" i="1" s="1"/>
  <c r="BL549" i="1"/>
  <c r="BE549" i="1"/>
  <c r="AX549" i="1"/>
  <c r="AP549" i="1"/>
  <c r="AQ549" i="1" s="1"/>
  <c r="AR549" i="1" s="1"/>
  <c r="BL548" i="1"/>
  <c r="BE548" i="1"/>
  <c r="AX548" i="1"/>
  <c r="AP548" i="1"/>
  <c r="AQ548" i="1" s="1"/>
  <c r="AR548" i="1" s="1"/>
  <c r="BL547" i="1"/>
  <c r="BE547" i="1"/>
  <c r="AX547" i="1"/>
  <c r="AP547" i="1"/>
  <c r="AQ547" i="1" s="1"/>
  <c r="AR547" i="1" s="1"/>
  <c r="BL546" i="1"/>
  <c r="BE546" i="1"/>
  <c r="AX546" i="1"/>
  <c r="AP546" i="1"/>
  <c r="AQ546" i="1" s="1"/>
  <c r="AR546" i="1" s="1"/>
  <c r="BL545" i="1"/>
  <c r="BE545" i="1"/>
  <c r="AX545" i="1"/>
  <c r="AP545" i="1"/>
  <c r="AQ545" i="1" s="1"/>
  <c r="AR545" i="1" s="1"/>
  <c r="BL544" i="1"/>
  <c r="BE544" i="1"/>
  <c r="AX544" i="1"/>
  <c r="AP544" i="1"/>
  <c r="AQ544" i="1" s="1"/>
  <c r="AR544" i="1" s="1"/>
  <c r="BL543" i="1"/>
  <c r="BE543" i="1"/>
  <c r="AX543" i="1"/>
  <c r="AP543" i="1"/>
  <c r="AQ543" i="1" s="1"/>
  <c r="AR543" i="1" s="1"/>
  <c r="BL542" i="1"/>
  <c r="BE542" i="1"/>
  <c r="AX542" i="1"/>
  <c r="AP542" i="1"/>
  <c r="AQ542" i="1" s="1"/>
  <c r="AR542" i="1" s="1"/>
  <c r="BL541" i="1"/>
  <c r="BE541" i="1"/>
  <c r="AX541" i="1"/>
  <c r="AP541" i="1"/>
  <c r="AQ541" i="1" s="1"/>
  <c r="AR541" i="1" s="1"/>
  <c r="BL540" i="1"/>
  <c r="BE540" i="1"/>
  <c r="AX540" i="1"/>
  <c r="AP540" i="1"/>
  <c r="AQ540" i="1" s="1"/>
  <c r="AR540" i="1" s="1"/>
  <c r="BL539" i="1"/>
  <c r="BE539" i="1"/>
  <c r="AX539" i="1"/>
  <c r="AP539" i="1"/>
  <c r="AQ539" i="1" s="1"/>
  <c r="AR539" i="1" s="1"/>
  <c r="BL538" i="1"/>
  <c r="BE538" i="1"/>
  <c r="AX538" i="1"/>
  <c r="AP538" i="1"/>
  <c r="AQ538" i="1" s="1"/>
  <c r="AR538" i="1" s="1"/>
  <c r="BL537" i="1"/>
  <c r="BE537" i="1"/>
  <c r="AX537" i="1"/>
  <c r="AP537" i="1"/>
  <c r="AQ537" i="1" s="1"/>
  <c r="AR537" i="1" s="1"/>
  <c r="BL536" i="1"/>
  <c r="BE536" i="1"/>
  <c r="AX536" i="1"/>
  <c r="AP536" i="1"/>
  <c r="AQ536" i="1" s="1"/>
  <c r="AR536" i="1" s="1"/>
  <c r="BL535" i="1"/>
  <c r="BE535" i="1"/>
  <c r="AX535" i="1"/>
  <c r="AP535" i="1"/>
  <c r="AQ535" i="1" s="1"/>
  <c r="AR535" i="1" s="1"/>
  <c r="BL534" i="1"/>
  <c r="BE534" i="1"/>
  <c r="AX534" i="1"/>
  <c r="AP534" i="1"/>
  <c r="AQ534" i="1" s="1"/>
  <c r="AR534" i="1" s="1"/>
  <c r="BL533" i="1"/>
  <c r="BE533" i="1"/>
  <c r="AX533" i="1"/>
  <c r="AP533" i="1"/>
  <c r="AQ533" i="1" s="1"/>
  <c r="AR533" i="1" s="1"/>
  <c r="BL532" i="1"/>
  <c r="BE532" i="1"/>
  <c r="AX532" i="1"/>
  <c r="AP532" i="1"/>
  <c r="AQ532" i="1" s="1"/>
  <c r="AR532" i="1" s="1"/>
  <c r="BL531" i="1"/>
  <c r="BE531" i="1"/>
  <c r="AX531" i="1"/>
  <c r="AP531" i="1"/>
  <c r="AQ531" i="1" s="1"/>
  <c r="AR531" i="1" s="1"/>
  <c r="BL530" i="1"/>
  <c r="BE530" i="1"/>
  <c r="AX530" i="1"/>
  <c r="AP530" i="1"/>
  <c r="AQ530" i="1" s="1"/>
  <c r="AR530" i="1" s="1"/>
  <c r="BL529" i="1"/>
  <c r="BE529" i="1"/>
  <c r="AX529" i="1"/>
  <c r="AP529" i="1"/>
  <c r="AQ529" i="1" s="1"/>
  <c r="AR529" i="1" s="1"/>
  <c r="BL528" i="1"/>
  <c r="BE528" i="1"/>
  <c r="AX528" i="1"/>
  <c r="AP528" i="1"/>
  <c r="AQ528" i="1" s="1"/>
  <c r="AR528" i="1" s="1"/>
  <c r="BL527" i="1"/>
  <c r="BE527" i="1"/>
  <c r="AX527" i="1"/>
  <c r="AP527" i="1"/>
  <c r="AQ527" i="1" s="1"/>
  <c r="AR527" i="1" s="1"/>
  <c r="BL526" i="1"/>
  <c r="BE526" i="1"/>
  <c r="AX526" i="1"/>
  <c r="AP526" i="1"/>
  <c r="AQ526" i="1" s="1"/>
  <c r="AR526" i="1" s="1"/>
  <c r="BL525" i="1"/>
  <c r="BE525" i="1"/>
  <c r="AX525" i="1"/>
  <c r="AP525" i="1"/>
  <c r="AQ525" i="1" s="1"/>
  <c r="AR525" i="1" s="1"/>
  <c r="BL524" i="1"/>
  <c r="BE524" i="1"/>
  <c r="AX524" i="1"/>
  <c r="AP524" i="1"/>
  <c r="AQ524" i="1" s="1"/>
  <c r="AR524" i="1" s="1"/>
  <c r="BL462" i="1"/>
  <c r="BL297" i="1"/>
  <c r="BL296" i="1"/>
  <c r="BL295" i="1"/>
  <c r="BL294" i="1"/>
  <c r="BL293" i="1"/>
  <c r="BL289" i="1"/>
  <c r="BL288" i="1"/>
  <c r="BL287" i="1"/>
  <c r="BL286" i="1"/>
  <c r="BL284" i="1"/>
  <c r="BL283" i="1"/>
  <c r="BL281" i="1"/>
  <c r="BL280" i="1"/>
  <c r="BL279" i="1"/>
  <c r="BL277" i="1"/>
  <c r="BL276" i="1"/>
  <c r="BL275" i="1"/>
  <c r="BL274" i="1"/>
  <c r="BL273" i="1"/>
  <c r="BL271" i="1"/>
  <c r="BL270" i="1"/>
  <c r="BL269" i="1"/>
  <c r="BL268" i="1"/>
  <c r="BL265" i="1"/>
  <c r="BL262" i="1"/>
  <c r="BL261" i="1"/>
  <c r="BL260" i="1"/>
  <c r="BL259" i="1"/>
  <c r="BL258" i="1"/>
  <c r="BL253" i="1"/>
  <c r="BL252" i="1"/>
  <c r="BL250" i="1"/>
  <c r="BL247" i="1"/>
  <c r="BL245" i="1"/>
  <c r="BL241" i="1"/>
  <c r="BL240" i="1"/>
  <c r="BL239" i="1"/>
  <c r="BL238" i="1"/>
  <c r="BL235" i="1"/>
  <c r="BL234" i="1"/>
  <c r="BL233" i="1"/>
  <c r="BL229" i="1"/>
  <c r="BL227" i="1"/>
  <c r="BL224" i="1"/>
  <c r="BL223" i="1"/>
  <c r="BL221" i="1"/>
  <c r="BL216" i="1"/>
  <c r="BL214" i="1"/>
  <c r="BL211" i="1"/>
  <c r="BL209" i="1"/>
  <c r="BL207" i="1"/>
  <c r="BL206" i="1"/>
  <c r="BL204" i="1"/>
  <c r="BL202" i="1"/>
  <c r="BL200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AF6" i="1"/>
  <c r="AV999" i="1"/>
  <c r="AF999" i="1"/>
  <c r="AM999" i="1" s="1"/>
  <c r="BM999" i="1"/>
  <c r="BJ999" i="1"/>
  <c r="BF999" i="1"/>
  <c r="BG999" i="1" s="1"/>
  <c r="BH999" i="1" s="1"/>
  <c r="BI999" i="1"/>
  <c r="BB999" i="1"/>
  <c r="BA999" i="1"/>
  <c r="AS999" i="1"/>
  <c r="AO999" i="1"/>
  <c r="AU999" i="1" s="1"/>
  <c r="AW999" i="1"/>
  <c r="AT999" i="1"/>
  <c r="AH999" i="1"/>
  <c r="AI999" i="1" s="1"/>
  <c r="AJ999" i="1" s="1"/>
  <c r="AG999" i="1"/>
  <c r="AV998" i="1"/>
  <c r="AF998" i="1"/>
  <c r="AM998" i="1" s="1"/>
  <c r="BM998" i="1"/>
  <c r="BN998" i="1" s="1"/>
  <c r="BF998" i="1"/>
  <c r="BG998" i="1" s="1"/>
  <c r="BH998" i="1" s="1"/>
  <c r="BI998" i="1"/>
  <c r="BJ998" i="1"/>
  <c r="AW998" i="1"/>
  <c r="BA998" i="1"/>
  <c r="BB998" i="1"/>
  <c r="AT998" i="1"/>
  <c r="AS998" i="1"/>
  <c r="AO998" i="1"/>
  <c r="AU998" i="1" s="1"/>
  <c r="AH998" i="1"/>
  <c r="AI998" i="1" s="1"/>
  <c r="AJ998" i="1" s="1"/>
  <c r="AG998" i="1"/>
  <c r="AV997" i="1"/>
  <c r="AF997" i="1"/>
  <c r="AM997" i="1" s="1"/>
  <c r="BM997" i="1"/>
  <c r="BJ997" i="1"/>
  <c r="BF997" i="1"/>
  <c r="BG997" i="1" s="1"/>
  <c r="BH997" i="1" s="1"/>
  <c r="BI997" i="1"/>
  <c r="BB997" i="1"/>
  <c r="AW997" i="1"/>
  <c r="AS997" i="1"/>
  <c r="AO997" i="1"/>
  <c r="AU997" i="1" s="1"/>
  <c r="BA997" i="1"/>
  <c r="AT997" i="1"/>
  <c r="AH997" i="1"/>
  <c r="AI997" i="1" s="1"/>
  <c r="AJ997" i="1" s="1"/>
  <c r="AG997" i="1"/>
  <c r="AV996" i="1"/>
  <c r="AF996" i="1"/>
  <c r="AM996" i="1" s="1"/>
  <c r="BM996" i="1"/>
  <c r="BN996" i="1" s="1"/>
  <c r="BF996" i="1"/>
  <c r="BG996" i="1" s="1"/>
  <c r="BH996" i="1" s="1"/>
  <c r="BI996" i="1"/>
  <c r="BJ996" i="1"/>
  <c r="AW996" i="1"/>
  <c r="BA996" i="1"/>
  <c r="AT996" i="1"/>
  <c r="BB996" i="1"/>
  <c r="AS996" i="1"/>
  <c r="AO996" i="1"/>
  <c r="AU996" i="1" s="1"/>
  <c r="AH996" i="1"/>
  <c r="AI996" i="1" s="1"/>
  <c r="AJ996" i="1" s="1"/>
  <c r="AG996" i="1"/>
  <c r="AV995" i="1"/>
  <c r="AF995" i="1"/>
  <c r="AM995" i="1" s="1"/>
  <c r="BM995" i="1"/>
  <c r="BN995" i="1" s="1"/>
  <c r="BJ995" i="1"/>
  <c r="BF995" i="1"/>
  <c r="BG995" i="1" s="1"/>
  <c r="BH995" i="1" s="1"/>
  <c r="BI995" i="1"/>
  <c r="BB995" i="1"/>
  <c r="BA995" i="1"/>
  <c r="AS995" i="1"/>
  <c r="AO995" i="1"/>
  <c r="AU995" i="1" s="1"/>
  <c r="AW995" i="1"/>
  <c r="AT995" i="1"/>
  <c r="AG995" i="1"/>
  <c r="AH995" i="1"/>
  <c r="AI995" i="1" s="1"/>
  <c r="AJ995" i="1" s="1"/>
  <c r="AV994" i="1"/>
  <c r="AF994" i="1"/>
  <c r="AM994" i="1" s="1"/>
  <c r="BM994" i="1"/>
  <c r="BN994" i="1" s="1"/>
  <c r="BF994" i="1"/>
  <c r="BG994" i="1" s="1"/>
  <c r="BH994" i="1" s="1"/>
  <c r="BI994" i="1"/>
  <c r="BJ994" i="1"/>
  <c r="AW994" i="1"/>
  <c r="BA994" i="1"/>
  <c r="BB994" i="1"/>
  <c r="AT994" i="1"/>
  <c r="AS994" i="1"/>
  <c r="AO994" i="1"/>
  <c r="AU994" i="1" s="1"/>
  <c r="AH994" i="1"/>
  <c r="AI994" i="1" s="1"/>
  <c r="AJ994" i="1" s="1"/>
  <c r="AG994" i="1"/>
  <c r="AV993" i="1"/>
  <c r="AF993" i="1"/>
  <c r="AM993" i="1" s="1"/>
  <c r="BM993" i="1"/>
  <c r="BJ993" i="1"/>
  <c r="BF993" i="1"/>
  <c r="BG993" i="1" s="1"/>
  <c r="BH993" i="1" s="1"/>
  <c r="BI993" i="1"/>
  <c r="BB993" i="1"/>
  <c r="AW993" i="1"/>
  <c r="AS993" i="1"/>
  <c r="AO993" i="1"/>
  <c r="AU993" i="1" s="1"/>
  <c r="BA993" i="1"/>
  <c r="AT993" i="1"/>
  <c r="AG993" i="1"/>
  <c r="AH993" i="1"/>
  <c r="AI993" i="1" s="1"/>
  <c r="AJ993" i="1" s="1"/>
  <c r="AV992" i="1"/>
  <c r="AF992" i="1"/>
  <c r="AM992" i="1" s="1"/>
  <c r="BM992" i="1"/>
  <c r="BN992" i="1" s="1"/>
  <c r="BF992" i="1"/>
  <c r="BG992" i="1" s="1"/>
  <c r="BH992" i="1" s="1"/>
  <c r="BI992" i="1"/>
  <c r="BJ992" i="1"/>
  <c r="AW992" i="1"/>
  <c r="BA992" i="1"/>
  <c r="AT992" i="1"/>
  <c r="BB992" i="1"/>
  <c r="AS992" i="1"/>
  <c r="AO992" i="1"/>
  <c r="AU992" i="1" s="1"/>
  <c r="AH992" i="1"/>
  <c r="AI992" i="1" s="1"/>
  <c r="AJ992" i="1" s="1"/>
  <c r="AG992" i="1"/>
  <c r="AV991" i="1"/>
  <c r="AF991" i="1"/>
  <c r="AM991" i="1" s="1"/>
  <c r="BM991" i="1"/>
  <c r="BN991" i="1" s="1"/>
  <c r="BJ991" i="1"/>
  <c r="BF991" i="1"/>
  <c r="BG991" i="1" s="1"/>
  <c r="BH991" i="1" s="1"/>
  <c r="BI991" i="1"/>
  <c r="BB991" i="1"/>
  <c r="BA991" i="1"/>
  <c r="AS991" i="1"/>
  <c r="AO991" i="1"/>
  <c r="AU991" i="1" s="1"/>
  <c r="AW991" i="1"/>
  <c r="AT991" i="1"/>
  <c r="AH991" i="1"/>
  <c r="AI991" i="1" s="1"/>
  <c r="AJ991" i="1" s="1"/>
  <c r="AG991" i="1"/>
  <c r="AV990" i="1"/>
  <c r="AF990" i="1"/>
  <c r="AM990" i="1" s="1"/>
  <c r="BM990" i="1"/>
  <c r="BN990" i="1" s="1"/>
  <c r="BF990" i="1"/>
  <c r="BG990" i="1" s="1"/>
  <c r="BH990" i="1" s="1"/>
  <c r="BI990" i="1"/>
  <c r="BJ990" i="1"/>
  <c r="AW990" i="1"/>
  <c r="BA990" i="1"/>
  <c r="BB990" i="1"/>
  <c r="AT990" i="1"/>
  <c r="AS990" i="1"/>
  <c r="AO990" i="1"/>
  <c r="AU990" i="1" s="1"/>
  <c r="AH990" i="1"/>
  <c r="AI990" i="1" s="1"/>
  <c r="AJ990" i="1" s="1"/>
  <c r="AG990" i="1"/>
  <c r="AV989" i="1"/>
  <c r="AF989" i="1"/>
  <c r="AM989" i="1" s="1"/>
  <c r="BM989" i="1"/>
  <c r="BJ989" i="1"/>
  <c r="BF989" i="1"/>
  <c r="BG989" i="1" s="1"/>
  <c r="BH989" i="1" s="1"/>
  <c r="BI989" i="1"/>
  <c r="BB989" i="1"/>
  <c r="AW989" i="1"/>
  <c r="AS989" i="1"/>
  <c r="AO989" i="1"/>
  <c r="AU989" i="1" s="1"/>
  <c r="BA989" i="1"/>
  <c r="AT989" i="1"/>
  <c r="AG989" i="1"/>
  <c r="AH989" i="1"/>
  <c r="AI989" i="1" s="1"/>
  <c r="AJ989" i="1" s="1"/>
  <c r="AV988" i="1"/>
  <c r="AF988" i="1"/>
  <c r="AM988" i="1" s="1"/>
  <c r="BM988" i="1"/>
  <c r="BN988" i="1" s="1"/>
  <c r="BF988" i="1"/>
  <c r="BG988" i="1" s="1"/>
  <c r="BH988" i="1" s="1"/>
  <c r="BI988" i="1"/>
  <c r="BJ988" i="1"/>
  <c r="AW988" i="1"/>
  <c r="BA988" i="1"/>
  <c r="AT988" i="1"/>
  <c r="BB988" i="1"/>
  <c r="AS988" i="1"/>
  <c r="AO988" i="1"/>
  <c r="AU988" i="1" s="1"/>
  <c r="AH988" i="1"/>
  <c r="AI988" i="1" s="1"/>
  <c r="AJ988" i="1" s="1"/>
  <c r="AG988" i="1"/>
  <c r="AV987" i="1"/>
  <c r="AF987" i="1"/>
  <c r="AM987" i="1" s="1"/>
  <c r="BM987" i="1"/>
  <c r="BJ987" i="1"/>
  <c r="BF987" i="1"/>
  <c r="BG987" i="1" s="1"/>
  <c r="BH987" i="1" s="1"/>
  <c r="BI987" i="1"/>
  <c r="BB987" i="1"/>
  <c r="BA987" i="1"/>
  <c r="AS987" i="1"/>
  <c r="AO987" i="1"/>
  <c r="AU987" i="1" s="1"/>
  <c r="AW987" i="1"/>
  <c r="AT987" i="1"/>
  <c r="AH987" i="1"/>
  <c r="AI987" i="1" s="1"/>
  <c r="AJ987" i="1" s="1"/>
  <c r="AG987" i="1"/>
  <c r="AV986" i="1"/>
  <c r="AF986" i="1"/>
  <c r="AM986" i="1" s="1"/>
  <c r="BM986" i="1"/>
  <c r="BN986" i="1" s="1"/>
  <c r="BF986" i="1"/>
  <c r="BG986" i="1" s="1"/>
  <c r="BH986" i="1" s="1"/>
  <c r="BI986" i="1"/>
  <c r="BJ986" i="1"/>
  <c r="AW986" i="1"/>
  <c r="BA986" i="1"/>
  <c r="BB986" i="1"/>
  <c r="AT986" i="1"/>
  <c r="AS986" i="1"/>
  <c r="AO986" i="1"/>
  <c r="AU986" i="1" s="1"/>
  <c r="AH986" i="1"/>
  <c r="AI986" i="1" s="1"/>
  <c r="AJ986" i="1" s="1"/>
  <c r="AG986" i="1"/>
  <c r="AV985" i="1"/>
  <c r="AF985" i="1"/>
  <c r="AM985" i="1" s="1"/>
  <c r="BM985" i="1"/>
  <c r="BN985" i="1" s="1"/>
  <c r="BJ985" i="1"/>
  <c r="BF985" i="1"/>
  <c r="BG985" i="1" s="1"/>
  <c r="BH985" i="1" s="1"/>
  <c r="BI985" i="1"/>
  <c r="BB985" i="1"/>
  <c r="AW985" i="1"/>
  <c r="AS985" i="1"/>
  <c r="AO985" i="1"/>
  <c r="AU985" i="1" s="1"/>
  <c r="BA985" i="1"/>
  <c r="AT985" i="1"/>
  <c r="AG985" i="1"/>
  <c r="AH985" i="1"/>
  <c r="AI985" i="1" s="1"/>
  <c r="AJ985" i="1" s="1"/>
  <c r="AV984" i="1"/>
  <c r="AF984" i="1"/>
  <c r="AM984" i="1" s="1"/>
  <c r="BM984" i="1"/>
  <c r="BN984" i="1" s="1"/>
  <c r="BF984" i="1"/>
  <c r="BG984" i="1" s="1"/>
  <c r="BH984" i="1" s="1"/>
  <c r="BI984" i="1"/>
  <c r="BJ984" i="1"/>
  <c r="AW984" i="1"/>
  <c r="BA984" i="1"/>
  <c r="AT984" i="1"/>
  <c r="BB984" i="1"/>
  <c r="AS984" i="1"/>
  <c r="AO984" i="1"/>
  <c r="AU984" i="1" s="1"/>
  <c r="AH984" i="1"/>
  <c r="AI984" i="1" s="1"/>
  <c r="AJ984" i="1" s="1"/>
  <c r="AG984" i="1"/>
  <c r="AV983" i="1"/>
  <c r="AF983" i="1"/>
  <c r="AM983" i="1" s="1"/>
  <c r="BM983" i="1"/>
  <c r="BN983" i="1" s="1"/>
  <c r="BJ983" i="1"/>
  <c r="BF983" i="1"/>
  <c r="BG983" i="1" s="1"/>
  <c r="BH983" i="1" s="1"/>
  <c r="BI983" i="1"/>
  <c r="BB983" i="1"/>
  <c r="BA983" i="1"/>
  <c r="AS983" i="1"/>
  <c r="AO983" i="1"/>
  <c r="AU983" i="1" s="1"/>
  <c r="AW983" i="1"/>
  <c r="AT983" i="1"/>
  <c r="AH983" i="1"/>
  <c r="AI983" i="1" s="1"/>
  <c r="AJ983" i="1" s="1"/>
  <c r="AG983" i="1"/>
  <c r="AV982" i="1"/>
  <c r="AF982" i="1"/>
  <c r="AM982" i="1" s="1"/>
  <c r="BM982" i="1"/>
  <c r="BN982" i="1" s="1"/>
  <c r="BF982" i="1"/>
  <c r="BG982" i="1" s="1"/>
  <c r="BH982" i="1" s="1"/>
  <c r="BI982" i="1"/>
  <c r="BJ982" i="1"/>
  <c r="AW982" i="1"/>
  <c r="BA982" i="1"/>
  <c r="BB982" i="1"/>
  <c r="AT982" i="1"/>
  <c r="AS982" i="1"/>
  <c r="AO982" i="1"/>
  <c r="AU982" i="1" s="1"/>
  <c r="AH982" i="1"/>
  <c r="AI982" i="1" s="1"/>
  <c r="AJ982" i="1" s="1"/>
  <c r="AG982" i="1"/>
  <c r="AV981" i="1"/>
  <c r="AF981" i="1"/>
  <c r="AM981" i="1" s="1"/>
  <c r="BM981" i="1"/>
  <c r="BJ981" i="1"/>
  <c r="BF981" i="1"/>
  <c r="BG981" i="1" s="1"/>
  <c r="BH981" i="1" s="1"/>
  <c r="BI981" i="1"/>
  <c r="BB981" i="1"/>
  <c r="AW981" i="1"/>
  <c r="AS981" i="1"/>
  <c r="AO981" i="1"/>
  <c r="AU981" i="1" s="1"/>
  <c r="BA981" i="1"/>
  <c r="AT981" i="1"/>
  <c r="AH981" i="1"/>
  <c r="AI981" i="1" s="1"/>
  <c r="AJ981" i="1" s="1"/>
  <c r="AG981" i="1"/>
  <c r="AV980" i="1"/>
  <c r="AF980" i="1"/>
  <c r="AM980" i="1" s="1"/>
  <c r="BM980" i="1"/>
  <c r="BN980" i="1" s="1"/>
  <c r="BF980" i="1"/>
  <c r="BG980" i="1" s="1"/>
  <c r="BH980" i="1" s="1"/>
  <c r="BI980" i="1"/>
  <c r="BJ980" i="1"/>
  <c r="AW980" i="1"/>
  <c r="BA980" i="1"/>
  <c r="AT980" i="1"/>
  <c r="BB980" i="1"/>
  <c r="AS980" i="1"/>
  <c r="AO980" i="1"/>
  <c r="AU980" i="1" s="1"/>
  <c r="AH980" i="1"/>
  <c r="AI980" i="1" s="1"/>
  <c r="AJ980" i="1" s="1"/>
  <c r="AG980" i="1"/>
  <c r="AV979" i="1"/>
  <c r="AF979" i="1"/>
  <c r="AM979" i="1" s="1"/>
  <c r="BM979" i="1"/>
  <c r="BJ979" i="1"/>
  <c r="BF979" i="1"/>
  <c r="BG979" i="1" s="1"/>
  <c r="BH979" i="1" s="1"/>
  <c r="BI979" i="1"/>
  <c r="BB979" i="1"/>
  <c r="BA979" i="1"/>
  <c r="AS979" i="1"/>
  <c r="AO979" i="1"/>
  <c r="AU979" i="1" s="1"/>
  <c r="AW979" i="1"/>
  <c r="AT979" i="1"/>
  <c r="AH979" i="1"/>
  <c r="AI979" i="1" s="1"/>
  <c r="AJ979" i="1" s="1"/>
  <c r="AG979" i="1"/>
  <c r="AV978" i="1"/>
  <c r="AF978" i="1"/>
  <c r="AM978" i="1" s="1"/>
  <c r="BM978" i="1"/>
  <c r="BN978" i="1" s="1"/>
  <c r="BF978" i="1"/>
  <c r="BG978" i="1" s="1"/>
  <c r="BH978" i="1" s="1"/>
  <c r="BI978" i="1"/>
  <c r="BJ978" i="1"/>
  <c r="AW978" i="1"/>
  <c r="BA978" i="1"/>
  <c r="BB978" i="1"/>
  <c r="AT978" i="1"/>
  <c r="AS978" i="1"/>
  <c r="AO978" i="1"/>
  <c r="AU978" i="1" s="1"/>
  <c r="AH978" i="1"/>
  <c r="AI978" i="1" s="1"/>
  <c r="AJ978" i="1" s="1"/>
  <c r="AG978" i="1"/>
  <c r="AV977" i="1"/>
  <c r="AF977" i="1"/>
  <c r="AM977" i="1" s="1"/>
  <c r="BM977" i="1"/>
  <c r="BN977" i="1" s="1"/>
  <c r="BJ977" i="1"/>
  <c r="BF977" i="1"/>
  <c r="BG977" i="1" s="1"/>
  <c r="BH977" i="1" s="1"/>
  <c r="BI977" i="1"/>
  <c r="BB977" i="1"/>
  <c r="AW977" i="1"/>
  <c r="AS977" i="1"/>
  <c r="AO977" i="1"/>
  <c r="AU977" i="1" s="1"/>
  <c r="BA977" i="1"/>
  <c r="AT977" i="1"/>
  <c r="AG977" i="1"/>
  <c r="AH977" i="1"/>
  <c r="AI977" i="1" s="1"/>
  <c r="AJ977" i="1" s="1"/>
  <c r="AV976" i="1"/>
  <c r="AF976" i="1"/>
  <c r="AM976" i="1" s="1"/>
  <c r="BM976" i="1"/>
  <c r="BN976" i="1" s="1"/>
  <c r="BF976" i="1"/>
  <c r="BG976" i="1" s="1"/>
  <c r="BH976" i="1" s="1"/>
  <c r="BI976" i="1"/>
  <c r="BJ976" i="1"/>
  <c r="AW976" i="1"/>
  <c r="BA976" i="1"/>
  <c r="AT976" i="1"/>
  <c r="BB976" i="1"/>
  <c r="AS976" i="1"/>
  <c r="AO976" i="1"/>
  <c r="AU976" i="1" s="1"/>
  <c r="AH976" i="1"/>
  <c r="AI976" i="1" s="1"/>
  <c r="AJ976" i="1" s="1"/>
  <c r="AG976" i="1"/>
  <c r="AV975" i="1"/>
  <c r="AF975" i="1"/>
  <c r="AM975" i="1" s="1"/>
  <c r="BM975" i="1"/>
  <c r="BJ975" i="1"/>
  <c r="BF975" i="1"/>
  <c r="BG975" i="1" s="1"/>
  <c r="BH975" i="1" s="1"/>
  <c r="BI975" i="1"/>
  <c r="BB975" i="1"/>
  <c r="BA975" i="1"/>
  <c r="AS975" i="1"/>
  <c r="AO975" i="1"/>
  <c r="AU975" i="1" s="1"/>
  <c r="AW975" i="1"/>
  <c r="AT975" i="1"/>
  <c r="AH975" i="1"/>
  <c r="AI975" i="1" s="1"/>
  <c r="AJ975" i="1" s="1"/>
  <c r="AG975" i="1"/>
  <c r="AV974" i="1"/>
  <c r="AF974" i="1"/>
  <c r="AM974" i="1" s="1"/>
  <c r="BM974" i="1"/>
  <c r="BN974" i="1" s="1"/>
  <c r="BF974" i="1"/>
  <c r="BG974" i="1" s="1"/>
  <c r="BH974" i="1" s="1"/>
  <c r="BI974" i="1"/>
  <c r="BJ974" i="1"/>
  <c r="AW974" i="1"/>
  <c r="BA974" i="1"/>
  <c r="BB974" i="1"/>
  <c r="AT974" i="1"/>
  <c r="AS974" i="1"/>
  <c r="AO974" i="1"/>
  <c r="AU974" i="1" s="1"/>
  <c r="AH974" i="1"/>
  <c r="AI974" i="1" s="1"/>
  <c r="AJ974" i="1" s="1"/>
  <c r="AG974" i="1"/>
  <c r="AV973" i="1"/>
  <c r="AF973" i="1"/>
  <c r="AM973" i="1" s="1"/>
  <c r="BM973" i="1"/>
  <c r="BN973" i="1" s="1"/>
  <c r="BJ973" i="1"/>
  <c r="BF973" i="1"/>
  <c r="BG973" i="1" s="1"/>
  <c r="BH973" i="1" s="1"/>
  <c r="BI973" i="1"/>
  <c r="BB973" i="1"/>
  <c r="AW973" i="1"/>
  <c r="AS973" i="1"/>
  <c r="AO973" i="1"/>
  <c r="AU973" i="1" s="1"/>
  <c r="BA973" i="1"/>
  <c r="AT973" i="1"/>
  <c r="AG973" i="1"/>
  <c r="AH973" i="1"/>
  <c r="AI973" i="1" s="1"/>
  <c r="AJ973" i="1" s="1"/>
  <c r="AV972" i="1"/>
  <c r="AF972" i="1"/>
  <c r="AM972" i="1" s="1"/>
  <c r="BM972" i="1"/>
  <c r="BN972" i="1" s="1"/>
  <c r="BF972" i="1"/>
  <c r="BG972" i="1" s="1"/>
  <c r="BH972" i="1" s="1"/>
  <c r="BI972" i="1"/>
  <c r="BJ972" i="1"/>
  <c r="AW972" i="1"/>
  <c r="BA972" i="1"/>
  <c r="AT972" i="1"/>
  <c r="BB972" i="1"/>
  <c r="AS972" i="1"/>
  <c r="AO972" i="1"/>
  <c r="AU972" i="1" s="1"/>
  <c r="AH972" i="1"/>
  <c r="AI972" i="1" s="1"/>
  <c r="AJ972" i="1" s="1"/>
  <c r="AG972" i="1"/>
  <c r="AV971" i="1"/>
  <c r="AF971" i="1"/>
  <c r="AM971" i="1" s="1"/>
  <c r="BM971" i="1"/>
  <c r="BN971" i="1" s="1"/>
  <c r="BJ971" i="1"/>
  <c r="BF971" i="1"/>
  <c r="BG971" i="1" s="1"/>
  <c r="BH971" i="1" s="1"/>
  <c r="BI971" i="1"/>
  <c r="BB971" i="1"/>
  <c r="BA971" i="1"/>
  <c r="AS971" i="1"/>
  <c r="AO971" i="1"/>
  <c r="AU971" i="1" s="1"/>
  <c r="AW971" i="1"/>
  <c r="AT971" i="1"/>
  <c r="AH971" i="1"/>
  <c r="AI971" i="1" s="1"/>
  <c r="AJ971" i="1" s="1"/>
  <c r="AG971" i="1"/>
  <c r="AV970" i="1"/>
  <c r="AF970" i="1"/>
  <c r="AM970" i="1" s="1"/>
  <c r="BM970" i="1"/>
  <c r="BN970" i="1" s="1"/>
  <c r="BF970" i="1"/>
  <c r="BG970" i="1" s="1"/>
  <c r="BH970" i="1" s="1"/>
  <c r="BI970" i="1"/>
  <c r="BJ970" i="1"/>
  <c r="AW970" i="1"/>
  <c r="BA970" i="1"/>
  <c r="BB970" i="1"/>
  <c r="AT970" i="1"/>
  <c r="AS970" i="1"/>
  <c r="AO970" i="1"/>
  <c r="AU970" i="1" s="1"/>
  <c r="AH970" i="1"/>
  <c r="AI970" i="1" s="1"/>
  <c r="AJ970" i="1" s="1"/>
  <c r="AG970" i="1"/>
  <c r="AV969" i="1"/>
  <c r="AF969" i="1"/>
  <c r="AM969" i="1" s="1"/>
  <c r="BM969" i="1"/>
  <c r="BJ969" i="1"/>
  <c r="BF969" i="1"/>
  <c r="BG969" i="1" s="1"/>
  <c r="BH969" i="1" s="1"/>
  <c r="BI969" i="1"/>
  <c r="BB969" i="1"/>
  <c r="AW969" i="1"/>
  <c r="AS969" i="1"/>
  <c r="AO969" i="1"/>
  <c r="AU969" i="1" s="1"/>
  <c r="BA969" i="1"/>
  <c r="AT969" i="1"/>
  <c r="AH969" i="1"/>
  <c r="AI969" i="1" s="1"/>
  <c r="AJ969" i="1" s="1"/>
  <c r="AG969" i="1"/>
  <c r="AV968" i="1"/>
  <c r="AF968" i="1"/>
  <c r="AM968" i="1" s="1"/>
  <c r="BM968" i="1"/>
  <c r="BN968" i="1" s="1"/>
  <c r="BF968" i="1"/>
  <c r="BG968" i="1" s="1"/>
  <c r="BH968" i="1" s="1"/>
  <c r="BI968" i="1"/>
  <c r="BJ968" i="1"/>
  <c r="AW968" i="1"/>
  <c r="BA968" i="1"/>
  <c r="AT968" i="1"/>
  <c r="BB968" i="1"/>
  <c r="AS968" i="1"/>
  <c r="AO968" i="1"/>
  <c r="AU968" i="1" s="1"/>
  <c r="AH968" i="1"/>
  <c r="AI968" i="1" s="1"/>
  <c r="AJ968" i="1" s="1"/>
  <c r="AG968" i="1"/>
  <c r="AV967" i="1"/>
  <c r="AF967" i="1"/>
  <c r="AM967" i="1" s="1"/>
  <c r="BM967" i="1"/>
  <c r="BJ967" i="1"/>
  <c r="BF967" i="1"/>
  <c r="BG967" i="1" s="1"/>
  <c r="BH967" i="1" s="1"/>
  <c r="BI967" i="1"/>
  <c r="BB967" i="1"/>
  <c r="BA967" i="1"/>
  <c r="AS967" i="1"/>
  <c r="AO967" i="1"/>
  <c r="AU967" i="1" s="1"/>
  <c r="AW967" i="1"/>
  <c r="AT967" i="1"/>
  <c r="AG967" i="1"/>
  <c r="AH967" i="1"/>
  <c r="AI967" i="1" s="1"/>
  <c r="AJ967" i="1" s="1"/>
  <c r="AV966" i="1"/>
  <c r="AF966" i="1"/>
  <c r="AM966" i="1" s="1"/>
  <c r="BM966" i="1"/>
  <c r="BN966" i="1" s="1"/>
  <c r="BF966" i="1"/>
  <c r="BG966" i="1" s="1"/>
  <c r="BH966" i="1" s="1"/>
  <c r="BI966" i="1"/>
  <c r="BJ966" i="1"/>
  <c r="AW966" i="1"/>
  <c r="BA966" i="1"/>
  <c r="BB966" i="1"/>
  <c r="AT966" i="1"/>
  <c r="AS966" i="1"/>
  <c r="AO966" i="1"/>
  <c r="AU966" i="1" s="1"/>
  <c r="AH966" i="1"/>
  <c r="AI966" i="1" s="1"/>
  <c r="AJ966" i="1" s="1"/>
  <c r="AG966" i="1"/>
  <c r="AV965" i="1"/>
  <c r="AF965" i="1"/>
  <c r="AM965" i="1" s="1"/>
  <c r="BM965" i="1"/>
  <c r="BN965" i="1" s="1"/>
  <c r="BJ965" i="1"/>
  <c r="BF965" i="1"/>
  <c r="BG965" i="1" s="1"/>
  <c r="BH965" i="1" s="1"/>
  <c r="BI965" i="1"/>
  <c r="BB965" i="1"/>
  <c r="AW965" i="1"/>
  <c r="AS965" i="1"/>
  <c r="AO965" i="1"/>
  <c r="AU965" i="1" s="1"/>
  <c r="BA965" i="1"/>
  <c r="AT965" i="1"/>
  <c r="AH965" i="1"/>
  <c r="AI965" i="1" s="1"/>
  <c r="AJ965" i="1" s="1"/>
  <c r="AG965" i="1"/>
  <c r="AV964" i="1"/>
  <c r="AF964" i="1"/>
  <c r="AM964" i="1" s="1"/>
  <c r="BM964" i="1"/>
  <c r="BN964" i="1" s="1"/>
  <c r="BF964" i="1"/>
  <c r="BG964" i="1" s="1"/>
  <c r="BH964" i="1" s="1"/>
  <c r="BI964" i="1"/>
  <c r="BJ964" i="1"/>
  <c r="AW964" i="1"/>
  <c r="BA964" i="1"/>
  <c r="AT964" i="1"/>
  <c r="BB964" i="1"/>
  <c r="AS964" i="1"/>
  <c r="AO964" i="1"/>
  <c r="AU964" i="1" s="1"/>
  <c r="AH964" i="1"/>
  <c r="AI964" i="1" s="1"/>
  <c r="AJ964" i="1" s="1"/>
  <c r="AG964" i="1"/>
  <c r="AV963" i="1"/>
  <c r="AF963" i="1"/>
  <c r="AM963" i="1" s="1"/>
  <c r="BM963" i="1"/>
  <c r="BJ963" i="1"/>
  <c r="BF963" i="1"/>
  <c r="BG963" i="1" s="1"/>
  <c r="BH963" i="1" s="1"/>
  <c r="BI963" i="1"/>
  <c r="BB963" i="1"/>
  <c r="BA963" i="1"/>
  <c r="AS963" i="1"/>
  <c r="AO963" i="1"/>
  <c r="AU963" i="1" s="1"/>
  <c r="AW963" i="1"/>
  <c r="AT963" i="1"/>
  <c r="AG963" i="1"/>
  <c r="AH963" i="1"/>
  <c r="AI963" i="1" s="1"/>
  <c r="AJ963" i="1" s="1"/>
  <c r="AV962" i="1"/>
  <c r="AF962" i="1"/>
  <c r="AM962" i="1" s="1"/>
  <c r="BM962" i="1"/>
  <c r="BN962" i="1" s="1"/>
  <c r="BF962" i="1"/>
  <c r="BG962" i="1" s="1"/>
  <c r="BH962" i="1" s="1"/>
  <c r="BI962" i="1"/>
  <c r="BJ962" i="1"/>
  <c r="AW962" i="1"/>
  <c r="BA962" i="1"/>
  <c r="BB962" i="1"/>
  <c r="AT962" i="1"/>
  <c r="AS962" i="1"/>
  <c r="AO962" i="1"/>
  <c r="AU962" i="1" s="1"/>
  <c r="AH962" i="1"/>
  <c r="AI962" i="1" s="1"/>
  <c r="AJ962" i="1" s="1"/>
  <c r="AG962" i="1"/>
  <c r="AV961" i="1"/>
  <c r="AF961" i="1"/>
  <c r="AM961" i="1" s="1"/>
  <c r="BM961" i="1"/>
  <c r="BN961" i="1" s="1"/>
  <c r="BJ961" i="1"/>
  <c r="BF961" i="1"/>
  <c r="BG961" i="1" s="1"/>
  <c r="BH961" i="1" s="1"/>
  <c r="BI961" i="1"/>
  <c r="BB961" i="1"/>
  <c r="AW961" i="1"/>
  <c r="AS961" i="1"/>
  <c r="AO961" i="1"/>
  <c r="AU961" i="1" s="1"/>
  <c r="BA961" i="1"/>
  <c r="AT961" i="1"/>
  <c r="AG961" i="1"/>
  <c r="AH961" i="1"/>
  <c r="AI961" i="1" s="1"/>
  <c r="AJ961" i="1" s="1"/>
  <c r="AV960" i="1"/>
  <c r="AF960" i="1"/>
  <c r="AM960" i="1" s="1"/>
  <c r="BM960" i="1"/>
  <c r="BN960" i="1" s="1"/>
  <c r="BF960" i="1"/>
  <c r="BG960" i="1" s="1"/>
  <c r="BH960" i="1" s="1"/>
  <c r="BI960" i="1"/>
  <c r="BJ960" i="1"/>
  <c r="AW960" i="1"/>
  <c r="BA960" i="1"/>
  <c r="AT960" i="1"/>
  <c r="BB960" i="1"/>
  <c r="AS960" i="1"/>
  <c r="AO960" i="1"/>
  <c r="AU960" i="1" s="1"/>
  <c r="AH960" i="1"/>
  <c r="AI960" i="1" s="1"/>
  <c r="AJ960" i="1" s="1"/>
  <c r="AG960" i="1"/>
  <c r="AV959" i="1"/>
  <c r="AF959" i="1"/>
  <c r="AM959" i="1" s="1"/>
  <c r="BM959" i="1"/>
  <c r="BN959" i="1" s="1"/>
  <c r="BJ959" i="1"/>
  <c r="BF959" i="1"/>
  <c r="BG959" i="1" s="1"/>
  <c r="BH959" i="1" s="1"/>
  <c r="BI959" i="1"/>
  <c r="BB959" i="1"/>
  <c r="BA959" i="1"/>
  <c r="AS959" i="1"/>
  <c r="AO959" i="1"/>
  <c r="AU959" i="1" s="1"/>
  <c r="AW959" i="1"/>
  <c r="AT959" i="1"/>
  <c r="AH959" i="1"/>
  <c r="AI959" i="1" s="1"/>
  <c r="AJ959" i="1" s="1"/>
  <c r="AG959" i="1"/>
  <c r="AV958" i="1"/>
  <c r="AF958" i="1"/>
  <c r="AM958" i="1" s="1"/>
  <c r="BM958" i="1"/>
  <c r="BN958" i="1" s="1"/>
  <c r="BF958" i="1"/>
  <c r="BG958" i="1" s="1"/>
  <c r="BH958" i="1" s="1"/>
  <c r="BI958" i="1"/>
  <c r="BJ958" i="1"/>
  <c r="AW958" i="1"/>
  <c r="BA958" i="1"/>
  <c r="BB958" i="1"/>
  <c r="AT958" i="1"/>
  <c r="AS958" i="1"/>
  <c r="AO958" i="1"/>
  <c r="AU958" i="1" s="1"/>
  <c r="AH958" i="1"/>
  <c r="AI958" i="1" s="1"/>
  <c r="AJ958" i="1" s="1"/>
  <c r="AG958" i="1"/>
  <c r="AV957" i="1"/>
  <c r="AF957" i="1"/>
  <c r="AM957" i="1" s="1"/>
  <c r="BM957" i="1"/>
  <c r="BJ957" i="1"/>
  <c r="BF957" i="1"/>
  <c r="BG957" i="1" s="1"/>
  <c r="BH957" i="1" s="1"/>
  <c r="BI957" i="1"/>
  <c r="BB957" i="1"/>
  <c r="AW957" i="1"/>
  <c r="AS957" i="1"/>
  <c r="AO957" i="1"/>
  <c r="AU957" i="1" s="1"/>
  <c r="BA957" i="1"/>
  <c r="AT957" i="1"/>
  <c r="AG957" i="1"/>
  <c r="AH957" i="1"/>
  <c r="AI957" i="1" s="1"/>
  <c r="AJ957" i="1" s="1"/>
  <c r="AV956" i="1"/>
  <c r="AF956" i="1"/>
  <c r="AM956" i="1" s="1"/>
  <c r="BM956" i="1"/>
  <c r="BN956" i="1" s="1"/>
  <c r="BF956" i="1"/>
  <c r="BG956" i="1" s="1"/>
  <c r="BH956" i="1" s="1"/>
  <c r="BI956" i="1"/>
  <c r="BJ956" i="1"/>
  <c r="AW956" i="1"/>
  <c r="BA956" i="1"/>
  <c r="AT956" i="1"/>
  <c r="BB956" i="1"/>
  <c r="AS956" i="1"/>
  <c r="AO956" i="1"/>
  <c r="AU956" i="1" s="1"/>
  <c r="AH956" i="1"/>
  <c r="AI956" i="1" s="1"/>
  <c r="AJ956" i="1" s="1"/>
  <c r="AG956" i="1"/>
  <c r="AV955" i="1"/>
  <c r="AF955" i="1"/>
  <c r="AM955" i="1" s="1"/>
  <c r="BM955" i="1"/>
  <c r="BJ955" i="1"/>
  <c r="BF955" i="1"/>
  <c r="BG955" i="1" s="1"/>
  <c r="BH955" i="1" s="1"/>
  <c r="BI955" i="1"/>
  <c r="BB955" i="1"/>
  <c r="BA955" i="1"/>
  <c r="AS955" i="1"/>
  <c r="AO955" i="1"/>
  <c r="AU955" i="1" s="1"/>
  <c r="AW955" i="1"/>
  <c r="AT955" i="1"/>
  <c r="AH955" i="1"/>
  <c r="AI955" i="1" s="1"/>
  <c r="AJ955" i="1" s="1"/>
  <c r="AG955" i="1"/>
  <c r="AV954" i="1"/>
  <c r="AF954" i="1"/>
  <c r="AM954" i="1" s="1"/>
  <c r="BM954" i="1"/>
  <c r="BN954" i="1" s="1"/>
  <c r="BF954" i="1"/>
  <c r="BG954" i="1" s="1"/>
  <c r="BH954" i="1" s="1"/>
  <c r="BI954" i="1"/>
  <c r="BJ954" i="1"/>
  <c r="AW954" i="1"/>
  <c r="BA954" i="1"/>
  <c r="BB954" i="1"/>
  <c r="AT954" i="1"/>
  <c r="AS954" i="1"/>
  <c r="AO954" i="1"/>
  <c r="AU954" i="1" s="1"/>
  <c r="AH954" i="1"/>
  <c r="AI954" i="1" s="1"/>
  <c r="AJ954" i="1" s="1"/>
  <c r="AG954" i="1"/>
  <c r="AV953" i="1"/>
  <c r="AF953" i="1"/>
  <c r="AM953" i="1" s="1"/>
  <c r="BM953" i="1"/>
  <c r="BN953" i="1" s="1"/>
  <c r="BJ953" i="1"/>
  <c r="BF953" i="1"/>
  <c r="BG953" i="1" s="1"/>
  <c r="BH953" i="1" s="1"/>
  <c r="BI953" i="1"/>
  <c r="BB953" i="1"/>
  <c r="AW953" i="1"/>
  <c r="AS953" i="1"/>
  <c r="AO953" i="1"/>
  <c r="AU953" i="1" s="1"/>
  <c r="BA953" i="1"/>
  <c r="AT953" i="1"/>
  <c r="AG953" i="1"/>
  <c r="AH953" i="1"/>
  <c r="AI953" i="1" s="1"/>
  <c r="AJ953" i="1" s="1"/>
  <c r="AV952" i="1"/>
  <c r="AF952" i="1"/>
  <c r="AM952" i="1" s="1"/>
  <c r="BM952" i="1"/>
  <c r="BN952" i="1" s="1"/>
  <c r="BF952" i="1"/>
  <c r="BG952" i="1" s="1"/>
  <c r="BH952" i="1" s="1"/>
  <c r="BI952" i="1"/>
  <c r="BJ952" i="1"/>
  <c r="AW952" i="1"/>
  <c r="BA952" i="1"/>
  <c r="AT952" i="1"/>
  <c r="BB952" i="1"/>
  <c r="AS952" i="1"/>
  <c r="AO952" i="1"/>
  <c r="AU952" i="1" s="1"/>
  <c r="AH952" i="1"/>
  <c r="AI952" i="1" s="1"/>
  <c r="AJ952" i="1" s="1"/>
  <c r="AG952" i="1"/>
  <c r="AV951" i="1"/>
  <c r="AF951" i="1"/>
  <c r="AM951" i="1" s="1"/>
  <c r="BM951" i="1"/>
  <c r="BN951" i="1" s="1"/>
  <c r="BJ951" i="1"/>
  <c r="BF951" i="1"/>
  <c r="BG951" i="1" s="1"/>
  <c r="BH951" i="1" s="1"/>
  <c r="BI951" i="1"/>
  <c r="BB951" i="1"/>
  <c r="BA951" i="1"/>
  <c r="AS951" i="1"/>
  <c r="AO951" i="1"/>
  <c r="AU951" i="1" s="1"/>
  <c r="AW951" i="1"/>
  <c r="AT951" i="1"/>
  <c r="AH951" i="1"/>
  <c r="AI951" i="1" s="1"/>
  <c r="AJ951" i="1" s="1"/>
  <c r="AG951" i="1"/>
  <c r="AV950" i="1"/>
  <c r="AF950" i="1"/>
  <c r="AM950" i="1" s="1"/>
  <c r="BM950" i="1"/>
  <c r="BN950" i="1" s="1"/>
  <c r="BF950" i="1"/>
  <c r="BG950" i="1" s="1"/>
  <c r="BH950" i="1" s="1"/>
  <c r="BI950" i="1"/>
  <c r="BJ950" i="1"/>
  <c r="AW950" i="1"/>
  <c r="BA950" i="1"/>
  <c r="BB950" i="1"/>
  <c r="AT950" i="1"/>
  <c r="AS950" i="1"/>
  <c r="AO950" i="1"/>
  <c r="AU950" i="1" s="1"/>
  <c r="AH950" i="1"/>
  <c r="AI950" i="1" s="1"/>
  <c r="AJ950" i="1" s="1"/>
  <c r="AG950" i="1"/>
  <c r="AV949" i="1"/>
  <c r="AF949" i="1"/>
  <c r="AM949" i="1" s="1"/>
  <c r="BM949" i="1"/>
  <c r="BJ949" i="1"/>
  <c r="BF949" i="1"/>
  <c r="BG949" i="1" s="1"/>
  <c r="BH949" i="1" s="1"/>
  <c r="BI949" i="1"/>
  <c r="BB949" i="1"/>
  <c r="AW949" i="1"/>
  <c r="AS949" i="1"/>
  <c r="AO949" i="1"/>
  <c r="AU949" i="1" s="1"/>
  <c r="BA949" i="1"/>
  <c r="AT949" i="1"/>
  <c r="AG949" i="1"/>
  <c r="AH949" i="1"/>
  <c r="AI949" i="1" s="1"/>
  <c r="AJ949" i="1" s="1"/>
  <c r="AV948" i="1"/>
  <c r="AF948" i="1"/>
  <c r="AM948" i="1" s="1"/>
  <c r="BM948" i="1"/>
  <c r="BN948" i="1" s="1"/>
  <c r="BF948" i="1"/>
  <c r="BG948" i="1" s="1"/>
  <c r="BH948" i="1" s="1"/>
  <c r="BI948" i="1"/>
  <c r="BJ948" i="1"/>
  <c r="AW948" i="1"/>
  <c r="BA948" i="1"/>
  <c r="AT948" i="1"/>
  <c r="BB948" i="1"/>
  <c r="AS948" i="1"/>
  <c r="AO948" i="1"/>
  <c r="AU948" i="1" s="1"/>
  <c r="AH948" i="1"/>
  <c r="AI948" i="1" s="1"/>
  <c r="AJ948" i="1" s="1"/>
  <c r="AG948" i="1"/>
  <c r="AV947" i="1"/>
  <c r="AF947" i="1"/>
  <c r="AM947" i="1" s="1"/>
  <c r="BM947" i="1"/>
  <c r="BN947" i="1" s="1"/>
  <c r="BJ947" i="1"/>
  <c r="BF947" i="1"/>
  <c r="BG947" i="1" s="1"/>
  <c r="BH947" i="1" s="1"/>
  <c r="BI947" i="1"/>
  <c r="BB947" i="1"/>
  <c r="BA947" i="1"/>
  <c r="AS947" i="1"/>
  <c r="AO947" i="1"/>
  <c r="AU947" i="1" s="1"/>
  <c r="AW947" i="1"/>
  <c r="AT947" i="1"/>
  <c r="AH947" i="1"/>
  <c r="AI947" i="1" s="1"/>
  <c r="AJ947" i="1" s="1"/>
  <c r="AG947" i="1"/>
  <c r="AV946" i="1"/>
  <c r="AF946" i="1"/>
  <c r="AM946" i="1" s="1"/>
  <c r="BM946" i="1"/>
  <c r="BN946" i="1" s="1"/>
  <c r="BF946" i="1"/>
  <c r="BG946" i="1" s="1"/>
  <c r="BH946" i="1" s="1"/>
  <c r="BI946" i="1"/>
  <c r="BJ946" i="1"/>
  <c r="AW946" i="1"/>
  <c r="BA946" i="1"/>
  <c r="BB946" i="1"/>
  <c r="AT946" i="1"/>
  <c r="AS946" i="1"/>
  <c r="AO946" i="1"/>
  <c r="AU946" i="1" s="1"/>
  <c r="AH946" i="1"/>
  <c r="AI946" i="1" s="1"/>
  <c r="AJ946" i="1" s="1"/>
  <c r="AG946" i="1"/>
  <c r="AV945" i="1"/>
  <c r="AF945" i="1"/>
  <c r="AM945" i="1" s="1"/>
  <c r="BM945" i="1"/>
  <c r="BJ945" i="1"/>
  <c r="BF945" i="1"/>
  <c r="BG945" i="1" s="1"/>
  <c r="BH945" i="1" s="1"/>
  <c r="BI945" i="1"/>
  <c r="BB945" i="1"/>
  <c r="AW945" i="1"/>
  <c r="AS945" i="1"/>
  <c r="AO945" i="1"/>
  <c r="AU945" i="1" s="1"/>
  <c r="BA945" i="1"/>
  <c r="AT945" i="1"/>
  <c r="AG945" i="1"/>
  <c r="AH945" i="1"/>
  <c r="AI945" i="1" s="1"/>
  <c r="AJ945" i="1" s="1"/>
  <c r="AV944" i="1"/>
  <c r="AF944" i="1"/>
  <c r="AM944" i="1" s="1"/>
  <c r="BM944" i="1"/>
  <c r="BN944" i="1" s="1"/>
  <c r="BF944" i="1"/>
  <c r="BG944" i="1" s="1"/>
  <c r="BH944" i="1" s="1"/>
  <c r="BI944" i="1"/>
  <c r="BJ944" i="1"/>
  <c r="AW944" i="1"/>
  <c r="BA944" i="1"/>
  <c r="AT944" i="1"/>
  <c r="BB944" i="1"/>
  <c r="AS944" i="1"/>
  <c r="AO944" i="1"/>
  <c r="AU944" i="1" s="1"/>
  <c r="AH944" i="1"/>
  <c r="AI944" i="1" s="1"/>
  <c r="AJ944" i="1" s="1"/>
  <c r="AG944" i="1"/>
  <c r="AV943" i="1"/>
  <c r="AF943" i="1"/>
  <c r="AM943" i="1" s="1"/>
  <c r="BM943" i="1"/>
  <c r="BN943" i="1" s="1"/>
  <c r="BJ943" i="1"/>
  <c r="BF943" i="1"/>
  <c r="BG943" i="1" s="1"/>
  <c r="BH943" i="1" s="1"/>
  <c r="BI943" i="1"/>
  <c r="BB943" i="1"/>
  <c r="BA943" i="1"/>
  <c r="AS943" i="1"/>
  <c r="AO943" i="1"/>
  <c r="AU943" i="1" s="1"/>
  <c r="AW943" i="1"/>
  <c r="AT943" i="1"/>
  <c r="AG943" i="1"/>
  <c r="AH943" i="1"/>
  <c r="AI943" i="1" s="1"/>
  <c r="AJ943" i="1" s="1"/>
  <c r="AV942" i="1"/>
  <c r="AF942" i="1"/>
  <c r="AM942" i="1" s="1"/>
  <c r="BM942" i="1"/>
  <c r="BN942" i="1" s="1"/>
  <c r="BF942" i="1"/>
  <c r="BG942" i="1" s="1"/>
  <c r="BH942" i="1" s="1"/>
  <c r="BI942" i="1"/>
  <c r="BJ942" i="1"/>
  <c r="AW942" i="1"/>
  <c r="BA942" i="1"/>
  <c r="BB942" i="1"/>
  <c r="AT942" i="1"/>
  <c r="AS942" i="1"/>
  <c r="AO942" i="1"/>
  <c r="AU942" i="1" s="1"/>
  <c r="AH942" i="1"/>
  <c r="AI942" i="1" s="1"/>
  <c r="AJ942" i="1" s="1"/>
  <c r="AG942" i="1"/>
  <c r="AV941" i="1"/>
  <c r="AF941" i="1"/>
  <c r="AM941" i="1" s="1"/>
  <c r="BM941" i="1"/>
  <c r="BJ941" i="1"/>
  <c r="BF941" i="1"/>
  <c r="BG941" i="1" s="1"/>
  <c r="BH941" i="1" s="1"/>
  <c r="BI941" i="1"/>
  <c r="AW941" i="1"/>
  <c r="BA941" i="1"/>
  <c r="BB941" i="1"/>
  <c r="AS941" i="1"/>
  <c r="AO941" i="1"/>
  <c r="AU941" i="1" s="1"/>
  <c r="AT941" i="1"/>
  <c r="AH941" i="1"/>
  <c r="AI941" i="1" s="1"/>
  <c r="AJ941" i="1" s="1"/>
  <c r="AG941" i="1"/>
  <c r="AV940" i="1"/>
  <c r="AF940" i="1"/>
  <c r="AM940" i="1" s="1"/>
  <c r="BM940" i="1"/>
  <c r="BN940" i="1" s="1"/>
  <c r="BF940" i="1"/>
  <c r="BG940" i="1" s="1"/>
  <c r="BH940" i="1" s="1"/>
  <c r="BI940" i="1"/>
  <c r="BJ940" i="1"/>
  <c r="BB940" i="1"/>
  <c r="AW940" i="1"/>
  <c r="BA940" i="1"/>
  <c r="AT940" i="1"/>
  <c r="AS940" i="1"/>
  <c r="AO940" i="1"/>
  <c r="AU940" i="1" s="1"/>
  <c r="AH940" i="1"/>
  <c r="AI940" i="1" s="1"/>
  <c r="AJ940" i="1" s="1"/>
  <c r="AG940" i="1"/>
  <c r="AV939" i="1"/>
  <c r="AF939" i="1"/>
  <c r="AM939" i="1" s="1"/>
  <c r="BM939" i="1"/>
  <c r="BJ939" i="1"/>
  <c r="BF939" i="1"/>
  <c r="BG939" i="1" s="1"/>
  <c r="BH939" i="1" s="1"/>
  <c r="BI939" i="1"/>
  <c r="AW939" i="1"/>
  <c r="BA939" i="1"/>
  <c r="BB939" i="1"/>
  <c r="AS939" i="1"/>
  <c r="AO939" i="1"/>
  <c r="AU939" i="1" s="1"/>
  <c r="AT939" i="1"/>
  <c r="AG939" i="1"/>
  <c r="AH939" i="1"/>
  <c r="AI939" i="1" s="1"/>
  <c r="AJ939" i="1" s="1"/>
  <c r="AV938" i="1"/>
  <c r="AF938" i="1"/>
  <c r="AM938" i="1" s="1"/>
  <c r="BM938" i="1"/>
  <c r="BN938" i="1" s="1"/>
  <c r="BF938" i="1"/>
  <c r="BG938" i="1" s="1"/>
  <c r="BH938" i="1" s="1"/>
  <c r="BI938" i="1"/>
  <c r="BJ938" i="1"/>
  <c r="BB938" i="1"/>
  <c r="AW938" i="1"/>
  <c r="BA938" i="1"/>
  <c r="AT938" i="1"/>
  <c r="AS938" i="1"/>
  <c r="AO938" i="1"/>
  <c r="AU938" i="1" s="1"/>
  <c r="AH938" i="1"/>
  <c r="AI938" i="1" s="1"/>
  <c r="AJ938" i="1" s="1"/>
  <c r="AG938" i="1"/>
  <c r="AV937" i="1"/>
  <c r="AF937" i="1"/>
  <c r="AM937" i="1" s="1"/>
  <c r="BM937" i="1"/>
  <c r="BJ937" i="1"/>
  <c r="BF937" i="1"/>
  <c r="BG937" i="1" s="1"/>
  <c r="BH937" i="1" s="1"/>
  <c r="BI937" i="1"/>
  <c r="AW937" i="1"/>
  <c r="BA937" i="1"/>
  <c r="BB937" i="1"/>
  <c r="AS937" i="1"/>
  <c r="AO937" i="1"/>
  <c r="AU937" i="1" s="1"/>
  <c r="AT937" i="1"/>
  <c r="AH937" i="1"/>
  <c r="AI937" i="1" s="1"/>
  <c r="AJ937" i="1" s="1"/>
  <c r="AG937" i="1"/>
  <c r="AV936" i="1"/>
  <c r="AF936" i="1"/>
  <c r="AM936" i="1" s="1"/>
  <c r="BM936" i="1"/>
  <c r="BN936" i="1" s="1"/>
  <c r="BF936" i="1"/>
  <c r="BG936" i="1" s="1"/>
  <c r="BH936" i="1" s="1"/>
  <c r="BI936" i="1"/>
  <c r="BJ936" i="1"/>
  <c r="BB936" i="1"/>
  <c r="AW936" i="1"/>
  <c r="BA936" i="1"/>
  <c r="AT936" i="1"/>
  <c r="AS936" i="1"/>
  <c r="AO936" i="1"/>
  <c r="AU936" i="1" s="1"/>
  <c r="AH936" i="1"/>
  <c r="AI936" i="1" s="1"/>
  <c r="AJ936" i="1" s="1"/>
  <c r="AG936" i="1"/>
  <c r="AV935" i="1"/>
  <c r="AF935" i="1"/>
  <c r="AM935" i="1" s="1"/>
  <c r="BM935" i="1"/>
  <c r="BN935" i="1" s="1"/>
  <c r="BJ935" i="1"/>
  <c r="BF935" i="1"/>
  <c r="BG935" i="1" s="1"/>
  <c r="BH935" i="1" s="1"/>
  <c r="BI935" i="1"/>
  <c r="AW935" i="1"/>
  <c r="BA935" i="1"/>
  <c r="BB935" i="1"/>
  <c r="AS935" i="1"/>
  <c r="AO935" i="1"/>
  <c r="AU935" i="1" s="1"/>
  <c r="AT935" i="1"/>
  <c r="AG935" i="1"/>
  <c r="AH935" i="1"/>
  <c r="AI935" i="1" s="1"/>
  <c r="AJ935" i="1" s="1"/>
  <c r="AV934" i="1"/>
  <c r="AF934" i="1"/>
  <c r="AM934" i="1" s="1"/>
  <c r="BM934" i="1"/>
  <c r="BN934" i="1" s="1"/>
  <c r="BF934" i="1"/>
  <c r="BG934" i="1" s="1"/>
  <c r="BH934" i="1" s="1"/>
  <c r="BI934" i="1"/>
  <c r="BJ934" i="1"/>
  <c r="BB934" i="1"/>
  <c r="AW934" i="1"/>
  <c r="BA934" i="1"/>
  <c r="AT934" i="1"/>
  <c r="AS934" i="1"/>
  <c r="AO934" i="1"/>
  <c r="AU934" i="1" s="1"/>
  <c r="AH934" i="1"/>
  <c r="AI934" i="1" s="1"/>
  <c r="AJ934" i="1" s="1"/>
  <c r="AG934" i="1"/>
  <c r="AV933" i="1"/>
  <c r="AF933" i="1"/>
  <c r="AM933" i="1" s="1"/>
  <c r="BM933" i="1"/>
  <c r="BN933" i="1" s="1"/>
  <c r="BJ933" i="1"/>
  <c r="BF933" i="1"/>
  <c r="BG933" i="1" s="1"/>
  <c r="BH933" i="1" s="1"/>
  <c r="BI933" i="1"/>
  <c r="AW933" i="1"/>
  <c r="BA933" i="1"/>
  <c r="BB933" i="1"/>
  <c r="AS933" i="1"/>
  <c r="AO933" i="1"/>
  <c r="AU933" i="1" s="1"/>
  <c r="AT933" i="1"/>
  <c r="AH933" i="1"/>
  <c r="AI933" i="1" s="1"/>
  <c r="AJ933" i="1" s="1"/>
  <c r="AG933" i="1"/>
  <c r="AV932" i="1"/>
  <c r="AF932" i="1"/>
  <c r="AM932" i="1" s="1"/>
  <c r="BM932" i="1"/>
  <c r="BN932" i="1" s="1"/>
  <c r="BF932" i="1"/>
  <c r="BG932" i="1" s="1"/>
  <c r="BH932" i="1" s="1"/>
  <c r="BI932" i="1"/>
  <c r="BJ932" i="1"/>
  <c r="BB932" i="1"/>
  <c r="AW932" i="1"/>
  <c r="BA932" i="1"/>
  <c r="AT932" i="1"/>
  <c r="AS932" i="1"/>
  <c r="AO932" i="1"/>
  <c r="AU932" i="1" s="1"/>
  <c r="AH932" i="1"/>
  <c r="AI932" i="1" s="1"/>
  <c r="AJ932" i="1" s="1"/>
  <c r="AG932" i="1"/>
  <c r="AV931" i="1"/>
  <c r="AF931" i="1"/>
  <c r="AM931" i="1" s="1"/>
  <c r="BM931" i="1"/>
  <c r="BJ931" i="1"/>
  <c r="BF931" i="1"/>
  <c r="BG931" i="1" s="1"/>
  <c r="BH931" i="1" s="1"/>
  <c r="BI931" i="1"/>
  <c r="AW931" i="1"/>
  <c r="BA931" i="1"/>
  <c r="BB931" i="1"/>
  <c r="AS931" i="1"/>
  <c r="AO931" i="1"/>
  <c r="AU931" i="1" s="1"/>
  <c r="AT931" i="1"/>
  <c r="AG931" i="1"/>
  <c r="AH931" i="1"/>
  <c r="AI931" i="1" s="1"/>
  <c r="AJ931" i="1" s="1"/>
  <c r="AV930" i="1"/>
  <c r="AF930" i="1"/>
  <c r="AM930" i="1" s="1"/>
  <c r="BM930" i="1"/>
  <c r="BN930" i="1" s="1"/>
  <c r="BF930" i="1"/>
  <c r="BG930" i="1" s="1"/>
  <c r="BH930" i="1" s="1"/>
  <c r="BI930" i="1"/>
  <c r="BJ930" i="1"/>
  <c r="BB930" i="1"/>
  <c r="AW930" i="1"/>
  <c r="BA930" i="1"/>
  <c r="AT930" i="1"/>
  <c r="AS930" i="1"/>
  <c r="AO930" i="1"/>
  <c r="AU930" i="1" s="1"/>
  <c r="AH930" i="1"/>
  <c r="AI930" i="1" s="1"/>
  <c r="AJ930" i="1" s="1"/>
  <c r="AG930" i="1"/>
  <c r="AV929" i="1"/>
  <c r="AF929" i="1"/>
  <c r="AM929" i="1" s="1"/>
  <c r="BM929" i="1"/>
  <c r="BN929" i="1" s="1"/>
  <c r="BJ929" i="1"/>
  <c r="BF929" i="1"/>
  <c r="BG929" i="1" s="1"/>
  <c r="BH929" i="1" s="1"/>
  <c r="BI929" i="1"/>
  <c r="AW929" i="1"/>
  <c r="BA929" i="1"/>
  <c r="BB929" i="1"/>
  <c r="AS929" i="1"/>
  <c r="AO929" i="1"/>
  <c r="AU929" i="1" s="1"/>
  <c r="AT929" i="1"/>
  <c r="AH929" i="1"/>
  <c r="AI929" i="1" s="1"/>
  <c r="AJ929" i="1" s="1"/>
  <c r="AG929" i="1"/>
  <c r="AV928" i="1"/>
  <c r="AF928" i="1"/>
  <c r="AM928" i="1" s="1"/>
  <c r="BM928" i="1"/>
  <c r="BN928" i="1" s="1"/>
  <c r="BF928" i="1"/>
  <c r="BG928" i="1" s="1"/>
  <c r="BH928" i="1" s="1"/>
  <c r="BI928" i="1"/>
  <c r="BJ928" i="1"/>
  <c r="BB928" i="1"/>
  <c r="AW928" i="1"/>
  <c r="BA928" i="1"/>
  <c r="AT928" i="1"/>
  <c r="AS928" i="1"/>
  <c r="AO928" i="1"/>
  <c r="AU928" i="1" s="1"/>
  <c r="AH928" i="1"/>
  <c r="AI928" i="1" s="1"/>
  <c r="AJ928" i="1" s="1"/>
  <c r="AG928" i="1"/>
  <c r="AV927" i="1"/>
  <c r="AF927" i="1"/>
  <c r="AM927" i="1" s="1"/>
  <c r="BM927" i="1"/>
  <c r="BN927" i="1" s="1"/>
  <c r="BJ927" i="1"/>
  <c r="BF927" i="1"/>
  <c r="BG927" i="1" s="1"/>
  <c r="BH927" i="1" s="1"/>
  <c r="BI927" i="1"/>
  <c r="AW927" i="1"/>
  <c r="BA927" i="1"/>
  <c r="BB927" i="1"/>
  <c r="AS927" i="1"/>
  <c r="AO927" i="1"/>
  <c r="AU927" i="1" s="1"/>
  <c r="AT927" i="1"/>
  <c r="AG927" i="1"/>
  <c r="AH927" i="1"/>
  <c r="AI927" i="1" s="1"/>
  <c r="AJ927" i="1" s="1"/>
  <c r="AV926" i="1"/>
  <c r="AF926" i="1"/>
  <c r="AM926" i="1" s="1"/>
  <c r="BM926" i="1"/>
  <c r="BN926" i="1" s="1"/>
  <c r="BF926" i="1"/>
  <c r="BG926" i="1" s="1"/>
  <c r="BH926" i="1" s="1"/>
  <c r="BI926" i="1"/>
  <c r="BJ926" i="1"/>
  <c r="BB926" i="1"/>
  <c r="AW926" i="1"/>
  <c r="BA926" i="1"/>
  <c r="AT926" i="1"/>
  <c r="AS926" i="1"/>
  <c r="AO926" i="1"/>
  <c r="AU926" i="1" s="1"/>
  <c r="AH926" i="1"/>
  <c r="AI926" i="1" s="1"/>
  <c r="AJ926" i="1" s="1"/>
  <c r="AG926" i="1"/>
  <c r="AV925" i="1"/>
  <c r="AF925" i="1"/>
  <c r="AM925" i="1" s="1"/>
  <c r="BM925" i="1"/>
  <c r="BN925" i="1" s="1"/>
  <c r="BJ925" i="1"/>
  <c r="BF925" i="1"/>
  <c r="BG925" i="1" s="1"/>
  <c r="BH925" i="1" s="1"/>
  <c r="BI925" i="1"/>
  <c r="AW925" i="1"/>
  <c r="BA925" i="1"/>
  <c r="BB925" i="1"/>
  <c r="AS925" i="1"/>
  <c r="AO925" i="1"/>
  <c r="AU925" i="1" s="1"/>
  <c r="AT925" i="1"/>
  <c r="AG925" i="1"/>
  <c r="AH925" i="1"/>
  <c r="AI925" i="1" s="1"/>
  <c r="AJ925" i="1" s="1"/>
  <c r="AV924" i="1"/>
  <c r="AF924" i="1"/>
  <c r="AM924" i="1" s="1"/>
  <c r="BM924" i="1"/>
  <c r="BN924" i="1" s="1"/>
  <c r="BF924" i="1"/>
  <c r="BG924" i="1" s="1"/>
  <c r="BH924" i="1" s="1"/>
  <c r="BI924" i="1"/>
  <c r="BJ924" i="1"/>
  <c r="BB924" i="1"/>
  <c r="AW924" i="1"/>
  <c r="BA924" i="1"/>
  <c r="AT924" i="1"/>
  <c r="AS924" i="1"/>
  <c r="AO924" i="1"/>
  <c r="AU924" i="1" s="1"/>
  <c r="AH924" i="1"/>
  <c r="AI924" i="1" s="1"/>
  <c r="AJ924" i="1" s="1"/>
  <c r="AG924" i="1"/>
  <c r="AV923" i="1"/>
  <c r="AF923" i="1"/>
  <c r="AM923" i="1" s="1"/>
  <c r="BM923" i="1"/>
  <c r="BN923" i="1" s="1"/>
  <c r="BJ923" i="1"/>
  <c r="BF923" i="1"/>
  <c r="BG923" i="1" s="1"/>
  <c r="BH923" i="1" s="1"/>
  <c r="BI923" i="1"/>
  <c r="AW923" i="1"/>
  <c r="BA923" i="1"/>
  <c r="BB923" i="1"/>
  <c r="AS923" i="1"/>
  <c r="AO923" i="1"/>
  <c r="AU923" i="1" s="1"/>
  <c r="AT923" i="1"/>
  <c r="AH923" i="1"/>
  <c r="AI923" i="1" s="1"/>
  <c r="AJ923" i="1" s="1"/>
  <c r="AG923" i="1"/>
  <c r="AV922" i="1"/>
  <c r="AF922" i="1"/>
  <c r="AM922" i="1" s="1"/>
  <c r="BM922" i="1"/>
  <c r="BN922" i="1" s="1"/>
  <c r="BF922" i="1"/>
  <c r="BG922" i="1" s="1"/>
  <c r="BH922" i="1" s="1"/>
  <c r="BI922" i="1"/>
  <c r="BJ922" i="1"/>
  <c r="BB922" i="1"/>
  <c r="AW922" i="1"/>
  <c r="BA922" i="1"/>
  <c r="AT922" i="1"/>
  <c r="AS922" i="1"/>
  <c r="AO922" i="1"/>
  <c r="AU922" i="1" s="1"/>
  <c r="AH922" i="1"/>
  <c r="AI922" i="1" s="1"/>
  <c r="AJ922" i="1" s="1"/>
  <c r="AG922" i="1"/>
  <c r="AV921" i="1"/>
  <c r="AF921" i="1"/>
  <c r="AM921" i="1" s="1"/>
  <c r="BM921" i="1"/>
  <c r="BJ921" i="1"/>
  <c r="BF921" i="1"/>
  <c r="BG921" i="1" s="1"/>
  <c r="BH921" i="1" s="1"/>
  <c r="BI921" i="1"/>
  <c r="AW921" i="1"/>
  <c r="BA921" i="1"/>
  <c r="BB921" i="1"/>
  <c r="AS921" i="1"/>
  <c r="AO921" i="1"/>
  <c r="AU921" i="1" s="1"/>
  <c r="AT921" i="1"/>
  <c r="AG921" i="1"/>
  <c r="AH921" i="1"/>
  <c r="AI921" i="1" s="1"/>
  <c r="AJ921" i="1" s="1"/>
  <c r="AV920" i="1"/>
  <c r="AF920" i="1"/>
  <c r="AM920" i="1" s="1"/>
  <c r="BM920" i="1"/>
  <c r="BN920" i="1" s="1"/>
  <c r="BF920" i="1"/>
  <c r="BG920" i="1" s="1"/>
  <c r="BH920" i="1" s="1"/>
  <c r="BI920" i="1"/>
  <c r="BJ920" i="1"/>
  <c r="BB920" i="1"/>
  <c r="AW920" i="1"/>
  <c r="BA920" i="1"/>
  <c r="AT920" i="1"/>
  <c r="AS920" i="1"/>
  <c r="AO920" i="1"/>
  <c r="AU920" i="1" s="1"/>
  <c r="AH920" i="1"/>
  <c r="AI920" i="1" s="1"/>
  <c r="AJ920" i="1" s="1"/>
  <c r="AG920" i="1"/>
  <c r="AV919" i="1"/>
  <c r="AF919" i="1"/>
  <c r="AM919" i="1" s="1"/>
  <c r="BM919" i="1"/>
  <c r="BJ919" i="1"/>
  <c r="BF919" i="1"/>
  <c r="BG919" i="1" s="1"/>
  <c r="BH919" i="1" s="1"/>
  <c r="BI919" i="1"/>
  <c r="AW919" i="1"/>
  <c r="BA919" i="1"/>
  <c r="BB919" i="1"/>
  <c r="AS919" i="1"/>
  <c r="AO919" i="1"/>
  <c r="AU919" i="1" s="1"/>
  <c r="AT919" i="1"/>
  <c r="AH919" i="1"/>
  <c r="AI919" i="1" s="1"/>
  <c r="AJ919" i="1" s="1"/>
  <c r="AG919" i="1"/>
  <c r="AV918" i="1"/>
  <c r="AF918" i="1"/>
  <c r="AM918" i="1" s="1"/>
  <c r="BM918" i="1"/>
  <c r="BN918" i="1" s="1"/>
  <c r="BF918" i="1"/>
  <c r="BG918" i="1" s="1"/>
  <c r="BH918" i="1" s="1"/>
  <c r="BI918" i="1"/>
  <c r="BJ918" i="1"/>
  <c r="BB918" i="1"/>
  <c r="AW918" i="1"/>
  <c r="BA918" i="1"/>
  <c r="AT918" i="1"/>
  <c r="AS918" i="1"/>
  <c r="AO918" i="1"/>
  <c r="AU918" i="1" s="1"/>
  <c r="AH918" i="1"/>
  <c r="AI918" i="1" s="1"/>
  <c r="AJ918" i="1" s="1"/>
  <c r="AG918" i="1"/>
  <c r="AV917" i="1"/>
  <c r="AF917" i="1"/>
  <c r="AM917" i="1" s="1"/>
  <c r="BM917" i="1"/>
  <c r="BJ917" i="1"/>
  <c r="BF917" i="1"/>
  <c r="BG917" i="1" s="1"/>
  <c r="BH917" i="1" s="1"/>
  <c r="BI917" i="1"/>
  <c r="AW917" i="1"/>
  <c r="BA917" i="1"/>
  <c r="BB917" i="1"/>
  <c r="AS917" i="1"/>
  <c r="AO917" i="1"/>
  <c r="AU917" i="1" s="1"/>
  <c r="AT917" i="1"/>
  <c r="AG917" i="1"/>
  <c r="AH917" i="1"/>
  <c r="AI917" i="1" s="1"/>
  <c r="AJ917" i="1" s="1"/>
  <c r="AV916" i="1"/>
  <c r="AF916" i="1"/>
  <c r="AM916" i="1" s="1"/>
  <c r="BM916" i="1"/>
  <c r="BN916" i="1" s="1"/>
  <c r="BF916" i="1"/>
  <c r="BG916" i="1" s="1"/>
  <c r="BH916" i="1" s="1"/>
  <c r="BI916" i="1"/>
  <c r="BJ916" i="1"/>
  <c r="BB916" i="1"/>
  <c r="AW916" i="1"/>
  <c r="BA916" i="1"/>
  <c r="AT916" i="1"/>
  <c r="AS916" i="1"/>
  <c r="AO916" i="1"/>
  <c r="AU916" i="1" s="1"/>
  <c r="AH916" i="1"/>
  <c r="AI916" i="1" s="1"/>
  <c r="AJ916" i="1" s="1"/>
  <c r="AG916" i="1"/>
  <c r="AV915" i="1"/>
  <c r="AF915" i="1"/>
  <c r="AM915" i="1" s="1"/>
  <c r="BM915" i="1"/>
  <c r="BJ915" i="1"/>
  <c r="BF915" i="1"/>
  <c r="BG915" i="1" s="1"/>
  <c r="BH915" i="1" s="1"/>
  <c r="BI915" i="1"/>
  <c r="AW915" i="1"/>
  <c r="BA915" i="1"/>
  <c r="BB915" i="1"/>
  <c r="AS915" i="1"/>
  <c r="AO915" i="1"/>
  <c r="AU915" i="1" s="1"/>
  <c r="AT915" i="1"/>
  <c r="AH915" i="1"/>
  <c r="AI915" i="1" s="1"/>
  <c r="AJ915" i="1" s="1"/>
  <c r="AG915" i="1"/>
  <c r="AV914" i="1"/>
  <c r="AF914" i="1"/>
  <c r="AM914" i="1" s="1"/>
  <c r="BM914" i="1"/>
  <c r="BN914" i="1" s="1"/>
  <c r="BF914" i="1"/>
  <c r="BG914" i="1" s="1"/>
  <c r="BH914" i="1" s="1"/>
  <c r="BI914" i="1"/>
  <c r="BJ914" i="1"/>
  <c r="BB914" i="1"/>
  <c r="AW914" i="1"/>
  <c r="BA914" i="1"/>
  <c r="AT914" i="1"/>
  <c r="AS914" i="1"/>
  <c r="AO914" i="1"/>
  <c r="AU914" i="1" s="1"/>
  <c r="AH914" i="1"/>
  <c r="AI914" i="1" s="1"/>
  <c r="AJ914" i="1" s="1"/>
  <c r="AG914" i="1"/>
  <c r="AV913" i="1"/>
  <c r="AF913" i="1"/>
  <c r="AM913" i="1" s="1"/>
  <c r="BM913" i="1"/>
  <c r="BJ913" i="1"/>
  <c r="BF913" i="1"/>
  <c r="BG913" i="1" s="1"/>
  <c r="BH913" i="1" s="1"/>
  <c r="BI913" i="1"/>
  <c r="AW913" i="1"/>
  <c r="BA913" i="1"/>
  <c r="BB913" i="1"/>
  <c r="AS913" i="1"/>
  <c r="AO913" i="1"/>
  <c r="AU913" i="1" s="1"/>
  <c r="AT913" i="1"/>
  <c r="AG913" i="1"/>
  <c r="AH913" i="1"/>
  <c r="AI913" i="1" s="1"/>
  <c r="AJ913" i="1" s="1"/>
  <c r="AV912" i="1"/>
  <c r="AF912" i="1"/>
  <c r="AM912" i="1" s="1"/>
  <c r="BM912" i="1"/>
  <c r="BN912" i="1" s="1"/>
  <c r="BF912" i="1"/>
  <c r="BG912" i="1" s="1"/>
  <c r="BH912" i="1" s="1"/>
  <c r="BI912" i="1"/>
  <c r="BJ912" i="1"/>
  <c r="BB912" i="1"/>
  <c r="AW912" i="1"/>
  <c r="BA912" i="1"/>
  <c r="AT912" i="1"/>
  <c r="AS912" i="1"/>
  <c r="AO912" i="1"/>
  <c r="AU912" i="1" s="1"/>
  <c r="AH912" i="1"/>
  <c r="AI912" i="1" s="1"/>
  <c r="AJ912" i="1" s="1"/>
  <c r="AG912" i="1"/>
  <c r="AV911" i="1"/>
  <c r="AF911" i="1"/>
  <c r="AM911" i="1" s="1"/>
  <c r="BM911" i="1"/>
  <c r="BJ911" i="1"/>
  <c r="BF911" i="1"/>
  <c r="BG911" i="1" s="1"/>
  <c r="BH911" i="1" s="1"/>
  <c r="BI911" i="1"/>
  <c r="AW911" i="1"/>
  <c r="BA911" i="1"/>
  <c r="BB911" i="1"/>
  <c r="AS911" i="1"/>
  <c r="AO911" i="1"/>
  <c r="AU911" i="1" s="1"/>
  <c r="AT911" i="1"/>
  <c r="AG911" i="1"/>
  <c r="AH911" i="1"/>
  <c r="AI911" i="1" s="1"/>
  <c r="AJ911" i="1" s="1"/>
  <c r="AV910" i="1"/>
  <c r="AF910" i="1"/>
  <c r="AM910" i="1" s="1"/>
  <c r="BM910" i="1"/>
  <c r="BN910" i="1" s="1"/>
  <c r="BF910" i="1"/>
  <c r="BG910" i="1" s="1"/>
  <c r="BH910" i="1" s="1"/>
  <c r="BI910" i="1"/>
  <c r="BJ910" i="1"/>
  <c r="BB910" i="1"/>
  <c r="AW910" i="1"/>
  <c r="BA910" i="1"/>
  <c r="AT910" i="1"/>
  <c r="AS910" i="1"/>
  <c r="AO910" i="1"/>
  <c r="AU910" i="1" s="1"/>
  <c r="AH910" i="1"/>
  <c r="AI910" i="1" s="1"/>
  <c r="AJ910" i="1" s="1"/>
  <c r="AG910" i="1"/>
  <c r="AV909" i="1"/>
  <c r="AF909" i="1"/>
  <c r="AM909" i="1" s="1"/>
  <c r="BM909" i="1"/>
  <c r="BJ909" i="1"/>
  <c r="BF909" i="1"/>
  <c r="BG909" i="1" s="1"/>
  <c r="BH909" i="1" s="1"/>
  <c r="BI909" i="1"/>
  <c r="AW909" i="1"/>
  <c r="BA909" i="1"/>
  <c r="BB909" i="1"/>
  <c r="AS909" i="1"/>
  <c r="AO909" i="1"/>
  <c r="AU909" i="1" s="1"/>
  <c r="AT909" i="1"/>
  <c r="AH909" i="1"/>
  <c r="AI909" i="1" s="1"/>
  <c r="AJ909" i="1" s="1"/>
  <c r="AG909" i="1"/>
  <c r="AV908" i="1"/>
  <c r="AF908" i="1"/>
  <c r="AM908" i="1" s="1"/>
  <c r="BM908" i="1"/>
  <c r="BN908" i="1" s="1"/>
  <c r="BF908" i="1"/>
  <c r="BG908" i="1" s="1"/>
  <c r="BH908" i="1" s="1"/>
  <c r="BI908" i="1"/>
  <c r="BJ908" i="1"/>
  <c r="BB908" i="1"/>
  <c r="AW908" i="1"/>
  <c r="BA908" i="1"/>
  <c r="AT908" i="1"/>
  <c r="AS908" i="1"/>
  <c r="AO908" i="1"/>
  <c r="AU908" i="1" s="1"/>
  <c r="AH908" i="1"/>
  <c r="AI908" i="1" s="1"/>
  <c r="AJ908" i="1" s="1"/>
  <c r="AG908" i="1"/>
  <c r="AV907" i="1"/>
  <c r="AF907" i="1"/>
  <c r="AM907" i="1" s="1"/>
  <c r="BM907" i="1"/>
  <c r="BJ907" i="1"/>
  <c r="BF907" i="1"/>
  <c r="BG907" i="1" s="1"/>
  <c r="BH907" i="1" s="1"/>
  <c r="BI907" i="1"/>
  <c r="AW907" i="1"/>
  <c r="BA907" i="1"/>
  <c r="BB907" i="1"/>
  <c r="AS907" i="1"/>
  <c r="AO907" i="1"/>
  <c r="AU907" i="1" s="1"/>
  <c r="AT907" i="1"/>
  <c r="AG907" i="1"/>
  <c r="AH907" i="1"/>
  <c r="AI907" i="1" s="1"/>
  <c r="AJ907" i="1" s="1"/>
  <c r="AV906" i="1"/>
  <c r="AF906" i="1"/>
  <c r="AM906" i="1" s="1"/>
  <c r="BM906" i="1"/>
  <c r="BN906" i="1" s="1"/>
  <c r="BF906" i="1"/>
  <c r="BG906" i="1" s="1"/>
  <c r="BH906" i="1" s="1"/>
  <c r="BI906" i="1"/>
  <c r="BJ906" i="1"/>
  <c r="BB906" i="1"/>
  <c r="AW906" i="1"/>
  <c r="BA906" i="1"/>
  <c r="AT906" i="1"/>
  <c r="AS906" i="1"/>
  <c r="AO906" i="1"/>
  <c r="AU906" i="1" s="1"/>
  <c r="AH906" i="1"/>
  <c r="AI906" i="1" s="1"/>
  <c r="AJ906" i="1" s="1"/>
  <c r="AG906" i="1"/>
  <c r="AV905" i="1"/>
  <c r="AF905" i="1"/>
  <c r="AM905" i="1" s="1"/>
  <c r="BM905" i="1"/>
  <c r="BN905" i="1" s="1"/>
  <c r="BJ905" i="1"/>
  <c r="BF905" i="1"/>
  <c r="BG905" i="1" s="1"/>
  <c r="BH905" i="1" s="1"/>
  <c r="BI905" i="1"/>
  <c r="AW905" i="1"/>
  <c r="BA905" i="1"/>
  <c r="BB905" i="1"/>
  <c r="AS905" i="1"/>
  <c r="AO905" i="1"/>
  <c r="AU905" i="1" s="1"/>
  <c r="AT905" i="1"/>
  <c r="AH905" i="1"/>
  <c r="AI905" i="1" s="1"/>
  <c r="AJ905" i="1" s="1"/>
  <c r="AG905" i="1"/>
  <c r="AV904" i="1"/>
  <c r="AF904" i="1"/>
  <c r="AM904" i="1" s="1"/>
  <c r="BM904" i="1"/>
  <c r="BN904" i="1" s="1"/>
  <c r="BF904" i="1"/>
  <c r="BG904" i="1" s="1"/>
  <c r="BH904" i="1" s="1"/>
  <c r="BI904" i="1"/>
  <c r="BJ904" i="1"/>
  <c r="BB904" i="1"/>
  <c r="AW904" i="1"/>
  <c r="BA904" i="1"/>
  <c r="AT904" i="1"/>
  <c r="AS904" i="1"/>
  <c r="AO904" i="1"/>
  <c r="AU904" i="1" s="1"/>
  <c r="AH904" i="1"/>
  <c r="AI904" i="1" s="1"/>
  <c r="AJ904" i="1" s="1"/>
  <c r="AG904" i="1"/>
  <c r="AV903" i="1"/>
  <c r="AF903" i="1"/>
  <c r="AM903" i="1" s="1"/>
  <c r="BM903" i="1"/>
  <c r="BJ903" i="1"/>
  <c r="BF903" i="1"/>
  <c r="BG903" i="1" s="1"/>
  <c r="BH903" i="1" s="1"/>
  <c r="BI903" i="1"/>
  <c r="AW903" i="1"/>
  <c r="BA903" i="1"/>
  <c r="BB903" i="1"/>
  <c r="AS903" i="1"/>
  <c r="AO903" i="1"/>
  <c r="AU903" i="1" s="1"/>
  <c r="AT903" i="1"/>
  <c r="AG903" i="1"/>
  <c r="AH903" i="1"/>
  <c r="AI903" i="1" s="1"/>
  <c r="AJ903" i="1" s="1"/>
  <c r="AV902" i="1"/>
  <c r="AF902" i="1"/>
  <c r="AM902" i="1" s="1"/>
  <c r="BM902" i="1"/>
  <c r="BN902" i="1" s="1"/>
  <c r="BF902" i="1"/>
  <c r="BG902" i="1" s="1"/>
  <c r="BH902" i="1" s="1"/>
  <c r="BI902" i="1"/>
  <c r="BJ902" i="1"/>
  <c r="BB902" i="1"/>
  <c r="AW902" i="1"/>
  <c r="BA902" i="1"/>
  <c r="AT902" i="1"/>
  <c r="AS902" i="1"/>
  <c r="AO902" i="1"/>
  <c r="AU902" i="1" s="1"/>
  <c r="AH902" i="1"/>
  <c r="AI902" i="1" s="1"/>
  <c r="AJ902" i="1" s="1"/>
  <c r="AG902" i="1"/>
  <c r="AV901" i="1"/>
  <c r="AF901" i="1"/>
  <c r="AM901" i="1" s="1"/>
  <c r="BM901" i="1"/>
  <c r="BJ901" i="1"/>
  <c r="BF901" i="1"/>
  <c r="BG901" i="1" s="1"/>
  <c r="BH901" i="1" s="1"/>
  <c r="BI901" i="1"/>
  <c r="AW901" i="1"/>
  <c r="BA901" i="1"/>
  <c r="BB901" i="1"/>
  <c r="AS901" i="1"/>
  <c r="AO901" i="1"/>
  <c r="AU901" i="1" s="1"/>
  <c r="AT901" i="1"/>
  <c r="AH901" i="1"/>
  <c r="AI901" i="1" s="1"/>
  <c r="AJ901" i="1" s="1"/>
  <c r="AG901" i="1"/>
  <c r="AV900" i="1"/>
  <c r="AF900" i="1"/>
  <c r="AM900" i="1" s="1"/>
  <c r="BM900" i="1"/>
  <c r="BN900" i="1" s="1"/>
  <c r="BF900" i="1"/>
  <c r="BG900" i="1" s="1"/>
  <c r="BH900" i="1" s="1"/>
  <c r="BI900" i="1"/>
  <c r="BJ900" i="1"/>
  <c r="BB900" i="1"/>
  <c r="AW900" i="1"/>
  <c r="BA900" i="1"/>
  <c r="AT900" i="1"/>
  <c r="AS900" i="1"/>
  <c r="AO900" i="1"/>
  <c r="AU900" i="1" s="1"/>
  <c r="AH900" i="1"/>
  <c r="AI900" i="1" s="1"/>
  <c r="AJ900" i="1" s="1"/>
  <c r="AG900" i="1"/>
  <c r="AV899" i="1"/>
  <c r="AF899" i="1"/>
  <c r="AM899" i="1" s="1"/>
  <c r="BM899" i="1"/>
  <c r="BN899" i="1" s="1"/>
  <c r="BJ899" i="1"/>
  <c r="BF899" i="1"/>
  <c r="BG899" i="1" s="1"/>
  <c r="BH899" i="1" s="1"/>
  <c r="BI899" i="1"/>
  <c r="AW899" i="1"/>
  <c r="BA899" i="1"/>
  <c r="BB899" i="1"/>
  <c r="AS899" i="1"/>
  <c r="AO899" i="1"/>
  <c r="AU899" i="1" s="1"/>
  <c r="AT899" i="1"/>
  <c r="AG899" i="1"/>
  <c r="AH899" i="1"/>
  <c r="AI899" i="1" s="1"/>
  <c r="AJ899" i="1" s="1"/>
  <c r="AV898" i="1"/>
  <c r="AF898" i="1"/>
  <c r="AM898" i="1" s="1"/>
  <c r="BM898" i="1"/>
  <c r="BN898" i="1" s="1"/>
  <c r="BF898" i="1"/>
  <c r="BG898" i="1" s="1"/>
  <c r="BH898" i="1" s="1"/>
  <c r="BI898" i="1"/>
  <c r="BJ898" i="1"/>
  <c r="BB898" i="1"/>
  <c r="AW898" i="1"/>
  <c r="BA898" i="1"/>
  <c r="AT898" i="1"/>
  <c r="AS898" i="1"/>
  <c r="AO898" i="1"/>
  <c r="AU898" i="1" s="1"/>
  <c r="AH898" i="1"/>
  <c r="AI898" i="1" s="1"/>
  <c r="AJ898" i="1" s="1"/>
  <c r="AG898" i="1"/>
  <c r="AV897" i="1"/>
  <c r="AF897" i="1"/>
  <c r="AM897" i="1" s="1"/>
  <c r="BM897" i="1"/>
  <c r="BJ897" i="1"/>
  <c r="BF897" i="1"/>
  <c r="BG897" i="1" s="1"/>
  <c r="BH897" i="1" s="1"/>
  <c r="BI897" i="1"/>
  <c r="AW897" i="1"/>
  <c r="BA897" i="1"/>
  <c r="BB897" i="1"/>
  <c r="AS897" i="1"/>
  <c r="AO897" i="1"/>
  <c r="AU897" i="1" s="1"/>
  <c r="AT897" i="1"/>
  <c r="AG897" i="1"/>
  <c r="AH897" i="1"/>
  <c r="AI897" i="1" s="1"/>
  <c r="AJ897" i="1" s="1"/>
  <c r="AV896" i="1"/>
  <c r="AF896" i="1"/>
  <c r="AM896" i="1" s="1"/>
  <c r="BM896" i="1"/>
  <c r="BN896" i="1" s="1"/>
  <c r="BF896" i="1"/>
  <c r="BG896" i="1" s="1"/>
  <c r="BH896" i="1" s="1"/>
  <c r="BI896" i="1"/>
  <c r="BJ896" i="1"/>
  <c r="BB896" i="1"/>
  <c r="AW896" i="1"/>
  <c r="BA896" i="1"/>
  <c r="AT896" i="1"/>
  <c r="AS896" i="1"/>
  <c r="AO896" i="1"/>
  <c r="AU896" i="1" s="1"/>
  <c r="AH896" i="1"/>
  <c r="AI896" i="1" s="1"/>
  <c r="AJ896" i="1" s="1"/>
  <c r="AG896" i="1"/>
  <c r="AV895" i="1"/>
  <c r="AF895" i="1"/>
  <c r="AM895" i="1" s="1"/>
  <c r="BM895" i="1"/>
  <c r="BJ895" i="1"/>
  <c r="BF895" i="1"/>
  <c r="BG895" i="1" s="1"/>
  <c r="BH895" i="1" s="1"/>
  <c r="BI895" i="1"/>
  <c r="AW895" i="1"/>
  <c r="BA895" i="1"/>
  <c r="BB895" i="1"/>
  <c r="AS895" i="1"/>
  <c r="AO895" i="1"/>
  <c r="AU895" i="1" s="1"/>
  <c r="AT895" i="1"/>
  <c r="AH895" i="1"/>
  <c r="AI895" i="1" s="1"/>
  <c r="AJ895" i="1" s="1"/>
  <c r="AG895" i="1"/>
  <c r="AV894" i="1"/>
  <c r="AF894" i="1"/>
  <c r="AM894" i="1" s="1"/>
  <c r="BM894" i="1"/>
  <c r="BN894" i="1" s="1"/>
  <c r="BF894" i="1"/>
  <c r="BG894" i="1" s="1"/>
  <c r="BH894" i="1" s="1"/>
  <c r="BI894" i="1"/>
  <c r="BJ894" i="1"/>
  <c r="BB894" i="1"/>
  <c r="AW894" i="1"/>
  <c r="BA894" i="1"/>
  <c r="AT894" i="1"/>
  <c r="AS894" i="1"/>
  <c r="AO894" i="1"/>
  <c r="AU894" i="1" s="1"/>
  <c r="AH894" i="1"/>
  <c r="AI894" i="1" s="1"/>
  <c r="AJ894" i="1" s="1"/>
  <c r="AG894" i="1"/>
  <c r="AV893" i="1"/>
  <c r="AF893" i="1"/>
  <c r="AM893" i="1" s="1"/>
  <c r="BM893" i="1"/>
  <c r="BJ893" i="1"/>
  <c r="BF893" i="1"/>
  <c r="BG893" i="1" s="1"/>
  <c r="BH893" i="1" s="1"/>
  <c r="BI893" i="1"/>
  <c r="AW893" i="1"/>
  <c r="BA893" i="1"/>
  <c r="BB893" i="1"/>
  <c r="AS893" i="1"/>
  <c r="AO893" i="1"/>
  <c r="AU893" i="1" s="1"/>
  <c r="AT893" i="1"/>
  <c r="AG893" i="1"/>
  <c r="AH893" i="1"/>
  <c r="AI893" i="1" s="1"/>
  <c r="AJ893" i="1" s="1"/>
  <c r="AV892" i="1"/>
  <c r="AF892" i="1"/>
  <c r="AM892" i="1" s="1"/>
  <c r="BM892" i="1"/>
  <c r="BN892" i="1" s="1"/>
  <c r="BF892" i="1"/>
  <c r="BG892" i="1" s="1"/>
  <c r="BH892" i="1" s="1"/>
  <c r="BI892" i="1"/>
  <c r="BJ892" i="1"/>
  <c r="BB892" i="1"/>
  <c r="AW892" i="1"/>
  <c r="BA892" i="1"/>
  <c r="AT892" i="1"/>
  <c r="AS892" i="1"/>
  <c r="AO892" i="1"/>
  <c r="AU892" i="1" s="1"/>
  <c r="AH892" i="1"/>
  <c r="AI892" i="1" s="1"/>
  <c r="AJ892" i="1" s="1"/>
  <c r="AG892" i="1"/>
  <c r="AV891" i="1"/>
  <c r="AF891" i="1"/>
  <c r="AM891" i="1" s="1"/>
  <c r="BM891" i="1"/>
  <c r="BJ891" i="1"/>
  <c r="BF891" i="1"/>
  <c r="BG891" i="1" s="1"/>
  <c r="BH891" i="1" s="1"/>
  <c r="BI891" i="1"/>
  <c r="AW891" i="1"/>
  <c r="BA891" i="1"/>
  <c r="BB891" i="1"/>
  <c r="AS891" i="1"/>
  <c r="AO891" i="1"/>
  <c r="AU891" i="1" s="1"/>
  <c r="AT891" i="1"/>
  <c r="AH891" i="1"/>
  <c r="AI891" i="1" s="1"/>
  <c r="AJ891" i="1" s="1"/>
  <c r="AG891" i="1"/>
  <c r="AV890" i="1"/>
  <c r="AF890" i="1"/>
  <c r="AM890" i="1" s="1"/>
  <c r="BM890" i="1"/>
  <c r="BN890" i="1" s="1"/>
  <c r="BF890" i="1"/>
  <c r="BG890" i="1" s="1"/>
  <c r="BH890" i="1" s="1"/>
  <c r="BI890" i="1"/>
  <c r="BJ890" i="1"/>
  <c r="BB890" i="1"/>
  <c r="AW890" i="1"/>
  <c r="BA890" i="1"/>
  <c r="AT890" i="1"/>
  <c r="AS890" i="1"/>
  <c r="AO890" i="1"/>
  <c r="AU890" i="1" s="1"/>
  <c r="AH890" i="1"/>
  <c r="AI890" i="1" s="1"/>
  <c r="AJ890" i="1" s="1"/>
  <c r="AG890" i="1"/>
  <c r="AV889" i="1"/>
  <c r="AF889" i="1"/>
  <c r="AM889" i="1" s="1"/>
  <c r="BM889" i="1"/>
  <c r="BJ889" i="1"/>
  <c r="BF889" i="1"/>
  <c r="BG889" i="1" s="1"/>
  <c r="BH889" i="1" s="1"/>
  <c r="BI889" i="1"/>
  <c r="AW889" i="1"/>
  <c r="BA889" i="1"/>
  <c r="BB889" i="1"/>
  <c r="AS889" i="1"/>
  <c r="AO889" i="1"/>
  <c r="AU889" i="1" s="1"/>
  <c r="AT889" i="1"/>
  <c r="AG889" i="1"/>
  <c r="AH889" i="1"/>
  <c r="AI889" i="1" s="1"/>
  <c r="AJ889" i="1" s="1"/>
  <c r="AV888" i="1"/>
  <c r="AF888" i="1"/>
  <c r="AM888" i="1" s="1"/>
  <c r="BM888" i="1"/>
  <c r="BN888" i="1" s="1"/>
  <c r="BF888" i="1"/>
  <c r="BG888" i="1" s="1"/>
  <c r="BH888" i="1" s="1"/>
  <c r="BI888" i="1"/>
  <c r="BJ888" i="1"/>
  <c r="BB888" i="1"/>
  <c r="AW888" i="1"/>
  <c r="BA888" i="1"/>
  <c r="AT888" i="1"/>
  <c r="AS888" i="1"/>
  <c r="AO888" i="1"/>
  <c r="AU888" i="1" s="1"/>
  <c r="AH888" i="1"/>
  <c r="AI888" i="1" s="1"/>
  <c r="AJ888" i="1" s="1"/>
  <c r="AG888" i="1"/>
  <c r="AV887" i="1"/>
  <c r="AF887" i="1"/>
  <c r="AM887" i="1" s="1"/>
  <c r="BM887" i="1"/>
  <c r="BN887" i="1" s="1"/>
  <c r="BJ887" i="1"/>
  <c r="BF887" i="1"/>
  <c r="BG887" i="1" s="1"/>
  <c r="BH887" i="1" s="1"/>
  <c r="BI887" i="1"/>
  <c r="AW887" i="1"/>
  <c r="BA887" i="1"/>
  <c r="BB887" i="1"/>
  <c r="AS887" i="1"/>
  <c r="AO887" i="1"/>
  <c r="AU887" i="1" s="1"/>
  <c r="AT887" i="1"/>
  <c r="AH887" i="1"/>
  <c r="AI887" i="1" s="1"/>
  <c r="AJ887" i="1" s="1"/>
  <c r="AG887" i="1"/>
  <c r="AV886" i="1"/>
  <c r="AF886" i="1"/>
  <c r="AM886" i="1" s="1"/>
  <c r="BM886" i="1"/>
  <c r="BN886" i="1" s="1"/>
  <c r="BF886" i="1"/>
  <c r="BG886" i="1" s="1"/>
  <c r="BH886" i="1" s="1"/>
  <c r="BI886" i="1"/>
  <c r="BJ886" i="1"/>
  <c r="BB886" i="1"/>
  <c r="AW886" i="1"/>
  <c r="BA886" i="1"/>
  <c r="AT886" i="1"/>
  <c r="AS886" i="1"/>
  <c r="AO886" i="1"/>
  <c r="AU886" i="1" s="1"/>
  <c r="AH886" i="1"/>
  <c r="AI886" i="1" s="1"/>
  <c r="AJ886" i="1" s="1"/>
  <c r="AG886" i="1"/>
  <c r="AV885" i="1"/>
  <c r="AF885" i="1"/>
  <c r="AM885" i="1" s="1"/>
  <c r="BM885" i="1"/>
  <c r="BJ885" i="1"/>
  <c r="BF885" i="1"/>
  <c r="BG885" i="1" s="1"/>
  <c r="BH885" i="1" s="1"/>
  <c r="BI885" i="1"/>
  <c r="AW885" i="1"/>
  <c r="BA885" i="1"/>
  <c r="BB885" i="1"/>
  <c r="AS885" i="1"/>
  <c r="AO885" i="1"/>
  <c r="AU885" i="1" s="1"/>
  <c r="AT885" i="1"/>
  <c r="AG885" i="1"/>
  <c r="AH885" i="1"/>
  <c r="AI885" i="1" s="1"/>
  <c r="AJ885" i="1" s="1"/>
  <c r="AV884" i="1"/>
  <c r="AF884" i="1"/>
  <c r="AM884" i="1" s="1"/>
  <c r="BM884" i="1"/>
  <c r="BN884" i="1" s="1"/>
  <c r="BF884" i="1"/>
  <c r="BG884" i="1" s="1"/>
  <c r="BH884" i="1" s="1"/>
  <c r="BI884" i="1"/>
  <c r="BJ884" i="1"/>
  <c r="BB884" i="1"/>
  <c r="AW884" i="1"/>
  <c r="BA884" i="1"/>
  <c r="AT884" i="1"/>
  <c r="AS884" i="1"/>
  <c r="AO884" i="1"/>
  <c r="AU884" i="1" s="1"/>
  <c r="AH884" i="1"/>
  <c r="AI884" i="1" s="1"/>
  <c r="AJ884" i="1" s="1"/>
  <c r="AG884" i="1"/>
  <c r="AV883" i="1"/>
  <c r="AF883" i="1"/>
  <c r="AM883" i="1" s="1"/>
  <c r="BM883" i="1"/>
  <c r="BN883" i="1" s="1"/>
  <c r="BJ883" i="1"/>
  <c r="BF883" i="1"/>
  <c r="BG883" i="1" s="1"/>
  <c r="BH883" i="1" s="1"/>
  <c r="BI883" i="1"/>
  <c r="AW883" i="1"/>
  <c r="BA883" i="1"/>
  <c r="BB883" i="1"/>
  <c r="AS883" i="1"/>
  <c r="AO883" i="1"/>
  <c r="AU883" i="1" s="1"/>
  <c r="AT883" i="1"/>
  <c r="AH883" i="1"/>
  <c r="AI883" i="1" s="1"/>
  <c r="AJ883" i="1" s="1"/>
  <c r="AG883" i="1"/>
  <c r="AV882" i="1"/>
  <c r="AF882" i="1"/>
  <c r="AM882" i="1" s="1"/>
  <c r="BM882" i="1"/>
  <c r="BN882" i="1" s="1"/>
  <c r="BF882" i="1"/>
  <c r="BG882" i="1" s="1"/>
  <c r="BH882" i="1" s="1"/>
  <c r="BI882" i="1"/>
  <c r="BJ882" i="1"/>
  <c r="BB882" i="1"/>
  <c r="AW882" i="1"/>
  <c r="BA882" i="1"/>
  <c r="AT882" i="1"/>
  <c r="AS882" i="1"/>
  <c r="AO882" i="1"/>
  <c r="AU882" i="1" s="1"/>
  <c r="AH882" i="1"/>
  <c r="AI882" i="1" s="1"/>
  <c r="AJ882" i="1" s="1"/>
  <c r="AG882" i="1"/>
  <c r="AV881" i="1"/>
  <c r="AF881" i="1"/>
  <c r="AM881" i="1" s="1"/>
  <c r="BM881" i="1"/>
  <c r="BN881" i="1" s="1"/>
  <c r="BJ881" i="1"/>
  <c r="BF881" i="1"/>
  <c r="BG881" i="1" s="1"/>
  <c r="BH881" i="1" s="1"/>
  <c r="BI881" i="1"/>
  <c r="BB881" i="1"/>
  <c r="AW881" i="1"/>
  <c r="BA881" i="1"/>
  <c r="AS881" i="1"/>
  <c r="AO881" i="1"/>
  <c r="AU881" i="1" s="1"/>
  <c r="AT881" i="1"/>
  <c r="AG881" i="1"/>
  <c r="AH881" i="1"/>
  <c r="AI881" i="1" s="1"/>
  <c r="AJ881" i="1" s="1"/>
  <c r="AV880" i="1"/>
  <c r="AF880" i="1"/>
  <c r="AM880" i="1" s="1"/>
  <c r="BM880" i="1"/>
  <c r="BN880" i="1" s="1"/>
  <c r="BF880" i="1"/>
  <c r="BG880" i="1" s="1"/>
  <c r="BH880" i="1" s="1"/>
  <c r="BI880" i="1"/>
  <c r="BJ880" i="1"/>
  <c r="BB880" i="1"/>
  <c r="AW880" i="1"/>
  <c r="BA880" i="1"/>
  <c r="AT880" i="1"/>
  <c r="AS880" i="1"/>
  <c r="AO880" i="1"/>
  <c r="AU880" i="1" s="1"/>
  <c r="AH880" i="1"/>
  <c r="AI880" i="1" s="1"/>
  <c r="AJ880" i="1" s="1"/>
  <c r="AG880" i="1"/>
  <c r="AV879" i="1"/>
  <c r="AF879" i="1"/>
  <c r="AM879" i="1" s="1"/>
  <c r="BM879" i="1"/>
  <c r="BJ879" i="1"/>
  <c r="BF879" i="1"/>
  <c r="BG879" i="1" s="1"/>
  <c r="BH879" i="1" s="1"/>
  <c r="BI879" i="1"/>
  <c r="BB879" i="1"/>
  <c r="AW879" i="1"/>
  <c r="BA879" i="1"/>
  <c r="AS879" i="1"/>
  <c r="AO879" i="1"/>
  <c r="AU879" i="1" s="1"/>
  <c r="AT879" i="1"/>
  <c r="AH879" i="1"/>
  <c r="AI879" i="1" s="1"/>
  <c r="AJ879" i="1" s="1"/>
  <c r="AG879" i="1"/>
  <c r="AV878" i="1"/>
  <c r="AF878" i="1"/>
  <c r="AM878" i="1" s="1"/>
  <c r="BM878" i="1"/>
  <c r="BN878" i="1" s="1"/>
  <c r="BF878" i="1"/>
  <c r="BG878" i="1" s="1"/>
  <c r="BH878" i="1" s="1"/>
  <c r="BI878" i="1"/>
  <c r="BJ878" i="1"/>
  <c r="BB878" i="1"/>
  <c r="AW878" i="1"/>
  <c r="BA878" i="1"/>
  <c r="AT878" i="1"/>
  <c r="AS878" i="1"/>
  <c r="AO878" i="1"/>
  <c r="AU878" i="1" s="1"/>
  <c r="AH878" i="1"/>
  <c r="AI878" i="1" s="1"/>
  <c r="AJ878" i="1" s="1"/>
  <c r="AG878" i="1"/>
  <c r="AV877" i="1"/>
  <c r="AF877" i="1"/>
  <c r="AM877" i="1" s="1"/>
  <c r="BM877" i="1"/>
  <c r="BJ877" i="1"/>
  <c r="BF877" i="1"/>
  <c r="BG877" i="1" s="1"/>
  <c r="BH877" i="1" s="1"/>
  <c r="BI877" i="1"/>
  <c r="BB877" i="1"/>
  <c r="AW877" i="1"/>
  <c r="BA877" i="1"/>
  <c r="AS877" i="1"/>
  <c r="AO877" i="1"/>
  <c r="AU877" i="1" s="1"/>
  <c r="AT877" i="1"/>
  <c r="AG877" i="1"/>
  <c r="AH877" i="1"/>
  <c r="AI877" i="1" s="1"/>
  <c r="AJ877" i="1" s="1"/>
  <c r="AV876" i="1"/>
  <c r="AF876" i="1"/>
  <c r="AM876" i="1" s="1"/>
  <c r="BM876" i="1"/>
  <c r="BN876" i="1" s="1"/>
  <c r="BF876" i="1"/>
  <c r="BG876" i="1" s="1"/>
  <c r="BH876" i="1" s="1"/>
  <c r="BI876" i="1"/>
  <c r="BJ876" i="1"/>
  <c r="BB876" i="1"/>
  <c r="AW876" i="1"/>
  <c r="BA876" i="1"/>
  <c r="AT876" i="1"/>
  <c r="AS876" i="1"/>
  <c r="AO876" i="1"/>
  <c r="AU876" i="1" s="1"/>
  <c r="AH876" i="1"/>
  <c r="AI876" i="1" s="1"/>
  <c r="AJ876" i="1" s="1"/>
  <c r="AG876" i="1"/>
  <c r="AV875" i="1"/>
  <c r="AF875" i="1"/>
  <c r="AM875" i="1" s="1"/>
  <c r="BM875" i="1"/>
  <c r="BJ875" i="1"/>
  <c r="BF875" i="1"/>
  <c r="BG875" i="1" s="1"/>
  <c r="BH875" i="1" s="1"/>
  <c r="BI875" i="1"/>
  <c r="BB875" i="1"/>
  <c r="AW875" i="1"/>
  <c r="BA875" i="1"/>
  <c r="AS875" i="1"/>
  <c r="AO875" i="1"/>
  <c r="AU875" i="1" s="1"/>
  <c r="AT875" i="1"/>
  <c r="AH875" i="1"/>
  <c r="AI875" i="1" s="1"/>
  <c r="AJ875" i="1" s="1"/>
  <c r="AG875" i="1"/>
  <c r="AV874" i="1"/>
  <c r="AF874" i="1"/>
  <c r="AM874" i="1" s="1"/>
  <c r="BM874" i="1"/>
  <c r="BN874" i="1" s="1"/>
  <c r="BF874" i="1"/>
  <c r="BG874" i="1" s="1"/>
  <c r="BH874" i="1" s="1"/>
  <c r="BI874" i="1"/>
  <c r="BJ874" i="1"/>
  <c r="BB874" i="1"/>
  <c r="AW874" i="1"/>
  <c r="BA874" i="1"/>
  <c r="AT874" i="1"/>
  <c r="AS874" i="1"/>
  <c r="AO874" i="1"/>
  <c r="AU874" i="1" s="1"/>
  <c r="AH874" i="1"/>
  <c r="AI874" i="1" s="1"/>
  <c r="AJ874" i="1" s="1"/>
  <c r="AG874" i="1"/>
  <c r="AV873" i="1"/>
  <c r="AF873" i="1"/>
  <c r="AM873" i="1" s="1"/>
  <c r="BM873" i="1"/>
  <c r="BJ873" i="1"/>
  <c r="BF873" i="1"/>
  <c r="BG873" i="1" s="1"/>
  <c r="BH873" i="1" s="1"/>
  <c r="BI873" i="1"/>
  <c r="BB873" i="1"/>
  <c r="AW873" i="1"/>
  <c r="BA873" i="1"/>
  <c r="AS873" i="1"/>
  <c r="AO873" i="1"/>
  <c r="AU873" i="1" s="1"/>
  <c r="AT873" i="1"/>
  <c r="AG873" i="1"/>
  <c r="AH873" i="1"/>
  <c r="AI873" i="1" s="1"/>
  <c r="AJ873" i="1" s="1"/>
  <c r="AV872" i="1"/>
  <c r="AF872" i="1"/>
  <c r="AM872" i="1" s="1"/>
  <c r="BM872" i="1"/>
  <c r="BN872" i="1" s="1"/>
  <c r="BF872" i="1"/>
  <c r="BG872" i="1" s="1"/>
  <c r="BH872" i="1" s="1"/>
  <c r="BI872" i="1"/>
  <c r="BJ872" i="1"/>
  <c r="BB872" i="1"/>
  <c r="AW872" i="1"/>
  <c r="BA872" i="1"/>
  <c r="AT872" i="1"/>
  <c r="AS872" i="1"/>
  <c r="AO872" i="1"/>
  <c r="AU872" i="1" s="1"/>
  <c r="AH872" i="1"/>
  <c r="AI872" i="1" s="1"/>
  <c r="AJ872" i="1" s="1"/>
  <c r="AG872" i="1"/>
  <c r="AV871" i="1"/>
  <c r="AF871" i="1"/>
  <c r="AM871" i="1" s="1"/>
  <c r="BM871" i="1"/>
  <c r="BJ871" i="1"/>
  <c r="BF871" i="1"/>
  <c r="BG871" i="1" s="1"/>
  <c r="BH871" i="1" s="1"/>
  <c r="BI871" i="1"/>
  <c r="BB871" i="1"/>
  <c r="AW871" i="1"/>
  <c r="BA871" i="1"/>
  <c r="AS871" i="1"/>
  <c r="AO871" i="1"/>
  <c r="AU871" i="1" s="1"/>
  <c r="AT871" i="1"/>
  <c r="AH871" i="1"/>
  <c r="AI871" i="1" s="1"/>
  <c r="AJ871" i="1" s="1"/>
  <c r="AG871" i="1"/>
  <c r="AV870" i="1"/>
  <c r="AF870" i="1"/>
  <c r="AM870" i="1" s="1"/>
  <c r="BM870" i="1"/>
  <c r="BN870" i="1" s="1"/>
  <c r="BF870" i="1"/>
  <c r="BG870" i="1" s="1"/>
  <c r="BH870" i="1" s="1"/>
  <c r="BI870" i="1"/>
  <c r="BJ870" i="1"/>
  <c r="BB870" i="1"/>
  <c r="AW870" i="1"/>
  <c r="BA870" i="1"/>
  <c r="AT870" i="1"/>
  <c r="AS870" i="1"/>
  <c r="AO870" i="1"/>
  <c r="AU870" i="1" s="1"/>
  <c r="AH870" i="1"/>
  <c r="AI870" i="1" s="1"/>
  <c r="AJ870" i="1" s="1"/>
  <c r="AG870" i="1"/>
  <c r="AV869" i="1"/>
  <c r="AF869" i="1"/>
  <c r="AM869" i="1" s="1"/>
  <c r="BM869" i="1"/>
  <c r="BN869" i="1" s="1"/>
  <c r="BJ869" i="1"/>
  <c r="BF869" i="1"/>
  <c r="BG869" i="1" s="1"/>
  <c r="BH869" i="1" s="1"/>
  <c r="BI869" i="1"/>
  <c r="BB869" i="1"/>
  <c r="AW869" i="1"/>
  <c r="BA869" i="1"/>
  <c r="AS869" i="1"/>
  <c r="AO869" i="1"/>
  <c r="AU869" i="1" s="1"/>
  <c r="AT869" i="1"/>
  <c r="AG869" i="1"/>
  <c r="AH869" i="1"/>
  <c r="AI869" i="1" s="1"/>
  <c r="AJ869" i="1" s="1"/>
  <c r="AV868" i="1"/>
  <c r="AF868" i="1"/>
  <c r="AM868" i="1" s="1"/>
  <c r="BM868" i="1"/>
  <c r="BN868" i="1" s="1"/>
  <c r="BF868" i="1"/>
  <c r="BG868" i="1" s="1"/>
  <c r="BH868" i="1" s="1"/>
  <c r="BI868" i="1"/>
  <c r="BJ868" i="1"/>
  <c r="BB868" i="1"/>
  <c r="AW868" i="1"/>
  <c r="BA868" i="1"/>
  <c r="AT868" i="1"/>
  <c r="AS868" i="1"/>
  <c r="AO868" i="1"/>
  <c r="AU868" i="1" s="1"/>
  <c r="AH868" i="1"/>
  <c r="AI868" i="1" s="1"/>
  <c r="AJ868" i="1" s="1"/>
  <c r="AG868" i="1"/>
  <c r="AV867" i="1"/>
  <c r="AF867" i="1"/>
  <c r="AM867" i="1" s="1"/>
  <c r="BM867" i="1"/>
  <c r="BJ867" i="1"/>
  <c r="BF867" i="1"/>
  <c r="BG867" i="1" s="1"/>
  <c r="BH867" i="1" s="1"/>
  <c r="BI867" i="1"/>
  <c r="BB867" i="1"/>
  <c r="AW867" i="1"/>
  <c r="BA867" i="1"/>
  <c r="AS867" i="1"/>
  <c r="AO867" i="1"/>
  <c r="AU867" i="1" s="1"/>
  <c r="AT867" i="1"/>
  <c r="AG867" i="1"/>
  <c r="AH867" i="1"/>
  <c r="AI867" i="1" s="1"/>
  <c r="AJ867" i="1" s="1"/>
  <c r="AV866" i="1"/>
  <c r="AF866" i="1"/>
  <c r="AM866" i="1" s="1"/>
  <c r="BM866" i="1"/>
  <c r="BN866" i="1" s="1"/>
  <c r="BF866" i="1"/>
  <c r="BG866" i="1" s="1"/>
  <c r="BH866" i="1" s="1"/>
  <c r="BI866" i="1"/>
  <c r="BJ866" i="1"/>
  <c r="BB866" i="1"/>
  <c r="AW866" i="1"/>
  <c r="BA866" i="1"/>
  <c r="AT866" i="1"/>
  <c r="AS866" i="1"/>
  <c r="AO866" i="1"/>
  <c r="AU866" i="1" s="1"/>
  <c r="AH866" i="1"/>
  <c r="AI866" i="1" s="1"/>
  <c r="AJ866" i="1" s="1"/>
  <c r="AG866" i="1"/>
  <c r="AV865" i="1"/>
  <c r="AF865" i="1"/>
  <c r="AM865" i="1" s="1"/>
  <c r="BM865" i="1"/>
  <c r="BN865" i="1" s="1"/>
  <c r="BJ865" i="1"/>
  <c r="BF865" i="1"/>
  <c r="BG865" i="1" s="1"/>
  <c r="BH865" i="1" s="1"/>
  <c r="BI865" i="1"/>
  <c r="BB865" i="1"/>
  <c r="AW865" i="1"/>
  <c r="BA865" i="1"/>
  <c r="AS865" i="1"/>
  <c r="AO865" i="1"/>
  <c r="AU865" i="1" s="1"/>
  <c r="AT865" i="1"/>
  <c r="AH865" i="1"/>
  <c r="AI865" i="1" s="1"/>
  <c r="AJ865" i="1" s="1"/>
  <c r="AG865" i="1"/>
  <c r="AV864" i="1"/>
  <c r="AF864" i="1"/>
  <c r="AM864" i="1" s="1"/>
  <c r="BM864" i="1"/>
  <c r="BN864" i="1" s="1"/>
  <c r="BF864" i="1"/>
  <c r="BG864" i="1" s="1"/>
  <c r="BH864" i="1" s="1"/>
  <c r="BI864" i="1"/>
  <c r="BJ864" i="1"/>
  <c r="BB864" i="1"/>
  <c r="AW864" i="1"/>
  <c r="BA864" i="1"/>
  <c r="AT864" i="1"/>
  <c r="AS864" i="1"/>
  <c r="AO864" i="1"/>
  <c r="AU864" i="1" s="1"/>
  <c r="AH864" i="1"/>
  <c r="AI864" i="1" s="1"/>
  <c r="AJ864" i="1" s="1"/>
  <c r="AG864" i="1"/>
  <c r="AV863" i="1"/>
  <c r="AF863" i="1"/>
  <c r="AM863" i="1" s="1"/>
  <c r="BM863" i="1"/>
  <c r="BN863" i="1" s="1"/>
  <c r="BJ863" i="1"/>
  <c r="BF863" i="1"/>
  <c r="BG863" i="1" s="1"/>
  <c r="BH863" i="1" s="1"/>
  <c r="BI863" i="1"/>
  <c r="BB863" i="1"/>
  <c r="AW863" i="1"/>
  <c r="BA863" i="1"/>
  <c r="AS863" i="1"/>
  <c r="AO863" i="1"/>
  <c r="AU863" i="1" s="1"/>
  <c r="AT863" i="1"/>
  <c r="AG863" i="1"/>
  <c r="AH863" i="1"/>
  <c r="AI863" i="1" s="1"/>
  <c r="AJ863" i="1" s="1"/>
  <c r="AV862" i="1"/>
  <c r="AF862" i="1"/>
  <c r="AM862" i="1" s="1"/>
  <c r="BM862" i="1"/>
  <c r="BN862" i="1" s="1"/>
  <c r="BF862" i="1"/>
  <c r="BG862" i="1" s="1"/>
  <c r="BH862" i="1" s="1"/>
  <c r="BI862" i="1"/>
  <c r="BJ862" i="1"/>
  <c r="BB862" i="1"/>
  <c r="AW862" i="1"/>
  <c r="BA862" i="1"/>
  <c r="AT862" i="1"/>
  <c r="AS862" i="1"/>
  <c r="AO862" i="1"/>
  <c r="AU862" i="1" s="1"/>
  <c r="AH862" i="1"/>
  <c r="AI862" i="1" s="1"/>
  <c r="AJ862" i="1" s="1"/>
  <c r="AG862" i="1"/>
  <c r="AV861" i="1"/>
  <c r="AF861" i="1"/>
  <c r="AM861" i="1" s="1"/>
  <c r="BM861" i="1"/>
  <c r="BJ861" i="1"/>
  <c r="BF861" i="1"/>
  <c r="BG861" i="1" s="1"/>
  <c r="BH861" i="1" s="1"/>
  <c r="BI861" i="1"/>
  <c r="BB861" i="1"/>
  <c r="AW861" i="1"/>
  <c r="BA861" i="1"/>
  <c r="AS861" i="1"/>
  <c r="AO861" i="1"/>
  <c r="AU861" i="1" s="1"/>
  <c r="AT861" i="1"/>
  <c r="AH861" i="1"/>
  <c r="AI861" i="1" s="1"/>
  <c r="AJ861" i="1" s="1"/>
  <c r="AG861" i="1"/>
  <c r="AV860" i="1"/>
  <c r="AF860" i="1"/>
  <c r="AM860" i="1" s="1"/>
  <c r="BM860" i="1"/>
  <c r="BN860" i="1" s="1"/>
  <c r="BF860" i="1"/>
  <c r="BG860" i="1" s="1"/>
  <c r="BH860" i="1" s="1"/>
  <c r="BI860" i="1"/>
  <c r="BJ860" i="1"/>
  <c r="BB860" i="1"/>
  <c r="AW860" i="1"/>
  <c r="BA860" i="1"/>
  <c r="AT860" i="1"/>
  <c r="AS860" i="1"/>
  <c r="AO860" i="1"/>
  <c r="AU860" i="1" s="1"/>
  <c r="AH860" i="1"/>
  <c r="AI860" i="1" s="1"/>
  <c r="AJ860" i="1" s="1"/>
  <c r="AG860" i="1"/>
  <c r="AV859" i="1"/>
  <c r="AF859" i="1"/>
  <c r="AM859" i="1" s="1"/>
  <c r="BM859" i="1"/>
  <c r="BJ859" i="1"/>
  <c r="BF859" i="1"/>
  <c r="BG859" i="1" s="1"/>
  <c r="BH859" i="1" s="1"/>
  <c r="BI859" i="1"/>
  <c r="BB859" i="1"/>
  <c r="AW859" i="1"/>
  <c r="BA859" i="1"/>
  <c r="AS859" i="1"/>
  <c r="AO859" i="1"/>
  <c r="AU859" i="1" s="1"/>
  <c r="AT859" i="1"/>
  <c r="AG859" i="1"/>
  <c r="AH859" i="1"/>
  <c r="AI859" i="1" s="1"/>
  <c r="AJ859" i="1" s="1"/>
  <c r="AV858" i="1"/>
  <c r="AF858" i="1"/>
  <c r="AM858" i="1" s="1"/>
  <c r="BM858" i="1"/>
  <c r="BN858" i="1" s="1"/>
  <c r="BF858" i="1"/>
  <c r="BG858" i="1" s="1"/>
  <c r="BH858" i="1" s="1"/>
  <c r="BI858" i="1"/>
  <c r="BJ858" i="1"/>
  <c r="BB858" i="1"/>
  <c r="AW858" i="1"/>
  <c r="BA858" i="1"/>
  <c r="AT858" i="1"/>
  <c r="AS858" i="1"/>
  <c r="AO858" i="1"/>
  <c r="AU858" i="1" s="1"/>
  <c r="AH858" i="1"/>
  <c r="AI858" i="1" s="1"/>
  <c r="AJ858" i="1" s="1"/>
  <c r="AG858" i="1"/>
  <c r="AV857" i="1"/>
  <c r="AF857" i="1"/>
  <c r="AM857" i="1" s="1"/>
  <c r="BM857" i="1"/>
  <c r="BJ857" i="1"/>
  <c r="BF857" i="1"/>
  <c r="BG857" i="1" s="1"/>
  <c r="BH857" i="1" s="1"/>
  <c r="BI857" i="1"/>
  <c r="BB857" i="1"/>
  <c r="AW857" i="1"/>
  <c r="BA857" i="1"/>
  <c r="AS857" i="1"/>
  <c r="AO857" i="1"/>
  <c r="AU857" i="1" s="1"/>
  <c r="AT857" i="1"/>
  <c r="AH857" i="1"/>
  <c r="AI857" i="1" s="1"/>
  <c r="AJ857" i="1" s="1"/>
  <c r="AG857" i="1"/>
  <c r="AV856" i="1"/>
  <c r="AF856" i="1"/>
  <c r="AM856" i="1" s="1"/>
  <c r="BM856" i="1"/>
  <c r="BN856" i="1" s="1"/>
  <c r="BF856" i="1"/>
  <c r="BG856" i="1" s="1"/>
  <c r="BH856" i="1" s="1"/>
  <c r="BI856" i="1"/>
  <c r="BJ856" i="1"/>
  <c r="BB856" i="1"/>
  <c r="AW856" i="1"/>
  <c r="BA856" i="1"/>
  <c r="AT856" i="1"/>
  <c r="AS856" i="1"/>
  <c r="AO856" i="1"/>
  <c r="AU856" i="1" s="1"/>
  <c r="AH856" i="1"/>
  <c r="AI856" i="1" s="1"/>
  <c r="AJ856" i="1" s="1"/>
  <c r="AG856" i="1"/>
  <c r="AV855" i="1"/>
  <c r="AF855" i="1"/>
  <c r="AM855" i="1" s="1"/>
  <c r="BM855" i="1"/>
  <c r="BJ855" i="1"/>
  <c r="BF855" i="1"/>
  <c r="BG855" i="1" s="1"/>
  <c r="BH855" i="1" s="1"/>
  <c r="BI855" i="1"/>
  <c r="BB855" i="1"/>
  <c r="AW855" i="1"/>
  <c r="BA855" i="1"/>
  <c r="AS855" i="1"/>
  <c r="AO855" i="1"/>
  <c r="AU855" i="1" s="1"/>
  <c r="AT855" i="1"/>
  <c r="AG855" i="1"/>
  <c r="AH855" i="1"/>
  <c r="AI855" i="1" s="1"/>
  <c r="AJ855" i="1" s="1"/>
  <c r="AV854" i="1"/>
  <c r="AF854" i="1"/>
  <c r="AM854" i="1" s="1"/>
  <c r="BM854" i="1"/>
  <c r="BN854" i="1" s="1"/>
  <c r="BF854" i="1"/>
  <c r="BG854" i="1" s="1"/>
  <c r="BH854" i="1" s="1"/>
  <c r="BI854" i="1"/>
  <c r="BJ854" i="1"/>
  <c r="BB854" i="1"/>
  <c r="AW854" i="1"/>
  <c r="BA854" i="1"/>
  <c r="AT854" i="1"/>
  <c r="AS854" i="1"/>
  <c r="AO854" i="1"/>
  <c r="AU854" i="1" s="1"/>
  <c r="AH854" i="1"/>
  <c r="AI854" i="1" s="1"/>
  <c r="AJ854" i="1" s="1"/>
  <c r="AG854" i="1"/>
  <c r="AV853" i="1"/>
  <c r="AF853" i="1"/>
  <c r="AM853" i="1" s="1"/>
  <c r="BM853" i="1"/>
  <c r="BJ853" i="1"/>
  <c r="BF853" i="1"/>
  <c r="BG853" i="1" s="1"/>
  <c r="BH853" i="1" s="1"/>
  <c r="BI853" i="1"/>
  <c r="BB853" i="1"/>
  <c r="AW853" i="1"/>
  <c r="BA853" i="1"/>
  <c r="AS853" i="1"/>
  <c r="AO853" i="1"/>
  <c r="AU853" i="1" s="1"/>
  <c r="AT853" i="1"/>
  <c r="AH853" i="1"/>
  <c r="AI853" i="1" s="1"/>
  <c r="AJ853" i="1" s="1"/>
  <c r="AG853" i="1"/>
  <c r="AV852" i="1"/>
  <c r="AF852" i="1"/>
  <c r="AM852" i="1" s="1"/>
  <c r="BM852" i="1"/>
  <c r="BN852" i="1" s="1"/>
  <c r="BF852" i="1"/>
  <c r="BG852" i="1" s="1"/>
  <c r="BH852" i="1" s="1"/>
  <c r="BI852" i="1"/>
  <c r="BJ852" i="1"/>
  <c r="BB852" i="1"/>
  <c r="AW852" i="1"/>
  <c r="BA852" i="1"/>
  <c r="AT852" i="1"/>
  <c r="AS852" i="1"/>
  <c r="AO852" i="1"/>
  <c r="AU852" i="1" s="1"/>
  <c r="AH852" i="1"/>
  <c r="AI852" i="1" s="1"/>
  <c r="AJ852" i="1" s="1"/>
  <c r="AG852" i="1"/>
  <c r="AV851" i="1"/>
  <c r="AF851" i="1"/>
  <c r="AM851" i="1" s="1"/>
  <c r="BM851" i="1"/>
  <c r="BN851" i="1" s="1"/>
  <c r="BF851" i="1"/>
  <c r="BG851" i="1" s="1"/>
  <c r="BH851" i="1" s="1"/>
  <c r="BJ851" i="1"/>
  <c r="BI851" i="1"/>
  <c r="BB851" i="1"/>
  <c r="AW851" i="1"/>
  <c r="BA851" i="1"/>
  <c r="AS851" i="1"/>
  <c r="AO851" i="1"/>
  <c r="AU851" i="1" s="1"/>
  <c r="AT851" i="1"/>
  <c r="AG851" i="1"/>
  <c r="AH851" i="1"/>
  <c r="AI851" i="1" s="1"/>
  <c r="AJ851" i="1" s="1"/>
  <c r="AV850" i="1"/>
  <c r="AF850" i="1"/>
  <c r="AM850" i="1" s="1"/>
  <c r="BM850" i="1"/>
  <c r="BN850" i="1" s="1"/>
  <c r="BF850" i="1"/>
  <c r="BG850" i="1" s="1"/>
  <c r="BH850" i="1" s="1"/>
  <c r="BI850" i="1"/>
  <c r="BJ850" i="1"/>
  <c r="BB850" i="1"/>
  <c r="AW850" i="1"/>
  <c r="BA850" i="1"/>
  <c r="AT850" i="1"/>
  <c r="AS850" i="1"/>
  <c r="AO850" i="1"/>
  <c r="AU850" i="1" s="1"/>
  <c r="AH850" i="1"/>
  <c r="AI850" i="1" s="1"/>
  <c r="AJ850" i="1" s="1"/>
  <c r="AG850" i="1"/>
  <c r="AV849" i="1"/>
  <c r="AF849" i="1"/>
  <c r="AM849" i="1" s="1"/>
  <c r="BM849" i="1"/>
  <c r="BJ849" i="1"/>
  <c r="BI849" i="1"/>
  <c r="BF849" i="1"/>
  <c r="BG849" i="1" s="1"/>
  <c r="BH849" i="1" s="1"/>
  <c r="BB849" i="1"/>
  <c r="AW849" i="1"/>
  <c r="BA849" i="1"/>
  <c r="AS849" i="1"/>
  <c r="AO849" i="1"/>
  <c r="AU849" i="1" s="1"/>
  <c r="AT849" i="1"/>
  <c r="AH849" i="1"/>
  <c r="AI849" i="1" s="1"/>
  <c r="AJ849" i="1" s="1"/>
  <c r="AG849" i="1"/>
  <c r="AV848" i="1"/>
  <c r="AF848" i="1"/>
  <c r="AM848" i="1" s="1"/>
  <c r="BM848" i="1"/>
  <c r="BN848" i="1" s="1"/>
  <c r="BF848" i="1"/>
  <c r="BG848" i="1" s="1"/>
  <c r="BH848" i="1" s="1"/>
  <c r="BI848" i="1"/>
  <c r="BJ848" i="1"/>
  <c r="BB848" i="1"/>
  <c r="AW848" i="1"/>
  <c r="BA848" i="1"/>
  <c r="AT848" i="1"/>
  <c r="AS848" i="1"/>
  <c r="AO848" i="1"/>
  <c r="AU848" i="1" s="1"/>
  <c r="AH848" i="1"/>
  <c r="AI848" i="1" s="1"/>
  <c r="AJ848" i="1" s="1"/>
  <c r="AG848" i="1"/>
  <c r="AV847" i="1"/>
  <c r="AF847" i="1"/>
  <c r="AM847" i="1" s="1"/>
  <c r="BM847" i="1"/>
  <c r="BJ847" i="1"/>
  <c r="BF847" i="1"/>
  <c r="BG847" i="1" s="1"/>
  <c r="BH847" i="1" s="1"/>
  <c r="BI847" i="1"/>
  <c r="BB847" i="1"/>
  <c r="AW847" i="1"/>
  <c r="BA847" i="1"/>
  <c r="AS847" i="1"/>
  <c r="AO847" i="1"/>
  <c r="AU847" i="1" s="1"/>
  <c r="AT847" i="1"/>
  <c r="AG847" i="1"/>
  <c r="AH847" i="1"/>
  <c r="AI847" i="1" s="1"/>
  <c r="AJ847" i="1" s="1"/>
  <c r="AV846" i="1"/>
  <c r="AF846" i="1"/>
  <c r="AM846" i="1" s="1"/>
  <c r="BM846" i="1"/>
  <c r="BN846" i="1" s="1"/>
  <c r="BF846" i="1"/>
  <c r="BG846" i="1" s="1"/>
  <c r="BH846" i="1" s="1"/>
  <c r="BI846" i="1"/>
  <c r="BJ846" i="1"/>
  <c r="BB846" i="1"/>
  <c r="AW846" i="1"/>
  <c r="BA846" i="1"/>
  <c r="AT846" i="1"/>
  <c r="AS846" i="1"/>
  <c r="AO846" i="1"/>
  <c r="AU846" i="1" s="1"/>
  <c r="AH846" i="1"/>
  <c r="AI846" i="1" s="1"/>
  <c r="AJ846" i="1" s="1"/>
  <c r="AG846" i="1"/>
  <c r="AV845" i="1"/>
  <c r="AF845" i="1"/>
  <c r="AM845" i="1" s="1"/>
  <c r="BM845" i="1"/>
  <c r="BN845" i="1" s="1"/>
  <c r="BJ845" i="1"/>
  <c r="BI845" i="1"/>
  <c r="BF845" i="1"/>
  <c r="BG845" i="1" s="1"/>
  <c r="BH845" i="1" s="1"/>
  <c r="BB845" i="1"/>
  <c r="AW845" i="1"/>
  <c r="BA845" i="1"/>
  <c r="AS845" i="1"/>
  <c r="AO845" i="1"/>
  <c r="AU845" i="1" s="1"/>
  <c r="AT845" i="1"/>
  <c r="AH845" i="1"/>
  <c r="AG845" i="1"/>
  <c r="AV844" i="1"/>
  <c r="AF844" i="1"/>
  <c r="AM844" i="1" s="1"/>
  <c r="BM844" i="1"/>
  <c r="BN844" i="1" s="1"/>
  <c r="BF844" i="1"/>
  <c r="BG844" i="1" s="1"/>
  <c r="BH844" i="1" s="1"/>
  <c r="BI844" i="1"/>
  <c r="BJ844" i="1"/>
  <c r="BB844" i="1"/>
  <c r="AW844" i="1"/>
  <c r="BA844" i="1"/>
  <c r="AT844" i="1"/>
  <c r="AS844" i="1"/>
  <c r="AO844" i="1"/>
  <c r="AU844" i="1" s="1"/>
  <c r="AH844" i="1"/>
  <c r="AG844" i="1"/>
  <c r="AV843" i="1"/>
  <c r="AF843" i="1"/>
  <c r="AM843" i="1" s="1"/>
  <c r="BM843" i="1"/>
  <c r="BN843" i="1" s="1"/>
  <c r="BJ843" i="1"/>
  <c r="BF843" i="1"/>
  <c r="BG843" i="1" s="1"/>
  <c r="BH843" i="1" s="1"/>
  <c r="BI843" i="1"/>
  <c r="BB843" i="1"/>
  <c r="AW843" i="1"/>
  <c r="BA843" i="1"/>
  <c r="AS843" i="1"/>
  <c r="AO843" i="1"/>
  <c r="AU843" i="1" s="1"/>
  <c r="AT843" i="1"/>
  <c r="AG843" i="1"/>
  <c r="AH843" i="1"/>
  <c r="AI843" i="1" s="1"/>
  <c r="AJ843" i="1" s="1"/>
  <c r="AV842" i="1"/>
  <c r="AF842" i="1"/>
  <c r="AM842" i="1" s="1"/>
  <c r="BM842" i="1"/>
  <c r="BN842" i="1" s="1"/>
  <c r="BF842" i="1"/>
  <c r="BG842" i="1" s="1"/>
  <c r="BH842" i="1" s="1"/>
  <c r="BI842" i="1"/>
  <c r="BJ842" i="1"/>
  <c r="BB842" i="1"/>
  <c r="AW842" i="1"/>
  <c r="BA842" i="1"/>
  <c r="AT842" i="1"/>
  <c r="AS842" i="1"/>
  <c r="AO842" i="1"/>
  <c r="AU842" i="1" s="1"/>
  <c r="AH842" i="1"/>
  <c r="AG842" i="1"/>
  <c r="AV841" i="1"/>
  <c r="AF841" i="1"/>
  <c r="AM841" i="1" s="1"/>
  <c r="BM841" i="1"/>
  <c r="BN841" i="1" s="1"/>
  <c r="BJ841" i="1"/>
  <c r="BI841" i="1"/>
  <c r="BF841" i="1"/>
  <c r="BG841" i="1" s="1"/>
  <c r="BH841" i="1" s="1"/>
  <c r="BB841" i="1"/>
  <c r="AW841" i="1"/>
  <c r="BA841" i="1"/>
  <c r="AS841" i="1"/>
  <c r="AO841" i="1"/>
  <c r="AU841" i="1" s="1"/>
  <c r="AT841" i="1"/>
  <c r="AG841" i="1"/>
  <c r="AH841" i="1"/>
  <c r="AI841" i="1" s="1"/>
  <c r="AJ841" i="1" s="1"/>
  <c r="AV840" i="1"/>
  <c r="AF840" i="1"/>
  <c r="AM840" i="1" s="1"/>
  <c r="BM840" i="1"/>
  <c r="BN840" i="1" s="1"/>
  <c r="BF840" i="1"/>
  <c r="BG840" i="1" s="1"/>
  <c r="BH840" i="1" s="1"/>
  <c r="BI840" i="1"/>
  <c r="BJ840" i="1"/>
  <c r="BB840" i="1"/>
  <c r="AW840" i="1"/>
  <c r="BA840" i="1"/>
  <c r="AT840" i="1"/>
  <c r="AS840" i="1"/>
  <c r="AO840" i="1"/>
  <c r="AU840" i="1" s="1"/>
  <c r="AH840" i="1"/>
  <c r="AG840" i="1"/>
  <c r="AV839" i="1"/>
  <c r="AF839" i="1"/>
  <c r="AM839" i="1" s="1"/>
  <c r="BM839" i="1"/>
  <c r="BJ839" i="1"/>
  <c r="BF839" i="1"/>
  <c r="BG839" i="1" s="1"/>
  <c r="BH839" i="1" s="1"/>
  <c r="BI839" i="1"/>
  <c r="BB839" i="1"/>
  <c r="AW839" i="1"/>
  <c r="BA839" i="1"/>
  <c r="AS839" i="1"/>
  <c r="AO839" i="1"/>
  <c r="AU839" i="1" s="1"/>
  <c r="AT839" i="1"/>
  <c r="AH839" i="1"/>
  <c r="AG839" i="1"/>
  <c r="AV838" i="1"/>
  <c r="AF838" i="1"/>
  <c r="AM838" i="1" s="1"/>
  <c r="BM838" i="1"/>
  <c r="BN838" i="1" s="1"/>
  <c r="BF838" i="1"/>
  <c r="BG838" i="1" s="1"/>
  <c r="BH838" i="1" s="1"/>
  <c r="BI838" i="1"/>
  <c r="BJ838" i="1"/>
  <c r="BB838" i="1"/>
  <c r="AW838" i="1"/>
  <c r="BA838" i="1"/>
  <c r="AT838" i="1"/>
  <c r="AS838" i="1"/>
  <c r="AO838" i="1"/>
  <c r="AU838" i="1" s="1"/>
  <c r="AH838" i="1"/>
  <c r="AG838" i="1"/>
  <c r="AV837" i="1"/>
  <c r="AF837" i="1"/>
  <c r="AM837" i="1" s="1"/>
  <c r="BM837" i="1"/>
  <c r="BN837" i="1" s="1"/>
  <c r="BJ837" i="1"/>
  <c r="BI837" i="1"/>
  <c r="BF837" i="1"/>
  <c r="BG837" i="1" s="1"/>
  <c r="BH837" i="1" s="1"/>
  <c r="BB837" i="1"/>
  <c r="AW837" i="1"/>
  <c r="BA837" i="1"/>
  <c r="AS837" i="1"/>
  <c r="AO837" i="1"/>
  <c r="AU837" i="1" s="1"/>
  <c r="AT837" i="1"/>
  <c r="AG837" i="1"/>
  <c r="AH837" i="1"/>
  <c r="AI837" i="1" s="1"/>
  <c r="AJ837" i="1" s="1"/>
  <c r="AV836" i="1"/>
  <c r="AF836" i="1"/>
  <c r="AM836" i="1" s="1"/>
  <c r="BM836" i="1"/>
  <c r="BN836" i="1" s="1"/>
  <c r="BF836" i="1"/>
  <c r="BG836" i="1" s="1"/>
  <c r="BH836" i="1" s="1"/>
  <c r="BI836" i="1"/>
  <c r="BJ836" i="1"/>
  <c r="BB836" i="1"/>
  <c r="AW836" i="1"/>
  <c r="BA836" i="1"/>
  <c r="AT836" i="1"/>
  <c r="AS836" i="1"/>
  <c r="AO836" i="1"/>
  <c r="AU836" i="1" s="1"/>
  <c r="AH836" i="1"/>
  <c r="AG836" i="1"/>
  <c r="AV835" i="1"/>
  <c r="AF835" i="1"/>
  <c r="AM835" i="1" s="1"/>
  <c r="BM835" i="1"/>
  <c r="BN835" i="1" s="1"/>
  <c r="BJ835" i="1"/>
  <c r="BF835" i="1"/>
  <c r="BG835" i="1" s="1"/>
  <c r="BH835" i="1" s="1"/>
  <c r="BI835" i="1"/>
  <c r="BB835" i="1"/>
  <c r="AW835" i="1"/>
  <c r="BA835" i="1"/>
  <c r="AS835" i="1"/>
  <c r="AO835" i="1"/>
  <c r="AU835" i="1" s="1"/>
  <c r="AT835" i="1"/>
  <c r="AH835" i="1"/>
  <c r="AG835" i="1"/>
  <c r="AV834" i="1"/>
  <c r="AF834" i="1"/>
  <c r="AM834" i="1" s="1"/>
  <c r="BM834" i="1"/>
  <c r="BN834" i="1" s="1"/>
  <c r="BF834" i="1"/>
  <c r="BG834" i="1" s="1"/>
  <c r="BH834" i="1" s="1"/>
  <c r="BI834" i="1"/>
  <c r="BJ834" i="1"/>
  <c r="BB834" i="1"/>
  <c r="AW834" i="1"/>
  <c r="BA834" i="1"/>
  <c r="AT834" i="1"/>
  <c r="AS834" i="1"/>
  <c r="AO834" i="1"/>
  <c r="AU834" i="1" s="1"/>
  <c r="AH834" i="1"/>
  <c r="AG834" i="1"/>
  <c r="AV833" i="1"/>
  <c r="AF833" i="1"/>
  <c r="AM833" i="1" s="1"/>
  <c r="BM833" i="1"/>
  <c r="BN833" i="1" s="1"/>
  <c r="BJ833" i="1"/>
  <c r="BI833" i="1"/>
  <c r="BF833" i="1"/>
  <c r="BG833" i="1" s="1"/>
  <c r="BH833" i="1" s="1"/>
  <c r="BB833" i="1"/>
  <c r="AW833" i="1"/>
  <c r="BA833" i="1"/>
  <c r="AS833" i="1"/>
  <c r="AO833" i="1"/>
  <c r="AU833" i="1" s="1"/>
  <c r="AT833" i="1"/>
  <c r="AG833" i="1"/>
  <c r="AH833" i="1"/>
  <c r="AI833" i="1" s="1"/>
  <c r="AJ833" i="1" s="1"/>
  <c r="AV832" i="1"/>
  <c r="AF832" i="1"/>
  <c r="AM832" i="1" s="1"/>
  <c r="BM832" i="1"/>
  <c r="BN832" i="1" s="1"/>
  <c r="BF832" i="1"/>
  <c r="BG832" i="1" s="1"/>
  <c r="BH832" i="1" s="1"/>
  <c r="BI832" i="1"/>
  <c r="BJ832" i="1"/>
  <c r="BB832" i="1"/>
  <c r="AW832" i="1"/>
  <c r="BA832" i="1"/>
  <c r="AT832" i="1"/>
  <c r="AS832" i="1"/>
  <c r="AO832" i="1"/>
  <c r="AU832" i="1" s="1"/>
  <c r="AH832" i="1"/>
  <c r="AG832" i="1"/>
  <c r="AV831" i="1"/>
  <c r="AF831" i="1"/>
  <c r="AM831" i="1" s="1"/>
  <c r="BM831" i="1"/>
  <c r="BN831" i="1" s="1"/>
  <c r="BJ831" i="1"/>
  <c r="BF831" i="1"/>
  <c r="BG831" i="1" s="1"/>
  <c r="BH831" i="1" s="1"/>
  <c r="BI831" i="1"/>
  <c r="BB831" i="1"/>
  <c r="AW831" i="1"/>
  <c r="BA831" i="1"/>
  <c r="AS831" i="1"/>
  <c r="AO831" i="1"/>
  <c r="AU831" i="1" s="1"/>
  <c r="AT831" i="1"/>
  <c r="AG831" i="1"/>
  <c r="AH831" i="1"/>
  <c r="AI831" i="1" s="1"/>
  <c r="AJ831" i="1" s="1"/>
  <c r="AV830" i="1"/>
  <c r="AF830" i="1"/>
  <c r="AM830" i="1" s="1"/>
  <c r="BM830" i="1"/>
  <c r="BN830" i="1" s="1"/>
  <c r="BF830" i="1"/>
  <c r="BG830" i="1" s="1"/>
  <c r="BH830" i="1" s="1"/>
  <c r="BI830" i="1"/>
  <c r="BJ830" i="1"/>
  <c r="BB830" i="1"/>
  <c r="AW830" i="1"/>
  <c r="BA830" i="1"/>
  <c r="AT830" i="1"/>
  <c r="AS830" i="1"/>
  <c r="AO830" i="1"/>
  <c r="AU830" i="1" s="1"/>
  <c r="AH830" i="1"/>
  <c r="AG830" i="1"/>
  <c r="AV829" i="1"/>
  <c r="AF829" i="1"/>
  <c r="AM829" i="1" s="1"/>
  <c r="BM829" i="1"/>
  <c r="BN829" i="1" s="1"/>
  <c r="BJ829" i="1"/>
  <c r="BI829" i="1"/>
  <c r="BF829" i="1"/>
  <c r="BG829" i="1" s="1"/>
  <c r="BH829" i="1" s="1"/>
  <c r="BB829" i="1"/>
  <c r="AW829" i="1"/>
  <c r="BA829" i="1"/>
  <c r="AS829" i="1"/>
  <c r="AO829" i="1"/>
  <c r="AU829" i="1" s="1"/>
  <c r="AT829" i="1"/>
  <c r="AH829" i="1"/>
  <c r="AG829" i="1"/>
  <c r="AV828" i="1"/>
  <c r="AF828" i="1"/>
  <c r="AM828" i="1" s="1"/>
  <c r="BM828" i="1"/>
  <c r="BN828" i="1" s="1"/>
  <c r="BF828" i="1"/>
  <c r="BG828" i="1" s="1"/>
  <c r="BH828" i="1" s="1"/>
  <c r="BI828" i="1"/>
  <c r="BJ828" i="1"/>
  <c r="BB828" i="1"/>
  <c r="AW828" i="1"/>
  <c r="BA828" i="1"/>
  <c r="AT828" i="1"/>
  <c r="AS828" i="1"/>
  <c r="AO828" i="1"/>
  <c r="AU828" i="1" s="1"/>
  <c r="AH828" i="1"/>
  <c r="AG828" i="1"/>
  <c r="AV827" i="1"/>
  <c r="AF827" i="1"/>
  <c r="AM827" i="1" s="1"/>
  <c r="BM827" i="1"/>
  <c r="BN827" i="1" s="1"/>
  <c r="BJ827" i="1"/>
  <c r="BF827" i="1"/>
  <c r="BG827" i="1" s="1"/>
  <c r="BH827" i="1" s="1"/>
  <c r="BI827" i="1"/>
  <c r="BB827" i="1"/>
  <c r="AW827" i="1"/>
  <c r="BA827" i="1"/>
  <c r="AS827" i="1"/>
  <c r="AO827" i="1"/>
  <c r="AU827" i="1" s="1"/>
  <c r="AT827" i="1"/>
  <c r="AG827" i="1"/>
  <c r="AH827" i="1"/>
  <c r="AI827" i="1" s="1"/>
  <c r="AJ827" i="1" s="1"/>
  <c r="AV826" i="1"/>
  <c r="AF826" i="1"/>
  <c r="AM826" i="1" s="1"/>
  <c r="BM826" i="1"/>
  <c r="BN826" i="1" s="1"/>
  <c r="BF826" i="1"/>
  <c r="BG826" i="1" s="1"/>
  <c r="BH826" i="1" s="1"/>
  <c r="BI826" i="1"/>
  <c r="BJ826" i="1"/>
  <c r="BB826" i="1"/>
  <c r="AW826" i="1"/>
  <c r="BA826" i="1"/>
  <c r="AT826" i="1"/>
  <c r="AS826" i="1"/>
  <c r="AO826" i="1"/>
  <c r="AU826" i="1" s="1"/>
  <c r="AH826" i="1"/>
  <c r="AG826" i="1"/>
  <c r="AV825" i="1"/>
  <c r="AF825" i="1"/>
  <c r="AM825" i="1" s="1"/>
  <c r="BM825" i="1"/>
  <c r="BN825" i="1" s="1"/>
  <c r="BJ825" i="1"/>
  <c r="BI825" i="1"/>
  <c r="BF825" i="1"/>
  <c r="BG825" i="1" s="1"/>
  <c r="BH825" i="1" s="1"/>
  <c r="BB825" i="1"/>
  <c r="AW825" i="1"/>
  <c r="BA825" i="1"/>
  <c r="AS825" i="1"/>
  <c r="AO825" i="1"/>
  <c r="AU825" i="1" s="1"/>
  <c r="AT825" i="1"/>
  <c r="AH825" i="1"/>
  <c r="AG825" i="1"/>
  <c r="AV824" i="1"/>
  <c r="AF824" i="1"/>
  <c r="AM824" i="1" s="1"/>
  <c r="BM824" i="1"/>
  <c r="BN824" i="1" s="1"/>
  <c r="BF824" i="1"/>
  <c r="BG824" i="1" s="1"/>
  <c r="BH824" i="1" s="1"/>
  <c r="BI824" i="1"/>
  <c r="BJ824" i="1"/>
  <c r="AW824" i="1"/>
  <c r="BA824" i="1"/>
  <c r="BB824" i="1"/>
  <c r="AT824" i="1"/>
  <c r="AS824" i="1"/>
  <c r="AO824" i="1"/>
  <c r="AU824" i="1" s="1"/>
  <c r="AH824" i="1"/>
  <c r="AG824" i="1"/>
  <c r="AV823" i="1"/>
  <c r="AF823" i="1"/>
  <c r="AM823" i="1" s="1"/>
  <c r="BM823" i="1"/>
  <c r="BN823" i="1" s="1"/>
  <c r="BJ823" i="1"/>
  <c r="BF823" i="1"/>
  <c r="BG823" i="1" s="1"/>
  <c r="BH823" i="1" s="1"/>
  <c r="BI823" i="1"/>
  <c r="BB823" i="1"/>
  <c r="AW823" i="1"/>
  <c r="BA823" i="1"/>
  <c r="AS823" i="1"/>
  <c r="AO823" i="1"/>
  <c r="AU823" i="1" s="1"/>
  <c r="AT823" i="1"/>
  <c r="AG823" i="1"/>
  <c r="AH823" i="1"/>
  <c r="AI823" i="1" s="1"/>
  <c r="AJ823" i="1" s="1"/>
  <c r="AV822" i="1"/>
  <c r="AF822" i="1"/>
  <c r="AM822" i="1" s="1"/>
  <c r="BM822" i="1"/>
  <c r="BN822" i="1" s="1"/>
  <c r="BF822" i="1"/>
  <c r="BG822" i="1" s="1"/>
  <c r="BH822" i="1" s="1"/>
  <c r="BI822" i="1"/>
  <c r="BJ822" i="1"/>
  <c r="AW822" i="1"/>
  <c r="BA822" i="1"/>
  <c r="BB822" i="1"/>
  <c r="AT822" i="1"/>
  <c r="AS822" i="1"/>
  <c r="AO822" i="1"/>
  <c r="AU822" i="1" s="1"/>
  <c r="AH822" i="1"/>
  <c r="AG822" i="1"/>
  <c r="AV821" i="1"/>
  <c r="AF821" i="1"/>
  <c r="AM821" i="1" s="1"/>
  <c r="BM821" i="1"/>
  <c r="BN821" i="1" s="1"/>
  <c r="BJ821" i="1"/>
  <c r="BI821" i="1"/>
  <c r="BF821" i="1"/>
  <c r="BG821" i="1" s="1"/>
  <c r="BH821" i="1" s="1"/>
  <c r="BB821" i="1"/>
  <c r="AW821" i="1"/>
  <c r="BA821" i="1"/>
  <c r="AS821" i="1"/>
  <c r="AO821" i="1"/>
  <c r="AU821" i="1" s="1"/>
  <c r="AT821" i="1"/>
  <c r="AH821" i="1"/>
  <c r="AG821" i="1"/>
  <c r="AV820" i="1"/>
  <c r="AF820" i="1"/>
  <c r="AM820" i="1" s="1"/>
  <c r="BM820" i="1"/>
  <c r="BN820" i="1" s="1"/>
  <c r="BF820" i="1"/>
  <c r="BG820" i="1" s="1"/>
  <c r="BH820" i="1" s="1"/>
  <c r="BI820" i="1"/>
  <c r="BJ820" i="1"/>
  <c r="AW820" i="1"/>
  <c r="BA820" i="1"/>
  <c r="BB820" i="1"/>
  <c r="AT820" i="1"/>
  <c r="AS820" i="1"/>
  <c r="AO820" i="1"/>
  <c r="AU820" i="1" s="1"/>
  <c r="AH820" i="1"/>
  <c r="AG820" i="1"/>
  <c r="AV819" i="1"/>
  <c r="AF819" i="1"/>
  <c r="AM819" i="1" s="1"/>
  <c r="BM819" i="1"/>
  <c r="BN819" i="1" s="1"/>
  <c r="BJ819" i="1"/>
  <c r="BF819" i="1"/>
  <c r="BG819" i="1" s="1"/>
  <c r="BH819" i="1" s="1"/>
  <c r="BI819" i="1"/>
  <c r="BB819" i="1"/>
  <c r="AW819" i="1"/>
  <c r="BA819" i="1"/>
  <c r="AS819" i="1"/>
  <c r="AO819" i="1"/>
  <c r="AU819" i="1" s="1"/>
  <c r="AT819" i="1"/>
  <c r="AG819" i="1"/>
  <c r="AH819" i="1"/>
  <c r="AI819" i="1" s="1"/>
  <c r="AJ819" i="1" s="1"/>
  <c r="AV818" i="1"/>
  <c r="AF818" i="1"/>
  <c r="AM818" i="1" s="1"/>
  <c r="BM818" i="1"/>
  <c r="BN818" i="1" s="1"/>
  <c r="BF818" i="1"/>
  <c r="BG818" i="1" s="1"/>
  <c r="BH818" i="1" s="1"/>
  <c r="BI818" i="1"/>
  <c r="BJ818" i="1"/>
  <c r="AW818" i="1"/>
  <c r="BA818" i="1"/>
  <c r="BB818" i="1"/>
  <c r="AT818" i="1"/>
  <c r="AS818" i="1"/>
  <c r="AO818" i="1"/>
  <c r="AU818" i="1" s="1"/>
  <c r="AH818" i="1"/>
  <c r="AG818" i="1"/>
  <c r="AV817" i="1"/>
  <c r="AF817" i="1"/>
  <c r="AM817" i="1" s="1"/>
  <c r="BM817" i="1"/>
  <c r="BN817" i="1" s="1"/>
  <c r="BJ817" i="1"/>
  <c r="BI817" i="1"/>
  <c r="BF817" i="1"/>
  <c r="BG817" i="1" s="1"/>
  <c r="BH817" i="1" s="1"/>
  <c r="BB817" i="1"/>
  <c r="AW817" i="1"/>
  <c r="BA817" i="1"/>
  <c r="AS817" i="1"/>
  <c r="AO817" i="1"/>
  <c r="AU817" i="1" s="1"/>
  <c r="AT817" i="1"/>
  <c r="AG817" i="1"/>
  <c r="AH817" i="1"/>
  <c r="AI817" i="1" s="1"/>
  <c r="AJ817" i="1" s="1"/>
  <c r="AV816" i="1"/>
  <c r="AF816" i="1"/>
  <c r="AM816" i="1" s="1"/>
  <c r="BM816" i="1"/>
  <c r="BN816" i="1" s="1"/>
  <c r="BF816" i="1"/>
  <c r="BG816" i="1" s="1"/>
  <c r="BH816" i="1" s="1"/>
  <c r="BI816" i="1"/>
  <c r="BJ816" i="1"/>
  <c r="AW816" i="1"/>
  <c r="BA816" i="1"/>
  <c r="BB816" i="1"/>
  <c r="AT816" i="1"/>
  <c r="AS816" i="1"/>
  <c r="AO816" i="1"/>
  <c r="AU816" i="1" s="1"/>
  <c r="AH816" i="1"/>
  <c r="AG816" i="1"/>
  <c r="AV815" i="1"/>
  <c r="AF815" i="1"/>
  <c r="AM815" i="1" s="1"/>
  <c r="BM815" i="1"/>
  <c r="BN815" i="1" s="1"/>
  <c r="BJ815" i="1"/>
  <c r="BF815" i="1"/>
  <c r="BG815" i="1" s="1"/>
  <c r="BH815" i="1" s="1"/>
  <c r="BI815" i="1"/>
  <c r="BB815" i="1"/>
  <c r="AW815" i="1"/>
  <c r="BA815" i="1"/>
  <c r="AS815" i="1"/>
  <c r="AO815" i="1"/>
  <c r="AU815" i="1" s="1"/>
  <c r="AT815" i="1"/>
  <c r="AH815" i="1"/>
  <c r="AG815" i="1"/>
  <c r="AV814" i="1"/>
  <c r="AF814" i="1"/>
  <c r="AM814" i="1" s="1"/>
  <c r="BM814" i="1"/>
  <c r="BN814" i="1" s="1"/>
  <c r="BF814" i="1"/>
  <c r="BG814" i="1" s="1"/>
  <c r="BH814" i="1" s="1"/>
  <c r="BI814" i="1"/>
  <c r="BJ814" i="1"/>
  <c r="AW814" i="1"/>
  <c r="BA814" i="1"/>
  <c r="BB814" i="1"/>
  <c r="AT814" i="1"/>
  <c r="AS814" i="1"/>
  <c r="AO814" i="1"/>
  <c r="AU814" i="1" s="1"/>
  <c r="AH814" i="1"/>
  <c r="AG814" i="1"/>
  <c r="AV813" i="1"/>
  <c r="AF813" i="1"/>
  <c r="AM813" i="1" s="1"/>
  <c r="BM813" i="1"/>
  <c r="BN813" i="1" s="1"/>
  <c r="BJ813" i="1"/>
  <c r="BI813" i="1"/>
  <c r="BF813" i="1"/>
  <c r="BG813" i="1" s="1"/>
  <c r="BH813" i="1" s="1"/>
  <c r="BB813" i="1"/>
  <c r="AW813" i="1"/>
  <c r="BA813" i="1"/>
  <c r="AS813" i="1"/>
  <c r="AO813" i="1"/>
  <c r="AU813" i="1" s="1"/>
  <c r="AT813" i="1"/>
  <c r="AG813" i="1"/>
  <c r="AH813" i="1"/>
  <c r="AI813" i="1" s="1"/>
  <c r="AJ813" i="1" s="1"/>
  <c r="AV812" i="1"/>
  <c r="AF812" i="1"/>
  <c r="AM812" i="1" s="1"/>
  <c r="BM812" i="1"/>
  <c r="BN812" i="1" s="1"/>
  <c r="BF812" i="1"/>
  <c r="BG812" i="1" s="1"/>
  <c r="BH812" i="1" s="1"/>
  <c r="BI812" i="1"/>
  <c r="BJ812" i="1"/>
  <c r="AW812" i="1"/>
  <c r="BA812" i="1"/>
  <c r="BB812" i="1"/>
  <c r="AT812" i="1"/>
  <c r="AS812" i="1"/>
  <c r="AO812" i="1"/>
  <c r="AU812" i="1" s="1"/>
  <c r="AH812" i="1"/>
  <c r="AG812" i="1"/>
  <c r="AV811" i="1"/>
  <c r="AF811" i="1"/>
  <c r="AM811" i="1" s="1"/>
  <c r="BM811" i="1"/>
  <c r="BN811" i="1" s="1"/>
  <c r="BJ811" i="1"/>
  <c r="BF811" i="1"/>
  <c r="BG811" i="1" s="1"/>
  <c r="BH811" i="1" s="1"/>
  <c r="BI811" i="1"/>
  <c r="BB811" i="1"/>
  <c r="AW811" i="1"/>
  <c r="BA811" i="1"/>
  <c r="AS811" i="1"/>
  <c r="AO811" i="1"/>
  <c r="AU811" i="1" s="1"/>
  <c r="AT811" i="1"/>
  <c r="AH811" i="1"/>
  <c r="AG811" i="1"/>
  <c r="AV810" i="1"/>
  <c r="AF810" i="1"/>
  <c r="AM810" i="1" s="1"/>
  <c r="BM810" i="1"/>
  <c r="BN810" i="1" s="1"/>
  <c r="BF810" i="1"/>
  <c r="BG810" i="1" s="1"/>
  <c r="BH810" i="1" s="1"/>
  <c r="BI810" i="1"/>
  <c r="BJ810" i="1"/>
  <c r="AW810" i="1"/>
  <c r="BA810" i="1"/>
  <c r="BB810" i="1"/>
  <c r="AT810" i="1"/>
  <c r="AS810" i="1"/>
  <c r="AO810" i="1"/>
  <c r="AU810" i="1" s="1"/>
  <c r="AH810" i="1"/>
  <c r="AG810" i="1"/>
  <c r="AV809" i="1"/>
  <c r="AF809" i="1"/>
  <c r="AM809" i="1" s="1"/>
  <c r="BM809" i="1"/>
  <c r="BN809" i="1" s="1"/>
  <c r="BJ809" i="1"/>
  <c r="BI809" i="1"/>
  <c r="BF809" i="1"/>
  <c r="BG809" i="1" s="1"/>
  <c r="BH809" i="1" s="1"/>
  <c r="BB809" i="1"/>
  <c r="AW809" i="1"/>
  <c r="BA809" i="1"/>
  <c r="AS809" i="1"/>
  <c r="AO809" i="1"/>
  <c r="AU809" i="1" s="1"/>
  <c r="AT809" i="1"/>
  <c r="AG809" i="1"/>
  <c r="AH809" i="1"/>
  <c r="AI809" i="1" s="1"/>
  <c r="AJ809" i="1" s="1"/>
  <c r="AV808" i="1"/>
  <c r="AF808" i="1"/>
  <c r="AM808" i="1" s="1"/>
  <c r="BM808" i="1"/>
  <c r="BN808" i="1" s="1"/>
  <c r="BF808" i="1"/>
  <c r="BG808" i="1" s="1"/>
  <c r="BH808" i="1" s="1"/>
  <c r="BI808" i="1"/>
  <c r="BJ808" i="1"/>
  <c r="AW808" i="1"/>
  <c r="BA808" i="1"/>
  <c r="BB808" i="1"/>
  <c r="AT808" i="1"/>
  <c r="AS808" i="1"/>
  <c r="AO808" i="1"/>
  <c r="AU808" i="1" s="1"/>
  <c r="AH808" i="1"/>
  <c r="AG808" i="1"/>
  <c r="AV807" i="1"/>
  <c r="AF807" i="1"/>
  <c r="AM807" i="1" s="1"/>
  <c r="BM807" i="1"/>
  <c r="BN807" i="1" s="1"/>
  <c r="BJ807" i="1"/>
  <c r="BF807" i="1"/>
  <c r="BG807" i="1" s="1"/>
  <c r="BH807" i="1" s="1"/>
  <c r="BI807" i="1"/>
  <c r="BB807" i="1"/>
  <c r="AW807" i="1"/>
  <c r="BA807" i="1"/>
  <c r="AS807" i="1"/>
  <c r="AO807" i="1"/>
  <c r="AU807" i="1" s="1"/>
  <c r="AT807" i="1"/>
  <c r="AH807" i="1"/>
  <c r="AG807" i="1"/>
  <c r="AV806" i="1"/>
  <c r="AF806" i="1"/>
  <c r="AM806" i="1" s="1"/>
  <c r="BM806" i="1"/>
  <c r="BN806" i="1" s="1"/>
  <c r="BF806" i="1"/>
  <c r="BG806" i="1" s="1"/>
  <c r="BH806" i="1" s="1"/>
  <c r="BI806" i="1"/>
  <c r="BJ806" i="1"/>
  <c r="AW806" i="1"/>
  <c r="BA806" i="1"/>
  <c r="BB806" i="1"/>
  <c r="AT806" i="1"/>
  <c r="AS806" i="1"/>
  <c r="AO806" i="1"/>
  <c r="AU806" i="1" s="1"/>
  <c r="AH806" i="1"/>
  <c r="AG806" i="1"/>
  <c r="AV805" i="1"/>
  <c r="AF805" i="1"/>
  <c r="AM805" i="1" s="1"/>
  <c r="BM805" i="1"/>
  <c r="BN805" i="1" s="1"/>
  <c r="BJ805" i="1"/>
  <c r="BI805" i="1"/>
  <c r="BF805" i="1"/>
  <c r="BG805" i="1" s="1"/>
  <c r="BH805" i="1" s="1"/>
  <c r="BB805" i="1"/>
  <c r="AW805" i="1"/>
  <c r="BA805" i="1"/>
  <c r="AS805" i="1"/>
  <c r="AO805" i="1"/>
  <c r="AU805" i="1" s="1"/>
  <c r="AT805" i="1"/>
  <c r="AG805" i="1"/>
  <c r="AH805" i="1"/>
  <c r="AI805" i="1" s="1"/>
  <c r="AJ805" i="1" s="1"/>
  <c r="AV804" i="1"/>
  <c r="AF804" i="1"/>
  <c r="AM804" i="1" s="1"/>
  <c r="BM804" i="1"/>
  <c r="BN804" i="1" s="1"/>
  <c r="BF804" i="1"/>
  <c r="BG804" i="1" s="1"/>
  <c r="BH804" i="1" s="1"/>
  <c r="BI804" i="1"/>
  <c r="BJ804" i="1"/>
  <c r="AW804" i="1"/>
  <c r="BA804" i="1"/>
  <c r="BB804" i="1"/>
  <c r="AT804" i="1"/>
  <c r="AS804" i="1"/>
  <c r="AO804" i="1"/>
  <c r="AU804" i="1" s="1"/>
  <c r="AH804" i="1"/>
  <c r="AG804" i="1"/>
  <c r="AV803" i="1"/>
  <c r="AF803" i="1"/>
  <c r="AM803" i="1" s="1"/>
  <c r="BM803" i="1"/>
  <c r="BN803" i="1" s="1"/>
  <c r="BJ803" i="1"/>
  <c r="BF803" i="1"/>
  <c r="BG803" i="1" s="1"/>
  <c r="BH803" i="1" s="1"/>
  <c r="BI803" i="1"/>
  <c r="BB803" i="1"/>
  <c r="AW803" i="1"/>
  <c r="BA803" i="1"/>
  <c r="AS803" i="1"/>
  <c r="AO803" i="1"/>
  <c r="AU803" i="1" s="1"/>
  <c r="AT803" i="1"/>
  <c r="AG803" i="1"/>
  <c r="AH803" i="1"/>
  <c r="AI803" i="1" s="1"/>
  <c r="AJ803" i="1" s="1"/>
  <c r="AV802" i="1"/>
  <c r="AF802" i="1"/>
  <c r="AM802" i="1" s="1"/>
  <c r="BM802" i="1"/>
  <c r="BN802" i="1" s="1"/>
  <c r="BF802" i="1"/>
  <c r="BG802" i="1" s="1"/>
  <c r="BH802" i="1" s="1"/>
  <c r="BI802" i="1"/>
  <c r="BJ802" i="1"/>
  <c r="AW802" i="1"/>
  <c r="BA802" i="1"/>
  <c r="BB802" i="1"/>
  <c r="AT802" i="1"/>
  <c r="AS802" i="1"/>
  <c r="AO802" i="1"/>
  <c r="AU802" i="1" s="1"/>
  <c r="AH802" i="1"/>
  <c r="AG802" i="1"/>
  <c r="AV801" i="1"/>
  <c r="AF801" i="1"/>
  <c r="AM801" i="1" s="1"/>
  <c r="BM801" i="1"/>
  <c r="BN801" i="1" s="1"/>
  <c r="BJ801" i="1"/>
  <c r="BI801" i="1"/>
  <c r="BF801" i="1"/>
  <c r="BG801" i="1" s="1"/>
  <c r="BH801" i="1" s="1"/>
  <c r="BB801" i="1"/>
  <c r="AW801" i="1"/>
  <c r="BA801" i="1"/>
  <c r="AS801" i="1"/>
  <c r="AO801" i="1"/>
  <c r="AU801" i="1" s="1"/>
  <c r="AT801" i="1"/>
  <c r="AH801" i="1"/>
  <c r="AG801" i="1"/>
  <c r="AV800" i="1"/>
  <c r="AF800" i="1"/>
  <c r="AM800" i="1" s="1"/>
  <c r="BM800" i="1"/>
  <c r="BN800" i="1" s="1"/>
  <c r="BF800" i="1"/>
  <c r="BG800" i="1" s="1"/>
  <c r="BH800" i="1" s="1"/>
  <c r="BI800" i="1"/>
  <c r="BJ800" i="1"/>
  <c r="AW800" i="1"/>
  <c r="BA800" i="1"/>
  <c r="BB800" i="1"/>
  <c r="AT800" i="1"/>
  <c r="AS800" i="1"/>
  <c r="AO800" i="1"/>
  <c r="AU800" i="1" s="1"/>
  <c r="AH800" i="1"/>
  <c r="AG800" i="1"/>
  <c r="AV799" i="1"/>
  <c r="AF799" i="1"/>
  <c r="AM799" i="1" s="1"/>
  <c r="BM799" i="1"/>
  <c r="BN799" i="1" s="1"/>
  <c r="BJ799" i="1"/>
  <c r="BF799" i="1"/>
  <c r="BG799" i="1" s="1"/>
  <c r="BH799" i="1" s="1"/>
  <c r="BI799" i="1"/>
  <c r="BB799" i="1"/>
  <c r="AW799" i="1"/>
  <c r="BA799" i="1"/>
  <c r="AS799" i="1"/>
  <c r="AO799" i="1"/>
  <c r="AU799" i="1" s="1"/>
  <c r="AT799" i="1"/>
  <c r="AG799" i="1"/>
  <c r="AH799" i="1"/>
  <c r="AI799" i="1" s="1"/>
  <c r="AJ799" i="1" s="1"/>
  <c r="AV798" i="1"/>
  <c r="AF798" i="1"/>
  <c r="AM798" i="1" s="1"/>
  <c r="BM798" i="1"/>
  <c r="BN798" i="1" s="1"/>
  <c r="BF798" i="1"/>
  <c r="BG798" i="1" s="1"/>
  <c r="BH798" i="1" s="1"/>
  <c r="BI798" i="1"/>
  <c r="BJ798" i="1"/>
  <c r="AW798" i="1"/>
  <c r="BA798" i="1"/>
  <c r="BB798" i="1"/>
  <c r="AT798" i="1"/>
  <c r="AS798" i="1"/>
  <c r="AO798" i="1"/>
  <c r="AU798" i="1" s="1"/>
  <c r="AH798" i="1"/>
  <c r="AG798" i="1"/>
  <c r="AV797" i="1"/>
  <c r="AF797" i="1"/>
  <c r="AM797" i="1" s="1"/>
  <c r="BM797" i="1"/>
  <c r="BN797" i="1" s="1"/>
  <c r="BF797" i="1"/>
  <c r="BG797" i="1" s="1"/>
  <c r="BH797" i="1" s="1"/>
  <c r="BJ797" i="1"/>
  <c r="BI797" i="1"/>
  <c r="BB797" i="1"/>
  <c r="AW797" i="1"/>
  <c r="BA797" i="1"/>
  <c r="AS797" i="1"/>
  <c r="AO797" i="1"/>
  <c r="AU797" i="1" s="1"/>
  <c r="AT797" i="1"/>
  <c r="AG797" i="1"/>
  <c r="AH797" i="1"/>
  <c r="AI797" i="1" s="1"/>
  <c r="AJ797" i="1" s="1"/>
  <c r="AV796" i="1"/>
  <c r="AF796" i="1"/>
  <c r="AM796" i="1" s="1"/>
  <c r="BM796" i="1"/>
  <c r="BN796" i="1" s="1"/>
  <c r="BF796" i="1"/>
  <c r="BG796" i="1" s="1"/>
  <c r="BH796" i="1" s="1"/>
  <c r="BJ796" i="1"/>
  <c r="BI796" i="1"/>
  <c r="AW796" i="1"/>
  <c r="BA796" i="1"/>
  <c r="BB796" i="1"/>
  <c r="AT796" i="1"/>
  <c r="AS796" i="1"/>
  <c r="AO796" i="1"/>
  <c r="AU796" i="1" s="1"/>
  <c r="AH796" i="1"/>
  <c r="AG796" i="1"/>
  <c r="AV795" i="1"/>
  <c r="AF795" i="1"/>
  <c r="AM795" i="1" s="1"/>
  <c r="BM795" i="1"/>
  <c r="BN795" i="1" s="1"/>
  <c r="BF795" i="1"/>
  <c r="BG795" i="1" s="1"/>
  <c r="BH795" i="1" s="1"/>
  <c r="BJ795" i="1"/>
  <c r="BI795" i="1"/>
  <c r="BB795" i="1"/>
  <c r="AW795" i="1"/>
  <c r="BA795" i="1"/>
  <c r="AS795" i="1"/>
  <c r="AO795" i="1"/>
  <c r="AU795" i="1" s="1"/>
  <c r="AT795" i="1"/>
  <c r="AH795" i="1"/>
  <c r="AG795" i="1"/>
  <c r="AV794" i="1"/>
  <c r="AF794" i="1"/>
  <c r="AM794" i="1" s="1"/>
  <c r="BM794" i="1"/>
  <c r="BN794" i="1" s="1"/>
  <c r="BF794" i="1"/>
  <c r="BG794" i="1" s="1"/>
  <c r="BH794" i="1" s="1"/>
  <c r="BJ794" i="1"/>
  <c r="BI794" i="1"/>
  <c r="AW794" i="1"/>
  <c r="BA794" i="1"/>
  <c r="BB794" i="1"/>
  <c r="AT794" i="1"/>
  <c r="AS794" i="1"/>
  <c r="AO794" i="1"/>
  <c r="AU794" i="1" s="1"/>
  <c r="AH794" i="1"/>
  <c r="AG794" i="1"/>
  <c r="AV793" i="1"/>
  <c r="AF793" i="1"/>
  <c r="AM793" i="1" s="1"/>
  <c r="BM793" i="1"/>
  <c r="BN793" i="1" s="1"/>
  <c r="BF793" i="1"/>
  <c r="BG793" i="1" s="1"/>
  <c r="BH793" i="1" s="1"/>
  <c r="BJ793" i="1"/>
  <c r="BI793" i="1"/>
  <c r="BB793" i="1"/>
  <c r="AW793" i="1"/>
  <c r="BA793" i="1"/>
  <c r="AS793" i="1"/>
  <c r="AO793" i="1"/>
  <c r="AU793" i="1" s="1"/>
  <c r="AT793" i="1"/>
  <c r="AG793" i="1"/>
  <c r="AH793" i="1"/>
  <c r="AI793" i="1" s="1"/>
  <c r="AJ793" i="1" s="1"/>
  <c r="AV792" i="1"/>
  <c r="AF792" i="1"/>
  <c r="AM792" i="1" s="1"/>
  <c r="BM792" i="1"/>
  <c r="BN792" i="1" s="1"/>
  <c r="BF792" i="1"/>
  <c r="BG792" i="1" s="1"/>
  <c r="BH792" i="1" s="1"/>
  <c r="BJ792" i="1"/>
  <c r="BI792" i="1"/>
  <c r="AW792" i="1"/>
  <c r="BA792" i="1"/>
  <c r="BB792" i="1"/>
  <c r="AT792" i="1"/>
  <c r="AS792" i="1"/>
  <c r="AO792" i="1"/>
  <c r="AU792" i="1" s="1"/>
  <c r="AH792" i="1"/>
  <c r="AG792" i="1"/>
  <c r="AV791" i="1"/>
  <c r="AF791" i="1"/>
  <c r="AM791" i="1" s="1"/>
  <c r="BM791" i="1"/>
  <c r="BN791" i="1" s="1"/>
  <c r="BF791" i="1"/>
  <c r="BG791" i="1" s="1"/>
  <c r="BH791" i="1" s="1"/>
  <c r="BJ791" i="1"/>
  <c r="BI791" i="1"/>
  <c r="BB791" i="1"/>
  <c r="AW791" i="1"/>
  <c r="BA791" i="1"/>
  <c r="AS791" i="1"/>
  <c r="AO791" i="1"/>
  <c r="AU791" i="1" s="1"/>
  <c r="AT791" i="1"/>
  <c r="AG791" i="1"/>
  <c r="AH791" i="1"/>
  <c r="AI791" i="1" s="1"/>
  <c r="AJ791" i="1" s="1"/>
  <c r="AV790" i="1"/>
  <c r="AF790" i="1"/>
  <c r="AM790" i="1" s="1"/>
  <c r="BM790" i="1"/>
  <c r="BN790" i="1" s="1"/>
  <c r="BF790" i="1"/>
  <c r="BG790" i="1" s="1"/>
  <c r="BH790" i="1" s="1"/>
  <c r="BJ790" i="1"/>
  <c r="BI790" i="1"/>
  <c r="AW790" i="1"/>
  <c r="BA790" i="1"/>
  <c r="BB790" i="1"/>
  <c r="AT790" i="1"/>
  <c r="AS790" i="1"/>
  <c r="AO790" i="1"/>
  <c r="AU790" i="1" s="1"/>
  <c r="AH790" i="1"/>
  <c r="AG790" i="1"/>
  <c r="AV789" i="1"/>
  <c r="AF789" i="1"/>
  <c r="AM789" i="1" s="1"/>
  <c r="BM789" i="1"/>
  <c r="BN789" i="1" s="1"/>
  <c r="BF789" i="1"/>
  <c r="BG789" i="1" s="1"/>
  <c r="BH789" i="1" s="1"/>
  <c r="BJ789" i="1"/>
  <c r="BI789" i="1"/>
  <c r="BB789" i="1"/>
  <c r="AW789" i="1"/>
  <c r="BA789" i="1"/>
  <c r="AS789" i="1"/>
  <c r="AO789" i="1"/>
  <c r="AU789" i="1" s="1"/>
  <c r="AT789" i="1"/>
  <c r="AH789" i="1"/>
  <c r="AG789" i="1"/>
  <c r="AV788" i="1"/>
  <c r="AF788" i="1"/>
  <c r="AM788" i="1" s="1"/>
  <c r="BM788" i="1"/>
  <c r="BN788" i="1" s="1"/>
  <c r="BF788" i="1"/>
  <c r="BG788" i="1" s="1"/>
  <c r="BH788" i="1" s="1"/>
  <c r="BJ788" i="1"/>
  <c r="BI788" i="1"/>
  <c r="AW788" i="1"/>
  <c r="BA788" i="1"/>
  <c r="BB788" i="1"/>
  <c r="AT788" i="1"/>
  <c r="AS788" i="1"/>
  <c r="AO788" i="1"/>
  <c r="AU788" i="1" s="1"/>
  <c r="AH788" i="1"/>
  <c r="AG788" i="1"/>
  <c r="AV787" i="1"/>
  <c r="AF787" i="1"/>
  <c r="AM787" i="1" s="1"/>
  <c r="BM787" i="1"/>
  <c r="BN787" i="1" s="1"/>
  <c r="BF787" i="1"/>
  <c r="BG787" i="1" s="1"/>
  <c r="BH787" i="1" s="1"/>
  <c r="BJ787" i="1"/>
  <c r="BI787" i="1"/>
  <c r="BB787" i="1"/>
  <c r="AW787" i="1"/>
  <c r="BA787" i="1"/>
  <c r="AS787" i="1"/>
  <c r="AO787" i="1"/>
  <c r="AU787" i="1" s="1"/>
  <c r="AT787" i="1"/>
  <c r="AG787" i="1"/>
  <c r="AH787" i="1"/>
  <c r="AI787" i="1" s="1"/>
  <c r="AJ787" i="1" s="1"/>
  <c r="AV786" i="1"/>
  <c r="AF786" i="1"/>
  <c r="AM786" i="1" s="1"/>
  <c r="BM786" i="1"/>
  <c r="BN786" i="1" s="1"/>
  <c r="BF786" i="1"/>
  <c r="BG786" i="1" s="1"/>
  <c r="BH786" i="1" s="1"/>
  <c r="BJ786" i="1"/>
  <c r="BI786" i="1"/>
  <c r="AW786" i="1"/>
  <c r="BA786" i="1"/>
  <c r="BB786" i="1"/>
  <c r="AT786" i="1"/>
  <c r="AS786" i="1"/>
  <c r="AO786" i="1"/>
  <c r="AU786" i="1" s="1"/>
  <c r="AH786" i="1"/>
  <c r="AG786" i="1"/>
  <c r="AV785" i="1"/>
  <c r="AF785" i="1"/>
  <c r="AM785" i="1" s="1"/>
  <c r="BM785" i="1"/>
  <c r="BN785" i="1" s="1"/>
  <c r="BF785" i="1"/>
  <c r="BG785" i="1" s="1"/>
  <c r="BH785" i="1" s="1"/>
  <c r="BJ785" i="1"/>
  <c r="BI785" i="1"/>
  <c r="BB785" i="1"/>
  <c r="AW785" i="1"/>
  <c r="BA785" i="1"/>
  <c r="AS785" i="1"/>
  <c r="AO785" i="1"/>
  <c r="AU785" i="1" s="1"/>
  <c r="AT785" i="1"/>
  <c r="AH785" i="1"/>
  <c r="AG785" i="1"/>
  <c r="AV784" i="1"/>
  <c r="AF784" i="1"/>
  <c r="AM784" i="1" s="1"/>
  <c r="BM784" i="1"/>
  <c r="BN784" i="1" s="1"/>
  <c r="BF784" i="1"/>
  <c r="BG784" i="1" s="1"/>
  <c r="BH784" i="1" s="1"/>
  <c r="BJ784" i="1"/>
  <c r="BI784" i="1"/>
  <c r="AW784" i="1"/>
  <c r="BA784" i="1"/>
  <c r="BB784" i="1"/>
  <c r="AT784" i="1"/>
  <c r="AS784" i="1"/>
  <c r="AO784" i="1"/>
  <c r="AU784" i="1" s="1"/>
  <c r="AH784" i="1"/>
  <c r="AG784" i="1"/>
  <c r="AV783" i="1"/>
  <c r="AF783" i="1"/>
  <c r="AM783" i="1" s="1"/>
  <c r="BM783" i="1"/>
  <c r="BN783" i="1" s="1"/>
  <c r="BF783" i="1"/>
  <c r="BG783" i="1" s="1"/>
  <c r="BH783" i="1" s="1"/>
  <c r="BJ783" i="1"/>
  <c r="BI783" i="1"/>
  <c r="BB783" i="1"/>
  <c r="AW783" i="1"/>
  <c r="BA783" i="1"/>
  <c r="AS783" i="1"/>
  <c r="AO783" i="1"/>
  <c r="AU783" i="1" s="1"/>
  <c r="AT783" i="1"/>
  <c r="AG783" i="1"/>
  <c r="AH783" i="1"/>
  <c r="AI783" i="1" s="1"/>
  <c r="AJ783" i="1" s="1"/>
  <c r="AV782" i="1"/>
  <c r="AF782" i="1"/>
  <c r="AM782" i="1" s="1"/>
  <c r="BM782" i="1"/>
  <c r="BN782" i="1" s="1"/>
  <c r="BF782" i="1"/>
  <c r="BG782" i="1" s="1"/>
  <c r="BH782" i="1" s="1"/>
  <c r="BJ782" i="1"/>
  <c r="BI782" i="1"/>
  <c r="AW782" i="1"/>
  <c r="BA782" i="1"/>
  <c r="BB782" i="1"/>
  <c r="AT782" i="1"/>
  <c r="AS782" i="1"/>
  <c r="AO782" i="1"/>
  <c r="AU782" i="1" s="1"/>
  <c r="AH782" i="1"/>
  <c r="AG782" i="1"/>
  <c r="AF781" i="1"/>
  <c r="AM781" i="1" s="1"/>
  <c r="AV781" i="1"/>
  <c r="BM781" i="1"/>
  <c r="BN781" i="1" s="1"/>
  <c r="BF781" i="1"/>
  <c r="BG781" i="1" s="1"/>
  <c r="BH781" i="1" s="1"/>
  <c r="BJ781" i="1"/>
  <c r="BI781" i="1"/>
  <c r="BB781" i="1"/>
  <c r="AW781" i="1"/>
  <c r="BA781" i="1"/>
  <c r="AS781" i="1"/>
  <c r="AO781" i="1"/>
  <c r="AU781" i="1" s="1"/>
  <c r="AT781" i="1"/>
  <c r="AH781" i="1"/>
  <c r="AI781" i="1" s="1"/>
  <c r="AJ781" i="1" s="1"/>
  <c r="AG781" i="1"/>
  <c r="AV780" i="1"/>
  <c r="AF780" i="1"/>
  <c r="AM780" i="1" s="1"/>
  <c r="BM780" i="1"/>
  <c r="BN780" i="1" s="1"/>
  <c r="BF780" i="1"/>
  <c r="BG780" i="1" s="1"/>
  <c r="BH780" i="1" s="1"/>
  <c r="BJ780" i="1"/>
  <c r="BI780" i="1"/>
  <c r="AW780" i="1"/>
  <c r="BA780" i="1"/>
  <c r="BB780" i="1"/>
  <c r="AT780" i="1"/>
  <c r="AS780" i="1"/>
  <c r="AO780" i="1"/>
  <c r="AU780" i="1" s="1"/>
  <c r="AH780" i="1"/>
  <c r="AG780" i="1"/>
  <c r="AV779" i="1"/>
  <c r="AF779" i="1"/>
  <c r="AM779" i="1" s="1"/>
  <c r="BM779" i="1"/>
  <c r="BN779" i="1" s="1"/>
  <c r="BF779" i="1"/>
  <c r="BG779" i="1" s="1"/>
  <c r="BH779" i="1" s="1"/>
  <c r="BJ779" i="1"/>
  <c r="BI779" i="1"/>
  <c r="BB779" i="1"/>
  <c r="AW779" i="1"/>
  <c r="BA779" i="1"/>
  <c r="AS779" i="1"/>
  <c r="AO779" i="1"/>
  <c r="AU779" i="1" s="1"/>
  <c r="AT779" i="1"/>
  <c r="AG779" i="1"/>
  <c r="AH779" i="1"/>
  <c r="AI779" i="1" s="1"/>
  <c r="AJ779" i="1" s="1"/>
  <c r="AV778" i="1"/>
  <c r="AF778" i="1"/>
  <c r="AM778" i="1" s="1"/>
  <c r="BM778" i="1"/>
  <c r="BN778" i="1" s="1"/>
  <c r="BF778" i="1"/>
  <c r="BG778" i="1" s="1"/>
  <c r="BH778" i="1" s="1"/>
  <c r="BJ778" i="1"/>
  <c r="BI778" i="1"/>
  <c r="AW778" i="1"/>
  <c r="BA778" i="1"/>
  <c r="BB778" i="1"/>
  <c r="AT778" i="1"/>
  <c r="AS778" i="1"/>
  <c r="AO778" i="1"/>
  <c r="AU778" i="1" s="1"/>
  <c r="AH778" i="1"/>
  <c r="AG778" i="1"/>
  <c r="AF777" i="1"/>
  <c r="AM777" i="1" s="1"/>
  <c r="AV777" i="1"/>
  <c r="BM777" i="1"/>
  <c r="BN777" i="1" s="1"/>
  <c r="BF777" i="1"/>
  <c r="BG777" i="1" s="1"/>
  <c r="BH777" i="1" s="1"/>
  <c r="BJ777" i="1"/>
  <c r="BI777" i="1"/>
  <c r="BB777" i="1"/>
  <c r="AW777" i="1"/>
  <c r="BA777" i="1"/>
  <c r="AS777" i="1"/>
  <c r="AO777" i="1"/>
  <c r="AU777" i="1" s="1"/>
  <c r="AT777" i="1"/>
  <c r="AH777" i="1"/>
  <c r="AI777" i="1" s="1"/>
  <c r="AJ777" i="1" s="1"/>
  <c r="AG777" i="1"/>
  <c r="AV776" i="1"/>
  <c r="AF776" i="1"/>
  <c r="AM776" i="1" s="1"/>
  <c r="BM776" i="1"/>
  <c r="BN776" i="1" s="1"/>
  <c r="BF776" i="1"/>
  <c r="BG776" i="1" s="1"/>
  <c r="BH776" i="1" s="1"/>
  <c r="BJ776" i="1"/>
  <c r="BI776" i="1"/>
  <c r="AW776" i="1"/>
  <c r="BA776" i="1"/>
  <c r="BB776" i="1"/>
  <c r="AT776" i="1"/>
  <c r="AS776" i="1"/>
  <c r="AO776" i="1"/>
  <c r="AU776" i="1" s="1"/>
  <c r="AH776" i="1"/>
  <c r="AG776" i="1"/>
  <c r="AV775" i="1"/>
  <c r="AF775" i="1"/>
  <c r="AM775" i="1" s="1"/>
  <c r="BM775" i="1"/>
  <c r="BN775" i="1" s="1"/>
  <c r="BF775" i="1"/>
  <c r="BG775" i="1" s="1"/>
  <c r="BH775" i="1" s="1"/>
  <c r="BJ775" i="1"/>
  <c r="BI775" i="1"/>
  <c r="BB775" i="1"/>
  <c r="AW775" i="1"/>
  <c r="BA775" i="1"/>
  <c r="AS775" i="1"/>
  <c r="AT775" i="1"/>
  <c r="AO775" i="1"/>
  <c r="AU775" i="1" s="1"/>
  <c r="AG775" i="1"/>
  <c r="AH775" i="1"/>
  <c r="AI775" i="1" s="1"/>
  <c r="AJ775" i="1" s="1"/>
  <c r="AV774" i="1"/>
  <c r="AF774" i="1"/>
  <c r="AM774" i="1" s="1"/>
  <c r="BM774" i="1"/>
  <c r="BN774" i="1" s="1"/>
  <c r="BF774" i="1"/>
  <c r="BG774" i="1" s="1"/>
  <c r="BH774" i="1" s="1"/>
  <c r="BJ774" i="1"/>
  <c r="BI774" i="1"/>
  <c r="AW774" i="1"/>
  <c r="BA774" i="1"/>
  <c r="BB774" i="1"/>
  <c r="AT774" i="1"/>
  <c r="AS774" i="1"/>
  <c r="AO774" i="1"/>
  <c r="AU774" i="1" s="1"/>
  <c r="AH774" i="1"/>
  <c r="AG774" i="1"/>
  <c r="AF773" i="1"/>
  <c r="AM773" i="1" s="1"/>
  <c r="AV773" i="1"/>
  <c r="BM773" i="1"/>
  <c r="BN773" i="1" s="1"/>
  <c r="BF773" i="1"/>
  <c r="BG773" i="1" s="1"/>
  <c r="BH773" i="1" s="1"/>
  <c r="BJ773" i="1"/>
  <c r="BI773" i="1"/>
  <c r="BB773" i="1"/>
  <c r="AW773" i="1"/>
  <c r="BA773" i="1"/>
  <c r="AS773" i="1"/>
  <c r="AO773" i="1"/>
  <c r="AU773" i="1" s="1"/>
  <c r="AT773" i="1"/>
  <c r="AH773" i="1"/>
  <c r="AI773" i="1" s="1"/>
  <c r="AJ773" i="1" s="1"/>
  <c r="AG773" i="1"/>
  <c r="AV772" i="1"/>
  <c r="AF772" i="1"/>
  <c r="AM772" i="1" s="1"/>
  <c r="BM772" i="1"/>
  <c r="BN772" i="1" s="1"/>
  <c r="BF772" i="1"/>
  <c r="BG772" i="1" s="1"/>
  <c r="BH772" i="1" s="1"/>
  <c r="BJ772" i="1"/>
  <c r="BI772" i="1"/>
  <c r="AW772" i="1"/>
  <c r="BA772" i="1"/>
  <c r="BB772" i="1"/>
  <c r="AT772" i="1"/>
  <c r="AS772" i="1"/>
  <c r="AO772" i="1"/>
  <c r="AU772" i="1" s="1"/>
  <c r="AH772" i="1"/>
  <c r="AG772" i="1"/>
  <c r="AV771" i="1"/>
  <c r="AF771" i="1"/>
  <c r="AM771" i="1" s="1"/>
  <c r="BM771" i="1"/>
  <c r="BN771" i="1" s="1"/>
  <c r="BF771" i="1"/>
  <c r="BG771" i="1" s="1"/>
  <c r="BH771" i="1" s="1"/>
  <c r="BJ771" i="1"/>
  <c r="BI771" i="1"/>
  <c r="BB771" i="1"/>
  <c r="AW771" i="1"/>
  <c r="BA771" i="1"/>
  <c r="AS771" i="1"/>
  <c r="AT771" i="1"/>
  <c r="AO771" i="1"/>
  <c r="AU771" i="1" s="1"/>
  <c r="AG771" i="1"/>
  <c r="AH771" i="1"/>
  <c r="AI771" i="1" s="1"/>
  <c r="AJ771" i="1" s="1"/>
  <c r="AV770" i="1"/>
  <c r="AF770" i="1"/>
  <c r="AM770" i="1" s="1"/>
  <c r="BM770" i="1"/>
  <c r="BN770" i="1" s="1"/>
  <c r="BF770" i="1"/>
  <c r="BG770" i="1" s="1"/>
  <c r="BH770" i="1" s="1"/>
  <c r="BJ770" i="1"/>
  <c r="BI770" i="1"/>
  <c r="AW770" i="1"/>
  <c r="BA770" i="1"/>
  <c r="BB770" i="1"/>
  <c r="AT770" i="1"/>
  <c r="AS770" i="1"/>
  <c r="AO770" i="1"/>
  <c r="AU770" i="1" s="1"/>
  <c r="AH770" i="1"/>
  <c r="AG770" i="1"/>
  <c r="AF769" i="1"/>
  <c r="AM769" i="1" s="1"/>
  <c r="AV769" i="1"/>
  <c r="BM769" i="1"/>
  <c r="BN769" i="1" s="1"/>
  <c r="BF769" i="1"/>
  <c r="BG769" i="1" s="1"/>
  <c r="BH769" i="1" s="1"/>
  <c r="BJ769" i="1"/>
  <c r="BI769" i="1"/>
  <c r="BB769" i="1"/>
  <c r="AW769" i="1"/>
  <c r="BA769" i="1"/>
  <c r="AS769" i="1"/>
  <c r="AO769" i="1"/>
  <c r="AU769" i="1" s="1"/>
  <c r="AT769" i="1"/>
  <c r="AG769" i="1"/>
  <c r="AH769" i="1"/>
  <c r="AV768" i="1"/>
  <c r="AF768" i="1"/>
  <c r="AM768" i="1" s="1"/>
  <c r="BM768" i="1"/>
  <c r="BN768" i="1" s="1"/>
  <c r="BF768" i="1"/>
  <c r="BG768" i="1" s="1"/>
  <c r="BH768" i="1" s="1"/>
  <c r="BJ768" i="1"/>
  <c r="BI768" i="1"/>
  <c r="AW768" i="1"/>
  <c r="BA768" i="1"/>
  <c r="BB768" i="1"/>
  <c r="AT768" i="1"/>
  <c r="AS768" i="1"/>
  <c r="AO768" i="1"/>
  <c r="AU768" i="1" s="1"/>
  <c r="AH768" i="1"/>
  <c r="AG768" i="1"/>
  <c r="AV767" i="1"/>
  <c r="AF767" i="1"/>
  <c r="AM767" i="1" s="1"/>
  <c r="BM767" i="1"/>
  <c r="BN767" i="1" s="1"/>
  <c r="BF767" i="1"/>
  <c r="BG767" i="1" s="1"/>
  <c r="BH767" i="1" s="1"/>
  <c r="BJ767" i="1"/>
  <c r="BI767" i="1"/>
  <c r="BB767" i="1"/>
  <c r="AW767" i="1"/>
  <c r="BA767" i="1"/>
  <c r="AS767" i="1"/>
  <c r="AT767" i="1"/>
  <c r="AO767" i="1"/>
  <c r="AU767" i="1" s="1"/>
  <c r="AH767" i="1"/>
  <c r="AG767" i="1"/>
  <c r="AV766" i="1"/>
  <c r="AF766" i="1"/>
  <c r="AM766" i="1" s="1"/>
  <c r="BM766" i="1"/>
  <c r="BN766" i="1" s="1"/>
  <c r="BF766" i="1"/>
  <c r="BG766" i="1" s="1"/>
  <c r="BH766" i="1" s="1"/>
  <c r="BJ766" i="1"/>
  <c r="BI766" i="1"/>
  <c r="AW766" i="1"/>
  <c r="BA766" i="1"/>
  <c r="BB766" i="1"/>
  <c r="AT766" i="1"/>
  <c r="AS766" i="1"/>
  <c r="AO766" i="1"/>
  <c r="AU766" i="1" s="1"/>
  <c r="AH766" i="1"/>
  <c r="AG766" i="1"/>
  <c r="AF765" i="1"/>
  <c r="AM765" i="1" s="1"/>
  <c r="AV765" i="1"/>
  <c r="BM765" i="1"/>
  <c r="BN765" i="1" s="1"/>
  <c r="BF765" i="1"/>
  <c r="BG765" i="1" s="1"/>
  <c r="BH765" i="1" s="1"/>
  <c r="BJ765" i="1"/>
  <c r="BI765" i="1"/>
  <c r="BB765" i="1"/>
  <c r="AW765" i="1"/>
  <c r="BA765" i="1"/>
  <c r="AS765" i="1"/>
  <c r="AO765" i="1"/>
  <c r="AU765" i="1" s="1"/>
  <c r="AT765" i="1"/>
  <c r="AG765" i="1"/>
  <c r="AH765" i="1"/>
  <c r="AV764" i="1"/>
  <c r="AF764" i="1"/>
  <c r="AM764" i="1" s="1"/>
  <c r="BM764" i="1"/>
  <c r="BN764" i="1" s="1"/>
  <c r="BF764" i="1"/>
  <c r="BG764" i="1" s="1"/>
  <c r="BH764" i="1" s="1"/>
  <c r="BJ764" i="1"/>
  <c r="BI764" i="1"/>
  <c r="AW764" i="1"/>
  <c r="BA764" i="1"/>
  <c r="BB764" i="1"/>
  <c r="AT764" i="1"/>
  <c r="AS764" i="1"/>
  <c r="AO764" i="1"/>
  <c r="AU764" i="1" s="1"/>
  <c r="AH764" i="1"/>
  <c r="AG764" i="1"/>
  <c r="AV763" i="1"/>
  <c r="AF763" i="1"/>
  <c r="AM763" i="1" s="1"/>
  <c r="BM763" i="1"/>
  <c r="BN763" i="1" s="1"/>
  <c r="BF763" i="1"/>
  <c r="BG763" i="1" s="1"/>
  <c r="BH763" i="1" s="1"/>
  <c r="BJ763" i="1"/>
  <c r="BI763" i="1"/>
  <c r="BB763" i="1"/>
  <c r="AW763" i="1"/>
  <c r="BA763" i="1"/>
  <c r="AS763" i="1"/>
  <c r="AT763" i="1"/>
  <c r="AO763" i="1"/>
  <c r="AU763" i="1" s="1"/>
  <c r="AH763" i="1"/>
  <c r="AG763" i="1"/>
  <c r="AV762" i="1"/>
  <c r="AF762" i="1"/>
  <c r="AM762" i="1" s="1"/>
  <c r="BM762" i="1"/>
  <c r="BN762" i="1" s="1"/>
  <c r="BF762" i="1"/>
  <c r="BG762" i="1" s="1"/>
  <c r="BH762" i="1" s="1"/>
  <c r="BJ762" i="1"/>
  <c r="BI762" i="1"/>
  <c r="AW762" i="1"/>
  <c r="BA762" i="1"/>
  <c r="BB762" i="1"/>
  <c r="AT762" i="1"/>
  <c r="AS762" i="1"/>
  <c r="AO762" i="1"/>
  <c r="AU762" i="1" s="1"/>
  <c r="AH762" i="1"/>
  <c r="AG762" i="1"/>
  <c r="AF761" i="1"/>
  <c r="AM761" i="1" s="1"/>
  <c r="AV761" i="1"/>
  <c r="BM761" i="1"/>
  <c r="BN761" i="1" s="1"/>
  <c r="BF761" i="1"/>
  <c r="BG761" i="1" s="1"/>
  <c r="BH761" i="1" s="1"/>
  <c r="BJ761" i="1"/>
  <c r="BI761" i="1"/>
  <c r="BB761" i="1"/>
  <c r="AW761" i="1"/>
  <c r="BA761" i="1"/>
  <c r="AS761" i="1"/>
  <c r="AO761" i="1"/>
  <c r="AU761" i="1" s="1"/>
  <c r="AT761" i="1"/>
  <c r="AG761" i="1"/>
  <c r="AH761" i="1"/>
  <c r="AV760" i="1"/>
  <c r="AF760" i="1"/>
  <c r="AM760" i="1" s="1"/>
  <c r="BM760" i="1"/>
  <c r="BN760" i="1" s="1"/>
  <c r="BF760" i="1"/>
  <c r="BG760" i="1" s="1"/>
  <c r="BH760" i="1" s="1"/>
  <c r="BJ760" i="1"/>
  <c r="BI760" i="1"/>
  <c r="AW760" i="1"/>
  <c r="BA760" i="1"/>
  <c r="BB760" i="1"/>
  <c r="AT760" i="1"/>
  <c r="AS760" i="1"/>
  <c r="AO760" i="1"/>
  <c r="AU760" i="1" s="1"/>
  <c r="AH760" i="1"/>
  <c r="AG760" i="1"/>
  <c r="AV759" i="1"/>
  <c r="AF759" i="1"/>
  <c r="AM759" i="1" s="1"/>
  <c r="BM759" i="1"/>
  <c r="BN759" i="1" s="1"/>
  <c r="BF759" i="1"/>
  <c r="BG759" i="1" s="1"/>
  <c r="BH759" i="1" s="1"/>
  <c r="BJ759" i="1"/>
  <c r="BI759" i="1"/>
  <c r="BB759" i="1"/>
  <c r="AW759" i="1"/>
  <c r="BA759" i="1"/>
  <c r="AS759" i="1"/>
  <c r="AT759" i="1"/>
  <c r="AO759" i="1"/>
  <c r="AU759" i="1" s="1"/>
  <c r="AH759" i="1"/>
  <c r="AG759" i="1"/>
  <c r="AV758" i="1"/>
  <c r="AF758" i="1"/>
  <c r="AM758" i="1" s="1"/>
  <c r="BM758" i="1"/>
  <c r="BN758" i="1" s="1"/>
  <c r="BF758" i="1"/>
  <c r="BG758" i="1" s="1"/>
  <c r="BH758" i="1" s="1"/>
  <c r="BJ758" i="1"/>
  <c r="BI758" i="1"/>
  <c r="AW758" i="1"/>
  <c r="BA758" i="1"/>
  <c r="BB758" i="1"/>
  <c r="AT758" i="1"/>
  <c r="AS758" i="1"/>
  <c r="AO758" i="1"/>
  <c r="AU758" i="1" s="1"/>
  <c r="AH758" i="1"/>
  <c r="AG758" i="1"/>
  <c r="AV757" i="1"/>
  <c r="AF757" i="1"/>
  <c r="AM757" i="1" s="1"/>
  <c r="BM757" i="1"/>
  <c r="BN757" i="1" s="1"/>
  <c r="BF757" i="1"/>
  <c r="BG757" i="1" s="1"/>
  <c r="BH757" i="1" s="1"/>
  <c r="BJ757" i="1"/>
  <c r="BI757" i="1"/>
  <c r="BB757" i="1"/>
  <c r="AW757" i="1"/>
  <c r="BA757" i="1"/>
  <c r="AS757" i="1"/>
  <c r="AO757" i="1"/>
  <c r="AU757" i="1" s="1"/>
  <c r="AT757" i="1"/>
  <c r="AG757" i="1"/>
  <c r="AH757" i="1"/>
  <c r="AI757" i="1" s="1"/>
  <c r="AJ757" i="1" s="1"/>
  <c r="AV756" i="1"/>
  <c r="AF756" i="1"/>
  <c r="AM756" i="1" s="1"/>
  <c r="BM756" i="1"/>
  <c r="BN756" i="1" s="1"/>
  <c r="BF756" i="1"/>
  <c r="BG756" i="1" s="1"/>
  <c r="BH756" i="1" s="1"/>
  <c r="BJ756" i="1"/>
  <c r="BI756" i="1"/>
  <c r="AW756" i="1"/>
  <c r="BA756" i="1"/>
  <c r="BB756" i="1"/>
  <c r="AT756" i="1"/>
  <c r="AS756" i="1"/>
  <c r="AO756" i="1"/>
  <c r="AU756" i="1" s="1"/>
  <c r="AH756" i="1"/>
  <c r="AG756" i="1"/>
  <c r="AV755" i="1"/>
  <c r="AF755" i="1"/>
  <c r="AM755" i="1" s="1"/>
  <c r="BM755" i="1"/>
  <c r="BN755" i="1" s="1"/>
  <c r="BF755" i="1"/>
  <c r="BG755" i="1" s="1"/>
  <c r="BH755" i="1" s="1"/>
  <c r="BJ755" i="1"/>
  <c r="BI755" i="1"/>
  <c r="BB755" i="1"/>
  <c r="AW755" i="1"/>
  <c r="BA755" i="1"/>
  <c r="AS755" i="1"/>
  <c r="AT755" i="1"/>
  <c r="AO755" i="1"/>
  <c r="AU755" i="1" s="1"/>
  <c r="AH755" i="1"/>
  <c r="AG755" i="1"/>
  <c r="AV754" i="1"/>
  <c r="AF754" i="1"/>
  <c r="AM754" i="1" s="1"/>
  <c r="BM754" i="1"/>
  <c r="BN754" i="1" s="1"/>
  <c r="BF754" i="1"/>
  <c r="BG754" i="1" s="1"/>
  <c r="BH754" i="1" s="1"/>
  <c r="BJ754" i="1"/>
  <c r="BI754" i="1"/>
  <c r="AW754" i="1"/>
  <c r="BA754" i="1"/>
  <c r="BB754" i="1"/>
  <c r="AT754" i="1"/>
  <c r="AS754" i="1"/>
  <c r="AO754" i="1"/>
  <c r="AU754" i="1" s="1"/>
  <c r="AH754" i="1"/>
  <c r="AG754" i="1"/>
  <c r="AV753" i="1"/>
  <c r="AF753" i="1"/>
  <c r="AM753" i="1" s="1"/>
  <c r="BM753" i="1"/>
  <c r="BN753" i="1" s="1"/>
  <c r="BF753" i="1"/>
  <c r="BG753" i="1" s="1"/>
  <c r="BH753" i="1" s="1"/>
  <c r="BJ753" i="1"/>
  <c r="BI753" i="1"/>
  <c r="BB753" i="1"/>
  <c r="AW753" i="1"/>
  <c r="BA753" i="1"/>
  <c r="AS753" i="1"/>
  <c r="AO753" i="1"/>
  <c r="AU753" i="1" s="1"/>
  <c r="AT753" i="1"/>
  <c r="AG753" i="1"/>
  <c r="AH753" i="1"/>
  <c r="AI753" i="1" s="1"/>
  <c r="AJ753" i="1" s="1"/>
  <c r="AV752" i="1"/>
  <c r="AF752" i="1"/>
  <c r="AM752" i="1" s="1"/>
  <c r="BM752" i="1"/>
  <c r="BN752" i="1" s="1"/>
  <c r="BF752" i="1"/>
  <c r="BG752" i="1" s="1"/>
  <c r="BH752" i="1" s="1"/>
  <c r="BJ752" i="1"/>
  <c r="BI752" i="1"/>
  <c r="AW752" i="1"/>
  <c r="BA752" i="1"/>
  <c r="BB752" i="1"/>
  <c r="AT752" i="1"/>
  <c r="AS752" i="1"/>
  <c r="AO752" i="1"/>
  <c r="AU752" i="1" s="1"/>
  <c r="AH752" i="1"/>
  <c r="AG752" i="1"/>
  <c r="AV751" i="1"/>
  <c r="AF751" i="1"/>
  <c r="AM751" i="1" s="1"/>
  <c r="BM751" i="1"/>
  <c r="BN751" i="1" s="1"/>
  <c r="BF751" i="1"/>
  <c r="BG751" i="1" s="1"/>
  <c r="BH751" i="1" s="1"/>
  <c r="BJ751" i="1"/>
  <c r="BI751" i="1"/>
  <c r="BB751" i="1"/>
  <c r="AW751" i="1"/>
  <c r="BA751" i="1"/>
  <c r="AS751" i="1"/>
  <c r="AT751" i="1"/>
  <c r="AO751" i="1"/>
  <c r="AU751" i="1" s="1"/>
  <c r="AH751" i="1"/>
  <c r="AG751" i="1"/>
  <c r="AV750" i="1"/>
  <c r="AF750" i="1"/>
  <c r="AM750" i="1" s="1"/>
  <c r="BM750" i="1"/>
  <c r="BN750" i="1" s="1"/>
  <c r="BF750" i="1"/>
  <c r="BG750" i="1" s="1"/>
  <c r="BH750" i="1" s="1"/>
  <c r="BJ750" i="1"/>
  <c r="BI750" i="1"/>
  <c r="AW750" i="1"/>
  <c r="BA750" i="1"/>
  <c r="BB750" i="1"/>
  <c r="AT750" i="1"/>
  <c r="AS750" i="1"/>
  <c r="AO750" i="1"/>
  <c r="AU750" i="1" s="1"/>
  <c r="AH750" i="1"/>
  <c r="AG750" i="1"/>
  <c r="AV749" i="1"/>
  <c r="AF749" i="1"/>
  <c r="AM749" i="1" s="1"/>
  <c r="BM749" i="1"/>
  <c r="BN749" i="1" s="1"/>
  <c r="BF749" i="1"/>
  <c r="BG749" i="1" s="1"/>
  <c r="BH749" i="1" s="1"/>
  <c r="BJ749" i="1"/>
  <c r="BI749" i="1"/>
  <c r="AW749" i="1"/>
  <c r="BB749" i="1"/>
  <c r="BA749" i="1"/>
  <c r="AS749" i="1"/>
  <c r="AO749" i="1"/>
  <c r="AU749" i="1" s="1"/>
  <c r="AT749" i="1"/>
  <c r="AG749" i="1"/>
  <c r="AH749" i="1"/>
  <c r="AI749" i="1" s="1"/>
  <c r="AJ749" i="1" s="1"/>
  <c r="AV748" i="1"/>
  <c r="AF748" i="1"/>
  <c r="AM748" i="1" s="1"/>
  <c r="BM748" i="1"/>
  <c r="BN748" i="1" s="1"/>
  <c r="BF748" i="1"/>
  <c r="BG748" i="1" s="1"/>
  <c r="BH748" i="1" s="1"/>
  <c r="BJ748" i="1"/>
  <c r="BI748" i="1"/>
  <c r="AW748" i="1"/>
  <c r="BA748" i="1"/>
  <c r="BB748" i="1"/>
  <c r="AT748" i="1"/>
  <c r="AS748" i="1"/>
  <c r="AO748" i="1"/>
  <c r="AU748" i="1" s="1"/>
  <c r="AH748" i="1"/>
  <c r="AG748" i="1"/>
  <c r="AV747" i="1"/>
  <c r="AF747" i="1"/>
  <c r="AM747" i="1" s="1"/>
  <c r="BM747" i="1"/>
  <c r="BN747" i="1" s="1"/>
  <c r="BF747" i="1"/>
  <c r="BG747" i="1" s="1"/>
  <c r="BH747" i="1" s="1"/>
  <c r="BJ747" i="1"/>
  <c r="BI747" i="1"/>
  <c r="BB747" i="1"/>
  <c r="BA747" i="1"/>
  <c r="AW747" i="1"/>
  <c r="AS747" i="1"/>
  <c r="AT747" i="1"/>
  <c r="AO747" i="1"/>
  <c r="AU747" i="1" s="1"/>
  <c r="AH747" i="1"/>
  <c r="AG747" i="1"/>
  <c r="AV746" i="1"/>
  <c r="AF746" i="1"/>
  <c r="AM746" i="1" s="1"/>
  <c r="BM746" i="1"/>
  <c r="BN746" i="1" s="1"/>
  <c r="BF746" i="1"/>
  <c r="BG746" i="1" s="1"/>
  <c r="BH746" i="1" s="1"/>
  <c r="BJ746" i="1"/>
  <c r="BI746" i="1"/>
  <c r="AW746" i="1"/>
  <c r="BA746" i="1"/>
  <c r="BB746" i="1"/>
  <c r="AT746" i="1"/>
  <c r="AS746" i="1"/>
  <c r="AO746" i="1"/>
  <c r="AU746" i="1" s="1"/>
  <c r="AH746" i="1"/>
  <c r="AG746" i="1"/>
  <c r="AV745" i="1"/>
  <c r="AF745" i="1"/>
  <c r="AM745" i="1" s="1"/>
  <c r="BM745" i="1"/>
  <c r="BN745" i="1" s="1"/>
  <c r="BF745" i="1"/>
  <c r="BG745" i="1" s="1"/>
  <c r="BH745" i="1" s="1"/>
  <c r="BJ745" i="1"/>
  <c r="BI745" i="1"/>
  <c r="BB745" i="1"/>
  <c r="AW745" i="1"/>
  <c r="BA745" i="1"/>
  <c r="AS745" i="1"/>
  <c r="AO745" i="1"/>
  <c r="AU745" i="1" s="1"/>
  <c r="AT745" i="1"/>
  <c r="AH745" i="1"/>
  <c r="AG745" i="1"/>
  <c r="AV744" i="1"/>
  <c r="AF744" i="1"/>
  <c r="AM744" i="1" s="1"/>
  <c r="BM744" i="1"/>
  <c r="BN744" i="1" s="1"/>
  <c r="BF744" i="1"/>
  <c r="BG744" i="1" s="1"/>
  <c r="BH744" i="1" s="1"/>
  <c r="BJ744" i="1"/>
  <c r="BI744" i="1"/>
  <c r="AW744" i="1"/>
  <c r="BA744" i="1"/>
  <c r="BB744" i="1"/>
  <c r="AT744" i="1"/>
  <c r="AS744" i="1"/>
  <c r="AO744" i="1"/>
  <c r="AU744" i="1" s="1"/>
  <c r="AH744" i="1"/>
  <c r="AG744" i="1"/>
  <c r="AV743" i="1"/>
  <c r="AF743" i="1"/>
  <c r="AM743" i="1" s="1"/>
  <c r="BM743" i="1"/>
  <c r="BN743" i="1" s="1"/>
  <c r="BF743" i="1"/>
  <c r="BG743" i="1" s="1"/>
  <c r="BH743" i="1" s="1"/>
  <c r="BJ743" i="1"/>
  <c r="BI743" i="1"/>
  <c r="BB743" i="1"/>
  <c r="BA743" i="1"/>
  <c r="AW743" i="1"/>
  <c r="AS743" i="1"/>
  <c r="AT743" i="1"/>
  <c r="AO743" i="1"/>
  <c r="AU743" i="1" s="1"/>
  <c r="AG743" i="1"/>
  <c r="AH743" i="1"/>
  <c r="AI743" i="1" s="1"/>
  <c r="AJ743" i="1" s="1"/>
  <c r="AV742" i="1"/>
  <c r="AF742" i="1"/>
  <c r="AM742" i="1" s="1"/>
  <c r="BM742" i="1"/>
  <c r="BN742" i="1" s="1"/>
  <c r="BF742" i="1"/>
  <c r="BG742" i="1" s="1"/>
  <c r="BH742" i="1" s="1"/>
  <c r="BJ742" i="1"/>
  <c r="BI742" i="1"/>
  <c r="AW742" i="1"/>
  <c r="BA742" i="1"/>
  <c r="BB742" i="1"/>
  <c r="AT742" i="1"/>
  <c r="AS742" i="1"/>
  <c r="AO742" i="1"/>
  <c r="AU742" i="1" s="1"/>
  <c r="AH742" i="1"/>
  <c r="AG742" i="1"/>
  <c r="AV741" i="1"/>
  <c r="AF741" i="1"/>
  <c r="AM741" i="1" s="1"/>
  <c r="BM741" i="1"/>
  <c r="BN741" i="1" s="1"/>
  <c r="BF741" i="1"/>
  <c r="BG741" i="1" s="1"/>
  <c r="BH741" i="1" s="1"/>
  <c r="BJ741" i="1"/>
  <c r="BI741" i="1"/>
  <c r="BB741" i="1"/>
  <c r="AW741" i="1"/>
  <c r="BA741" i="1"/>
  <c r="AS741" i="1"/>
  <c r="AO741" i="1"/>
  <c r="AU741" i="1" s="1"/>
  <c r="AT741" i="1"/>
  <c r="AG741" i="1"/>
  <c r="AH741" i="1"/>
  <c r="AI741" i="1" s="1"/>
  <c r="AJ741" i="1" s="1"/>
  <c r="AV740" i="1"/>
  <c r="AF740" i="1"/>
  <c r="AM740" i="1" s="1"/>
  <c r="BM740" i="1"/>
  <c r="BN740" i="1" s="1"/>
  <c r="BF740" i="1"/>
  <c r="BG740" i="1" s="1"/>
  <c r="BH740" i="1" s="1"/>
  <c r="BJ740" i="1"/>
  <c r="BI740" i="1"/>
  <c r="AW740" i="1"/>
  <c r="BA740" i="1"/>
  <c r="BB740" i="1"/>
  <c r="AT740" i="1"/>
  <c r="AS740" i="1"/>
  <c r="AO740" i="1"/>
  <c r="AU740" i="1" s="1"/>
  <c r="AH740" i="1"/>
  <c r="AG740" i="1"/>
  <c r="AV739" i="1"/>
  <c r="AF739" i="1"/>
  <c r="AM739" i="1" s="1"/>
  <c r="BM739" i="1"/>
  <c r="BN739" i="1" s="1"/>
  <c r="BF739" i="1"/>
  <c r="BG739" i="1" s="1"/>
  <c r="BH739" i="1" s="1"/>
  <c r="BJ739" i="1"/>
  <c r="BI739" i="1"/>
  <c r="BB739" i="1"/>
  <c r="BA739" i="1"/>
  <c r="AW739" i="1"/>
  <c r="AS739" i="1"/>
  <c r="AT739" i="1"/>
  <c r="AO739" i="1"/>
  <c r="AU739" i="1" s="1"/>
  <c r="AH739" i="1"/>
  <c r="AG739" i="1"/>
  <c r="AV738" i="1"/>
  <c r="AF738" i="1"/>
  <c r="AM738" i="1" s="1"/>
  <c r="BM738" i="1"/>
  <c r="BN738" i="1" s="1"/>
  <c r="BF738" i="1"/>
  <c r="BG738" i="1" s="1"/>
  <c r="BH738" i="1" s="1"/>
  <c r="BJ738" i="1"/>
  <c r="BI738" i="1"/>
  <c r="AW738" i="1"/>
  <c r="BA738" i="1"/>
  <c r="BB738" i="1"/>
  <c r="AT738" i="1"/>
  <c r="AS738" i="1"/>
  <c r="AO738" i="1"/>
  <c r="AU738" i="1" s="1"/>
  <c r="AH738" i="1"/>
  <c r="AG738" i="1"/>
  <c r="AV737" i="1"/>
  <c r="AF737" i="1"/>
  <c r="AM737" i="1" s="1"/>
  <c r="BM737" i="1"/>
  <c r="BN737" i="1" s="1"/>
  <c r="BF737" i="1"/>
  <c r="BG737" i="1" s="1"/>
  <c r="BH737" i="1" s="1"/>
  <c r="BJ737" i="1"/>
  <c r="BI737" i="1"/>
  <c r="BB737" i="1"/>
  <c r="AW737" i="1"/>
  <c r="BA737" i="1"/>
  <c r="AS737" i="1"/>
  <c r="AO737" i="1"/>
  <c r="AU737" i="1" s="1"/>
  <c r="AT737" i="1"/>
  <c r="AG737" i="1"/>
  <c r="AH737" i="1"/>
  <c r="AI737" i="1" s="1"/>
  <c r="AJ737" i="1" s="1"/>
  <c r="AV736" i="1"/>
  <c r="AF736" i="1"/>
  <c r="AM736" i="1" s="1"/>
  <c r="BM736" i="1"/>
  <c r="BN736" i="1" s="1"/>
  <c r="BF736" i="1"/>
  <c r="BG736" i="1" s="1"/>
  <c r="BH736" i="1" s="1"/>
  <c r="BJ736" i="1"/>
  <c r="BI736" i="1"/>
  <c r="AW736" i="1"/>
  <c r="BA736" i="1"/>
  <c r="BB736" i="1"/>
  <c r="AT736" i="1"/>
  <c r="AS736" i="1"/>
  <c r="AO736" i="1"/>
  <c r="AU736" i="1" s="1"/>
  <c r="AH736" i="1"/>
  <c r="AG736" i="1"/>
  <c r="AV735" i="1"/>
  <c r="AF735" i="1"/>
  <c r="AM735" i="1" s="1"/>
  <c r="BM735" i="1"/>
  <c r="BN735" i="1" s="1"/>
  <c r="BF735" i="1"/>
  <c r="BG735" i="1" s="1"/>
  <c r="BH735" i="1" s="1"/>
  <c r="BJ735" i="1"/>
  <c r="BI735" i="1"/>
  <c r="BB735" i="1"/>
  <c r="BA735" i="1"/>
  <c r="AW735" i="1"/>
  <c r="AS735" i="1"/>
  <c r="AT735" i="1"/>
  <c r="AO735" i="1"/>
  <c r="AU735" i="1" s="1"/>
  <c r="AH735" i="1"/>
  <c r="AG735" i="1"/>
  <c r="AV734" i="1"/>
  <c r="AF734" i="1"/>
  <c r="AM734" i="1" s="1"/>
  <c r="BM734" i="1"/>
  <c r="BN734" i="1" s="1"/>
  <c r="BF734" i="1"/>
  <c r="BG734" i="1" s="1"/>
  <c r="BH734" i="1" s="1"/>
  <c r="BJ734" i="1"/>
  <c r="BI734" i="1"/>
  <c r="AW734" i="1"/>
  <c r="BA734" i="1"/>
  <c r="BB734" i="1"/>
  <c r="AT734" i="1"/>
  <c r="AS734" i="1"/>
  <c r="AO734" i="1"/>
  <c r="AU734" i="1" s="1"/>
  <c r="AH734" i="1"/>
  <c r="AG734" i="1"/>
  <c r="AV733" i="1"/>
  <c r="AF733" i="1"/>
  <c r="AM733" i="1" s="1"/>
  <c r="BM733" i="1"/>
  <c r="BN733" i="1" s="1"/>
  <c r="BF733" i="1"/>
  <c r="BG733" i="1" s="1"/>
  <c r="BH733" i="1" s="1"/>
  <c r="BJ733" i="1"/>
  <c r="BI733" i="1"/>
  <c r="BB733" i="1"/>
  <c r="AW733" i="1"/>
  <c r="BA733" i="1"/>
  <c r="AS733" i="1"/>
  <c r="AO733" i="1"/>
  <c r="AU733" i="1" s="1"/>
  <c r="AT733" i="1"/>
  <c r="AG733" i="1"/>
  <c r="AH733" i="1"/>
  <c r="AI733" i="1" s="1"/>
  <c r="AJ733" i="1" s="1"/>
  <c r="AV732" i="1"/>
  <c r="AF732" i="1"/>
  <c r="AM732" i="1" s="1"/>
  <c r="BM732" i="1"/>
  <c r="BN732" i="1" s="1"/>
  <c r="BF732" i="1"/>
  <c r="BG732" i="1" s="1"/>
  <c r="BH732" i="1" s="1"/>
  <c r="BJ732" i="1"/>
  <c r="BI732" i="1"/>
  <c r="AW732" i="1"/>
  <c r="BA732" i="1"/>
  <c r="BB732" i="1"/>
  <c r="AT732" i="1"/>
  <c r="AS732" i="1"/>
  <c r="AO732" i="1"/>
  <c r="AU732" i="1" s="1"/>
  <c r="AH732" i="1"/>
  <c r="AG732" i="1"/>
  <c r="AV731" i="1"/>
  <c r="AF731" i="1"/>
  <c r="AM731" i="1" s="1"/>
  <c r="BM731" i="1"/>
  <c r="BN731" i="1" s="1"/>
  <c r="BF731" i="1"/>
  <c r="BG731" i="1" s="1"/>
  <c r="BH731" i="1" s="1"/>
  <c r="BJ731" i="1"/>
  <c r="BI731" i="1"/>
  <c r="BB731" i="1"/>
  <c r="BA731" i="1"/>
  <c r="AW731" i="1"/>
  <c r="AS731" i="1"/>
  <c r="AT731" i="1"/>
  <c r="AO731" i="1"/>
  <c r="AU731" i="1" s="1"/>
  <c r="AG731" i="1"/>
  <c r="AH731" i="1"/>
  <c r="AI731" i="1" s="1"/>
  <c r="AJ731" i="1" s="1"/>
  <c r="AV730" i="1"/>
  <c r="AF730" i="1"/>
  <c r="AM730" i="1" s="1"/>
  <c r="BM730" i="1"/>
  <c r="BN730" i="1" s="1"/>
  <c r="BF730" i="1"/>
  <c r="BG730" i="1" s="1"/>
  <c r="BH730" i="1" s="1"/>
  <c r="BJ730" i="1"/>
  <c r="BI730" i="1"/>
  <c r="AW730" i="1"/>
  <c r="BA730" i="1"/>
  <c r="BB730" i="1"/>
  <c r="AT730" i="1"/>
  <c r="AS730" i="1"/>
  <c r="AO730" i="1"/>
  <c r="AU730" i="1" s="1"/>
  <c r="AH730" i="1"/>
  <c r="AG730" i="1"/>
  <c r="AV729" i="1"/>
  <c r="AF729" i="1"/>
  <c r="AM729" i="1" s="1"/>
  <c r="BM729" i="1"/>
  <c r="BN729" i="1" s="1"/>
  <c r="BF729" i="1"/>
  <c r="BG729" i="1" s="1"/>
  <c r="BH729" i="1" s="1"/>
  <c r="BJ729" i="1"/>
  <c r="BI729" i="1"/>
  <c r="BB729" i="1"/>
  <c r="AW729" i="1"/>
  <c r="BA729" i="1"/>
  <c r="AS729" i="1"/>
  <c r="AO729" i="1"/>
  <c r="AU729" i="1" s="1"/>
  <c r="AT729" i="1"/>
  <c r="AH729" i="1"/>
  <c r="AG729" i="1"/>
  <c r="AV728" i="1"/>
  <c r="AF728" i="1"/>
  <c r="AM728" i="1" s="1"/>
  <c r="BM728" i="1"/>
  <c r="BN728" i="1" s="1"/>
  <c r="BF728" i="1"/>
  <c r="BG728" i="1" s="1"/>
  <c r="BH728" i="1" s="1"/>
  <c r="BJ728" i="1"/>
  <c r="BI728" i="1"/>
  <c r="AW728" i="1"/>
  <c r="BA728" i="1"/>
  <c r="BB728" i="1"/>
  <c r="AT728" i="1"/>
  <c r="AS728" i="1"/>
  <c r="AO728" i="1"/>
  <c r="AU728" i="1" s="1"/>
  <c r="AH728" i="1"/>
  <c r="AG728" i="1"/>
  <c r="AV727" i="1"/>
  <c r="AF727" i="1"/>
  <c r="AM727" i="1" s="1"/>
  <c r="BM727" i="1"/>
  <c r="BN727" i="1" s="1"/>
  <c r="BF727" i="1"/>
  <c r="BG727" i="1" s="1"/>
  <c r="BH727" i="1" s="1"/>
  <c r="BJ727" i="1"/>
  <c r="BI727" i="1"/>
  <c r="BB727" i="1"/>
  <c r="BA727" i="1"/>
  <c r="AW727" i="1"/>
  <c r="AS727" i="1"/>
  <c r="AT727" i="1"/>
  <c r="AO727" i="1"/>
  <c r="AU727" i="1" s="1"/>
  <c r="AG727" i="1"/>
  <c r="AH727" i="1"/>
  <c r="AI727" i="1" s="1"/>
  <c r="AJ727" i="1" s="1"/>
  <c r="AV726" i="1"/>
  <c r="AF726" i="1"/>
  <c r="AM726" i="1" s="1"/>
  <c r="BM726" i="1"/>
  <c r="BN726" i="1" s="1"/>
  <c r="BF726" i="1"/>
  <c r="BG726" i="1" s="1"/>
  <c r="BH726" i="1" s="1"/>
  <c r="BJ726" i="1"/>
  <c r="BI726" i="1"/>
  <c r="AW726" i="1"/>
  <c r="BA726" i="1"/>
  <c r="BB726" i="1"/>
  <c r="AT726" i="1"/>
  <c r="AS726" i="1"/>
  <c r="AO726" i="1"/>
  <c r="AU726" i="1" s="1"/>
  <c r="AH726" i="1"/>
  <c r="AG726" i="1"/>
  <c r="AV725" i="1"/>
  <c r="AF725" i="1"/>
  <c r="AM725" i="1" s="1"/>
  <c r="BM725" i="1"/>
  <c r="BN725" i="1" s="1"/>
  <c r="BF725" i="1"/>
  <c r="BG725" i="1" s="1"/>
  <c r="BH725" i="1" s="1"/>
  <c r="BJ725" i="1"/>
  <c r="BI725" i="1"/>
  <c r="BB725" i="1"/>
  <c r="AW725" i="1"/>
  <c r="BA725" i="1"/>
  <c r="AS725" i="1"/>
  <c r="AO725" i="1"/>
  <c r="AU725" i="1" s="1"/>
  <c r="AT725" i="1"/>
  <c r="AH725" i="1"/>
  <c r="AG725" i="1"/>
  <c r="AV724" i="1"/>
  <c r="AF724" i="1"/>
  <c r="AM724" i="1" s="1"/>
  <c r="BM724" i="1"/>
  <c r="BN724" i="1" s="1"/>
  <c r="BF724" i="1"/>
  <c r="BG724" i="1" s="1"/>
  <c r="BH724" i="1" s="1"/>
  <c r="BJ724" i="1"/>
  <c r="BI724" i="1"/>
  <c r="AW724" i="1"/>
  <c r="BA724" i="1"/>
  <c r="BB724" i="1"/>
  <c r="AT724" i="1"/>
  <c r="AS724" i="1"/>
  <c r="AO724" i="1"/>
  <c r="AU724" i="1" s="1"/>
  <c r="AH724" i="1"/>
  <c r="AG724" i="1"/>
  <c r="AV723" i="1"/>
  <c r="AF723" i="1"/>
  <c r="AM723" i="1" s="1"/>
  <c r="BM723" i="1"/>
  <c r="BN723" i="1" s="1"/>
  <c r="BF723" i="1"/>
  <c r="BG723" i="1" s="1"/>
  <c r="BH723" i="1" s="1"/>
  <c r="BJ723" i="1"/>
  <c r="BI723" i="1"/>
  <c r="BB723" i="1"/>
  <c r="BA723" i="1"/>
  <c r="AW723" i="1"/>
  <c r="AS723" i="1"/>
  <c r="AT723" i="1"/>
  <c r="AO723" i="1"/>
  <c r="AU723" i="1" s="1"/>
  <c r="AG723" i="1"/>
  <c r="AH723" i="1"/>
  <c r="AI723" i="1" s="1"/>
  <c r="AJ723" i="1" s="1"/>
  <c r="AV722" i="1"/>
  <c r="AF722" i="1"/>
  <c r="AM722" i="1" s="1"/>
  <c r="BM722" i="1"/>
  <c r="BN722" i="1" s="1"/>
  <c r="BF722" i="1"/>
  <c r="BG722" i="1" s="1"/>
  <c r="BH722" i="1" s="1"/>
  <c r="BJ722" i="1"/>
  <c r="BI722" i="1"/>
  <c r="AW722" i="1"/>
  <c r="BA722" i="1"/>
  <c r="BB722" i="1"/>
  <c r="AT722" i="1"/>
  <c r="AS722" i="1"/>
  <c r="AO722" i="1"/>
  <c r="AU722" i="1" s="1"/>
  <c r="AH722" i="1"/>
  <c r="AI722" i="1" s="1"/>
  <c r="AJ722" i="1" s="1"/>
  <c r="AG722" i="1"/>
  <c r="AV721" i="1"/>
  <c r="AF721" i="1"/>
  <c r="AM721" i="1" s="1"/>
  <c r="BM721" i="1"/>
  <c r="BN721" i="1" s="1"/>
  <c r="BF721" i="1"/>
  <c r="BG721" i="1" s="1"/>
  <c r="BH721" i="1" s="1"/>
  <c r="BJ721" i="1"/>
  <c r="BI721" i="1"/>
  <c r="BB721" i="1"/>
  <c r="AW721" i="1"/>
  <c r="BA721" i="1"/>
  <c r="AS721" i="1"/>
  <c r="AO721" i="1"/>
  <c r="AU721" i="1" s="1"/>
  <c r="AT721" i="1"/>
  <c r="AG721" i="1"/>
  <c r="AH721" i="1"/>
  <c r="AI721" i="1" s="1"/>
  <c r="AJ721" i="1" s="1"/>
  <c r="AV720" i="1"/>
  <c r="AF720" i="1"/>
  <c r="AM720" i="1" s="1"/>
  <c r="BM720" i="1"/>
  <c r="BN720" i="1" s="1"/>
  <c r="BF720" i="1"/>
  <c r="BG720" i="1" s="1"/>
  <c r="BH720" i="1" s="1"/>
  <c r="BJ720" i="1"/>
  <c r="BI720" i="1"/>
  <c r="AW720" i="1"/>
  <c r="BA720" i="1"/>
  <c r="BB720" i="1"/>
  <c r="AT720" i="1"/>
  <c r="AS720" i="1"/>
  <c r="AO720" i="1"/>
  <c r="AU720" i="1" s="1"/>
  <c r="AH720" i="1"/>
  <c r="AI720" i="1" s="1"/>
  <c r="AJ720" i="1" s="1"/>
  <c r="AG720" i="1"/>
  <c r="AV719" i="1"/>
  <c r="AF719" i="1"/>
  <c r="AM719" i="1" s="1"/>
  <c r="BM719" i="1"/>
  <c r="BN719" i="1" s="1"/>
  <c r="BF719" i="1"/>
  <c r="BG719" i="1" s="1"/>
  <c r="BH719" i="1" s="1"/>
  <c r="BJ719" i="1"/>
  <c r="BI719" i="1"/>
  <c r="BB719" i="1"/>
  <c r="BA719" i="1"/>
  <c r="AW719" i="1"/>
  <c r="AS719" i="1"/>
  <c r="AT719" i="1"/>
  <c r="AO719" i="1"/>
  <c r="AU719" i="1" s="1"/>
  <c r="AH719" i="1"/>
  <c r="AI719" i="1" s="1"/>
  <c r="AJ719" i="1" s="1"/>
  <c r="AG719" i="1"/>
  <c r="AV718" i="1"/>
  <c r="AF718" i="1"/>
  <c r="AM718" i="1" s="1"/>
  <c r="BM718" i="1"/>
  <c r="BN718" i="1" s="1"/>
  <c r="BF718" i="1"/>
  <c r="BG718" i="1" s="1"/>
  <c r="BH718" i="1" s="1"/>
  <c r="BJ718" i="1"/>
  <c r="BI718" i="1"/>
  <c r="AW718" i="1"/>
  <c r="BA718" i="1"/>
  <c r="BB718" i="1"/>
  <c r="AT718" i="1"/>
  <c r="AS718" i="1"/>
  <c r="AO718" i="1"/>
  <c r="AU718" i="1" s="1"/>
  <c r="AH718" i="1"/>
  <c r="AI718" i="1" s="1"/>
  <c r="AJ718" i="1" s="1"/>
  <c r="AG718" i="1"/>
  <c r="AV717" i="1"/>
  <c r="AF717" i="1"/>
  <c r="AM717" i="1" s="1"/>
  <c r="BM717" i="1"/>
  <c r="BN717" i="1" s="1"/>
  <c r="BF717" i="1"/>
  <c r="BG717" i="1" s="1"/>
  <c r="BH717" i="1" s="1"/>
  <c r="BJ717" i="1"/>
  <c r="BI717" i="1"/>
  <c r="BB717" i="1"/>
  <c r="AW717" i="1"/>
  <c r="BA717" i="1"/>
  <c r="AS717" i="1"/>
  <c r="AO717" i="1"/>
  <c r="AU717" i="1" s="1"/>
  <c r="AT717" i="1"/>
  <c r="AG717" i="1"/>
  <c r="AH717" i="1"/>
  <c r="AI717" i="1" s="1"/>
  <c r="AJ717" i="1" s="1"/>
  <c r="AV716" i="1"/>
  <c r="AF716" i="1"/>
  <c r="AM716" i="1" s="1"/>
  <c r="BM716" i="1"/>
  <c r="BN716" i="1" s="1"/>
  <c r="BF716" i="1"/>
  <c r="BG716" i="1" s="1"/>
  <c r="BH716" i="1" s="1"/>
  <c r="BJ716" i="1"/>
  <c r="BI716" i="1"/>
  <c r="AW716" i="1"/>
  <c r="BA716" i="1"/>
  <c r="BB716" i="1"/>
  <c r="AT716" i="1"/>
  <c r="AS716" i="1"/>
  <c r="AO716" i="1"/>
  <c r="AU716" i="1" s="1"/>
  <c r="AH716" i="1"/>
  <c r="AI716" i="1" s="1"/>
  <c r="AJ716" i="1" s="1"/>
  <c r="AG716" i="1"/>
  <c r="AV715" i="1"/>
  <c r="AF715" i="1"/>
  <c r="AM715" i="1" s="1"/>
  <c r="BM715" i="1"/>
  <c r="BN715" i="1" s="1"/>
  <c r="BF715" i="1"/>
  <c r="BG715" i="1" s="1"/>
  <c r="BH715" i="1" s="1"/>
  <c r="BJ715" i="1"/>
  <c r="BI715" i="1"/>
  <c r="BB715" i="1"/>
  <c r="BA715" i="1"/>
  <c r="AW715" i="1"/>
  <c r="AS715" i="1"/>
  <c r="AT715" i="1"/>
  <c r="AO715" i="1"/>
  <c r="AU715" i="1" s="1"/>
  <c r="AH715" i="1"/>
  <c r="AI715" i="1" s="1"/>
  <c r="AJ715" i="1" s="1"/>
  <c r="AG715" i="1"/>
  <c r="AV714" i="1"/>
  <c r="AF714" i="1"/>
  <c r="AM714" i="1" s="1"/>
  <c r="BM714" i="1"/>
  <c r="BN714" i="1" s="1"/>
  <c r="BF714" i="1"/>
  <c r="BG714" i="1" s="1"/>
  <c r="BH714" i="1" s="1"/>
  <c r="BJ714" i="1"/>
  <c r="BI714" i="1"/>
  <c r="AW714" i="1"/>
  <c r="BA714" i="1"/>
  <c r="BB714" i="1"/>
  <c r="AT714" i="1"/>
  <c r="AS714" i="1"/>
  <c r="AO714" i="1"/>
  <c r="AU714" i="1" s="1"/>
  <c r="AH714" i="1"/>
  <c r="AI714" i="1" s="1"/>
  <c r="AJ714" i="1" s="1"/>
  <c r="AG714" i="1"/>
  <c r="AV713" i="1"/>
  <c r="AF713" i="1"/>
  <c r="AM713" i="1" s="1"/>
  <c r="BM713" i="1"/>
  <c r="BN713" i="1" s="1"/>
  <c r="BF713" i="1"/>
  <c r="BG713" i="1" s="1"/>
  <c r="BH713" i="1" s="1"/>
  <c r="BJ713" i="1"/>
  <c r="BI713" i="1"/>
  <c r="AW713" i="1"/>
  <c r="BA713" i="1"/>
  <c r="BB713" i="1"/>
  <c r="AS713" i="1"/>
  <c r="AO713" i="1"/>
  <c r="AU713" i="1" s="1"/>
  <c r="AT713" i="1"/>
  <c r="AG713" i="1"/>
  <c r="AH713" i="1"/>
  <c r="AI713" i="1" s="1"/>
  <c r="AJ713" i="1" s="1"/>
  <c r="AV712" i="1"/>
  <c r="AF712" i="1"/>
  <c r="AM712" i="1" s="1"/>
  <c r="BM712" i="1"/>
  <c r="BN712" i="1" s="1"/>
  <c r="BF712" i="1"/>
  <c r="BG712" i="1" s="1"/>
  <c r="BH712" i="1" s="1"/>
  <c r="BJ712" i="1"/>
  <c r="BI712" i="1"/>
  <c r="AW712" i="1"/>
  <c r="BA712" i="1"/>
  <c r="BB712" i="1"/>
  <c r="AT712" i="1"/>
  <c r="AS712" i="1"/>
  <c r="AO712" i="1"/>
  <c r="AU712" i="1" s="1"/>
  <c r="AH712" i="1"/>
  <c r="AI712" i="1" s="1"/>
  <c r="AJ712" i="1" s="1"/>
  <c r="AG712" i="1"/>
  <c r="AV711" i="1"/>
  <c r="BC711" i="1" s="1"/>
  <c r="AF711" i="1"/>
  <c r="AM711" i="1" s="1"/>
  <c r="BM711" i="1"/>
  <c r="BN711" i="1" s="1"/>
  <c r="BF711" i="1"/>
  <c r="BG711" i="1" s="1"/>
  <c r="BH711" i="1" s="1"/>
  <c r="BJ711" i="1"/>
  <c r="BI711" i="1"/>
  <c r="AW711" i="1"/>
  <c r="BA711" i="1"/>
  <c r="BB711" i="1"/>
  <c r="AS711" i="1"/>
  <c r="AT711" i="1"/>
  <c r="AO711" i="1"/>
  <c r="AU711" i="1" s="1"/>
  <c r="AH711" i="1"/>
  <c r="AI711" i="1" s="1"/>
  <c r="AJ711" i="1" s="1"/>
  <c r="AG711" i="1"/>
  <c r="AV710" i="1"/>
  <c r="AF710" i="1"/>
  <c r="AM710" i="1" s="1"/>
  <c r="BM710" i="1"/>
  <c r="BN710" i="1" s="1"/>
  <c r="BF710" i="1"/>
  <c r="BG710" i="1" s="1"/>
  <c r="BH710" i="1" s="1"/>
  <c r="BJ710" i="1"/>
  <c r="BI710" i="1"/>
  <c r="AW710" i="1"/>
  <c r="BB710" i="1"/>
  <c r="BA710" i="1"/>
  <c r="AT710" i="1"/>
  <c r="AS710" i="1"/>
  <c r="AO710" i="1"/>
  <c r="AU710" i="1" s="1"/>
  <c r="AH710" i="1"/>
  <c r="AI710" i="1" s="1"/>
  <c r="AJ710" i="1" s="1"/>
  <c r="AG710" i="1"/>
  <c r="AV709" i="1"/>
  <c r="AF709" i="1"/>
  <c r="AM709" i="1" s="1"/>
  <c r="BM709" i="1"/>
  <c r="BN709" i="1" s="1"/>
  <c r="BF709" i="1"/>
  <c r="BG709" i="1" s="1"/>
  <c r="BH709" i="1" s="1"/>
  <c r="BJ709" i="1"/>
  <c r="BI709" i="1"/>
  <c r="AW709" i="1"/>
  <c r="BB709" i="1"/>
  <c r="BA709" i="1"/>
  <c r="AS709" i="1"/>
  <c r="AO709" i="1"/>
  <c r="AU709" i="1" s="1"/>
  <c r="AT709" i="1"/>
  <c r="AG709" i="1"/>
  <c r="AH709" i="1"/>
  <c r="AI709" i="1" s="1"/>
  <c r="AJ709" i="1" s="1"/>
  <c r="AV708" i="1"/>
  <c r="AF708" i="1"/>
  <c r="AM708" i="1" s="1"/>
  <c r="BM708" i="1"/>
  <c r="BN708" i="1" s="1"/>
  <c r="BF708" i="1"/>
  <c r="BG708" i="1" s="1"/>
  <c r="BH708" i="1" s="1"/>
  <c r="BJ708" i="1"/>
  <c r="BI708" i="1"/>
  <c r="AW708" i="1"/>
  <c r="BB708" i="1"/>
  <c r="BA708" i="1"/>
  <c r="AT708" i="1"/>
  <c r="AS708" i="1"/>
  <c r="AO708" i="1"/>
  <c r="AU708" i="1" s="1"/>
  <c r="AH708" i="1"/>
  <c r="AI708" i="1" s="1"/>
  <c r="AJ708" i="1" s="1"/>
  <c r="AG708" i="1"/>
  <c r="AV707" i="1"/>
  <c r="AF707" i="1"/>
  <c r="AM707" i="1" s="1"/>
  <c r="BM707" i="1"/>
  <c r="BN707" i="1" s="1"/>
  <c r="BF707" i="1"/>
  <c r="BG707" i="1" s="1"/>
  <c r="BH707" i="1" s="1"/>
  <c r="BJ707" i="1"/>
  <c r="BI707" i="1"/>
  <c r="AW707" i="1"/>
  <c r="BB707" i="1"/>
  <c r="BA707" i="1"/>
  <c r="AS707" i="1"/>
  <c r="AT707" i="1"/>
  <c r="AO707" i="1"/>
  <c r="AU707" i="1" s="1"/>
  <c r="AH707" i="1"/>
  <c r="AI707" i="1" s="1"/>
  <c r="AJ707" i="1" s="1"/>
  <c r="AG707" i="1"/>
  <c r="AV706" i="1"/>
  <c r="AF706" i="1"/>
  <c r="AM706" i="1" s="1"/>
  <c r="BM706" i="1"/>
  <c r="BN706" i="1" s="1"/>
  <c r="BF706" i="1"/>
  <c r="BG706" i="1" s="1"/>
  <c r="BH706" i="1" s="1"/>
  <c r="BJ706" i="1"/>
  <c r="BI706" i="1"/>
  <c r="AW706" i="1"/>
  <c r="BB706" i="1"/>
  <c r="BA706" i="1"/>
  <c r="AT706" i="1"/>
  <c r="AS706" i="1"/>
  <c r="AO706" i="1"/>
  <c r="AU706" i="1" s="1"/>
  <c r="AH706" i="1"/>
  <c r="AI706" i="1" s="1"/>
  <c r="AJ706" i="1" s="1"/>
  <c r="AG706" i="1"/>
  <c r="AV705" i="1"/>
  <c r="AF705" i="1"/>
  <c r="AM705" i="1" s="1"/>
  <c r="BM705" i="1"/>
  <c r="BN705" i="1" s="1"/>
  <c r="BF705" i="1"/>
  <c r="BG705" i="1" s="1"/>
  <c r="BH705" i="1" s="1"/>
  <c r="BJ705" i="1"/>
  <c r="BI705" i="1"/>
  <c r="AW705" i="1"/>
  <c r="BB705" i="1"/>
  <c r="BA705" i="1"/>
  <c r="AS705" i="1"/>
  <c r="AO705" i="1"/>
  <c r="AU705" i="1" s="1"/>
  <c r="AT705" i="1"/>
  <c r="AG705" i="1"/>
  <c r="AH705" i="1"/>
  <c r="AI705" i="1" s="1"/>
  <c r="AJ705" i="1" s="1"/>
  <c r="AV704" i="1"/>
  <c r="AF704" i="1"/>
  <c r="AM704" i="1" s="1"/>
  <c r="BM704" i="1"/>
  <c r="BN704" i="1" s="1"/>
  <c r="BF704" i="1"/>
  <c r="BG704" i="1" s="1"/>
  <c r="BH704" i="1" s="1"/>
  <c r="BJ704" i="1"/>
  <c r="BI704" i="1"/>
  <c r="AW704" i="1"/>
  <c r="BB704" i="1"/>
  <c r="BA704" i="1"/>
  <c r="AT704" i="1"/>
  <c r="AS704" i="1"/>
  <c r="AO704" i="1"/>
  <c r="AU704" i="1" s="1"/>
  <c r="AH704" i="1"/>
  <c r="AI704" i="1" s="1"/>
  <c r="AJ704" i="1" s="1"/>
  <c r="AG704" i="1"/>
  <c r="AV703" i="1"/>
  <c r="AF703" i="1"/>
  <c r="AM703" i="1" s="1"/>
  <c r="BM703" i="1"/>
  <c r="BN703" i="1" s="1"/>
  <c r="BF703" i="1"/>
  <c r="BG703" i="1" s="1"/>
  <c r="BH703" i="1" s="1"/>
  <c r="BJ703" i="1"/>
  <c r="BI703" i="1"/>
  <c r="AW703" i="1"/>
  <c r="BB703" i="1"/>
  <c r="BA703" i="1"/>
  <c r="AS703" i="1"/>
  <c r="AT703" i="1"/>
  <c r="AO703" i="1"/>
  <c r="AU703" i="1" s="1"/>
  <c r="AG703" i="1"/>
  <c r="AH703" i="1"/>
  <c r="AI703" i="1" s="1"/>
  <c r="AJ703" i="1" s="1"/>
  <c r="AV702" i="1"/>
  <c r="AF702" i="1"/>
  <c r="AM702" i="1" s="1"/>
  <c r="BM702" i="1"/>
  <c r="BN702" i="1" s="1"/>
  <c r="BF702" i="1"/>
  <c r="BG702" i="1" s="1"/>
  <c r="BH702" i="1" s="1"/>
  <c r="BJ702" i="1"/>
  <c r="BI702" i="1"/>
  <c r="AW702" i="1"/>
  <c r="BB702" i="1"/>
  <c r="BA702" i="1"/>
  <c r="AT702" i="1"/>
  <c r="AS702" i="1"/>
  <c r="AO702" i="1"/>
  <c r="AU702" i="1" s="1"/>
  <c r="AH702" i="1"/>
  <c r="AI702" i="1" s="1"/>
  <c r="AJ702" i="1" s="1"/>
  <c r="AG702" i="1"/>
  <c r="AV701" i="1"/>
  <c r="AF701" i="1"/>
  <c r="AM701" i="1" s="1"/>
  <c r="BM701" i="1"/>
  <c r="BN701" i="1" s="1"/>
  <c r="BF701" i="1"/>
  <c r="BG701" i="1" s="1"/>
  <c r="BH701" i="1" s="1"/>
  <c r="BJ701" i="1"/>
  <c r="BI701" i="1"/>
  <c r="AW701" i="1"/>
  <c r="BB701" i="1"/>
  <c r="BA701" i="1"/>
  <c r="AS701" i="1"/>
  <c r="AO701" i="1"/>
  <c r="AU701" i="1" s="1"/>
  <c r="AT701" i="1"/>
  <c r="AH701" i="1"/>
  <c r="AI701" i="1" s="1"/>
  <c r="AJ701" i="1" s="1"/>
  <c r="AG701" i="1"/>
  <c r="AV700" i="1"/>
  <c r="AF700" i="1"/>
  <c r="AM700" i="1" s="1"/>
  <c r="BM700" i="1"/>
  <c r="BN700" i="1" s="1"/>
  <c r="BF700" i="1"/>
  <c r="BG700" i="1" s="1"/>
  <c r="BH700" i="1" s="1"/>
  <c r="BJ700" i="1"/>
  <c r="BI700" i="1"/>
  <c r="AW700" i="1"/>
  <c r="BB700" i="1"/>
  <c r="BA700" i="1"/>
  <c r="AT700" i="1"/>
  <c r="AS700" i="1"/>
  <c r="AO700" i="1"/>
  <c r="AU700" i="1" s="1"/>
  <c r="AH700" i="1"/>
  <c r="AI700" i="1" s="1"/>
  <c r="AJ700" i="1" s="1"/>
  <c r="AG700" i="1"/>
  <c r="AV699" i="1"/>
  <c r="AF699" i="1"/>
  <c r="AM699" i="1" s="1"/>
  <c r="BM699" i="1"/>
  <c r="BN699" i="1" s="1"/>
  <c r="BF699" i="1"/>
  <c r="BG699" i="1" s="1"/>
  <c r="BH699" i="1" s="1"/>
  <c r="BJ699" i="1"/>
  <c r="BI699" i="1"/>
  <c r="AW699" i="1"/>
  <c r="BB699" i="1"/>
  <c r="BA699" i="1"/>
  <c r="AS699" i="1"/>
  <c r="AT699" i="1"/>
  <c r="AO699" i="1"/>
  <c r="AU699" i="1" s="1"/>
  <c r="AG699" i="1"/>
  <c r="AH699" i="1"/>
  <c r="AI699" i="1" s="1"/>
  <c r="AJ699" i="1" s="1"/>
  <c r="AV698" i="1"/>
  <c r="AF698" i="1"/>
  <c r="AM698" i="1" s="1"/>
  <c r="BM698" i="1"/>
  <c r="BN698" i="1" s="1"/>
  <c r="BF698" i="1"/>
  <c r="BG698" i="1" s="1"/>
  <c r="BH698" i="1" s="1"/>
  <c r="BJ698" i="1"/>
  <c r="BI698" i="1"/>
  <c r="AW698" i="1"/>
  <c r="BB698" i="1"/>
  <c r="BA698" i="1"/>
  <c r="AT698" i="1"/>
  <c r="AS698" i="1"/>
  <c r="AO698" i="1"/>
  <c r="AU698" i="1" s="1"/>
  <c r="AH698" i="1"/>
  <c r="AI698" i="1" s="1"/>
  <c r="AJ698" i="1" s="1"/>
  <c r="AG698" i="1"/>
  <c r="AV697" i="1"/>
  <c r="AF697" i="1"/>
  <c r="AM697" i="1" s="1"/>
  <c r="BM697" i="1"/>
  <c r="BN697" i="1" s="1"/>
  <c r="BF697" i="1"/>
  <c r="BG697" i="1" s="1"/>
  <c r="BH697" i="1" s="1"/>
  <c r="BJ697" i="1"/>
  <c r="BI697" i="1"/>
  <c r="AW697" i="1"/>
  <c r="BB697" i="1"/>
  <c r="BA697" i="1"/>
  <c r="AS697" i="1"/>
  <c r="AO697" i="1"/>
  <c r="AU697" i="1" s="1"/>
  <c r="AT697" i="1"/>
  <c r="AG697" i="1"/>
  <c r="AH697" i="1"/>
  <c r="AI697" i="1" s="1"/>
  <c r="AJ697" i="1" s="1"/>
  <c r="AV696" i="1"/>
  <c r="AF696" i="1"/>
  <c r="AM696" i="1" s="1"/>
  <c r="BM696" i="1"/>
  <c r="BN696" i="1" s="1"/>
  <c r="BF696" i="1"/>
  <c r="BG696" i="1" s="1"/>
  <c r="BH696" i="1" s="1"/>
  <c r="BJ696" i="1"/>
  <c r="BI696" i="1"/>
  <c r="AW696" i="1"/>
  <c r="BB696" i="1"/>
  <c r="BA696" i="1"/>
  <c r="AT696" i="1"/>
  <c r="AS696" i="1"/>
  <c r="AO696" i="1"/>
  <c r="AU696" i="1" s="1"/>
  <c r="AH696" i="1"/>
  <c r="AI696" i="1" s="1"/>
  <c r="AJ696" i="1" s="1"/>
  <c r="AG696" i="1"/>
  <c r="AV695" i="1"/>
  <c r="AF695" i="1"/>
  <c r="AM695" i="1" s="1"/>
  <c r="BM695" i="1"/>
  <c r="BN695" i="1" s="1"/>
  <c r="BF695" i="1"/>
  <c r="BG695" i="1" s="1"/>
  <c r="BH695" i="1" s="1"/>
  <c r="BJ695" i="1"/>
  <c r="BI695" i="1"/>
  <c r="AW695" i="1"/>
  <c r="BB695" i="1"/>
  <c r="BA695" i="1"/>
  <c r="AS695" i="1"/>
  <c r="AT695" i="1"/>
  <c r="AO695" i="1"/>
  <c r="AU695" i="1" s="1"/>
  <c r="AH695" i="1"/>
  <c r="AI695" i="1" s="1"/>
  <c r="AJ695" i="1" s="1"/>
  <c r="AG695" i="1"/>
  <c r="AV694" i="1"/>
  <c r="AF694" i="1"/>
  <c r="AM694" i="1" s="1"/>
  <c r="BM694" i="1"/>
  <c r="BN694" i="1" s="1"/>
  <c r="BF694" i="1"/>
  <c r="BG694" i="1" s="1"/>
  <c r="BH694" i="1" s="1"/>
  <c r="BJ694" i="1"/>
  <c r="BI694" i="1"/>
  <c r="AW694" i="1"/>
  <c r="BB694" i="1"/>
  <c r="BA694" i="1"/>
  <c r="AT694" i="1"/>
  <c r="AS694" i="1"/>
  <c r="AO694" i="1"/>
  <c r="AU694" i="1" s="1"/>
  <c r="AH694" i="1"/>
  <c r="AI694" i="1" s="1"/>
  <c r="AJ694" i="1" s="1"/>
  <c r="AG694" i="1"/>
  <c r="AV693" i="1"/>
  <c r="AF693" i="1"/>
  <c r="AM693" i="1" s="1"/>
  <c r="BM693" i="1"/>
  <c r="BN693" i="1" s="1"/>
  <c r="BF693" i="1"/>
  <c r="BG693" i="1" s="1"/>
  <c r="BH693" i="1" s="1"/>
  <c r="BJ693" i="1"/>
  <c r="BI693" i="1"/>
  <c r="AW693" i="1"/>
  <c r="BB693" i="1"/>
  <c r="BA693" i="1"/>
  <c r="AS693" i="1"/>
  <c r="AO693" i="1"/>
  <c r="AU693" i="1" s="1"/>
  <c r="AT693" i="1"/>
  <c r="AG693" i="1"/>
  <c r="AH693" i="1"/>
  <c r="AI693" i="1" s="1"/>
  <c r="AJ693" i="1" s="1"/>
  <c r="AV692" i="1"/>
  <c r="AF692" i="1"/>
  <c r="AM692" i="1" s="1"/>
  <c r="BM692" i="1"/>
  <c r="BN692" i="1" s="1"/>
  <c r="BF692" i="1"/>
  <c r="BG692" i="1" s="1"/>
  <c r="BH692" i="1" s="1"/>
  <c r="BJ692" i="1"/>
  <c r="BI692" i="1"/>
  <c r="AW692" i="1"/>
  <c r="BB692" i="1"/>
  <c r="BA692" i="1"/>
  <c r="AT692" i="1"/>
  <c r="AS692" i="1"/>
  <c r="AO692" i="1"/>
  <c r="AU692" i="1" s="1"/>
  <c r="AH692" i="1"/>
  <c r="AI692" i="1" s="1"/>
  <c r="AJ692" i="1" s="1"/>
  <c r="AG692" i="1"/>
  <c r="AV691" i="1"/>
  <c r="AF691" i="1"/>
  <c r="AM691" i="1" s="1"/>
  <c r="BM691" i="1"/>
  <c r="BN691" i="1" s="1"/>
  <c r="BF691" i="1"/>
  <c r="BG691" i="1" s="1"/>
  <c r="BH691" i="1" s="1"/>
  <c r="BJ691" i="1"/>
  <c r="BI691" i="1"/>
  <c r="AW691" i="1"/>
  <c r="BB691" i="1"/>
  <c r="BA691" i="1"/>
  <c r="AS691" i="1"/>
  <c r="AT691" i="1"/>
  <c r="AO691" i="1"/>
  <c r="AU691" i="1" s="1"/>
  <c r="AH691" i="1"/>
  <c r="AI691" i="1" s="1"/>
  <c r="AJ691" i="1" s="1"/>
  <c r="AG691" i="1"/>
  <c r="AV690" i="1"/>
  <c r="AF690" i="1"/>
  <c r="AM690" i="1" s="1"/>
  <c r="BM690" i="1"/>
  <c r="BN690" i="1" s="1"/>
  <c r="BF690" i="1"/>
  <c r="BG690" i="1" s="1"/>
  <c r="BH690" i="1" s="1"/>
  <c r="BJ690" i="1"/>
  <c r="BI690" i="1"/>
  <c r="AW690" i="1"/>
  <c r="BB690" i="1"/>
  <c r="BA690" i="1"/>
  <c r="AT690" i="1"/>
  <c r="AS690" i="1"/>
  <c r="AO690" i="1"/>
  <c r="AU690" i="1" s="1"/>
  <c r="AH690" i="1"/>
  <c r="AI690" i="1" s="1"/>
  <c r="AJ690" i="1" s="1"/>
  <c r="AG690" i="1"/>
  <c r="AV689" i="1"/>
  <c r="AF689" i="1"/>
  <c r="AM689" i="1" s="1"/>
  <c r="BM689" i="1"/>
  <c r="BN689" i="1" s="1"/>
  <c r="BF689" i="1"/>
  <c r="BG689" i="1" s="1"/>
  <c r="BH689" i="1" s="1"/>
  <c r="BJ689" i="1"/>
  <c r="BI689" i="1"/>
  <c r="AW689" i="1"/>
  <c r="BB689" i="1"/>
  <c r="BA689" i="1"/>
  <c r="AS689" i="1"/>
  <c r="AO689" i="1"/>
  <c r="AU689" i="1" s="1"/>
  <c r="AT689" i="1"/>
  <c r="AG689" i="1"/>
  <c r="AH689" i="1"/>
  <c r="AI689" i="1" s="1"/>
  <c r="AJ689" i="1" s="1"/>
  <c r="AV688" i="1"/>
  <c r="AF688" i="1"/>
  <c r="AM688" i="1" s="1"/>
  <c r="BM688" i="1"/>
  <c r="BN688" i="1" s="1"/>
  <c r="BF688" i="1"/>
  <c r="BG688" i="1" s="1"/>
  <c r="BH688" i="1" s="1"/>
  <c r="BJ688" i="1"/>
  <c r="BI688" i="1"/>
  <c r="AW688" i="1"/>
  <c r="BB688" i="1"/>
  <c r="BA688" i="1"/>
  <c r="AT688" i="1"/>
  <c r="AS688" i="1"/>
  <c r="AO688" i="1"/>
  <c r="AU688" i="1" s="1"/>
  <c r="AH688" i="1"/>
  <c r="AI688" i="1" s="1"/>
  <c r="AJ688" i="1" s="1"/>
  <c r="AG688" i="1"/>
  <c r="AV687" i="1"/>
  <c r="AF687" i="1"/>
  <c r="AM687" i="1" s="1"/>
  <c r="BM687" i="1"/>
  <c r="BN687" i="1" s="1"/>
  <c r="BF687" i="1"/>
  <c r="BG687" i="1" s="1"/>
  <c r="BH687" i="1" s="1"/>
  <c r="BJ687" i="1"/>
  <c r="BI687" i="1"/>
  <c r="AW687" i="1"/>
  <c r="BB687" i="1"/>
  <c r="BA687" i="1"/>
  <c r="AS687" i="1"/>
  <c r="AT687" i="1"/>
  <c r="AO687" i="1"/>
  <c r="AU687" i="1" s="1"/>
  <c r="AG687" i="1"/>
  <c r="AH687" i="1"/>
  <c r="AI687" i="1" s="1"/>
  <c r="AJ687" i="1" s="1"/>
  <c r="AV686" i="1"/>
  <c r="AF686" i="1"/>
  <c r="AM686" i="1" s="1"/>
  <c r="BM686" i="1"/>
  <c r="BN686" i="1" s="1"/>
  <c r="BF686" i="1"/>
  <c r="BG686" i="1" s="1"/>
  <c r="BH686" i="1" s="1"/>
  <c r="BJ686" i="1"/>
  <c r="BI686" i="1"/>
  <c r="AW686" i="1"/>
  <c r="BB686" i="1"/>
  <c r="BA686" i="1"/>
  <c r="AT686" i="1"/>
  <c r="AS686" i="1"/>
  <c r="AO686" i="1"/>
  <c r="AU686" i="1" s="1"/>
  <c r="AH686" i="1"/>
  <c r="AG686" i="1"/>
  <c r="AV685" i="1"/>
  <c r="AF685" i="1"/>
  <c r="AM685" i="1" s="1"/>
  <c r="BM685" i="1"/>
  <c r="BN685" i="1" s="1"/>
  <c r="BF685" i="1"/>
  <c r="BG685" i="1" s="1"/>
  <c r="BH685" i="1" s="1"/>
  <c r="BJ685" i="1"/>
  <c r="BI685" i="1"/>
  <c r="AW685" i="1"/>
  <c r="BB685" i="1"/>
  <c r="BA685" i="1"/>
  <c r="AS685" i="1"/>
  <c r="AO685" i="1"/>
  <c r="AU685" i="1" s="1"/>
  <c r="AT685" i="1"/>
  <c r="AH685" i="1"/>
  <c r="AG685" i="1"/>
  <c r="AV684" i="1"/>
  <c r="AF684" i="1"/>
  <c r="AM684" i="1" s="1"/>
  <c r="BM684" i="1"/>
  <c r="BN684" i="1" s="1"/>
  <c r="BF684" i="1"/>
  <c r="BG684" i="1" s="1"/>
  <c r="BH684" i="1" s="1"/>
  <c r="BJ684" i="1"/>
  <c r="BI684" i="1"/>
  <c r="AW684" i="1"/>
  <c r="BB684" i="1"/>
  <c r="BA684" i="1"/>
  <c r="AT684" i="1"/>
  <c r="AS684" i="1"/>
  <c r="AO684" i="1"/>
  <c r="AU684" i="1" s="1"/>
  <c r="AH684" i="1"/>
  <c r="AG684" i="1"/>
  <c r="AV683" i="1"/>
  <c r="AF683" i="1"/>
  <c r="AM683" i="1" s="1"/>
  <c r="BM683" i="1"/>
  <c r="BN683" i="1" s="1"/>
  <c r="BF683" i="1"/>
  <c r="BG683" i="1" s="1"/>
  <c r="BH683" i="1" s="1"/>
  <c r="BJ683" i="1"/>
  <c r="BI683" i="1"/>
  <c r="AW683" i="1"/>
  <c r="BB683" i="1"/>
  <c r="BA683" i="1"/>
  <c r="AS683" i="1"/>
  <c r="AT683" i="1"/>
  <c r="AO683" i="1"/>
  <c r="AU683" i="1" s="1"/>
  <c r="AG683" i="1"/>
  <c r="AH683" i="1"/>
  <c r="AI683" i="1" s="1"/>
  <c r="AJ683" i="1" s="1"/>
  <c r="AV682" i="1"/>
  <c r="AF682" i="1"/>
  <c r="AM682" i="1" s="1"/>
  <c r="BM682" i="1"/>
  <c r="BN682" i="1" s="1"/>
  <c r="BF682" i="1"/>
  <c r="BG682" i="1" s="1"/>
  <c r="BH682" i="1" s="1"/>
  <c r="BJ682" i="1"/>
  <c r="BI682" i="1"/>
  <c r="AW682" i="1"/>
  <c r="BB682" i="1"/>
  <c r="BA682" i="1"/>
  <c r="AT682" i="1"/>
  <c r="AS682" i="1"/>
  <c r="AO682" i="1"/>
  <c r="AU682" i="1" s="1"/>
  <c r="AH682" i="1"/>
  <c r="AG682" i="1"/>
  <c r="AV681" i="1"/>
  <c r="AF681" i="1"/>
  <c r="AM681" i="1" s="1"/>
  <c r="BM681" i="1"/>
  <c r="BN681" i="1" s="1"/>
  <c r="BF681" i="1"/>
  <c r="BG681" i="1" s="1"/>
  <c r="BH681" i="1" s="1"/>
  <c r="BJ681" i="1"/>
  <c r="BI681" i="1"/>
  <c r="AW681" i="1"/>
  <c r="BB681" i="1"/>
  <c r="BA681" i="1"/>
  <c r="AS681" i="1"/>
  <c r="AO681" i="1"/>
  <c r="AU681" i="1" s="1"/>
  <c r="AT681" i="1"/>
  <c r="AG681" i="1"/>
  <c r="AH681" i="1"/>
  <c r="AI681" i="1" s="1"/>
  <c r="AJ681" i="1" s="1"/>
  <c r="AV680" i="1"/>
  <c r="AF680" i="1"/>
  <c r="AM680" i="1" s="1"/>
  <c r="BM680" i="1"/>
  <c r="BN680" i="1" s="1"/>
  <c r="BF680" i="1"/>
  <c r="BG680" i="1" s="1"/>
  <c r="BH680" i="1" s="1"/>
  <c r="BJ680" i="1"/>
  <c r="BI680" i="1"/>
  <c r="AW680" i="1"/>
  <c r="BB680" i="1"/>
  <c r="BA680" i="1"/>
  <c r="AT680" i="1"/>
  <c r="AS680" i="1"/>
  <c r="AO680" i="1"/>
  <c r="AU680" i="1" s="1"/>
  <c r="AH680" i="1"/>
  <c r="AG680" i="1"/>
  <c r="AV679" i="1"/>
  <c r="AF679" i="1"/>
  <c r="AM679" i="1" s="1"/>
  <c r="BM679" i="1"/>
  <c r="BN679" i="1" s="1"/>
  <c r="BF679" i="1"/>
  <c r="BG679" i="1" s="1"/>
  <c r="BH679" i="1" s="1"/>
  <c r="BJ679" i="1"/>
  <c r="BI679" i="1"/>
  <c r="AW679" i="1"/>
  <c r="BB679" i="1"/>
  <c r="BA679" i="1"/>
  <c r="AS679" i="1"/>
  <c r="AT679" i="1"/>
  <c r="AO679" i="1"/>
  <c r="AU679" i="1" s="1"/>
  <c r="AH679" i="1"/>
  <c r="AG679" i="1"/>
  <c r="AV678" i="1"/>
  <c r="AF678" i="1"/>
  <c r="AM678" i="1" s="1"/>
  <c r="BM678" i="1"/>
  <c r="BN678" i="1" s="1"/>
  <c r="BF678" i="1"/>
  <c r="BG678" i="1" s="1"/>
  <c r="BH678" i="1" s="1"/>
  <c r="BJ678" i="1"/>
  <c r="BI678" i="1"/>
  <c r="AW678" i="1"/>
  <c r="BB678" i="1"/>
  <c r="BA678" i="1"/>
  <c r="AT678" i="1"/>
  <c r="AS678" i="1"/>
  <c r="AO678" i="1"/>
  <c r="AU678" i="1" s="1"/>
  <c r="AH678" i="1"/>
  <c r="AG678" i="1"/>
  <c r="AV677" i="1"/>
  <c r="AF677" i="1"/>
  <c r="AM677" i="1" s="1"/>
  <c r="BM677" i="1"/>
  <c r="BN677" i="1" s="1"/>
  <c r="BF677" i="1"/>
  <c r="BG677" i="1" s="1"/>
  <c r="BH677" i="1" s="1"/>
  <c r="BJ677" i="1"/>
  <c r="BI677" i="1"/>
  <c r="AW677" i="1"/>
  <c r="BB677" i="1"/>
  <c r="BA677" i="1"/>
  <c r="AS677" i="1"/>
  <c r="AO677" i="1"/>
  <c r="AU677" i="1" s="1"/>
  <c r="AT677" i="1"/>
  <c r="AG677" i="1"/>
  <c r="AH677" i="1"/>
  <c r="AI677" i="1" s="1"/>
  <c r="AJ677" i="1" s="1"/>
  <c r="AV676" i="1"/>
  <c r="AF676" i="1"/>
  <c r="AM676" i="1" s="1"/>
  <c r="BM676" i="1"/>
  <c r="BN676" i="1" s="1"/>
  <c r="BF676" i="1"/>
  <c r="BG676" i="1" s="1"/>
  <c r="BH676" i="1" s="1"/>
  <c r="BJ676" i="1"/>
  <c r="BI676" i="1"/>
  <c r="AW676" i="1"/>
  <c r="BB676" i="1"/>
  <c r="BA676" i="1"/>
  <c r="AT676" i="1"/>
  <c r="AS676" i="1"/>
  <c r="AO676" i="1"/>
  <c r="AU676" i="1" s="1"/>
  <c r="AH676" i="1"/>
  <c r="AG676" i="1"/>
  <c r="AV675" i="1"/>
  <c r="AF675" i="1"/>
  <c r="AM675" i="1" s="1"/>
  <c r="BM675" i="1"/>
  <c r="BN675" i="1" s="1"/>
  <c r="BF675" i="1"/>
  <c r="BG675" i="1" s="1"/>
  <c r="BH675" i="1" s="1"/>
  <c r="BJ675" i="1"/>
  <c r="BI675" i="1"/>
  <c r="AW675" i="1"/>
  <c r="BB675" i="1"/>
  <c r="BA675" i="1"/>
  <c r="AS675" i="1"/>
  <c r="AT675" i="1"/>
  <c r="AO675" i="1"/>
  <c r="AU675" i="1" s="1"/>
  <c r="AH675" i="1"/>
  <c r="AG675" i="1"/>
  <c r="AV674" i="1"/>
  <c r="AF674" i="1"/>
  <c r="AM674" i="1" s="1"/>
  <c r="BM674" i="1"/>
  <c r="BN674" i="1" s="1"/>
  <c r="BF674" i="1"/>
  <c r="BG674" i="1" s="1"/>
  <c r="BH674" i="1" s="1"/>
  <c r="BJ674" i="1"/>
  <c r="BI674" i="1"/>
  <c r="AW674" i="1"/>
  <c r="BB674" i="1"/>
  <c r="BA674" i="1"/>
  <c r="AT674" i="1"/>
  <c r="AS674" i="1"/>
  <c r="AO674" i="1"/>
  <c r="AU674" i="1" s="1"/>
  <c r="AH674" i="1"/>
  <c r="AG674" i="1"/>
  <c r="AV673" i="1"/>
  <c r="AF673" i="1"/>
  <c r="AM673" i="1" s="1"/>
  <c r="BM673" i="1"/>
  <c r="BN673" i="1" s="1"/>
  <c r="BF673" i="1"/>
  <c r="BG673" i="1" s="1"/>
  <c r="BH673" i="1" s="1"/>
  <c r="BJ673" i="1"/>
  <c r="BI673" i="1"/>
  <c r="AW673" i="1"/>
  <c r="BB673" i="1"/>
  <c r="BA673" i="1"/>
  <c r="AS673" i="1"/>
  <c r="AO673" i="1"/>
  <c r="AU673" i="1" s="1"/>
  <c r="AT673" i="1"/>
  <c r="AG673" i="1"/>
  <c r="AH673" i="1"/>
  <c r="AI673" i="1" s="1"/>
  <c r="AJ673" i="1" s="1"/>
  <c r="AV672" i="1"/>
  <c r="AF672" i="1"/>
  <c r="AM672" i="1" s="1"/>
  <c r="BM672" i="1"/>
  <c r="BN672" i="1" s="1"/>
  <c r="BF672" i="1"/>
  <c r="BG672" i="1" s="1"/>
  <c r="BH672" i="1" s="1"/>
  <c r="BJ672" i="1"/>
  <c r="BI672" i="1"/>
  <c r="AW672" i="1"/>
  <c r="BB672" i="1"/>
  <c r="BA672" i="1"/>
  <c r="AT672" i="1"/>
  <c r="AS672" i="1"/>
  <c r="AO672" i="1"/>
  <c r="AU672" i="1" s="1"/>
  <c r="AH672" i="1"/>
  <c r="AG672" i="1"/>
  <c r="AV671" i="1"/>
  <c r="AF671" i="1"/>
  <c r="AM671" i="1" s="1"/>
  <c r="BM671" i="1"/>
  <c r="BN671" i="1" s="1"/>
  <c r="BF671" i="1"/>
  <c r="BG671" i="1" s="1"/>
  <c r="BH671" i="1" s="1"/>
  <c r="BJ671" i="1"/>
  <c r="BI671" i="1"/>
  <c r="AW671" i="1"/>
  <c r="BB671" i="1"/>
  <c r="BA671" i="1"/>
  <c r="AS671" i="1"/>
  <c r="AT671" i="1"/>
  <c r="AO671" i="1"/>
  <c r="AU671" i="1" s="1"/>
  <c r="AG671" i="1"/>
  <c r="AH671" i="1"/>
  <c r="AI671" i="1" s="1"/>
  <c r="AJ671" i="1" s="1"/>
  <c r="AV670" i="1"/>
  <c r="AF670" i="1"/>
  <c r="AM670" i="1" s="1"/>
  <c r="BM670" i="1"/>
  <c r="BN670" i="1" s="1"/>
  <c r="BF670" i="1"/>
  <c r="BG670" i="1" s="1"/>
  <c r="BH670" i="1" s="1"/>
  <c r="BJ670" i="1"/>
  <c r="BI670" i="1"/>
  <c r="AW670" i="1"/>
  <c r="BB670" i="1"/>
  <c r="BA670" i="1"/>
  <c r="AT670" i="1"/>
  <c r="AS670" i="1"/>
  <c r="AO670" i="1"/>
  <c r="AU670" i="1" s="1"/>
  <c r="AH670" i="1"/>
  <c r="AG670" i="1"/>
  <c r="AV669" i="1"/>
  <c r="AF669" i="1"/>
  <c r="AM669" i="1" s="1"/>
  <c r="BM669" i="1"/>
  <c r="BN669" i="1" s="1"/>
  <c r="BF669" i="1"/>
  <c r="BG669" i="1" s="1"/>
  <c r="BH669" i="1" s="1"/>
  <c r="BJ669" i="1"/>
  <c r="BI669" i="1"/>
  <c r="AW669" i="1"/>
  <c r="BB669" i="1"/>
  <c r="BA669" i="1"/>
  <c r="AS669" i="1"/>
  <c r="AO669" i="1"/>
  <c r="AU669" i="1" s="1"/>
  <c r="AT669" i="1"/>
  <c r="AH669" i="1"/>
  <c r="AG669" i="1"/>
  <c r="AV668" i="1"/>
  <c r="AF668" i="1"/>
  <c r="AM668" i="1" s="1"/>
  <c r="BM668" i="1"/>
  <c r="BN668" i="1" s="1"/>
  <c r="BF668" i="1"/>
  <c r="BG668" i="1" s="1"/>
  <c r="BH668" i="1" s="1"/>
  <c r="BJ668" i="1"/>
  <c r="BI668" i="1"/>
  <c r="AW668" i="1"/>
  <c r="BB668" i="1"/>
  <c r="BA668" i="1"/>
  <c r="AT668" i="1"/>
  <c r="AS668" i="1"/>
  <c r="AO668" i="1"/>
  <c r="AU668" i="1" s="1"/>
  <c r="AH668" i="1"/>
  <c r="AG668" i="1"/>
  <c r="AV667" i="1"/>
  <c r="AF667" i="1"/>
  <c r="AM667" i="1" s="1"/>
  <c r="BM667" i="1"/>
  <c r="BN667" i="1" s="1"/>
  <c r="BF667" i="1"/>
  <c r="BG667" i="1" s="1"/>
  <c r="BH667" i="1" s="1"/>
  <c r="BJ667" i="1"/>
  <c r="BI667" i="1"/>
  <c r="AW667" i="1"/>
  <c r="BB667" i="1"/>
  <c r="BA667" i="1"/>
  <c r="AS667" i="1"/>
  <c r="AT667" i="1"/>
  <c r="AO667" i="1"/>
  <c r="AU667" i="1" s="1"/>
  <c r="AG667" i="1"/>
  <c r="AH667" i="1"/>
  <c r="AI667" i="1" s="1"/>
  <c r="AJ667" i="1" s="1"/>
  <c r="AV666" i="1"/>
  <c r="AF666" i="1"/>
  <c r="AM666" i="1" s="1"/>
  <c r="BM666" i="1"/>
  <c r="BN666" i="1" s="1"/>
  <c r="BF666" i="1"/>
  <c r="BG666" i="1" s="1"/>
  <c r="BH666" i="1" s="1"/>
  <c r="BJ666" i="1"/>
  <c r="BI666" i="1"/>
  <c r="AW666" i="1"/>
  <c r="BB666" i="1"/>
  <c r="BA666" i="1"/>
  <c r="AT666" i="1"/>
  <c r="AS666" i="1"/>
  <c r="AO666" i="1"/>
  <c r="AU666" i="1" s="1"/>
  <c r="AH666" i="1"/>
  <c r="AG666" i="1"/>
  <c r="AV665" i="1"/>
  <c r="AF665" i="1"/>
  <c r="AM665" i="1" s="1"/>
  <c r="BM665" i="1"/>
  <c r="BN665" i="1" s="1"/>
  <c r="BF665" i="1"/>
  <c r="BG665" i="1" s="1"/>
  <c r="BH665" i="1" s="1"/>
  <c r="BJ665" i="1"/>
  <c r="BI665" i="1"/>
  <c r="AW665" i="1"/>
  <c r="BB665" i="1"/>
  <c r="BA665" i="1"/>
  <c r="AS665" i="1"/>
  <c r="AO665" i="1"/>
  <c r="AU665" i="1" s="1"/>
  <c r="AT665" i="1"/>
  <c r="AH665" i="1"/>
  <c r="AG665" i="1"/>
  <c r="AV664" i="1"/>
  <c r="AF664" i="1"/>
  <c r="AM664" i="1" s="1"/>
  <c r="BM664" i="1"/>
  <c r="BN664" i="1" s="1"/>
  <c r="BF664" i="1"/>
  <c r="BG664" i="1" s="1"/>
  <c r="BH664" i="1" s="1"/>
  <c r="BJ664" i="1"/>
  <c r="BI664" i="1"/>
  <c r="AW664" i="1"/>
  <c r="BB664" i="1"/>
  <c r="BA664" i="1"/>
  <c r="AT664" i="1"/>
  <c r="AS664" i="1"/>
  <c r="AO664" i="1"/>
  <c r="AU664" i="1" s="1"/>
  <c r="AH664" i="1"/>
  <c r="AG664" i="1"/>
  <c r="AV663" i="1"/>
  <c r="AF663" i="1"/>
  <c r="AM663" i="1" s="1"/>
  <c r="BM663" i="1"/>
  <c r="BN663" i="1" s="1"/>
  <c r="BF663" i="1"/>
  <c r="BG663" i="1" s="1"/>
  <c r="BH663" i="1" s="1"/>
  <c r="BJ663" i="1"/>
  <c r="BI663" i="1"/>
  <c r="AW663" i="1"/>
  <c r="BB663" i="1"/>
  <c r="BA663" i="1"/>
  <c r="AS663" i="1"/>
  <c r="AT663" i="1"/>
  <c r="AO663" i="1"/>
  <c r="AU663" i="1" s="1"/>
  <c r="AG663" i="1"/>
  <c r="AH663" i="1"/>
  <c r="AI663" i="1" s="1"/>
  <c r="AJ663" i="1" s="1"/>
  <c r="AV662" i="1"/>
  <c r="AF662" i="1"/>
  <c r="AM662" i="1" s="1"/>
  <c r="BM662" i="1"/>
  <c r="BN662" i="1" s="1"/>
  <c r="BF662" i="1"/>
  <c r="BG662" i="1" s="1"/>
  <c r="BH662" i="1" s="1"/>
  <c r="BJ662" i="1"/>
  <c r="BI662" i="1"/>
  <c r="AW662" i="1"/>
  <c r="BB662" i="1"/>
  <c r="BA662" i="1"/>
  <c r="AT662" i="1"/>
  <c r="AS662" i="1"/>
  <c r="AO662" i="1"/>
  <c r="AU662" i="1" s="1"/>
  <c r="AH662" i="1"/>
  <c r="AG662" i="1"/>
  <c r="AV661" i="1"/>
  <c r="AF661" i="1"/>
  <c r="AM661" i="1" s="1"/>
  <c r="BM661" i="1"/>
  <c r="BN661" i="1" s="1"/>
  <c r="BF661" i="1"/>
  <c r="BG661" i="1" s="1"/>
  <c r="BH661" i="1" s="1"/>
  <c r="BJ661" i="1"/>
  <c r="BI661" i="1"/>
  <c r="AW661" i="1"/>
  <c r="BB661" i="1"/>
  <c r="BA661" i="1"/>
  <c r="AS661" i="1"/>
  <c r="AO661" i="1"/>
  <c r="AU661" i="1" s="1"/>
  <c r="AT661" i="1"/>
  <c r="AH661" i="1"/>
  <c r="AG661" i="1"/>
  <c r="AV660" i="1"/>
  <c r="AF660" i="1"/>
  <c r="AM660" i="1" s="1"/>
  <c r="BM660" i="1"/>
  <c r="BN660" i="1" s="1"/>
  <c r="BF660" i="1"/>
  <c r="BG660" i="1" s="1"/>
  <c r="BH660" i="1" s="1"/>
  <c r="BJ660" i="1"/>
  <c r="BI660" i="1"/>
  <c r="AW660" i="1"/>
  <c r="BB660" i="1"/>
  <c r="BA660" i="1"/>
  <c r="AT660" i="1"/>
  <c r="AS660" i="1"/>
  <c r="AO660" i="1"/>
  <c r="AU660" i="1" s="1"/>
  <c r="AH660" i="1"/>
  <c r="AG660" i="1"/>
  <c r="AV659" i="1"/>
  <c r="AF659" i="1"/>
  <c r="AM659" i="1" s="1"/>
  <c r="BM659" i="1"/>
  <c r="BN659" i="1" s="1"/>
  <c r="BF659" i="1"/>
  <c r="BG659" i="1" s="1"/>
  <c r="BH659" i="1" s="1"/>
  <c r="BJ659" i="1"/>
  <c r="BI659" i="1"/>
  <c r="AW659" i="1"/>
  <c r="BB659" i="1"/>
  <c r="BA659" i="1"/>
  <c r="AS659" i="1"/>
  <c r="AT659" i="1"/>
  <c r="AO659" i="1"/>
  <c r="AU659" i="1" s="1"/>
  <c r="AG659" i="1"/>
  <c r="AH659" i="1"/>
  <c r="AI659" i="1" s="1"/>
  <c r="AJ659" i="1" s="1"/>
  <c r="AV658" i="1"/>
  <c r="AF658" i="1"/>
  <c r="AM658" i="1" s="1"/>
  <c r="BM658" i="1"/>
  <c r="BN658" i="1" s="1"/>
  <c r="BF658" i="1"/>
  <c r="BG658" i="1" s="1"/>
  <c r="BH658" i="1" s="1"/>
  <c r="BJ658" i="1"/>
  <c r="BI658" i="1"/>
  <c r="AW658" i="1"/>
  <c r="BB658" i="1"/>
  <c r="BA658" i="1"/>
  <c r="AT658" i="1"/>
  <c r="AS658" i="1"/>
  <c r="AO658" i="1"/>
  <c r="AU658" i="1" s="1"/>
  <c r="AH658" i="1"/>
  <c r="AG658" i="1"/>
  <c r="AV657" i="1"/>
  <c r="AF657" i="1"/>
  <c r="AM657" i="1" s="1"/>
  <c r="BM657" i="1"/>
  <c r="BN657" i="1" s="1"/>
  <c r="BF657" i="1"/>
  <c r="BG657" i="1" s="1"/>
  <c r="BH657" i="1" s="1"/>
  <c r="BJ657" i="1"/>
  <c r="BI657" i="1"/>
  <c r="AW657" i="1"/>
  <c r="BB657" i="1"/>
  <c r="BA657" i="1"/>
  <c r="AS657" i="1"/>
  <c r="AO657" i="1"/>
  <c r="AU657" i="1" s="1"/>
  <c r="AT657" i="1"/>
  <c r="AH657" i="1"/>
  <c r="AG657" i="1"/>
  <c r="AV656" i="1"/>
  <c r="AF656" i="1"/>
  <c r="AM656" i="1" s="1"/>
  <c r="BM656" i="1"/>
  <c r="BN656" i="1" s="1"/>
  <c r="BF656" i="1"/>
  <c r="BG656" i="1" s="1"/>
  <c r="BH656" i="1" s="1"/>
  <c r="BJ656" i="1"/>
  <c r="BI656" i="1"/>
  <c r="AW656" i="1"/>
  <c r="BB656" i="1"/>
  <c r="BA656" i="1"/>
  <c r="AT656" i="1"/>
  <c r="AS656" i="1"/>
  <c r="AO656" i="1"/>
  <c r="AU656" i="1" s="1"/>
  <c r="AH656" i="1"/>
  <c r="AG656" i="1"/>
  <c r="AV655" i="1"/>
  <c r="AF655" i="1"/>
  <c r="AM655" i="1" s="1"/>
  <c r="BM655" i="1"/>
  <c r="BN655" i="1" s="1"/>
  <c r="BF655" i="1"/>
  <c r="BG655" i="1" s="1"/>
  <c r="BH655" i="1" s="1"/>
  <c r="BJ655" i="1"/>
  <c r="BI655" i="1"/>
  <c r="AW655" i="1"/>
  <c r="BB655" i="1"/>
  <c r="BA655" i="1"/>
  <c r="AS655" i="1"/>
  <c r="AT655" i="1"/>
  <c r="AO655" i="1"/>
  <c r="AU655" i="1" s="1"/>
  <c r="AH655" i="1"/>
  <c r="AG655" i="1"/>
  <c r="AV654" i="1"/>
  <c r="AF654" i="1"/>
  <c r="AM654" i="1" s="1"/>
  <c r="BM654" i="1"/>
  <c r="BN654" i="1" s="1"/>
  <c r="BF654" i="1"/>
  <c r="BG654" i="1" s="1"/>
  <c r="BH654" i="1" s="1"/>
  <c r="BJ654" i="1"/>
  <c r="BI654" i="1"/>
  <c r="AW654" i="1"/>
  <c r="BB654" i="1"/>
  <c r="BA654" i="1"/>
  <c r="AT654" i="1"/>
  <c r="AS654" i="1"/>
  <c r="AO654" i="1"/>
  <c r="AU654" i="1" s="1"/>
  <c r="AH654" i="1"/>
  <c r="AG654" i="1"/>
  <c r="AV653" i="1"/>
  <c r="AF653" i="1"/>
  <c r="AM653" i="1" s="1"/>
  <c r="BM653" i="1"/>
  <c r="BN653" i="1" s="1"/>
  <c r="BF653" i="1"/>
  <c r="BG653" i="1" s="1"/>
  <c r="BH653" i="1" s="1"/>
  <c r="BJ653" i="1"/>
  <c r="BI653" i="1"/>
  <c r="AW653" i="1"/>
  <c r="BB653" i="1"/>
  <c r="BA653" i="1"/>
  <c r="AS653" i="1"/>
  <c r="AO653" i="1"/>
  <c r="AU653" i="1" s="1"/>
  <c r="AT653" i="1"/>
  <c r="AG653" i="1"/>
  <c r="AH653" i="1"/>
  <c r="AI653" i="1" s="1"/>
  <c r="AJ653" i="1" s="1"/>
  <c r="AV652" i="1"/>
  <c r="AF652" i="1"/>
  <c r="AM652" i="1" s="1"/>
  <c r="BM652" i="1"/>
  <c r="BN652" i="1" s="1"/>
  <c r="BF652" i="1"/>
  <c r="BG652" i="1" s="1"/>
  <c r="BH652" i="1" s="1"/>
  <c r="BJ652" i="1"/>
  <c r="BI652" i="1"/>
  <c r="AW652" i="1"/>
  <c r="BB652" i="1"/>
  <c r="BA652" i="1"/>
  <c r="AT652" i="1"/>
  <c r="AS652" i="1"/>
  <c r="AO652" i="1"/>
  <c r="AU652" i="1" s="1"/>
  <c r="AH652" i="1"/>
  <c r="AG652" i="1"/>
  <c r="AV651" i="1"/>
  <c r="AF651" i="1"/>
  <c r="AM651" i="1" s="1"/>
  <c r="BM651" i="1"/>
  <c r="BN651" i="1" s="1"/>
  <c r="BF651" i="1"/>
  <c r="BG651" i="1" s="1"/>
  <c r="BH651" i="1" s="1"/>
  <c r="BJ651" i="1"/>
  <c r="BI651" i="1"/>
  <c r="AW651" i="1"/>
  <c r="BB651" i="1"/>
  <c r="BA651" i="1"/>
  <c r="AS651" i="1"/>
  <c r="AT651" i="1"/>
  <c r="AO651" i="1"/>
  <c r="AU651" i="1" s="1"/>
  <c r="AG651" i="1"/>
  <c r="AH651" i="1"/>
  <c r="AI651" i="1" s="1"/>
  <c r="AJ651" i="1" s="1"/>
  <c r="AV650" i="1"/>
  <c r="AF650" i="1"/>
  <c r="AM650" i="1" s="1"/>
  <c r="BM650" i="1"/>
  <c r="BN650" i="1" s="1"/>
  <c r="BF650" i="1"/>
  <c r="BG650" i="1" s="1"/>
  <c r="BH650" i="1" s="1"/>
  <c r="BJ650" i="1"/>
  <c r="BI650" i="1"/>
  <c r="AW650" i="1"/>
  <c r="BB650" i="1"/>
  <c r="BA650" i="1"/>
  <c r="AT650" i="1"/>
  <c r="AS650" i="1"/>
  <c r="AO650" i="1"/>
  <c r="AU650" i="1" s="1"/>
  <c r="AH650" i="1"/>
  <c r="AG650" i="1"/>
  <c r="AV649" i="1"/>
  <c r="AF649" i="1"/>
  <c r="AM649" i="1" s="1"/>
  <c r="BM649" i="1"/>
  <c r="BN649" i="1" s="1"/>
  <c r="BF649" i="1"/>
  <c r="BG649" i="1" s="1"/>
  <c r="BH649" i="1" s="1"/>
  <c r="BJ649" i="1"/>
  <c r="BI649" i="1"/>
  <c r="AW649" i="1"/>
  <c r="BB649" i="1"/>
  <c r="BA649" i="1"/>
  <c r="AS649" i="1"/>
  <c r="AO649" i="1"/>
  <c r="AU649" i="1" s="1"/>
  <c r="AT649" i="1"/>
  <c r="AH649" i="1"/>
  <c r="AG649" i="1"/>
  <c r="AV648" i="1"/>
  <c r="AF648" i="1"/>
  <c r="AM648" i="1" s="1"/>
  <c r="BM648" i="1"/>
  <c r="BN648" i="1" s="1"/>
  <c r="BF648" i="1"/>
  <c r="BG648" i="1" s="1"/>
  <c r="BH648" i="1" s="1"/>
  <c r="BJ648" i="1"/>
  <c r="BI648" i="1"/>
  <c r="AW648" i="1"/>
  <c r="BB648" i="1"/>
  <c r="BA648" i="1"/>
  <c r="AT648" i="1"/>
  <c r="AS648" i="1"/>
  <c r="AO648" i="1"/>
  <c r="AU648" i="1" s="1"/>
  <c r="AH648" i="1"/>
  <c r="AG648" i="1"/>
  <c r="AV647" i="1"/>
  <c r="AF647" i="1"/>
  <c r="AM647" i="1" s="1"/>
  <c r="BM647" i="1"/>
  <c r="BN647" i="1" s="1"/>
  <c r="BF647" i="1"/>
  <c r="BG647" i="1" s="1"/>
  <c r="BH647" i="1" s="1"/>
  <c r="BJ647" i="1"/>
  <c r="BI647" i="1"/>
  <c r="AW647" i="1"/>
  <c r="BB647" i="1"/>
  <c r="BA647" i="1"/>
  <c r="AS647" i="1"/>
  <c r="AT647" i="1"/>
  <c r="AO647" i="1"/>
  <c r="AU647" i="1" s="1"/>
  <c r="AG647" i="1"/>
  <c r="AH647" i="1"/>
  <c r="AI647" i="1" s="1"/>
  <c r="AJ647" i="1" s="1"/>
  <c r="AV646" i="1"/>
  <c r="AF646" i="1"/>
  <c r="AM646" i="1" s="1"/>
  <c r="BM646" i="1"/>
  <c r="BN646" i="1" s="1"/>
  <c r="BF646" i="1"/>
  <c r="BG646" i="1" s="1"/>
  <c r="BH646" i="1" s="1"/>
  <c r="BJ646" i="1"/>
  <c r="BI646" i="1"/>
  <c r="AW646" i="1"/>
  <c r="BB646" i="1"/>
  <c r="BA646" i="1"/>
  <c r="AT646" i="1"/>
  <c r="AS646" i="1"/>
  <c r="AO646" i="1"/>
  <c r="AU646" i="1" s="1"/>
  <c r="AH646" i="1"/>
  <c r="AG646" i="1"/>
  <c r="AV645" i="1"/>
  <c r="AF645" i="1"/>
  <c r="AM645" i="1" s="1"/>
  <c r="BM645" i="1"/>
  <c r="BN645" i="1" s="1"/>
  <c r="BF645" i="1"/>
  <c r="BG645" i="1" s="1"/>
  <c r="BH645" i="1" s="1"/>
  <c r="BJ645" i="1"/>
  <c r="BI645" i="1"/>
  <c r="AW645" i="1"/>
  <c r="BB645" i="1"/>
  <c r="BA645" i="1"/>
  <c r="AS645" i="1"/>
  <c r="AO645" i="1"/>
  <c r="AU645" i="1" s="1"/>
  <c r="AT645" i="1"/>
  <c r="AG645" i="1"/>
  <c r="AH645" i="1"/>
  <c r="AI645" i="1" s="1"/>
  <c r="AJ645" i="1" s="1"/>
  <c r="AV644" i="1"/>
  <c r="AF644" i="1"/>
  <c r="AM644" i="1" s="1"/>
  <c r="BM644" i="1"/>
  <c r="BN644" i="1" s="1"/>
  <c r="BF644" i="1"/>
  <c r="BG644" i="1" s="1"/>
  <c r="BH644" i="1" s="1"/>
  <c r="BJ644" i="1"/>
  <c r="BI644" i="1"/>
  <c r="AW644" i="1"/>
  <c r="BB644" i="1"/>
  <c r="BA644" i="1"/>
  <c r="AT644" i="1"/>
  <c r="AS644" i="1"/>
  <c r="AO644" i="1"/>
  <c r="AU644" i="1" s="1"/>
  <c r="AH644" i="1"/>
  <c r="AG644" i="1"/>
  <c r="AV643" i="1"/>
  <c r="AF643" i="1"/>
  <c r="AM643" i="1" s="1"/>
  <c r="BM643" i="1"/>
  <c r="BN643" i="1" s="1"/>
  <c r="BF643" i="1"/>
  <c r="BG643" i="1" s="1"/>
  <c r="BH643" i="1" s="1"/>
  <c r="BJ643" i="1"/>
  <c r="BI643" i="1"/>
  <c r="AW643" i="1"/>
  <c r="BB643" i="1"/>
  <c r="BA643" i="1"/>
  <c r="AS643" i="1"/>
  <c r="AT643" i="1"/>
  <c r="AO643" i="1"/>
  <c r="AU643" i="1" s="1"/>
  <c r="AH643" i="1"/>
  <c r="AG643" i="1"/>
  <c r="AV642" i="1"/>
  <c r="AF642" i="1"/>
  <c r="AM642" i="1" s="1"/>
  <c r="BM642" i="1"/>
  <c r="BN642" i="1" s="1"/>
  <c r="BF642" i="1"/>
  <c r="BG642" i="1" s="1"/>
  <c r="BH642" i="1" s="1"/>
  <c r="BJ642" i="1"/>
  <c r="BI642" i="1"/>
  <c r="AW642" i="1"/>
  <c r="BB642" i="1"/>
  <c r="BA642" i="1"/>
  <c r="AT642" i="1"/>
  <c r="AS642" i="1"/>
  <c r="AO642" i="1"/>
  <c r="AU642" i="1" s="1"/>
  <c r="AH642" i="1"/>
  <c r="AG642" i="1"/>
  <c r="AV641" i="1"/>
  <c r="AF641" i="1"/>
  <c r="AM641" i="1" s="1"/>
  <c r="BM641" i="1"/>
  <c r="BN641" i="1" s="1"/>
  <c r="BF641" i="1"/>
  <c r="BG641" i="1" s="1"/>
  <c r="BH641" i="1" s="1"/>
  <c r="BJ641" i="1"/>
  <c r="BI641" i="1"/>
  <c r="AW641" i="1"/>
  <c r="BB641" i="1"/>
  <c r="BA641" i="1"/>
  <c r="AS641" i="1"/>
  <c r="AO641" i="1"/>
  <c r="AU641" i="1" s="1"/>
  <c r="AT641" i="1"/>
  <c r="AG641" i="1"/>
  <c r="AH641" i="1"/>
  <c r="AI641" i="1" s="1"/>
  <c r="AJ641" i="1" s="1"/>
  <c r="AV640" i="1"/>
  <c r="AF640" i="1"/>
  <c r="AM640" i="1" s="1"/>
  <c r="BM640" i="1"/>
  <c r="BN640" i="1" s="1"/>
  <c r="BF640" i="1"/>
  <c r="BG640" i="1" s="1"/>
  <c r="BH640" i="1" s="1"/>
  <c r="BJ640" i="1"/>
  <c r="BI640" i="1"/>
  <c r="AW640" i="1"/>
  <c r="BB640" i="1"/>
  <c r="BA640" i="1"/>
  <c r="AT640" i="1"/>
  <c r="AS640" i="1"/>
  <c r="AO640" i="1"/>
  <c r="AU640" i="1" s="1"/>
  <c r="AH640" i="1"/>
  <c r="AG640" i="1"/>
  <c r="AV639" i="1"/>
  <c r="AF639" i="1"/>
  <c r="AM639" i="1" s="1"/>
  <c r="BM639" i="1"/>
  <c r="BN639" i="1" s="1"/>
  <c r="BF639" i="1"/>
  <c r="BG639" i="1" s="1"/>
  <c r="BH639" i="1" s="1"/>
  <c r="BJ639" i="1"/>
  <c r="BI639" i="1"/>
  <c r="AW639" i="1"/>
  <c r="BB639" i="1"/>
  <c r="BA639" i="1"/>
  <c r="AS639" i="1"/>
  <c r="AT639" i="1"/>
  <c r="AO639" i="1"/>
  <c r="AU639" i="1" s="1"/>
  <c r="AH639" i="1"/>
  <c r="AG639" i="1"/>
  <c r="AV638" i="1"/>
  <c r="AF638" i="1"/>
  <c r="AM638" i="1" s="1"/>
  <c r="BM638" i="1"/>
  <c r="BN638" i="1" s="1"/>
  <c r="BF638" i="1"/>
  <c r="BG638" i="1" s="1"/>
  <c r="BH638" i="1" s="1"/>
  <c r="BJ638" i="1"/>
  <c r="BI638" i="1"/>
  <c r="AW638" i="1"/>
  <c r="BB638" i="1"/>
  <c r="BA638" i="1"/>
  <c r="AT638" i="1"/>
  <c r="AS638" i="1"/>
  <c r="AO638" i="1"/>
  <c r="AU638" i="1" s="1"/>
  <c r="AH638" i="1"/>
  <c r="AG638" i="1"/>
  <c r="AV637" i="1"/>
  <c r="AF637" i="1"/>
  <c r="AM637" i="1" s="1"/>
  <c r="BM637" i="1"/>
  <c r="BN637" i="1" s="1"/>
  <c r="BF637" i="1"/>
  <c r="BG637" i="1" s="1"/>
  <c r="BH637" i="1" s="1"/>
  <c r="BJ637" i="1"/>
  <c r="BI637" i="1"/>
  <c r="AW637" i="1"/>
  <c r="BB637" i="1"/>
  <c r="BA637" i="1"/>
  <c r="AS637" i="1"/>
  <c r="AO637" i="1"/>
  <c r="AU637" i="1" s="1"/>
  <c r="AT637" i="1"/>
  <c r="AH637" i="1"/>
  <c r="AG637" i="1"/>
  <c r="AV636" i="1"/>
  <c r="AF636" i="1"/>
  <c r="AM636" i="1" s="1"/>
  <c r="BM636" i="1"/>
  <c r="BN636" i="1" s="1"/>
  <c r="BF636" i="1"/>
  <c r="BG636" i="1" s="1"/>
  <c r="BH636" i="1" s="1"/>
  <c r="BJ636" i="1"/>
  <c r="BI636" i="1"/>
  <c r="AW636" i="1"/>
  <c r="BB636" i="1"/>
  <c r="BA636" i="1"/>
  <c r="AT636" i="1"/>
  <c r="AS636" i="1"/>
  <c r="AO636" i="1"/>
  <c r="AU636" i="1" s="1"/>
  <c r="AH636" i="1"/>
  <c r="AG636" i="1"/>
  <c r="AV635" i="1"/>
  <c r="AF635" i="1"/>
  <c r="AM635" i="1" s="1"/>
  <c r="BM635" i="1"/>
  <c r="BN635" i="1" s="1"/>
  <c r="BF635" i="1"/>
  <c r="BG635" i="1" s="1"/>
  <c r="BH635" i="1" s="1"/>
  <c r="BJ635" i="1"/>
  <c r="BI635" i="1"/>
  <c r="AW635" i="1"/>
  <c r="BB635" i="1"/>
  <c r="BA635" i="1"/>
  <c r="AS635" i="1"/>
  <c r="AT635" i="1"/>
  <c r="AO635" i="1"/>
  <c r="AU635" i="1" s="1"/>
  <c r="AG635" i="1"/>
  <c r="AH635" i="1"/>
  <c r="AI635" i="1" s="1"/>
  <c r="AJ635" i="1" s="1"/>
  <c r="AV634" i="1"/>
  <c r="AF634" i="1"/>
  <c r="AM634" i="1" s="1"/>
  <c r="BM634" i="1"/>
  <c r="BN634" i="1" s="1"/>
  <c r="BF634" i="1"/>
  <c r="BG634" i="1" s="1"/>
  <c r="BH634" i="1" s="1"/>
  <c r="BJ634" i="1"/>
  <c r="BI634" i="1"/>
  <c r="AW634" i="1"/>
  <c r="BB634" i="1"/>
  <c r="BA634" i="1"/>
  <c r="AT634" i="1"/>
  <c r="AS634" i="1"/>
  <c r="AO634" i="1"/>
  <c r="AU634" i="1" s="1"/>
  <c r="AH634" i="1"/>
  <c r="AG634" i="1"/>
  <c r="AV633" i="1"/>
  <c r="AF633" i="1"/>
  <c r="AM633" i="1" s="1"/>
  <c r="BM633" i="1"/>
  <c r="BN633" i="1" s="1"/>
  <c r="BF633" i="1"/>
  <c r="BG633" i="1" s="1"/>
  <c r="BH633" i="1" s="1"/>
  <c r="BJ633" i="1"/>
  <c r="BI633" i="1"/>
  <c r="AW633" i="1"/>
  <c r="BB633" i="1"/>
  <c r="BA633" i="1"/>
  <c r="AS633" i="1"/>
  <c r="AO633" i="1"/>
  <c r="AU633" i="1" s="1"/>
  <c r="AT633" i="1"/>
  <c r="AG633" i="1"/>
  <c r="AH633" i="1"/>
  <c r="AI633" i="1" s="1"/>
  <c r="AJ633" i="1" s="1"/>
  <c r="AV632" i="1"/>
  <c r="AF632" i="1"/>
  <c r="AM632" i="1" s="1"/>
  <c r="BM632" i="1"/>
  <c r="BN632" i="1" s="1"/>
  <c r="BF632" i="1"/>
  <c r="BG632" i="1" s="1"/>
  <c r="BH632" i="1" s="1"/>
  <c r="BJ632" i="1"/>
  <c r="BI632" i="1"/>
  <c r="AW632" i="1"/>
  <c r="BB632" i="1"/>
  <c r="BA632" i="1"/>
  <c r="AT632" i="1"/>
  <c r="AS632" i="1"/>
  <c r="AO632" i="1"/>
  <c r="AU632" i="1" s="1"/>
  <c r="AH632" i="1"/>
  <c r="AG632" i="1"/>
  <c r="AV631" i="1"/>
  <c r="AF631" i="1"/>
  <c r="AM631" i="1" s="1"/>
  <c r="BM631" i="1"/>
  <c r="BN631" i="1" s="1"/>
  <c r="BF631" i="1"/>
  <c r="BG631" i="1" s="1"/>
  <c r="BH631" i="1" s="1"/>
  <c r="BJ631" i="1"/>
  <c r="BI631" i="1"/>
  <c r="AW631" i="1"/>
  <c r="BB631" i="1"/>
  <c r="BA631" i="1"/>
  <c r="AS631" i="1"/>
  <c r="AT631" i="1"/>
  <c r="AO631" i="1"/>
  <c r="AU631" i="1" s="1"/>
  <c r="AH631" i="1"/>
  <c r="AG631" i="1"/>
  <c r="AV630" i="1"/>
  <c r="AF630" i="1"/>
  <c r="AM630" i="1" s="1"/>
  <c r="BM630" i="1"/>
  <c r="BN630" i="1" s="1"/>
  <c r="BF630" i="1"/>
  <c r="BG630" i="1" s="1"/>
  <c r="BH630" i="1" s="1"/>
  <c r="BJ630" i="1"/>
  <c r="BI630" i="1"/>
  <c r="AW630" i="1"/>
  <c r="BB630" i="1"/>
  <c r="BA630" i="1"/>
  <c r="AT630" i="1"/>
  <c r="AS630" i="1"/>
  <c r="AO630" i="1"/>
  <c r="AU630" i="1" s="1"/>
  <c r="AH630" i="1"/>
  <c r="AG630" i="1"/>
  <c r="AV629" i="1"/>
  <c r="AF629" i="1"/>
  <c r="AM629" i="1" s="1"/>
  <c r="BM629" i="1"/>
  <c r="BN629" i="1" s="1"/>
  <c r="BF629" i="1"/>
  <c r="BG629" i="1" s="1"/>
  <c r="BH629" i="1" s="1"/>
  <c r="BJ629" i="1"/>
  <c r="BI629" i="1"/>
  <c r="AW629" i="1"/>
  <c r="BB629" i="1"/>
  <c r="BA629" i="1"/>
  <c r="AS629" i="1"/>
  <c r="AO629" i="1"/>
  <c r="AU629" i="1" s="1"/>
  <c r="AT629" i="1"/>
  <c r="AG629" i="1"/>
  <c r="AH629" i="1"/>
  <c r="AI629" i="1" s="1"/>
  <c r="AJ629" i="1" s="1"/>
  <c r="AV628" i="1"/>
  <c r="AF628" i="1"/>
  <c r="AM628" i="1" s="1"/>
  <c r="BM628" i="1"/>
  <c r="BN628" i="1" s="1"/>
  <c r="BF628" i="1"/>
  <c r="BG628" i="1" s="1"/>
  <c r="BH628" i="1" s="1"/>
  <c r="BJ628" i="1"/>
  <c r="BI628" i="1"/>
  <c r="AW628" i="1"/>
  <c r="BB628" i="1"/>
  <c r="BA628" i="1"/>
  <c r="AT628" i="1"/>
  <c r="AS628" i="1"/>
  <c r="AO628" i="1"/>
  <c r="AU628" i="1" s="1"/>
  <c r="AH628" i="1"/>
  <c r="AG628" i="1"/>
  <c r="AV627" i="1"/>
  <c r="AF627" i="1"/>
  <c r="AM627" i="1" s="1"/>
  <c r="BM627" i="1"/>
  <c r="BN627" i="1" s="1"/>
  <c r="BF627" i="1"/>
  <c r="BG627" i="1" s="1"/>
  <c r="BH627" i="1" s="1"/>
  <c r="BJ627" i="1"/>
  <c r="BI627" i="1"/>
  <c r="AW627" i="1"/>
  <c r="BB627" i="1"/>
  <c r="BA627" i="1"/>
  <c r="AS627" i="1"/>
  <c r="AT627" i="1"/>
  <c r="AO627" i="1"/>
  <c r="AU627" i="1" s="1"/>
  <c r="AG627" i="1"/>
  <c r="AH627" i="1"/>
  <c r="AI627" i="1" s="1"/>
  <c r="AJ627" i="1" s="1"/>
  <c r="AV626" i="1"/>
  <c r="AF626" i="1"/>
  <c r="AM626" i="1" s="1"/>
  <c r="BM626" i="1"/>
  <c r="BN626" i="1" s="1"/>
  <c r="BF626" i="1"/>
  <c r="BG626" i="1" s="1"/>
  <c r="BH626" i="1" s="1"/>
  <c r="BJ626" i="1"/>
  <c r="BI626" i="1"/>
  <c r="AW626" i="1"/>
  <c r="BB626" i="1"/>
  <c r="BA626" i="1"/>
  <c r="AT626" i="1"/>
  <c r="AS626" i="1"/>
  <c r="AO626" i="1"/>
  <c r="AU626" i="1" s="1"/>
  <c r="AH626" i="1"/>
  <c r="AG626" i="1"/>
  <c r="AV625" i="1"/>
  <c r="AF625" i="1"/>
  <c r="AM625" i="1" s="1"/>
  <c r="BM625" i="1"/>
  <c r="BN625" i="1" s="1"/>
  <c r="BF625" i="1"/>
  <c r="BG625" i="1" s="1"/>
  <c r="BH625" i="1" s="1"/>
  <c r="BJ625" i="1"/>
  <c r="BI625" i="1"/>
  <c r="AW625" i="1"/>
  <c r="BB625" i="1"/>
  <c r="BA625" i="1"/>
  <c r="AS625" i="1"/>
  <c r="AO625" i="1"/>
  <c r="AU625" i="1" s="1"/>
  <c r="AT625" i="1"/>
  <c r="AH625" i="1"/>
  <c r="AG625" i="1"/>
  <c r="AV624" i="1"/>
  <c r="AF624" i="1"/>
  <c r="AM624" i="1" s="1"/>
  <c r="BM624" i="1"/>
  <c r="BN624" i="1" s="1"/>
  <c r="BF624" i="1"/>
  <c r="BG624" i="1" s="1"/>
  <c r="BH624" i="1" s="1"/>
  <c r="BJ624" i="1"/>
  <c r="BI624" i="1"/>
  <c r="AW624" i="1"/>
  <c r="BB624" i="1"/>
  <c r="BA624" i="1"/>
  <c r="AT624" i="1"/>
  <c r="AS624" i="1"/>
  <c r="AO624" i="1"/>
  <c r="AU624" i="1" s="1"/>
  <c r="AH624" i="1"/>
  <c r="AG624" i="1"/>
  <c r="AV623" i="1"/>
  <c r="AF623" i="1"/>
  <c r="AM623" i="1" s="1"/>
  <c r="BM623" i="1"/>
  <c r="BN623" i="1" s="1"/>
  <c r="BF623" i="1"/>
  <c r="BG623" i="1" s="1"/>
  <c r="BH623" i="1" s="1"/>
  <c r="BJ623" i="1"/>
  <c r="BI623" i="1"/>
  <c r="AW623" i="1"/>
  <c r="BB623" i="1"/>
  <c r="BA623" i="1"/>
  <c r="AS623" i="1"/>
  <c r="AT623" i="1"/>
  <c r="AO623" i="1"/>
  <c r="AU623" i="1" s="1"/>
  <c r="AG623" i="1"/>
  <c r="AH623" i="1"/>
  <c r="AI623" i="1" s="1"/>
  <c r="AJ623" i="1" s="1"/>
  <c r="AV622" i="1"/>
  <c r="AF622" i="1"/>
  <c r="AM622" i="1" s="1"/>
  <c r="BM622" i="1"/>
  <c r="BN622" i="1" s="1"/>
  <c r="BF622" i="1"/>
  <c r="BG622" i="1" s="1"/>
  <c r="BH622" i="1" s="1"/>
  <c r="BJ622" i="1"/>
  <c r="BI622" i="1"/>
  <c r="AW622" i="1"/>
  <c r="BB622" i="1"/>
  <c r="BA622" i="1"/>
  <c r="AT622" i="1"/>
  <c r="AS622" i="1"/>
  <c r="AO622" i="1"/>
  <c r="AU622" i="1" s="1"/>
  <c r="AH622" i="1"/>
  <c r="AG622" i="1"/>
  <c r="AV621" i="1"/>
  <c r="AF621" i="1"/>
  <c r="AM621" i="1" s="1"/>
  <c r="BM621" i="1"/>
  <c r="BN621" i="1" s="1"/>
  <c r="BF621" i="1"/>
  <c r="BG621" i="1" s="1"/>
  <c r="BH621" i="1" s="1"/>
  <c r="BJ621" i="1"/>
  <c r="BI621" i="1"/>
  <c r="AW621" i="1"/>
  <c r="BB621" i="1"/>
  <c r="BA621" i="1"/>
  <c r="AS621" i="1"/>
  <c r="AO621" i="1"/>
  <c r="AU621" i="1" s="1"/>
  <c r="AT621" i="1"/>
  <c r="AH621" i="1"/>
  <c r="AG621" i="1"/>
  <c r="AV620" i="1"/>
  <c r="AF620" i="1"/>
  <c r="AM620" i="1" s="1"/>
  <c r="BM620" i="1"/>
  <c r="BN620" i="1" s="1"/>
  <c r="BF620" i="1"/>
  <c r="BG620" i="1" s="1"/>
  <c r="BH620" i="1" s="1"/>
  <c r="BJ620" i="1"/>
  <c r="BI620" i="1"/>
  <c r="AW620" i="1"/>
  <c r="BB620" i="1"/>
  <c r="BA620" i="1"/>
  <c r="AT620" i="1"/>
  <c r="AS620" i="1"/>
  <c r="AO620" i="1"/>
  <c r="AU620" i="1" s="1"/>
  <c r="AH620" i="1"/>
  <c r="AG620" i="1"/>
  <c r="AV619" i="1"/>
  <c r="AF619" i="1"/>
  <c r="AM619" i="1" s="1"/>
  <c r="BM619" i="1"/>
  <c r="BN619" i="1" s="1"/>
  <c r="BF619" i="1"/>
  <c r="BG619" i="1" s="1"/>
  <c r="BH619" i="1" s="1"/>
  <c r="BJ619" i="1"/>
  <c r="BI619" i="1"/>
  <c r="AW619" i="1"/>
  <c r="BB619" i="1"/>
  <c r="BA619" i="1"/>
  <c r="AS619" i="1"/>
  <c r="AT619" i="1"/>
  <c r="AO619" i="1"/>
  <c r="AU619" i="1" s="1"/>
  <c r="AG619" i="1"/>
  <c r="AH619" i="1"/>
  <c r="AI619" i="1" s="1"/>
  <c r="AJ619" i="1" s="1"/>
  <c r="AV618" i="1"/>
  <c r="AF618" i="1"/>
  <c r="AM618" i="1" s="1"/>
  <c r="BM618" i="1"/>
  <c r="BN618" i="1" s="1"/>
  <c r="BF618" i="1"/>
  <c r="BG618" i="1" s="1"/>
  <c r="BH618" i="1" s="1"/>
  <c r="BJ618" i="1"/>
  <c r="BI618" i="1"/>
  <c r="AW618" i="1"/>
  <c r="BB618" i="1"/>
  <c r="BA618" i="1"/>
  <c r="AT618" i="1"/>
  <c r="AS618" i="1"/>
  <c r="AO618" i="1"/>
  <c r="AU618" i="1" s="1"/>
  <c r="AH618" i="1"/>
  <c r="AG618" i="1"/>
  <c r="AV617" i="1"/>
  <c r="AF617" i="1"/>
  <c r="AM617" i="1" s="1"/>
  <c r="BM617" i="1"/>
  <c r="BN617" i="1" s="1"/>
  <c r="BF617" i="1"/>
  <c r="BG617" i="1" s="1"/>
  <c r="BH617" i="1" s="1"/>
  <c r="BJ617" i="1"/>
  <c r="BI617" i="1"/>
  <c r="AW617" i="1"/>
  <c r="BB617" i="1"/>
  <c r="BA617" i="1"/>
  <c r="AS617" i="1"/>
  <c r="AO617" i="1"/>
  <c r="AU617" i="1" s="1"/>
  <c r="AT617" i="1"/>
  <c r="AH617" i="1"/>
  <c r="AG617" i="1"/>
  <c r="AV616" i="1"/>
  <c r="AF616" i="1"/>
  <c r="AM616" i="1" s="1"/>
  <c r="BM616" i="1"/>
  <c r="BN616" i="1" s="1"/>
  <c r="BF616" i="1"/>
  <c r="BG616" i="1" s="1"/>
  <c r="BH616" i="1" s="1"/>
  <c r="BJ616" i="1"/>
  <c r="BI616" i="1"/>
  <c r="AW616" i="1"/>
  <c r="BB616" i="1"/>
  <c r="BA616" i="1"/>
  <c r="AT616" i="1"/>
  <c r="AS616" i="1"/>
  <c r="AO616" i="1"/>
  <c r="AU616" i="1" s="1"/>
  <c r="AH616" i="1"/>
  <c r="AG616" i="1"/>
  <c r="AV615" i="1"/>
  <c r="AF615" i="1"/>
  <c r="AM615" i="1" s="1"/>
  <c r="BM615" i="1"/>
  <c r="BN615" i="1" s="1"/>
  <c r="BF615" i="1"/>
  <c r="BG615" i="1" s="1"/>
  <c r="BH615" i="1" s="1"/>
  <c r="BJ615" i="1"/>
  <c r="BI615" i="1"/>
  <c r="AW615" i="1"/>
  <c r="BB615" i="1"/>
  <c r="BA615" i="1"/>
  <c r="AS615" i="1"/>
  <c r="AT615" i="1"/>
  <c r="AO615" i="1"/>
  <c r="AU615" i="1" s="1"/>
  <c r="AG615" i="1"/>
  <c r="AH615" i="1"/>
  <c r="AI615" i="1" s="1"/>
  <c r="AJ615" i="1" s="1"/>
  <c r="AV614" i="1"/>
  <c r="AF614" i="1"/>
  <c r="AM614" i="1" s="1"/>
  <c r="BM614" i="1"/>
  <c r="BN614" i="1" s="1"/>
  <c r="BF614" i="1"/>
  <c r="BG614" i="1" s="1"/>
  <c r="BH614" i="1" s="1"/>
  <c r="BJ614" i="1"/>
  <c r="BI614" i="1"/>
  <c r="AW614" i="1"/>
  <c r="BB614" i="1"/>
  <c r="BA614" i="1"/>
  <c r="AT614" i="1"/>
  <c r="AS614" i="1"/>
  <c r="AO614" i="1"/>
  <c r="AU614" i="1" s="1"/>
  <c r="AH614" i="1"/>
  <c r="AG614" i="1"/>
  <c r="AV613" i="1"/>
  <c r="AF613" i="1"/>
  <c r="AM613" i="1" s="1"/>
  <c r="BM613" i="1"/>
  <c r="BN613" i="1" s="1"/>
  <c r="BF613" i="1"/>
  <c r="BG613" i="1" s="1"/>
  <c r="BH613" i="1" s="1"/>
  <c r="BJ613" i="1"/>
  <c r="BI613" i="1"/>
  <c r="AW613" i="1"/>
  <c r="BB613" i="1"/>
  <c r="BA613" i="1"/>
  <c r="AS613" i="1"/>
  <c r="AO613" i="1"/>
  <c r="AU613" i="1" s="1"/>
  <c r="AT613" i="1"/>
  <c r="AG613" i="1"/>
  <c r="AH613" i="1"/>
  <c r="AI613" i="1" s="1"/>
  <c r="AJ613" i="1" s="1"/>
  <c r="AV612" i="1"/>
  <c r="AF612" i="1"/>
  <c r="AM612" i="1" s="1"/>
  <c r="BM612" i="1"/>
  <c r="BN612" i="1" s="1"/>
  <c r="BF612" i="1"/>
  <c r="BG612" i="1" s="1"/>
  <c r="BH612" i="1" s="1"/>
  <c r="BJ612" i="1"/>
  <c r="BI612" i="1"/>
  <c r="AW612" i="1"/>
  <c r="BB612" i="1"/>
  <c r="BA612" i="1"/>
  <c r="AT612" i="1"/>
  <c r="AS612" i="1"/>
  <c r="AO612" i="1"/>
  <c r="AU612" i="1" s="1"/>
  <c r="AH612" i="1"/>
  <c r="AG612" i="1"/>
  <c r="AV611" i="1"/>
  <c r="AF611" i="1"/>
  <c r="AM611" i="1" s="1"/>
  <c r="BM611" i="1"/>
  <c r="BN611" i="1" s="1"/>
  <c r="BF611" i="1"/>
  <c r="BG611" i="1" s="1"/>
  <c r="BH611" i="1" s="1"/>
  <c r="BJ611" i="1"/>
  <c r="BI611" i="1"/>
  <c r="AW611" i="1"/>
  <c r="BB611" i="1"/>
  <c r="BA611" i="1"/>
  <c r="AS611" i="1"/>
  <c r="AT611" i="1"/>
  <c r="AO611" i="1"/>
  <c r="AU611" i="1" s="1"/>
  <c r="AH611" i="1"/>
  <c r="AG611" i="1"/>
  <c r="AV610" i="1"/>
  <c r="AF610" i="1"/>
  <c r="AM610" i="1" s="1"/>
  <c r="BM610" i="1"/>
  <c r="BN610" i="1" s="1"/>
  <c r="BF610" i="1"/>
  <c r="BG610" i="1" s="1"/>
  <c r="BH610" i="1" s="1"/>
  <c r="BJ610" i="1"/>
  <c r="BI610" i="1"/>
  <c r="AW610" i="1"/>
  <c r="BB610" i="1"/>
  <c r="BA610" i="1"/>
  <c r="AT610" i="1"/>
  <c r="AS610" i="1"/>
  <c r="AO610" i="1"/>
  <c r="AU610" i="1" s="1"/>
  <c r="AH610" i="1"/>
  <c r="AG610" i="1"/>
  <c r="AV609" i="1"/>
  <c r="AF609" i="1"/>
  <c r="AM609" i="1" s="1"/>
  <c r="BM609" i="1"/>
  <c r="BN609" i="1" s="1"/>
  <c r="BF609" i="1"/>
  <c r="BG609" i="1" s="1"/>
  <c r="BH609" i="1" s="1"/>
  <c r="BJ609" i="1"/>
  <c r="BI609" i="1"/>
  <c r="AW609" i="1"/>
  <c r="BB609" i="1"/>
  <c r="BA609" i="1"/>
  <c r="AS609" i="1"/>
  <c r="AO609" i="1"/>
  <c r="AU609" i="1" s="1"/>
  <c r="AT609" i="1"/>
  <c r="AG609" i="1"/>
  <c r="AH609" i="1"/>
  <c r="AI609" i="1" s="1"/>
  <c r="AJ609" i="1" s="1"/>
  <c r="AV608" i="1"/>
  <c r="AF608" i="1"/>
  <c r="AM608" i="1" s="1"/>
  <c r="BM608" i="1"/>
  <c r="BN608" i="1" s="1"/>
  <c r="BF608" i="1"/>
  <c r="BG608" i="1" s="1"/>
  <c r="BH608" i="1" s="1"/>
  <c r="BJ608" i="1"/>
  <c r="BI608" i="1"/>
  <c r="AW608" i="1"/>
  <c r="BB608" i="1"/>
  <c r="BA608" i="1"/>
  <c r="AT608" i="1"/>
  <c r="AS608" i="1"/>
  <c r="AO608" i="1"/>
  <c r="AU608" i="1" s="1"/>
  <c r="AH608" i="1"/>
  <c r="AG608" i="1"/>
  <c r="AV607" i="1"/>
  <c r="AF607" i="1"/>
  <c r="AM607" i="1" s="1"/>
  <c r="BM607" i="1"/>
  <c r="BN607" i="1" s="1"/>
  <c r="BF607" i="1"/>
  <c r="BG607" i="1" s="1"/>
  <c r="BH607" i="1" s="1"/>
  <c r="BJ607" i="1"/>
  <c r="BI607" i="1"/>
  <c r="AW607" i="1"/>
  <c r="BB607" i="1"/>
  <c r="BA607" i="1"/>
  <c r="AS607" i="1"/>
  <c r="AT607" i="1"/>
  <c r="AO607" i="1"/>
  <c r="AU607" i="1" s="1"/>
  <c r="AH607" i="1"/>
  <c r="AG607" i="1"/>
  <c r="AV606" i="1"/>
  <c r="AF606" i="1"/>
  <c r="AM606" i="1" s="1"/>
  <c r="BM606" i="1"/>
  <c r="BN606" i="1" s="1"/>
  <c r="BF606" i="1"/>
  <c r="BG606" i="1" s="1"/>
  <c r="BH606" i="1" s="1"/>
  <c r="BJ606" i="1"/>
  <c r="BI606" i="1"/>
  <c r="AW606" i="1"/>
  <c r="BB606" i="1"/>
  <c r="BA606" i="1"/>
  <c r="AT606" i="1"/>
  <c r="AS606" i="1"/>
  <c r="AO606" i="1"/>
  <c r="AU606" i="1" s="1"/>
  <c r="AH606" i="1"/>
  <c r="AG606" i="1"/>
  <c r="AV605" i="1"/>
  <c r="AF605" i="1"/>
  <c r="AM605" i="1" s="1"/>
  <c r="BM605" i="1"/>
  <c r="BN605" i="1" s="1"/>
  <c r="BF605" i="1"/>
  <c r="BG605" i="1" s="1"/>
  <c r="BH605" i="1" s="1"/>
  <c r="BJ605" i="1"/>
  <c r="BI605" i="1"/>
  <c r="AW605" i="1"/>
  <c r="BB605" i="1"/>
  <c r="BA605" i="1"/>
  <c r="AS605" i="1"/>
  <c r="AO605" i="1"/>
  <c r="AU605" i="1" s="1"/>
  <c r="AT605" i="1"/>
  <c r="AG605" i="1"/>
  <c r="AH605" i="1"/>
  <c r="AI605" i="1" s="1"/>
  <c r="AJ605" i="1" s="1"/>
  <c r="AV604" i="1"/>
  <c r="AF604" i="1"/>
  <c r="AM604" i="1" s="1"/>
  <c r="BM604" i="1"/>
  <c r="BN604" i="1" s="1"/>
  <c r="BF604" i="1"/>
  <c r="BG604" i="1" s="1"/>
  <c r="BH604" i="1" s="1"/>
  <c r="BJ604" i="1"/>
  <c r="BI604" i="1"/>
  <c r="AW604" i="1"/>
  <c r="BB604" i="1"/>
  <c r="BA604" i="1"/>
  <c r="AT604" i="1"/>
  <c r="AS604" i="1"/>
  <c r="AO604" i="1"/>
  <c r="AU604" i="1" s="1"/>
  <c r="AH604" i="1"/>
  <c r="AG604" i="1"/>
  <c r="AV603" i="1"/>
  <c r="AF603" i="1"/>
  <c r="AM603" i="1" s="1"/>
  <c r="BM603" i="1"/>
  <c r="BN603" i="1" s="1"/>
  <c r="BF603" i="1"/>
  <c r="BG603" i="1" s="1"/>
  <c r="BH603" i="1" s="1"/>
  <c r="BJ603" i="1"/>
  <c r="BI603" i="1"/>
  <c r="AW603" i="1"/>
  <c r="BB603" i="1"/>
  <c r="BA603" i="1"/>
  <c r="AS603" i="1"/>
  <c r="AT603" i="1"/>
  <c r="AO603" i="1"/>
  <c r="AU603" i="1" s="1"/>
  <c r="AG603" i="1"/>
  <c r="AH603" i="1"/>
  <c r="AI603" i="1" s="1"/>
  <c r="AJ603" i="1" s="1"/>
  <c r="AV602" i="1"/>
  <c r="AF602" i="1"/>
  <c r="BM602" i="1"/>
  <c r="BF602" i="1"/>
  <c r="BG602" i="1" s="1"/>
  <c r="BH602" i="1" s="1"/>
  <c r="BJ602" i="1"/>
  <c r="BI602" i="1"/>
  <c r="AW602" i="1"/>
  <c r="BB602" i="1"/>
  <c r="BA602" i="1"/>
  <c r="AT602" i="1"/>
  <c r="AS602" i="1"/>
  <c r="AO602" i="1"/>
  <c r="AU602" i="1" s="1"/>
  <c r="AH602" i="1"/>
  <c r="AG602" i="1"/>
  <c r="AV601" i="1"/>
  <c r="AF601" i="1"/>
  <c r="BM601" i="1"/>
  <c r="BN601" i="1" s="1"/>
  <c r="BF601" i="1"/>
  <c r="BG601" i="1" s="1"/>
  <c r="BH601" i="1" s="1"/>
  <c r="BJ601" i="1"/>
  <c r="BI601" i="1"/>
  <c r="AW601" i="1"/>
  <c r="BB601" i="1"/>
  <c r="BA601" i="1"/>
  <c r="AS601" i="1"/>
  <c r="AO601" i="1"/>
  <c r="AU601" i="1" s="1"/>
  <c r="AT601" i="1"/>
  <c r="AH601" i="1"/>
  <c r="AG601" i="1"/>
  <c r="AV600" i="1"/>
  <c r="AF600" i="1"/>
  <c r="BM600" i="1"/>
  <c r="BN600" i="1" s="1"/>
  <c r="BF600" i="1"/>
  <c r="BG600" i="1" s="1"/>
  <c r="BH600" i="1" s="1"/>
  <c r="BJ600" i="1"/>
  <c r="BI600" i="1"/>
  <c r="AW600" i="1"/>
  <c r="BB600" i="1"/>
  <c r="BA600" i="1"/>
  <c r="AT600" i="1"/>
  <c r="AS600" i="1"/>
  <c r="AO600" i="1"/>
  <c r="AH600" i="1"/>
  <c r="AG600" i="1"/>
  <c r="AV599" i="1"/>
  <c r="AF599" i="1"/>
  <c r="BM599" i="1"/>
  <c r="BN599" i="1" s="1"/>
  <c r="BF599" i="1"/>
  <c r="BG599" i="1" s="1"/>
  <c r="BH599" i="1" s="1"/>
  <c r="BJ599" i="1"/>
  <c r="BI599" i="1"/>
  <c r="AW599" i="1"/>
  <c r="BB599" i="1"/>
  <c r="BA599" i="1"/>
  <c r="AS599" i="1"/>
  <c r="AT599" i="1"/>
  <c r="AO599" i="1"/>
  <c r="AG599" i="1"/>
  <c r="AH599" i="1"/>
  <c r="AI599" i="1" s="1"/>
  <c r="AJ599" i="1" s="1"/>
  <c r="AV598" i="1"/>
  <c r="AF598" i="1"/>
  <c r="BM598" i="1"/>
  <c r="BN598" i="1" s="1"/>
  <c r="BF598" i="1"/>
  <c r="BG598" i="1" s="1"/>
  <c r="BH598" i="1" s="1"/>
  <c r="BJ598" i="1"/>
  <c r="BI598" i="1"/>
  <c r="AW598" i="1"/>
  <c r="BB598" i="1"/>
  <c r="BA598" i="1"/>
  <c r="AT598" i="1"/>
  <c r="AS598" i="1"/>
  <c r="AO598" i="1"/>
  <c r="AH598" i="1"/>
  <c r="AG598" i="1"/>
  <c r="AV597" i="1"/>
  <c r="AF597" i="1"/>
  <c r="BM597" i="1"/>
  <c r="BN597" i="1" s="1"/>
  <c r="BF597" i="1"/>
  <c r="BG597" i="1" s="1"/>
  <c r="BH597" i="1" s="1"/>
  <c r="BJ597" i="1"/>
  <c r="BI597" i="1"/>
  <c r="AW597" i="1"/>
  <c r="BB597" i="1"/>
  <c r="BA597" i="1"/>
  <c r="AS597" i="1"/>
  <c r="AO597" i="1"/>
  <c r="AT597" i="1"/>
  <c r="AG597" i="1"/>
  <c r="AH597" i="1"/>
  <c r="AI597" i="1" s="1"/>
  <c r="AJ597" i="1" s="1"/>
  <c r="AV596" i="1"/>
  <c r="AF596" i="1"/>
  <c r="BM596" i="1"/>
  <c r="BF596" i="1"/>
  <c r="BG596" i="1" s="1"/>
  <c r="BH596" i="1" s="1"/>
  <c r="BJ596" i="1"/>
  <c r="BI596" i="1"/>
  <c r="AW596" i="1"/>
  <c r="BB596" i="1"/>
  <c r="BA596" i="1"/>
  <c r="AT596" i="1"/>
  <c r="AS596" i="1"/>
  <c r="AO596" i="1"/>
  <c r="AH596" i="1"/>
  <c r="AG596" i="1"/>
  <c r="AV595" i="1"/>
  <c r="AF595" i="1"/>
  <c r="BM595" i="1"/>
  <c r="BF595" i="1"/>
  <c r="BG595" i="1" s="1"/>
  <c r="BH595" i="1" s="1"/>
  <c r="BJ595" i="1"/>
  <c r="BI595" i="1"/>
  <c r="AW595" i="1"/>
  <c r="BB595" i="1"/>
  <c r="BA595" i="1"/>
  <c r="AS595" i="1"/>
  <c r="AT595" i="1"/>
  <c r="AO595" i="1"/>
  <c r="AH595" i="1"/>
  <c r="AG595" i="1"/>
  <c r="AV594" i="1"/>
  <c r="AF594" i="1"/>
  <c r="BM594" i="1"/>
  <c r="BN594" i="1" s="1"/>
  <c r="BF594" i="1"/>
  <c r="BG594" i="1" s="1"/>
  <c r="BH594" i="1" s="1"/>
  <c r="BJ594" i="1"/>
  <c r="BI594" i="1"/>
  <c r="AW594" i="1"/>
  <c r="BB594" i="1"/>
  <c r="BA594" i="1"/>
  <c r="AT594" i="1"/>
  <c r="AS594" i="1"/>
  <c r="AO594" i="1"/>
  <c r="AU594" i="1" s="1"/>
  <c r="AH594" i="1"/>
  <c r="AG594" i="1"/>
  <c r="AV593" i="1"/>
  <c r="AF593" i="1"/>
  <c r="BM593" i="1"/>
  <c r="BN593" i="1" s="1"/>
  <c r="BF593" i="1"/>
  <c r="BG593" i="1" s="1"/>
  <c r="BH593" i="1" s="1"/>
  <c r="BJ593" i="1"/>
  <c r="BI593" i="1"/>
  <c r="AW593" i="1"/>
  <c r="BB593" i="1"/>
  <c r="BA593" i="1"/>
  <c r="AS593" i="1"/>
  <c r="AO593" i="1"/>
  <c r="AT593" i="1"/>
  <c r="AG593" i="1"/>
  <c r="AH593" i="1"/>
  <c r="AI593" i="1" s="1"/>
  <c r="AJ593" i="1" s="1"/>
  <c r="AV592" i="1"/>
  <c r="AF592" i="1"/>
  <c r="BM592" i="1"/>
  <c r="BN592" i="1" s="1"/>
  <c r="BF592" i="1"/>
  <c r="BG592" i="1" s="1"/>
  <c r="BH592" i="1" s="1"/>
  <c r="BJ592" i="1"/>
  <c r="BI592" i="1"/>
  <c r="AW592" i="1"/>
  <c r="BB592" i="1"/>
  <c r="BA592" i="1"/>
  <c r="AT592" i="1"/>
  <c r="AS592" i="1"/>
  <c r="AO592" i="1"/>
  <c r="AH592" i="1"/>
  <c r="AG592" i="1"/>
  <c r="AV591" i="1"/>
  <c r="AF591" i="1"/>
  <c r="BM591" i="1"/>
  <c r="BN591" i="1" s="1"/>
  <c r="BF591" i="1"/>
  <c r="BG591" i="1" s="1"/>
  <c r="BH591" i="1" s="1"/>
  <c r="BJ591" i="1"/>
  <c r="BI591" i="1"/>
  <c r="AW591" i="1"/>
  <c r="BB591" i="1"/>
  <c r="BA591" i="1"/>
  <c r="AS591" i="1"/>
  <c r="AT591" i="1"/>
  <c r="AO591" i="1"/>
  <c r="AU591" i="1" s="1"/>
  <c r="AH591" i="1"/>
  <c r="AG591" i="1"/>
  <c r="AV590" i="1"/>
  <c r="AF590" i="1"/>
  <c r="BM590" i="1"/>
  <c r="BN590" i="1" s="1"/>
  <c r="BF590" i="1"/>
  <c r="BG590" i="1" s="1"/>
  <c r="BH590" i="1" s="1"/>
  <c r="BJ590" i="1"/>
  <c r="BI590" i="1"/>
  <c r="AW590" i="1"/>
  <c r="BB590" i="1"/>
  <c r="BA590" i="1"/>
  <c r="AT590" i="1"/>
  <c r="AS590" i="1"/>
  <c r="AO590" i="1"/>
  <c r="AH590" i="1"/>
  <c r="AG590" i="1"/>
  <c r="AV589" i="1"/>
  <c r="AF589" i="1"/>
  <c r="BM589" i="1"/>
  <c r="BN589" i="1" s="1"/>
  <c r="BF589" i="1"/>
  <c r="BG589" i="1" s="1"/>
  <c r="BH589" i="1" s="1"/>
  <c r="BJ589" i="1"/>
  <c r="BI589" i="1"/>
  <c r="AW589" i="1"/>
  <c r="BB589" i="1"/>
  <c r="BA589" i="1"/>
  <c r="AS589" i="1"/>
  <c r="AO589" i="1"/>
  <c r="AT589" i="1"/>
  <c r="AG589" i="1"/>
  <c r="AH589" i="1"/>
  <c r="AI589" i="1" s="1"/>
  <c r="AJ589" i="1" s="1"/>
  <c r="AV588" i="1"/>
  <c r="AF588" i="1"/>
  <c r="BM588" i="1"/>
  <c r="BF588" i="1"/>
  <c r="BG588" i="1" s="1"/>
  <c r="BH588" i="1" s="1"/>
  <c r="BJ588" i="1"/>
  <c r="BI588" i="1"/>
  <c r="AW588" i="1"/>
  <c r="BB588" i="1"/>
  <c r="BA588" i="1"/>
  <c r="AT588" i="1"/>
  <c r="AS588" i="1"/>
  <c r="AO588" i="1"/>
  <c r="AU588" i="1" s="1"/>
  <c r="AH588" i="1"/>
  <c r="AG588" i="1"/>
  <c r="AV587" i="1"/>
  <c r="AF587" i="1"/>
  <c r="BM587" i="1"/>
  <c r="BN587" i="1" s="1"/>
  <c r="BF587" i="1"/>
  <c r="BG587" i="1" s="1"/>
  <c r="BH587" i="1" s="1"/>
  <c r="BJ587" i="1"/>
  <c r="BI587" i="1"/>
  <c r="AW587" i="1"/>
  <c r="BB587" i="1"/>
  <c r="BA587" i="1"/>
  <c r="AS587" i="1"/>
  <c r="AT587" i="1"/>
  <c r="AO587" i="1"/>
  <c r="AU587" i="1" s="1"/>
  <c r="AH587" i="1"/>
  <c r="AG587" i="1"/>
  <c r="AV586" i="1"/>
  <c r="AF586" i="1"/>
  <c r="BM586" i="1"/>
  <c r="BF586" i="1"/>
  <c r="BG586" i="1" s="1"/>
  <c r="BH586" i="1" s="1"/>
  <c r="BJ586" i="1"/>
  <c r="BI586" i="1"/>
  <c r="AW586" i="1"/>
  <c r="BB586" i="1"/>
  <c r="BA586" i="1"/>
  <c r="AT586" i="1"/>
  <c r="AS586" i="1"/>
  <c r="AO586" i="1"/>
  <c r="AH586" i="1"/>
  <c r="AG586" i="1"/>
  <c r="AV585" i="1"/>
  <c r="AF585" i="1"/>
  <c r="BM585" i="1"/>
  <c r="BN585" i="1" s="1"/>
  <c r="BF585" i="1"/>
  <c r="BG585" i="1" s="1"/>
  <c r="BH585" i="1" s="1"/>
  <c r="BJ585" i="1"/>
  <c r="BI585" i="1"/>
  <c r="AW585" i="1"/>
  <c r="BB585" i="1"/>
  <c r="BA585" i="1"/>
  <c r="AS585" i="1"/>
  <c r="AO585" i="1"/>
  <c r="AT585" i="1"/>
  <c r="AG585" i="1"/>
  <c r="AH585" i="1"/>
  <c r="AI585" i="1" s="1"/>
  <c r="AJ585" i="1" s="1"/>
  <c r="AV584" i="1"/>
  <c r="AF584" i="1"/>
  <c r="BM584" i="1"/>
  <c r="BF584" i="1"/>
  <c r="BG584" i="1" s="1"/>
  <c r="BH584" i="1" s="1"/>
  <c r="BJ584" i="1"/>
  <c r="BI584" i="1"/>
  <c r="AW584" i="1"/>
  <c r="BB584" i="1"/>
  <c r="BA584" i="1"/>
  <c r="AT584" i="1"/>
  <c r="AS584" i="1"/>
  <c r="AO584" i="1"/>
  <c r="AH584" i="1"/>
  <c r="AG584" i="1"/>
  <c r="AV583" i="1"/>
  <c r="AF583" i="1"/>
  <c r="BM583" i="1"/>
  <c r="BN583" i="1" s="1"/>
  <c r="BF583" i="1"/>
  <c r="BG583" i="1" s="1"/>
  <c r="BH583" i="1" s="1"/>
  <c r="BJ583" i="1"/>
  <c r="BI583" i="1"/>
  <c r="AW583" i="1"/>
  <c r="BB583" i="1"/>
  <c r="BA583" i="1"/>
  <c r="AS583" i="1"/>
  <c r="AT583" i="1"/>
  <c r="AO583" i="1"/>
  <c r="AH583" i="1"/>
  <c r="AG583" i="1"/>
  <c r="AV582" i="1"/>
  <c r="AF582" i="1"/>
  <c r="BM582" i="1"/>
  <c r="BN582" i="1" s="1"/>
  <c r="BF582" i="1"/>
  <c r="BG582" i="1" s="1"/>
  <c r="BH582" i="1" s="1"/>
  <c r="BJ582" i="1"/>
  <c r="BI582" i="1"/>
  <c r="AW582" i="1"/>
  <c r="BB582" i="1"/>
  <c r="BA582" i="1"/>
  <c r="AT582" i="1"/>
  <c r="AS582" i="1"/>
  <c r="AO582" i="1"/>
  <c r="AH582" i="1"/>
  <c r="AG582" i="1"/>
  <c r="AV581" i="1"/>
  <c r="AF581" i="1"/>
  <c r="BM581" i="1"/>
  <c r="BN581" i="1" s="1"/>
  <c r="BF581" i="1"/>
  <c r="BG581" i="1" s="1"/>
  <c r="BH581" i="1" s="1"/>
  <c r="BJ581" i="1"/>
  <c r="BI581" i="1"/>
  <c r="AW581" i="1"/>
  <c r="BB581" i="1"/>
  <c r="BA581" i="1"/>
  <c r="AS581" i="1"/>
  <c r="AO581" i="1"/>
  <c r="AT581" i="1"/>
  <c r="AG581" i="1"/>
  <c r="AH581" i="1"/>
  <c r="AI581" i="1" s="1"/>
  <c r="AJ581" i="1" s="1"/>
  <c r="AV580" i="1"/>
  <c r="AF580" i="1"/>
  <c r="BM580" i="1"/>
  <c r="BN580" i="1" s="1"/>
  <c r="BF580" i="1"/>
  <c r="BG580" i="1" s="1"/>
  <c r="BH580" i="1" s="1"/>
  <c r="BJ580" i="1"/>
  <c r="BI580" i="1"/>
  <c r="AW580" i="1"/>
  <c r="BB580" i="1"/>
  <c r="BA580" i="1"/>
  <c r="AT580" i="1"/>
  <c r="AS580" i="1"/>
  <c r="AO580" i="1"/>
  <c r="AU580" i="1" s="1"/>
  <c r="AH580" i="1"/>
  <c r="AG580" i="1"/>
  <c r="AV579" i="1"/>
  <c r="AF579" i="1"/>
  <c r="BM579" i="1"/>
  <c r="BN579" i="1" s="1"/>
  <c r="BF579" i="1"/>
  <c r="BG579" i="1" s="1"/>
  <c r="BH579" i="1" s="1"/>
  <c r="BJ579" i="1"/>
  <c r="BI579" i="1"/>
  <c r="AW579" i="1"/>
  <c r="BB579" i="1"/>
  <c r="BA579" i="1"/>
  <c r="AS579" i="1"/>
  <c r="AT579" i="1"/>
  <c r="AO579" i="1"/>
  <c r="AH579" i="1"/>
  <c r="AG579" i="1"/>
  <c r="AV578" i="1"/>
  <c r="AF578" i="1"/>
  <c r="BM578" i="1"/>
  <c r="BF578" i="1"/>
  <c r="BG578" i="1" s="1"/>
  <c r="BH578" i="1" s="1"/>
  <c r="BJ578" i="1"/>
  <c r="BI578" i="1"/>
  <c r="AW578" i="1"/>
  <c r="BB578" i="1"/>
  <c r="BA578" i="1"/>
  <c r="AT578" i="1"/>
  <c r="AS578" i="1"/>
  <c r="AO578" i="1"/>
  <c r="AH578" i="1"/>
  <c r="AG578" i="1"/>
  <c r="AV577" i="1"/>
  <c r="AF577" i="1"/>
  <c r="BM577" i="1"/>
  <c r="BN577" i="1" s="1"/>
  <c r="BF577" i="1"/>
  <c r="BG577" i="1" s="1"/>
  <c r="BH577" i="1" s="1"/>
  <c r="BJ577" i="1"/>
  <c r="BI577" i="1"/>
  <c r="AW577" i="1"/>
  <c r="BB577" i="1"/>
  <c r="BA577" i="1"/>
  <c r="AS577" i="1"/>
  <c r="AO577" i="1"/>
  <c r="AT577" i="1"/>
  <c r="AG577" i="1"/>
  <c r="AH577" i="1"/>
  <c r="AI577" i="1" s="1"/>
  <c r="AJ577" i="1" s="1"/>
  <c r="AV576" i="1"/>
  <c r="AF576" i="1"/>
  <c r="BM576" i="1"/>
  <c r="BN576" i="1" s="1"/>
  <c r="BF576" i="1"/>
  <c r="BG576" i="1" s="1"/>
  <c r="BH576" i="1" s="1"/>
  <c r="BJ576" i="1"/>
  <c r="BI576" i="1"/>
  <c r="AW576" i="1"/>
  <c r="BB576" i="1"/>
  <c r="BA576" i="1"/>
  <c r="AT576" i="1"/>
  <c r="AS576" i="1"/>
  <c r="AO576" i="1"/>
  <c r="AH576" i="1"/>
  <c r="AG576" i="1"/>
  <c r="AV575" i="1"/>
  <c r="AF575" i="1"/>
  <c r="BM575" i="1"/>
  <c r="BF575" i="1"/>
  <c r="BG575" i="1" s="1"/>
  <c r="BH575" i="1" s="1"/>
  <c r="BJ575" i="1"/>
  <c r="BI575" i="1"/>
  <c r="AW575" i="1"/>
  <c r="BB575" i="1"/>
  <c r="BA575" i="1"/>
  <c r="AS575" i="1"/>
  <c r="AT575" i="1"/>
  <c r="AO575" i="1"/>
  <c r="AH575" i="1"/>
  <c r="AG575" i="1"/>
  <c r="AV574" i="1"/>
  <c r="AF574" i="1"/>
  <c r="BM574" i="1"/>
  <c r="BN574" i="1" s="1"/>
  <c r="BF574" i="1"/>
  <c r="BG574" i="1" s="1"/>
  <c r="BH574" i="1" s="1"/>
  <c r="BJ574" i="1"/>
  <c r="BI574" i="1"/>
  <c r="AW574" i="1"/>
  <c r="BB574" i="1"/>
  <c r="BA574" i="1"/>
  <c r="AT574" i="1"/>
  <c r="AS574" i="1"/>
  <c r="AO574" i="1"/>
  <c r="AH574" i="1"/>
  <c r="AG574" i="1"/>
  <c r="AV573" i="1"/>
  <c r="AF573" i="1"/>
  <c r="BM573" i="1"/>
  <c r="BN573" i="1" s="1"/>
  <c r="BF573" i="1"/>
  <c r="BG573" i="1" s="1"/>
  <c r="BH573" i="1" s="1"/>
  <c r="BJ573" i="1"/>
  <c r="BI573" i="1"/>
  <c r="AW573" i="1"/>
  <c r="BB573" i="1"/>
  <c r="BA573" i="1"/>
  <c r="AS573" i="1"/>
  <c r="AO573" i="1"/>
  <c r="AT573" i="1"/>
  <c r="AG573" i="1"/>
  <c r="AH573" i="1"/>
  <c r="AI573" i="1" s="1"/>
  <c r="AJ573" i="1" s="1"/>
  <c r="AV572" i="1"/>
  <c r="AF572" i="1"/>
  <c r="BM572" i="1"/>
  <c r="BN572" i="1" s="1"/>
  <c r="BF572" i="1"/>
  <c r="BG572" i="1" s="1"/>
  <c r="BH572" i="1" s="1"/>
  <c r="BJ572" i="1"/>
  <c r="BI572" i="1"/>
  <c r="AW572" i="1"/>
  <c r="BB572" i="1"/>
  <c r="BA572" i="1"/>
  <c r="AT572" i="1"/>
  <c r="AS572" i="1"/>
  <c r="AO572" i="1"/>
  <c r="AU572" i="1" s="1"/>
  <c r="AH572" i="1"/>
  <c r="AG572" i="1"/>
  <c r="AV571" i="1"/>
  <c r="AF571" i="1"/>
  <c r="BM571" i="1"/>
  <c r="BF571" i="1"/>
  <c r="BG571" i="1" s="1"/>
  <c r="BH571" i="1" s="1"/>
  <c r="BJ571" i="1"/>
  <c r="BI571" i="1"/>
  <c r="AW571" i="1"/>
  <c r="BB571" i="1"/>
  <c r="BA571" i="1"/>
  <c r="AS571" i="1"/>
  <c r="AT571" i="1"/>
  <c r="AO571" i="1"/>
  <c r="AH571" i="1"/>
  <c r="AG571" i="1"/>
  <c r="AV570" i="1"/>
  <c r="AF570" i="1"/>
  <c r="BM570" i="1"/>
  <c r="BN570" i="1" s="1"/>
  <c r="BF570" i="1"/>
  <c r="BG570" i="1" s="1"/>
  <c r="BH570" i="1" s="1"/>
  <c r="BJ570" i="1"/>
  <c r="BI570" i="1"/>
  <c r="AW570" i="1"/>
  <c r="BB570" i="1"/>
  <c r="BA570" i="1"/>
  <c r="AT570" i="1"/>
  <c r="AS570" i="1"/>
  <c r="AO570" i="1"/>
  <c r="AH570" i="1"/>
  <c r="AG570" i="1"/>
  <c r="AV569" i="1"/>
  <c r="AF569" i="1"/>
  <c r="BM569" i="1"/>
  <c r="BN569" i="1" s="1"/>
  <c r="BF569" i="1"/>
  <c r="BG569" i="1" s="1"/>
  <c r="BH569" i="1" s="1"/>
  <c r="BJ569" i="1"/>
  <c r="BI569" i="1"/>
  <c r="AW569" i="1"/>
  <c r="BB569" i="1"/>
  <c r="BA569" i="1"/>
  <c r="AS569" i="1"/>
  <c r="AO569" i="1"/>
  <c r="AT569" i="1"/>
  <c r="AG569" i="1"/>
  <c r="AH569" i="1"/>
  <c r="AI569" i="1" s="1"/>
  <c r="AJ569" i="1" s="1"/>
  <c r="AV568" i="1"/>
  <c r="AF568" i="1"/>
  <c r="BM568" i="1"/>
  <c r="BN568" i="1" s="1"/>
  <c r="BF568" i="1"/>
  <c r="BG568" i="1" s="1"/>
  <c r="BH568" i="1" s="1"/>
  <c r="BJ568" i="1"/>
  <c r="BI568" i="1"/>
  <c r="AW568" i="1"/>
  <c r="BB568" i="1"/>
  <c r="BA568" i="1"/>
  <c r="AT568" i="1"/>
  <c r="AS568" i="1"/>
  <c r="AO568" i="1"/>
  <c r="AH568" i="1"/>
  <c r="AG568" i="1"/>
  <c r="AV567" i="1"/>
  <c r="AF567" i="1"/>
  <c r="BM567" i="1"/>
  <c r="BN567" i="1" s="1"/>
  <c r="BF567" i="1"/>
  <c r="BG567" i="1" s="1"/>
  <c r="BH567" i="1" s="1"/>
  <c r="BJ567" i="1"/>
  <c r="BI567" i="1"/>
  <c r="AW567" i="1"/>
  <c r="BB567" i="1"/>
  <c r="BA567" i="1"/>
  <c r="AS567" i="1"/>
  <c r="AT567" i="1"/>
  <c r="AO567" i="1"/>
  <c r="AU567" i="1" s="1"/>
  <c r="AG567" i="1"/>
  <c r="AH567" i="1"/>
  <c r="AI567" i="1" s="1"/>
  <c r="AJ567" i="1" s="1"/>
  <c r="AV566" i="1"/>
  <c r="AF566" i="1"/>
  <c r="BM566" i="1"/>
  <c r="BN566" i="1" s="1"/>
  <c r="BF566" i="1"/>
  <c r="BG566" i="1" s="1"/>
  <c r="BH566" i="1" s="1"/>
  <c r="BJ566" i="1"/>
  <c r="BI566" i="1"/>
  <c r="AW566" i="1"/>
  <c r="BB566" i="1"/>
  <c r="BA566" i="1"/>
  <c r="AT566" i="1"/>
  <c r="AS566" i="1"/>
  <c r="AO566" i="1"/>
  <c r="AH566" i="1"/>
  <c r="AG566" i="1"/>
  <c r="AV565" i="1"/>
  <c r="AF565" i="1"/>
  <c r="BM565" i="1"/>
  <c r="BN565" i="1" s="1"/>
  <c r="BF565" i="1"/>
  <c r="BG565" i="1" s="1"/>
  <c r="BH565" i="1" s="1"/>
  <c r="BJ565" i="1"/>
  <c r="BI565" i="1"/>
  <c r="AW565" i="1"/>
  <c r="BB565" i="1"/>
  <c r="BA565" i="1"/>
  <c r="AS565" i="1"/>
  <c r="AO565" i="1"/>
  <c r="AT565" i="1"/>
  <c r="AH565" i="1"/>
  <c r="AG565" i="1"/>
  <c r="AV564" i="1"/>
  <c r="AF564" i="1"/>
  <c r="BM564" i="1"/>
  <c r="BN564" i="1" s="1"/>
  <c r="BF564" i="1"/>
  <c r="BG564" i="1" s="1"/>
  <c r="BH564" i="1" s="1"/>
  <c r="BJ564" i="1"/>
  <c r="BI564" i="1"/>
  <c r="AW564" i="1"/>
  <c r="BB564" i="1"/>
  <c r="BA564" i="1"/>
  <c r="AT564" i="1"/>
  <c r="AS564" i="1"/>
  <c r="AO564" i="1"/>
  <c r="AH564" i="1"/>
  <c r="AG564" i="1"/>
  <c r="AV563" i="1"/>
  <c r="AF563" i="1"/>
  <c r="BM563" i="1"/>
  <c r="BN563" i="1" s="1"/>
  <c r="BF563" i="1"/>
  <c r="BG563" i="1" s="1"/>
  <c r="BH563" i="1" s="1"/>
  <c r="BJ563" i="1"/>
  <c r="BI563" i="1"/>
  <c r="AW563" i="1"/>
  <c r="BB563" i="1"/>
  <c r="BA563" i="1"/>
  <c r="AS563" i="1"/>
  <c r="AT563" i="1"/>
  <c r="AO563" i="1"/>
  <c r="AG563" i="1"/>
  <c r="AH563" i="1"/>
  <c r="AI563" i="1" s="1"/>
  <c r="AJ563" i="1" s="1"/>
  <c r="AV562" i="1"/>
  <c r="AF562" i="1"/>
  <c r="BM562" i="1"/>
  <c r="BN562" i="1" s="1"/>
  <c r="BF562" i="1"/>
  <c r="BG562" i="1" s="1"/>
  <c r="BH562" i="1" s="1"/>
  <c r="BJ562" i="1"/>
  <c r="BI562" i="1"/>
  <c r="AW562" i="1"/>
  <c r="BB562" i="1"/>
  <c r="BA562" i="1"/>
  <c r="AT562" i="1"/>
  <c r="AS562" i="1"/>
  <c r="AO562" i="1"/>
  <c r="AU562" i="1" s="1"/>
  <c r="AH562" i="1"/>
  <c r="AG562" i="1"/>
  <c r="AV561" i="1"/>
  <c r="AF561" i="1"/>
  <c r="BM561" i="1"/>
  <c r="BN561" i="1" s="1"/>
  <c r="BF561" i="1"/>
  <c r="BG561" i="1" s="1"/>
  <c r="BH561" i="1" s="1"/>
  <c r="BJ561" i="1"/>
  <c r="BI561" i="1"/>
  <c r="AW561" i="1"/>
  <c r="BB561" i="1"/>
  <c r="BA561" i="1"/>
  <c r="AS561" i="1"/>
  <c r="AO561" i="1"/>
  <c r="AT561" i="1"/>
  <c r="AH561" i="1"/>
  <c r="AG561" i="1"/>
  <c r="AV560" i="1"/>
  <c r="AF560" i="1"/>
  <c r="BM560" i="1"/>
  <c r="BN560" i="1" s="1"/>
  <c r="BF560" i="1"/>
  <c r="BG560" i="1" s="1"/>
  <c r="BH560" i="1" s="1"/>
  <c r="BJ560" i="1"/>
  <c r="BI560" i="1"/>
  <c r="AW560" i="1"/>
  <c r="BB560" i="1"/>
  <c r="BA560" i="1"/>
  <c r="AT560" i="1"/>
  <c r="AS560" i="1"/>
  <c r="AO560" i="1"/>
  <c r="AH560" i="1"/>
  <c r="AG560" i="1"/>
  <c r="AV559" i="1"/>
  <c r="AF559" i="1"/>
  <c r="BM559" i="1"/>
  <c r="BN559" i="1" s="1"/>
  <c r="BF559" i="1"/>
  <c r="BG559" i="1" s="1"/>
  <c r="BH559" i="1" s="1"/>
  <c r="BJ559" i="1"/>
  <c r="BI559" i="1"/>
  <c r="AW559" i="1"/>
  <c r="BB559" i="1"/>
  <c r="BA559" i="1"/>
  <c r="AS559" i="1"/>
  <c r="AT559" i="1"/>
  <c r="AO559" i="1"/>
  <c r="AG559" i="1"/>
  <c r="AH559" i="1"/>
  <c r="AI559" i="1" s="1"/>
  <c r="AJ559" i="1" s="1"/>
  <c r="AV558" i="1"/>
  <c r="AF558" i="1"/>
  <c r="BM558" i="1"/>
  <c r="BN558" i="1" s="1"/>
  <c r="BF558" i="1"/>
  <c r="BG558" i="1" s="1"/>
  <c r="BH558" i="1" s="1"/>
  <c r="BJ558" i="1"/>
  <c r="BI558" i="1"/>
  <c r="AW558" i="1"/>
  <c r="BB558" i="1"/>
  <c r="BA558" i="1"/>
  <c r="AT558" i="1"/>
  <c r="AS558" i="1"/>
  <c r="AO558" i="1"/>
  <c r="AH558" i="1"/>
  <c r="AG558" i="1"/>
  <c r="AV557" i="1"/>
  <c r="AF557" i="1"/>
  <c r="BM557" i="1"/>
  <c r="BN557" i="1" s="1"/>
  <c r="BF557" i="1"/>
  <c r="BG557" i="1" s="1"/>
  <c r="BH557" i="1" s="1"/>
  <c r="BJ557" i="1"/>
  <c r="BI557" i="1"/>
  <c r="AW557" i="1"/>
  <c r="BB557" i="1"/>
  <c r="BA557" i="1"/>
  <c r="AS557" i="1"/>
  <c r="AO557" i="1"/>
  <c r="AT557" i="1"/>
  <c r="AH557" i="1"/>
  <c r="AG557" i="1"/>
  <c r="AV556" i="1"/>
  <c r="AF556" i="1"/>
  <c r="BM556" i="1"/>
  <c r="BF556" i="1"/>
  <c r="BG556" i="1" s="1"/>
  <c r="BH556" i="1" s="1"/>
  <c r="BJ556" i="1"/>
  <c r="BI556" i="1"/>
  <c r="AW556" i="1"/>
  <c r="BB556" i="1"/>
  <c r="BA556" i="1"/>
  <c r="AT556" i="1"/>
  <c r="AS556" i="1"/>
  <c r="AO556" i="1"/>
  <c r="AU556" i="1" s="1"/>
  <c r="AH556" i="1"/>
  <c r="AG556" i="1"/>
  <c r="AV555" i="1"/>
  <c r="AF555" i="1"/>
  <c r="BM555" i="1"/>
  <c r="BN555" i="1" s="1"/>
  <c r="BF555" i="1"/>
  <c r="BG555" i="1" s="1"/>
  <c r="BH555" i="1" s="1"/>
  <c r="BJ555" i="1"/>
  <c r="BI555" i="1"/>
  <c r="AW555" i="1"/>
  <c r="BB555" i="1"/>
  <c r="BA555" i="1"/>
  <c r="AS555" i="1"/>
  <c r="AT555" i="1"/>
  <c r="AO555" i="1"/>
  <c r="AU555" i="1" s="1"/>
  <c r="AG555" i="1"/>
  <c r="AH555" i="1"/>
  <c r="AI555" i="1" s="1"/>
  <c r="AJ555" i="1" s="1"/>
  <c r="AV554" i="1"/>
  <c r="AF554" i="1"/>
  <c r="BM554" i="1"/>
  <c r="BN554" i="1" s="1"/>
  <c r="BF554" i="1"/>
  <c r="BG554" i="1" s="1"/>
  <c r="BH554" i="1" s="1"/>
  <c r="BJ554" i="1"/>
  <c r="BI554" i="1"/>
  <c r="AW554" i="1"/>
  <c r="BB554" i="1"/>
  <c r="BA554" i="1"/>
  <c r="AT554" i="1"/>
  <c r="AS554" i="1"/>
  <c r="AO554" i="1"/>
  <c r="AU554" i="1" s="1"/>
  <c r="AH554" i="1"/>
  <c r="AG554" i="1"/>
  <c r="AV553" i="1"/>
  <c r="AF553" i="1"/>
  <c r="BM553" i="1"/>
  <c r="BN553" i="1" s="1"/>
  <c r="BF553" i="1"/>
  <c r="BG553" i="1" s="1"/>
  <c r="BH553" i="1" s="1"/>
  <c r="BJ553" i="1"/>
  <c r="BI553" i="1"/>
  <c r="AW553" i="1"/>
  <c r="BB553" i="1"/>
  <c r="BA553" i="1"/>
  <c r="AS553" i="1"/>
  <c r="AO553" i="1"/>
  <c r="AT553" i="1"/>
  <c r="AH553" i="1"/>
  <c r="AG553" i="1"/>
  <c r="AV552" i="1"/>
  <c r="AF552" i="1"/>
  <c r="BM552" i="1"/>
  <c r="BN552" i="1" s="1"/>
  <c r="BF552" i="1"/>
  <c r="BG552" i="1" s="1"/>
  <c r="BH552" i="1" s="1"/>
  <c r="BJ552" i="1"/>
  <c r="BI552" i="1"/>
  <c r="AW552" i="1"/>
  <c r="BB552" i="1"/>
  <c r="BA552" i="1"/>
  <c r="AT552" i="1"/>
  <c r="AS552" i="1"/>
  <c r="AO552" i="1"/>
  <c r="AH552" i="1"/>
  <c r="AG552" i="1"/>
  <c r="AV551" i="1"/>
  <c r="AF551" i="1"/>
  <c r="BM551" i="1"/>
  <c r="BN551" i="1" s="1"/>
  <c r="BF551" i="1"/>
  <c r="BG551" i="1" s="1"/>
  <c r="BH551" i="1" s="1"/>
  <c r="BJ551" i="1"/>
  <c r="BI551" i="1"/>
  <c r="AW551" i="1"/>
  <c r="BB551" i="1"/>
  <c r="BA551" i="1"/>
  <c r="AS551" i="1"/>
  <c r="AT551" i="1"/>
  <c r="AO551" i="1"/>
  <c r="AG551" i="1"/>
  <c r="AH551" i="1"/>
  <c r="AI551" i="1" s="1"/>
  <c r="AJ551" i="1" s="1"/>
  <c r="AV550" i="1"/>
  <c r="AF550" i="1"/>
  <c r="BM550" i="1"/>
  <c r="BN550" i="1" s="1"/>
  <c r="BF550" i="1"/>
  <c r="BG550" i="1" s="1"/>
  <c r="BH550" i="1" s="1"/>
  <c r="BJ550" i="1"/>
  <c r="BI550" i="1"/>
  <c r="AW550" i="1"/>
  <c r="BB550" i="1"/>
  <c r="BA550" i="1"/>
  <c r="AT550" i="1"/>
  <c r="AS550" i="1"/>
  <c r="AO550" i="1"/>
  <c r="AH550" i="1"/>
  <c r="AG550" i="1"/>
  <c r="AV549" i="1"/>
  <c r="AF549" i="1"/>
  <c r="BM549" i="1"/>
  <c r="BN549" i="1" s="1"/>
  <c r="BF549" i="1"/>
  <c r="BG549" i="1" s="1"/>
  <c r="BH549" i="1" s="1"/>
  <c r="BJ549" i="1"/>
  <c r="BI549" i="1"/>
  <c r="AW549" i="1"/>
  <c r="BB549" i="1"/>
  <c r="BA549" i="1"/>
  <c r="AS549" i="1"/>
  <c r="AO549" i="1"/>
  <c r="AT549" i="1"/>
  <c r="AH549" i="1"/>
  <c r="AG549" i="1"/>
  <c r="AV548" i="1"/>
  <c r="AF548" i="1"/>
  <c r="BM548" i="1"/>
  <c r="BN548" i="1" s="1"/>
  <c r="BF548" i="1"/>
  <c r="BG548" i="1" s="1"/>
  <c r="BH548" i="1" s="1"/>
  <c r="BJ548" i="1"/>
  <c r="BI548" i="1"/>
  <c r="AW548" i="1"/>
  <c r="BB548" i="1"/>
  <c r="BA548" i="1"/>
  <c r="AT548" i="1"/>
  <c r="AS548" i="1"/>
  <c r="AO548" i="1"/>
  <c r="AU548" i="1" s="1"/>
  <c r="AH548" i="1"/>
  <c r="AG548" i="1"/>
  <c r="AV547" i="1"/>
  <c r="AF547" i="1"/>
  <c r="BM547" i="1"/>
  <c r="BN547" i="1" s="1"/>
  <c r="BF547" i="1"/>
  <c r="BG547" i="1" s="1"/>
  <c r="BH547" i="1" s="1"/>
  <c r="BJ547" i="1"/>
  <c r="BI547" i="1"/>
  <c r="AW547" i="1"/>
  <c r="BB547" i="1"/>
  <c r="BA547" i="1"/>
  <c r="AS547" i="1"/>
  <c r="AT547" i="1"/>
  <c r="AO547" i="1"/>
  <c r="AG547" i="1"/>
  <c r="AH547" i="1"/>
  <c r="AI547" i="1" s="1"/>
  <c r="AJ547" i="1" s="1"/>
  <c r="AV546" i="1"/>
  <c r="AF546" i="1"/>
  <c r="BM546" i="1"/>
  <c r="BF546" i="1"/>
  <c r="BG546" i="1" s="1"/>
  <c r="BH546" i="1" s="1"/>
  <c r="BJ546" i="1"/>
  <c r="BI546" i="1"/>
  <c r="AW546" i="1"/>
  <c r="BB546" i="1"/>
  <c r="BA546" i="1"/>
  <c r="AT546" i="1"/>
  <c r="AS546" i="1"/>
  <c r="AO546" i="1"/>
  <c r="AH546" i="1"/>
  <c r="AG546" i="1"/>
  <c r="AV545" i="1"/>
  <c r="AF545" i="1"/>
  <c r="BM545" i="1"/>
  <c r="BN545" i="1" s="1"/>
  <c r="BF545" i="1"/>
  <c r="BG545" i="1" s="1"/>
  <c r="BH545" i="1" s="1"/>
  <c r="BJ545" i="1"/>
  <c r="BI545" i="1"/>
  <c r="AW545" i="1"/>
  <c r="BB545" i="1"/>
  <c r="BA545" i="1"/>
  <c r="AS545" i="1"/>
  <c r="AO545" i="1"/>
  <c r="AT545" i="1"/>
  <c r="AH545" i="1"/>
  <c r="AG545" i="1"/>
  <c r="AV544" i="1"/>
  <c r="AF544" i="1"/>
  <c r="BM544" i="1"/>
  <c r="BN544" i="1" s="1"/>
  <c r="BF544" i="1"/>
  <c r="BG544" i="1" s="1"/>
  <c r="BH544" i="1" s="1"/>
  <c r="BJ544" i="1"/>
  <c r="BI544" i="1"/>
  <c r="AW544" i="1"/>
  <c r="BB544" i="1"/>
  <c r="BA544" i="1"/>
  <c r="AT544" i="1"/>
  <c r="AS544" i="1"/>
  <c r="AO544" i="1"/>
  <c r="AH544" i="1"/>
  <c r="AG544" i="1"/>
  <c r="AV543" i="1"/>
  <c r="AF543" i="1"/>
  <c r="BM543" i="1"/>
  <c r="BN543" i="1" s="1"/>
  <c r="BF543" i="1"/>
  <c r="BG543" i="1" s="1"/>
  <c r="BH543" i="1" s="1"/>
  <c r="BJ543" i="1"/>
  <c r="BI543" i="1"/>
  <c r="AW543" i="1"/>
  <c r="BB543" i="1"/>
  <c r="BA543" i="1"/>
  <c r="AS543" i="1"/>
  <c r="AT543" i="1"/>
  <c r="AO543" i="1"/>
  <c r="AU543" i="1" s="1"/>
  <c r="AG543" i="1"/>
  <c r="AH543" i="1"/>
  <c r="AI543" i="1" s="1"/>
  <c r="AJ543" i="1" s="1"/>
  <c r="AV542" i="1"/>
  <c r="AF542" i="1"/>
  <c r="BM542" i="1"/>
  <c r="BN542" i="1" s="1"/>
  <c r="BF542" i="1"/>
  <c r="BG542" i="1" s="1"/>
  <c r="BH542" i="1" s="1"/>
  <c r="BJ542" i="1"/>
  <c r="BI542" i="1"/>
  <c r="AW542" i="1"/>
  <c r="BB542" i="1"/>
  <c r="BA542" i="1"/>
  <c r="AT542" i="1"/>
  <c r="AS542" i="1"/>
  <c r="AO542" i="1"/>
  <c r="AU542" i="1" s="1"/>
  <c r="AH542" i="1"/>
  <c r="AG542" i="1"/>
  <c r="AV541" i="1"/>
  <c r="AF541" i="1"/>
  <c r="BM541" i="1"/>
  <c r="BN541" i="1" s="1"/>
  <c r="BF541" i="1"/>
  <c r="BG541" i="1" s="1"/>
  <c r="BH541" i="1" s="1"/>
  <c r="BJ541" i="1"/>
  <c r="BI541" i="1"/>
  <c r="AW541" i="1"/>
  <c r="BB541" i="1"/>
  <c r="BA541" i="1"/>
  <c r="AS541" i="1"/>
  <c r="AO541" i="1"/>
  <c r="AT541" i="1"/>
  <c r="AH541" i="1"/>
  <c r="AG541" i="1"/>
  <c r="AV540" i="1"/>
  <c r="AF540" i="1"/>
  <c r="BM540" i="1"/>
  <c r="BN540" i="1" s="1"/>
  <c r="BF540" i="1"/>
  <c r="BG540" i="1" s="1"/>
  <c r="BH540" i="1" s="1"/>
  <c r="BJ540" i="1"/>
  <c r="BI540" i="1"/>
  <c r="AW540" i="1"/>
  <c r="BB540" i="1"/>
  <c r="BA540" i="1"/>
  <c r="AT540" i="1"/>
  <c r="AS540" i="1"/>
  <c r="AO540" i="1"/>
  <c r="AH540" i="1"/>
  <c r="AG540" i="1"/>
  <c r="AV539" i="1"/>
  <c r="AF539" i="1"/>
  <c r="BM539" i="1"/>
  <c r="BN539" i="1" s="1"/>
  <c r="BF539" i="1"/>
  <c r="BG539" i="1" s="1"/>
  <c r="BH539" i="1" s="1"/>
  <c r="BJ539" i="1"/>
  <c r="BI539" i="1"/>
  <c r="AW539" i="1"/>
  <c r="BB539" i="1"/>
  <c r="BA539" i="1"/>
  <c r="AS539" i="1"/>
  <c r="AT539" i="1"/>
  <c r="AO539" i="1"/>
  <c r="AG539" i="1"/>
  <c r="AH539" i="1"/>
  <c r="AI539" i="1" s="1"/>
  <c r="AJ539" i="1" s="1"/>
  <c r="AV538" i="1"/>
  <c r="AF538" i="1"/>
  <c r="BM538" i="1"/>
  <c r="BN538" i="1" s="1"/>
  <c r="BF538" i="1"/>
  <c r="BG538" i="1" s="1"/>
  <c r="BH538" i="1" s="1"/>
  <c r="BJ538" i="1"/>
  <c r="BI538" i="1"/>
  <c r="AW538" i="1"/>
  <c r="BB538" i="1"/>
  <c r="BA538" i="1"/>
  <c r="AT538" i="1"/>
  <c r="AS538" i="1"/>
  <c r="AO538" i="1"/>
  <c r="AH538" i="1"/>
  <c r="AG538" i="1"/>
  <c r="AV537" i="1"/>
  <c r="AF537" i="1"/>
  <c r="BM537" i="1"/>
  <c r="BN537" i="1" s="1"/>
  <c r="BF537" i="1"/>
  <c r="BG537" i="1" s="1"/>
  <c r="BH537" i="1" s="1"/>
  <c r="BJ537" i="1"/>
  <c r="BI537" i="1"/>
  <c r="AW537" i="1"/>
  <c r="BB537" i="1"/>
  <c r="BA537" i="1"/>
  <c r="AS537" i="1"/>
  <c r="AO537" i="1"/>
  <c r="AT537" i="1"/>
  <c r="AH537" i="1"/>
  <c r="AG537" i="1"/>
  <c r="AV536" i="1"/>
  <c r="AF536" i="1"/>
  <c r="BM536" i="1"/>
  <c r="BN536" i="1" s="1"/>
  <c r="BF536" i="1"/>
  <c r="BG536" i="1" s="1"/>
  <c r="BH536" i="1" s="1"/>
  <c r="BJ536" i="1"/>
  <c r="BI536" i="1"/>
  <c r="AW536" i="1"/>
  <c r="BB536" i="1"/>
  <c r="BA536" i="1"/>
  <c r="AT536" i="1"/>
  <c r="AS536" i="1"/>
  <c r="AO536" i="1"/>
  <c r="AH536" i="1"/>
  <c r="AG536" i="1"/>
  <c r="AV535" i="1"/>
  <c r="AF535" i="1"/>
  <c r="BM535" i="1"/>
  <c r="BN535" i="1" s="1"/>
  <c r="BF535" i="1"/>
  <c r="BG535" i="1" s="1"/>
  <c r="BH535" i="1" s="1"/>
  <c r="BJ535" i="1"/>
  <c r="BI535" i="1"/>
  <c r="AW535" i="1"/>
  <c r="BB535" i="1"/>
  <c r="BA535" i="1"/>
  <c r="AS535" i="1"/>
  <c r="AT535" i="1"/>
  <c r="AO535" i="1"/>
  <c r="AG535" i="1"/>
  <c r="AH535" i="1"/>
  <c r="AI535" i="1" s="1"/>
  <c r="AJ535" i="1" s="1"/>
  <c r="AV534" i="1"/>
  <c r="AF534" i="1"/>
  <c r="BM534" i="1"/>
  <c r="BN534" i="1" s="1"/>
  <c r="BF534" i="1"/>
  <c r="BG534" i="1" s="1"/>
  <c r="BH534" i="1" s="1"/>
  <c r="BJ534" i="1"/>
  <c r="BI534" i="1"/>
  <c r="AW534" i="1"/>
  <c r="BB534" i="1"/>
  <c r="BA534" i="1"/>
  <c r="AT534" i="1"/>
  <c r="AS534" i="1"/>
  <c r="AO534" i="1"/>
  <c r="AH534" i="1"/>
  <c r="AG534" i="1"/>
  <c r="AV533" i="1"/>
  <c r="AF533" i="1"/>
  <c r="BM533" i="1"/>
  <c r="BN533" i="1" s="1"/>
  <c r="BF533" i="1"/>
  <c r="BG533" i="1" s="1"/>
  <c r="BH533" i="1" s="1"/>
  <c r="BJ533" i="1"/>
  <c r="BI533" i="1"/>
  <c r="AW533" i="1"/>
  <c r="BB533" i="1"/>
  <c r="BA533" i="1"/>
  <c r="AS533" i="1"/>
  <c r="AO533" i="1"/>
  <c r="AT533" i="1"/>
  <c r="AH533" i="1"/>
  <c r="AG533" i="1"/>
  <c r="AV532" i="1"/>
  <c r="AF532" i="1"/>
  <c r="BM532" i="1"/>
  <c r="BN532" i="1" s="1"/>
  <c r="BF532" i="1"/>
  <c r="BG532" i="1" s="1"/>
  <c r="BH532" i="1" s="1"/>
  <c r="BJ532" i="1"/>
  <c r="BI532" i="1"/>
  <c r="AW532" i="1"/>
  <c r="BB532" i="1"/>
  <c r="BA532" i="1"/>
  <c r="AT532" i="1"/>
  <c r="AS532" i="1"/>
  <c r="AO532" i="1"/>
  <c r="AH532" i="1"/>
  <c r="AG532" i="1"/>
  <c r="AV531" i="1"/>
  <c r="AF531" i="1"/>
  <c r="BM531" i="1"/>
  <c r="BN531" i="1" s="1"/>
  <c r="BF531" i="1"/>
  <c r="BG531" i="1" s="1"/>
  <c r="BH531" i="1" s="1"/>
  <c r="BJ531" i="1"/>
  <c r="BI531" i="1"/>
  <c r="AW531" i="1"/>
  <c r="BB531" i="1"/>
  <c r="BA531" i="1"/>
  <c r="AS531" i="1"/>
  <c r="AT531" i="1"/>
  <c r="AO531" i="1"/>
  <c r="AG531" i="1"/>
  <c r="AH531" i="1"/>
  <c r="AI531" i="1" s="1"/>
  <c r="AJ531" i="1" s="1"/>
  <c r="AV530" i="1"/>
  <c r="AF530" i="1"/>
  <c r="BM530" i="1"/>
  <c r="BF530" i="1"/>
  <c r="BG530" i="1" s="1"/>
  <c r="BH530" i="1" s="1"/>
  <c r="BJ530" i="1"/>
  <c r="BI530" i="1"/>
  <c r="AW530" i="1"/>
  <c r="BB530" i="1"/>
  <c r="BA530" i="1"/>
  <c r="AT530" i="1"/>
  <c r="AS530" i="1"/>
  <c r="AO530" i="1"/>
  <c r="AH530" i="1"/>
  <c r="AG530" i="1"/>
  <c r="AV529" i="1"/>
  <c r="AF529" i="1"/>
  <c r="BM529" i="1"/>
  <c r="BN529" i="1" s="1"/>
  <c r="BF529" i="1"/>
  <c r="BG529" i="1" s="1"/>
  <c r="BH529" i="1" s="1"/>
  <c r="BJ529" i="1"/>
  <c r="BI529" i="1"/>
  <c r="AW529" i="1"/>
  <c r="BB529" i="1"/>
  <c r="BA529" i="1"/>
  <c r="AS529" i="1"/>
  <c r="AO529" i="1"/>
  <c r="AT529" i="1"/>
  <c r="AH529" i="1"/>
  <c r="AG529" i="1"/>
  <c r="AV528" i="1"/>
  <c r="AF528" i="1"/>
  <c r="BM528" i="1"/>
  <c r="BN528" i="1" s="1"/>
  <c r="BF528" i="1"/>
  <c r="BG528" i="1" s="1"/>
  <c r="BH528" i="1" s="1"/>
  <c r="BJ528" i="1"/>
  <c r="BI528" i="1"/>
  <c r="AW528" i="1"/>
  <c r="BB528" i="1"/>
  <c r="BA528" i="1"/>
  <c r="AT528" i="1"/>
  <c r="AS528" i="1"/>
  <c r="AO528" i="1"/>
  <c r="AH528" i="1"/>
  <c r="AG528" i="1"/>
  <c r="AV527" i="1"/>
  <c r="AF527" i="1"/>
  <c r="BM527" i="1"/>
  <c r="BN527" i="1" s="1"/>
  <c r="BF527" i="1"/>
  <c r="BG527" i="1" s="1"/>
  <c r="BH527" i="1" s="1"/>
  <c r="BJ527" i="1"/>
  <c r="BI527" i="1"/>
  <c r="AW527" i="1"/>
  <c r="BB527" i="1"/>
  <c r="BA527" i="1"/>
  <c r="AS527" i="1"/>
  <c r="AT527" i="1"/>
  <c r="AO527" i="1"/>
  <c r="AG527" i="1"/>
  <c r="AH527" i="1"/>
  <c r="AI527" i="1" s="1"/>
  <c r="AJ527" i="1" s="1"/>
  <c r="AV526" i="1"/>
  <c r="AF526" i="1"/>
  <c r="BM526" i="1"/>
  <c r="BN526" i="1" s="1"/>
  <c r="BF526" i="1"/>
  <c r="BG526" i="1" s="1"/>
  <c r="BH526" i="1" s="1"/>
  <c r="BJ526" i="1"/>
  <c r="BI526" i="1"/>
  <c r="AW526" i="1"/>
  <c r="BB526" i="1"/>
  <c r="BA526" i="1"/>
  <c r="AT526" i="1"/>
  <c r="AS526" i="1"/>
  <c r="AO526" i="1"/>
  <c r="AU526" i="1" s="1"/>
  <c r="AH526" i="1"/>
  <c r="AG526" i="1"/>
  <c r="AV525" i="1"/>
  <c r="AF525" i="1"/>
  <c r="BM525" i="1"/>
  <c r="BF525" i="1"/>
  <c r="BG525" i="1" s="1"/>
  <c r="BH525" i="1" s="1"/>
  <c r="BJ525" i="1"/>
  <c r="BI525" i="1"/>
  <c r="AW525" i="1"/>
  <c r="BB525" i="1"/>
  <c r="BA525" i="1"/>
  <c r="AS525" i="1"/>
  <c r="AO525" i="1"/>
  <c r="AT525" i="1"/>
  <c r="AH525" i="1"/>
  <c r="AG525" i="1"/>
  <c r="AV524" i="1"/>
  <c r="AF524" i="1"/>
  <c r="BM524" i="1"/>
  <c r="BN524" i="1" s="1"/>
  <c r="BF524" i="1"/>
  <c r="BG524" i="1" s="1"/>
  <c r="BH524" i="1" s="1"/>
  <c r="BJ524" i="1"/>
  <c r="BI524" i="1"/>
  <c r="AW524" i="1"/>
  <c r="BB524" i="1"/>
  <c r="BA524" i="1"/>
  <c r="AT524" i="1"/>
  <c r="AS524" i="1"/>
  <c r="AO524" i="1"/>
  <c r="AH524" i="1"/>
  <c r="AG524" i="1"/>
  <c r="AV453" i="1"/>
  <c r="AF453" i="1"/>
  <c r="AV452" i="1"/>
  <c r="AF452" i="1"/>
  <c r="AV451" i="1"/>
  <c r="AF451" i="1"/>
  <c r="AV450" i="1"/>
  <c r="AF450" i="1"/>
  <c r="AV447" i="1"/>
  <c r="AF447" i="1"/>
  <c r="AV446" i="1"/>
  <c r="AF446" i="1"/>
  <c r="AV445" i="1"/>
  <c r="AF445" i="1"/>
  <c r="AV444" i="1"/>
  <c r="AF444" i="1"/>
  <c r="AV443" i="1"/>
  <c r="AF443" i="1"/>
  <c r="AV442" i="1"/>
  <c r="AF442" i="1"/>
  <c r="AV441" i="1"/>
  <c r="AF441" i="1"/>
  <c r="AV440" i="1"/>
  <c r="AF440" i="1"/>
  <c r="AV439" i="1"/>
  <c r="AF439" i="1"/>
  <c r="AV438" i="1"/>
  <c r="AF438" i="1"/>
  <c r="AV437" i="1"/>
  <c r="AF437" i="1"/>
  <c r="AV436" i="1"/>
  <c r="AF436" i="1"/>
  <c r="AV435" i="1"/>
  <c r="AF435" i="1"/>
  <c r="AV434" i="1"/>
  <c r="AF434" i="1"/>
  <c r="AV433" i="1"/>
  <c r="AF433" i="1"/>
  <c r="AV432" i="1"/>
  <c r="AF432" i="1"/>
  <c r="AV431" i="1"/>
  <c r="AF431" i="1"/>
  <c r="AV430" i="1"/>
  <c r="AF430" i="1"/>
  <c r="AV429" i="1"/>
  <c r="AF429" i="1"/>
  <c r="AV428" i="1"/>
  <c r="AF428" i="1"/>
  <c r="AV427" i="1"/>
  <c r="AF427" i="1"/>
  <c r="AV426" i="1"/>
  <c r="AF426" i="1"/>
  <c r="AV425" i="1"/>
  <c r="AF425" i="1"/>
  <c r="AV424" i="1"/>
  <c r="AF424" i="1"/>
  <c r="AV423" i="1"/>
  <c r="AF423" i="1"/>
  <c r="AV422" i="1"/>
  <c r="AF422" i="1"/>
  <c r="AV421" i="1"/>
  <c r="AF421" i="1"/>
  <c r="AV420" i="1"/>
  <c r="AF420" i="1"/>
  <c r="AV419" i="1"/>
  <c r="AF419" i="1"/>
  <c r="AV418" i="1"/>
  <c r="AF418" i="1"/>
  <c r="AV417" i="1"/>
  <c r="AF417" i="1"/>
  <c r="AV416" i="1"/>
  <c r="AF416" i="1"/>
  <c r="AV415" i="1"/>
  <c r="AF415" i="1"/>
  <c r="AV414" i="1"/>
  <c r="AF414" i="1"/>
  <c r="AV413" i="1"/>
  <c r="AF413" i="1"/>
  <c r="AV412" i="1"/>
  <c r="AF412" i="1"/>
  <c r="AV411" i="1"/>
  <c r="AF411" i="1"/>
  <c r="AV410" i="1"/>
  <c r="AF410" i="1"/>
  <c r="AV409" i="1"/>
  <c r="AF409" i="1"/>
  <c r="AV408" i="1"/>
  <c r="AF408" i="1"/>
  <c r="AV407" i="1"/>
  <c r="AF407" i="1"/>
  <c r="AV406" i="1"/>
  <c r="AF406" i="1"/>
  <c r="AV405" i="1"/>
  <c r="AF405" i="1"/>
  <c r="AV404" i="1"/>
  <c r="AF404" i="1"/>
  <c r="AV403" i="1"/>
  <c r="AF403" i="1"/>
  <c r="AV402" i="1"/>
  <c r="AF402" i="1"/>
  <c r="AV401" i="1"/>
  <c r="AF401" i="1"/>
  <c r="AV400" i="1"/>
  <c r="AF400" i="1"/>
  <c r="AV399" i="1"/>
  <c r="AF399" i="1"/>
  <c r="AV398" i="1"/>
  <c r="AF398" i="1"/>
  <c r="AV397" i="1"/>
  <c r="AF397" i="1"/>
  <c r="AV396" i="1"/>
  <c r="AF396" i="1"/>
  <c r="AV395" i="1"/>
  <c r="AF395" i="1"/>
  <c r="AV394" i="1"/>
  <c r="AF394" i="1"/>
  <c r="AV393" i="1"/>
  <c r="AF393" i="1"/>
  <c r="AV392" i="1"/>
  <c r="AF392" i="1"/>
  <c r="AV391" i="1"/>
  <c r="AF391" i="1"/>
  <c r="AV390" i="1"/>
  <c r="AF390" i="1"/>
  <c r="AV389" i="1"/>
  <c r="AF389" i="1"/>
  <c r="AV388" i="1"/>
  <c r="AF388" i="1"/>
  <c r="AV387" i="1"/>
  <c r="AF387" i="1"/>
  <c r="AV386" i="1"/>
  <c r="AF386" i="1"/>
  <c r="AV385" i="1"/>
  <c r="AF385" i="1"/>
  <c r="AV384" i="1"/>
  <c r="AF384" i="1"/>
  <c r="AV383" i="1"/>
  <c r="AF383" i="1"/>
  <c r="AV382" i="1"/>
  <c r="AF382" i="1"/>
  <c r="AV381" i="1"/>
  <c r="AF381" i="1"/>
  <c r="AV380" i="1"/>
  <c r="AF380" i="1"/>
  <c r="AV379" i="1"/>
  <c r="AF379" i="1"/>
  <c r="AV378" i="1"/>
  <c r="AF378" i="1"/>
  <c r="AV377" i="1"/>
  <c r="AF377" i="1"/>
  <c r="AV376" i="1"/>
  <c r="AF376" i="1"/>
  <c r="AV375" i="1"/>
  <c r="AF375" i="1"/>
  <c r="AV374" i="1"/>
  <c r="AF374" i="1"/>
  <c r="AV373" i="1"/>
  <c r="AF373" i="1"/>
  <c r="AV372" i="1"/>
  <c r="AF372" i="1"/>
  <c r="AV371" i="1"/>
  <c r="AF371" i="1"/>
  <c r="AV370" i="1"/>
  <c r="AF370" i="1"/>
  <c r="AV369" i="1"/>
  <c r="AF369" i="1"/>
  <c r="AV368" i="1"/>
  <c r="AF368" i="1"/>
  <c r="AV367" i="1"/>
  <c r="AF367" i="1"/>
  <c r="AV366" i="1"/>
  <c r="AF366" i="1"/>
  <c r="AV365" i="1"/>
  <c r="AF365" i="1"/>
  <c r="AV364" i="1"/>
  <c r="AF364" i="1"/>
  <c r="AV363" i="1"/>
  <c r="AF363" i="1"/>
  <c r="AV362" i="1"/>
  <c r="AF362" i="1"/>
  <c r="AV361" i="1"/>
  <c r="AF361" i="1"/>
  <c r="AV360" i="1"/>
  <c r="AF360" i="1"/>
  <c r="AV359" i="1"/>
  <c r="AF359" i="1"/>
  <c r="AV358" i="1"/>
  <c r="AF358" i="1"/>
  <c r="AV357" i="1"/>
  <c r="AF357" i="1"/>
  <c r="AV356" i="1"/>
  <c r="AF356" i="1"/>
  <c r="AV355" i="1"/>
  <c r="AF355" i="1"/>
  <c r="AV354" i="1"/>
  <c r="AF354" i="1"/>
  <c r="AV353" i="1"/>
  <c r="AF353" i="1"/>
  <c r="AV352" i="1"/>
  <c r="AF352" i="1"/>
  <c r="AV351" i="1"/>
  <c r="AF351" i="1"/>
  <c r="AV350" i="1"/>
  <c r="AF350" i="1"/>
  <c r="AV349" i="1"/>
  <c r="AF349" i="1"/>
  <c r="AV348" i="1"/>
  <c r="AF348" i="1"/>
  <c r="AV347" i="1"/>
  <c r="AF347" i="1"/>
  <c r="AV346" i="1"/>
  <c r="AF346" i="1"/>
  <c r="AV345" i="1"/>
  <c r="AF345" i="1"/>
  <c r="AV344" i="1"/>
  <c r="AF344" i="1"/>
  <c r="AV343" i="1"/>
  <c r="AF343" i="1"/>
  <c r="AV342" i="1"/>
  <c r="AF342" i="1"/>
  <c r="AV341" i="1"/>
  <c r="AF341" i="1"/>
  <c r="AV340" i="1"/>
  <c r="AF340" i="1"/>
  <c r="AV339" i="1"/>
  <c r="AF339" i="1"/>
  <c r="AV338" i="1"/>
  <c r="AF338" i="1"/>
  <c r="AV337" i="1"/>
  <c r="AF337" i="1"/>
  <c r="AV336" i="1"/>
  <c r="AF336" i="1"/>
  <c r="AV335" i="1"/>
  <c r="AF335" i="1"/>
  <c r="AV334" i="1"/>
  <c r="AF334" i="1"/>
  <c r="AV333" i="1"/>
  <c r="AF333" i="1"/>
  <c r="AV332" i="1"/>
  <c r="AF332" i="1"/>
  <c r="AV331" i="1"/>
  <c r="AF331" i="1"/>
  <c r="AV330" i="1"/>
  <c r="AF330" i="1"/>
  <c r="AV329" i="1"/>
  <c r="AF329" i="1"/>
  <c r="AV328" i="1"/>
  <c r="AF328" i="1"/>
  <c r="AV327" i="1"/>
  <c r="AF327" i="1"/>
  <c r="AV326" i="1"/>
  <c r="AF326" i="1"/>
  <c r="AV325" i="1"/>
  <c r="AF325" i="1"/>
  <c r="AV324" i="1"/>
  <c r="AF324" i="1"/>
  <c r="AV323" i="1"/>
  <c r="AF323" i="1"/>
  <c r="AV322" i="1"/>
  <c r="AF322" i="1"/>
  <c r="AV321" i="1"/>
  <c r="AF321" i="1"/>
  <c r="AV320" i="1"/>
  <c r="AF320" i="1"/>
  <c r="AV319" i="1"/>
  <c r="AF319" i="1"/>
  <c r="AV318" i="1"/>
  <c r="AF318" i="1"/>
  <c r="AV317" i="1"/>
  <c r="AF317" i="1"/>
  <c r="AV316" i="1"/>
  <c r="AF316" i="1"/>
  <c r="AV315" i="1"/>
  <c r="AF315" i="1"/>
  <c r="AV314" i="1"/>
  <c r="AF314" i="1"/>
  <c r="AV313" i="1"/>
  <c r="AF313" i="1"/>
  <c r="AV312" i="1"/>
  <c r="AF312" i="1"/>
  <c r="AV311" i="1"/>
  <c r="AF311" i="1"/>
  <c r="AV310" i="1"/>
  <c r="AF310" i="1"/>
  <c r="AV309" i="1"/>
  <c r="AF309" i="1"/>
  <c r="AV308" i="1"/>
  <c r="AF308" i="1"/>
  <c r="AV307" i="1"/>
  <c r="AF307" i="1"/>
  <c r="AV306" i="1"/>
  <c r="AF306" i="1"/>
  <c r="AV305" i="1"/>
  <c r="AF305" i="1"/>
  <c r="AV304" i="1"/>
  <c r="AF304" i="1"/>
  <c r="AV303" i="1"/>
  <c r="AF303" i="1"/>
  <c r="AV302" i="1"/>
  <c r="AF302" i="1"/>
  <c r="AV301" i="1"/>
  <c r="AF301" i="1"/>
  <c r="AV300" i="1"/>
  <c r="AF300" i="1"/>
  <c r="AV299" i="1"/>
  <c r="AF299" i="1"/>
  <c r="AV298" i="1"/>
  <c r="AF298" i="1"/>
  <c r="AV297" i="1"/>
  <c r="AF297" i="1"/>
  <c r="AV296" i="1"/>
  <c r="AF296" i="1"/>
  <c r="AV295" i="1"/>
  <c r="AF295" i="1"/>
  <c r="AV294" i="1"/>
  <c r="AF294" i="1"/>
  <c r="AV293" i="1"/>
  <c r="AF293" i="1"/>
  <c r="AV292" i="1"/>
  <c r="AF292" i="1"/>
  <c r="AV291" i="1"/>
  <c r="AF291" i="1"/>
  <c r="AV290" i="1"/>
  <c r="AF290" i="1"/>
  <c r="AV289" i="1"/>
  <c r="AF289" i="1"/>
  <c r="AV288" i="1"/>
  <c r="AF288" i="1"/>
  <c r="AV287" i="1"/>
  <c r="AF287" i="1"/>
  <c r="AV286" i="1"/>
  <c r="AF286" i="1"/>
  <c r="AV285" i="1"/>
  <c r="AF285" i="1"/>
  <c r="AV284" i="1"/>
  <c r="AF284" i="1"/>
  <c r="AV283" i="1"/>
  <c r="AF283" i="1"/>
  <c r="AV282" i="1"/>
  <c r="AF282" i="1"/>
  <c r="AV281" i="1"/>
  <c r="AF281" i="1"/>
  <c r="AV280" i="1"/>
  <c r="AF280" i="1"/>
  <c r="AV279" i="1"/>
  <c r="AF279" i="1"/>
  <c r="AV278" i="1"/>
  <c r="AF278" i="1"/>
  <c r="AV277" i="1"/>
  <c r="AF277" i="1"/>
  <c r="AV276" i="1"/>
  <c r="AF276" i="1"/>
  <c r="AV275" i="1"/>
  <c r="AF275" i="1"/>
  <c r="AV274" i="1"/>
  <c r="AF274" i="1"/>
  <c r="AV273" i="1"/>
  <c r="AF273" i="1"/>
  <c r="AV272" i="1"/>
  <c r="AF272" i="1"/>
  <c r="AV271" i="1"/>
  <c r="AF271" i="1"/>
  <c r="AV270" i="1"/>
  <c r="AF270" i="1"/>
  <c r="AV269" i="1"/>
  <c r="AF269" i="1"/>
  <c r="AV268" i="1"/>
  <c r="AF268" i="1"/>
  <c r="AV267" i="1"/>
  <c r="AF267" i="1"/>
  <c r="AV266" i="1"/>
  <c r="AF266" i="1"/>
  <c r="AV265" i="1"/>
  <c r="AF265" i="1"/>
  <c r="AV264" i="1"/>
  <c r="AF264" i="1"/>
  <c r="AV263" i="1"/>
  <c r="AF263" i="1"/>
  <c r="AV262" i="1"/>
  <c r="AF262" i="1"/>
  <c r="AV261" i="1"/>
  <c r="AF261" i="1"/>
  <c r="AV260" i="1"/>
  <c r="AF260" i="1"/>
  <c r="AV259" i="1"/>
  <c r="AF259" i="1"/>
  <c r="AV258" i="1"/>
  <c r="AF258" i="1"/>
  <c r="AV257" i="1"/>
  <c r="AF257" i="1"/>
  <c r="AV256" i="1"/>
  <c r="AF256" i="1"/>
  <c r="AV255" i="1"/>
  <c r="AF255" i="1"/>
  <c r="AV254" i="1"/>
  <c r="AF254" i="1"/>
  <c r="AV253" i="1"/>
  <c r="AF253" i="1"/>
  <c r="AV252" i="1"/>
  <c r="AF252" i="1"/>
  <c r="AV251" i="1"/>
  <c r="AF251" i="1"/>
  <c r="AV250" i="1"/>
  <c r="AF250" i="1"/>
  <c r="AV249" i="1"/>
  <c r="AF249" i="1"/>
  <c r="AV248" i="1"/>
  <c r="AF248" i="1"/>
  <c r="AV247" i="1"/>
  <c r="AF247" i="1"/>
  <c r="AV246" i="1"/>
  <c r="AF246" i="1"/>
  <c r="AV245" i="1"/>
  <c r="AF245" i="1"/>
  <c r="AV244" i="1"/>
  <c r="AF244" i="1"/>
  <c r="AV243" i="1"/>
  <c r="AF243" i="1"/>
  <c r="AV242" i="1"/>
  <c r="AF242" i="1"/>
  <c r="AV241" i="1"/>
  <c r="AF241" i="1"/>
  <c r="AV240" i="1"/>
  <c r="AF240" i="1"/>
  <c r="AV239" i="1"/>
  <c r="AF239" i="1"/>
  <c r="AV238" i="1"/>
  <c r="AF238" i="1"/>
  <c r="AV237" i="1"/>
  <c r="AF237" i="1"/>
  <c r="AV236" i="1"/>
  <c r="AF236" i="1"/>
  <c r="AV235" i="1"/>
  <c r="AF235" i="1"/>
  <c r="AV234" i="1"/>
  <c r="AF234" i="1"/>
  <c r="AV233" i="1"/>
  <c r="AF233" i="1"/>
  <c r="AV232" i="1"/>
  <c r="AF232" i="1"/>
  <c r="AV231" i="1"/>
  <c r="AF231" i="1"/>
  <c r="AV230" i="1"/>
  <c r="AF230" i="1"/>
  <c r="AV229" i="1"/>
  <c r="AF229" i="1"/>
  <c r="AV228" i="1"/>
  <c r="AF228" i="1"/>
  <c r="AV227" i="1"/>
  <c r="AF227" i="1"/>
  <c r="AV226" i="1"/>
  <c r="AF226" i="1"/>
  <c r="AV225" i="1"/>
  <c r="AF225" i="1"/>
  <c r="AV224" i="1"/>
  <c r="AF224" i="1"/>
  <c r="AV223" i="1"/>
  <c r="AF223" i="1"/>
  <c r="AV222" i="1"/>
  <c r="AF222" i="1"/>
  <c r="AV221" i="1"/>
  <c r="AF221" i="1"/>
  <c r="AV220" i="1"/>
  <c r="AF220" i="1"/>
  <c r="AV219" i="1"/>
  <c r="AF219" i="1"/>
  <c r="AV218" i="1"/>
  <c r="AF218" i="1"/>
  <c r="AV217" i="1"/>
  <c r="AF217" i="1"/>
  <c r="AV216" i="1"/>
  <c r="AF216" i="1"/>
  <c r="AV215" i="1"/>
  <c r="AF215" i="1"/>
  <c r="AV214" i="1"/>
  <c r="AF214" i="1"/>
  <c r="AV213" i="1"/>
  <c r="AF213" i="1"/>
  <c r="AV212" i="1"/>
  <c r="AF212" i="1"/>
  <c r="AV211" i="1"/>
  <c r="AF211" i="1"/>
  <c r="AV210" i="1"/>
  <c r="AF210" i="1"/>
  <c r="AV209" i="1"/>
  <c r="AF209" i="1"/>
  <c r="AV208" i="1"/>
  <c r="AF208" i="1"/>
  <c r="AV207" i="1"/>
  <c r="AF207" i="1"/>
  <c r="AV206" i="1"/>
  <c r="AF206" i="1"/>
  <c r="AV205" i="1"/>
  <c r="AF205" i="1"/>
  <c r="AV204" i="1"/>
  <c r="AF204" i="1"/>
  <c r="AV203" i="1"/>
  <c r="AF203" i="1"/>
  <c r="AV202" i="1"/>
  <c r="AF202" i="1"/>
  <c r="AV201" i="1"/>
  <c r="AF201" i="1"/>
  <c r="AV200" i="1"/>
  <c r="AF200" i="1"/>
  <c r="AV199" i="1"/>
  <c r="AF199" i="1"/>
  <c r="AV198" i="1"/>
  <c r="AF198" i="1"/>
  <c r="AV197" i="1"/>
  <c r="AF197" i="1"/>
  <c r="BM197" i="1"/>
  <c r="BN197" i="1" s="1"/>
  <c r="AV196" i="1"/>
  <c r="AF196" i="1"/>
  <c r="BM196" i="1"/>
  <c r="BN196" i="1" s="1"/>
  <c r="AV195" i="1"/>
  <c r="AF195" i="1"/>
  <c r="BM195" i="1"/>
  <c r="BN195" i="1" s="1"/>
  <c r="AV194" i="1"/>
  <c r="AF194" i="1"/>
  <c r="BM194" i="1"/>
  <c r="BN194" i="1" s="1"/>
  <c r="AV193" i="1"/>
  <c r="AF193" i="1"/>
  <c r="BM193" i="1"/>
  <c r="BN193" i="1" s="1"/>
  <c r="AV192" i="1"/>
  <c r="AF192" i="1"/>
  <c r="BM192" i="1"/>
  <c r="BN192" i="1" s="1"/>
  <c r="AV191" i="1"/>
  <c r="AF191" i="1"/>
  <c r="BM191" i="1"/>
  <c r="BN191" i="1" s="1"/>
  <c r="AV190" i="1"/>
  <c r="AF190" i="1"/>
  <c r="BM190" i="1"/>
  <c r="BN190" i="1" s="1"/>
  <c r="AV189" i="1"/>
  <c r="AF189" i="1"/>
  <c r="BM189" i="1"/>
  <c r="BN189" i="1" s="1"/>
  <c r="AV188" i="1"/>
  <c r="AF188" i="1"/>
  <c r="BM188" i="1"/>
  <c r="BN188" i="1" s="1"/>
  <c r="AV187" i="1"/>
  <c r="AF187" i="1"/>
  <c r="BM187" i="1"/>
  <c r="BN187" i="1" s="1"/>
  <c r="AV186" i="1"/>
  <c r="AF186" i="1"/>
  <c r="BM186" i="1"/>
  <c r="BN186" i="1" s="1"/>
  <c r="AV185" i="1"/>
  <c r="AF185" i="1"/>
  <c r="BM185" i="1"/>
  <c r="BN185" i="1" s="1"/>
  <c r="AV184" i="1"/>
  <c r="AF184" i="1"/>
  <c r="BM184" i="1"/>
  <c r="BN184" i="1" s="1"/>
  <c r="AV183" i="1"/>
  <c r="AF183" i="1"/>
  <c r="BM183" i="1"/>
  <c r="BN183" i="1" s="1"/>
  <c r="AV182" i="1"/>
  <c r="AF182" i="1"/>
  <c r="BM182" i="1"/>
  <c r="BN182" i="1" s="1"/>
  <c r="AV181" i="1"/>
  <c r="AF181" i="1"/>
  <c r="BM181" i="1"/>
  <c r="BN181" i="1" s="1"/>
  <c r="AV180" i="1"/>
  <c r="AF180" i="1"/>
  <c r="BM180" i="1"/>
  <c r="BN180" i="1" s="1"/>
  <c r="AV179" i="1"/>
  <c r="AF179" i="1"/>
  <c r="BM179" i="1"/>
  <c r="BN179" i="1" s="1"/>
  <c r="AV178" i="1"/>
  <c r="AF178" i="1"/>
  <c r="BM178" i="1"/>
  <c r="BN178" i="1" s="1"/>
  <c r="AV177" i="1"/>
  <c r="AF177" i="1"/>
  <c r="BM177" i="1"/>
  <c r="BN177" i="1" s="1"/>
  <c r="AV176" i="1"/>
  <c r="AF176" i="1"/>
  <c r="BM176" i="1"/>
  <c r="BN176" i="1" s="1"/>
  <c r="AV175" i="1"/>
  <c r="AF175" i="1"/>
  <c r="BM175" i="1"/>
  <c r="BN175" i="1" s="1"/>
  <c r="AV174" i="1"/>
  <c r="AF174" i="1"/>
  <c r="BM174" i="1"/>
  <c r="BN174" i="1" s="1"/>
  <c r="AV173" i="1"/>
  <c r="AF173" i="1"/>
  <c r="BM173" i="1"/>
  <c r="BN173" i="1" s="1"/>
  <c r="AV172" i="1"/>
  <c r="AF172" i="1"/>
  <c r="BM172" i="1"/>
  <c r="BN172" i="1" s="1"/>
  <c r="AV171" i="1"/>
  <c r="AF171" i="1"/>
  <c r="BM171" i="1"/>
  <c r="BN171" i="1" s="1"/>
  <c r="AV170" i="1"/>
  <c r="AF170" i="1"/>
  <c r="BM170" i="1"/>
  <c r="BN170" i="1" s="1"/>
  <c r="AV169" i="1"/>
  <c r="AF169" i="1"/>
  <c r="BM169" i="1"/>
  <c r="BN169" i="1" s="1"/>
  <c r="AV168" i="1"/>
  <c r="AF168" i="1"/>
  <c r="BM168" i="1"/>
  <c r="BN168" i="1" s="1"/>
  <c r="AV167" i="1"/>
  <c r="AF167" i="1"/>
  <c r="BM167" i="1"/>
  <c r="BN167" i="1" s="1"/>
  <c r="AV166" i="1"/>
  <c r="AF166" i="1"/>
  <c r="BM166" i="1"/>
  <c r="BN166" i="1" s="1"/>
  <c r="AV165" i="1"/>
  <c r="AF165" i="1"/>
  <c r="BM165" i="1"/>
  <c r="BN165" i="1" s="1"/>
  <c r="AV164" i="1"/>
  <c r="AF164" i="1"/>
  <c r="BM164" i="1"/>
  <c r="BN164" i="1" s="1"/>
  <c r="AV163" i="1"/>
  <c r="AF163" i="1"/>
  <c r="BM163" i="1"/>
  <c r="BN163" i="1" s="1"/>
  <c r="AV162" i="1"/>
  <c r="AF162" i="1"/>
  <c r="BM162" i="1"/>
  <c r="BN162" i="1" s="1"/>
  <c r="AV161" i="1"/>
  <c r="AF161" i="1"/>
  <c r="BM161" i="1"/>
  <c r="BN161" i="1" s="1"/>
  <c r="AV160" i="1"/>
  <c r="AF160" i="1"/>
  <c r="BM160" i="1"/>
  <c r="BN160" i="1" s="1"/>
  <c r="AV159" i="1"/>
  <c r="AF159" i="1"/>
  <c r="BM159" i="1"/>
  <c r="BN159" i="1" s="1"/>
  <c r="AV158" i="1"/>
  <c r="AF158" i="1"/>
  <c r="BM158" i="1"/>
  <c r="BN158" i="1" s="1"/>
  <c r="AV157" i="1"/>
  <c r="AF157" i="1"/>
  <c r="BM157" i="1"/>
  <c r="BN157" i="1" s="1"/>
  <c r="AV156" i="1"/>
  <c r="AF156" i="1"/>
  <c r="BM156" i="1"/>
  <c r="BN156" i="1" s="1"/>
  <c r="AV155" i="1"/>
  <c r="AF155" i="1"/>
  <c r="BM155" i="1"/>
  <c r="BN155" i="1" s="1"/>
  <c r="AV154" i="1"/>
  <c r="AF154" i="1"/>
  <c r="BM154" i="1"/>
  <c r="BN154" i="1" s="1"/>
  <c r="AV153" i="1"/>
  <c r="AF153" i="1"/>
  <c r="BM153" i="1"/>
  <c r="BN153" i="1" s="1"/>
  <c r="AV152" i="1"/>
  <c r="AF152" i="1"/>
  <c r="BM152" i="1"/>
  <c r="BN152" i="1" s="1"/>
  <c r="AV151" i="1"/>
  <c r="AF151" i="1"/>
  <c r="BM151" i="1"/>
  <c r="BN151" i="1" s="1"/>
  <c r="AV150" i="1"/>
  <c r="AF150" i="1"/>
  <c r="BM150" i="1"/>
  <c r="BN150" i="1" s="1"/>
  <c r="AV149" i="1"/>
  <c r="AF149" i="1"/>
  <c r="BM149" i="1"/>
  <c r="BN149" i="1" s="1"/>
  <c r="AV148" i="1"/>
  <c r="AF148" i="1"/>
  <c r="BM148" i="1"/>
  <c r="BN148" i="1" s="1"/>
  <c r="AV147" i="1"/>
  <c r="AF147" i="1"/>
  <c r="BM147" i="1"/>
  <c r="BN147" i="1" s="1"/>
  <c r="AV146" i="1"/>
  <c r="AF146" i="1"/>
  <c r="BM146" i="1"/>
  <c r="BN146" i="1" s="1"/>
  <c r="AV145" i="1"/>
  <c r="AF145" i="1"/>
  <c r="BM145" i="1"/>
  <c r="BN145" i="1" s="1"/>
  <c r="AV144" i="1"/>
  <c r="AF144" i="1"/>
  <c r="BM144" i="1"/>
  <c r="BN144" i="1" s="1"/>
  <c r="AV143" i="1"/>
  <c r="AF143" i="1"/>
  <c r="BM143" i="1"/>
  <c r="BN143" i="1" s="1"/>
  <c r="AV142" i="1"/>
  <c r="AF142" i="1"/>
  <c r="BM142" i="1"/>
  <c r="BN142" i="1" s="1"/>
  <c r="AV141" i="1"/>
  <c r="AF141" i="1"/>
  <c r="BM141" i="1"/>
  <c r="BN141" i="1" s="1"/>
  <c r="AV140" i="1"/>
  <c r="AF140" i="1"/>
  <c r="BM140" i="1"/>
  <c r="BN140" i="1" s="1"/>
  <c r="AV139" i="1"/>
  <c r="AF139" i="1"/>
  <c r="BM139" i="1"/>
  <c r="BN139" i="1" s="1"/>
  <c r="AV138" i="1"/>
  <c r="AF138" i="1"/>
  <c r="BM138" i="1"/>
  <c r="BN138" i="1" s="1"/>
  <c r="AV137" i="1"/>
  <c r="AF137" i="1"/>
  <c r="BM137" i="1"/>
  <c r="BN137" i="1" s="1"/>
  <c r="AV136" i="1"/>
  <c r="AF136" i="1"/>
  <c r="BM136" i="1"/>
  <c r="BN136" i="1" s="1"/>
  <c r="AV135" i="1"/>
  <c r="AF135" i="1"/>
  <c r="BM135" i="1"/>
  <c r="BN135" i="1" s="1"/>
  <c r="AV134" i="1"/>
  <c r="AF134" i="1"/>
  <c r="BM134" i="1"/>
  <c r="BN134" i="1" s="1"/>
  <c r="AV133" i="1"/>
  <c r="AF133" i="1"/>
  <c r="BM133" i="1"/>
  <c r="BN133" i="1" s="1"/>
  <c r="AV132" i="1"/>
  <c r="AF132" i="1"/>
  <c r="BM132" i="1"/>
  <c r="BN132" i="1" s="1"/>
  <c r="AV131" i="1"/>
  <c r="AF131" i="1"/>
  <c r="BM131" i="1"/>
  <c r="BN131" i="1" s="1"/>
  <c r="AV130" i="1"/>
  <c r="AF130" i="1"/>
  <c r="BM130" i="1"/>
  <c r="BN130" i="1" s="1"/>
  <c r="AV129" i="1"/>
  <c r="AF129" i="1"/>
  <c r="BM129" i="1"/>
  <c r="BN129" i="1" s="1"/>
  <c r="AV128" i="1"/>
  <c r="AF128" i="1"/>
  <c r="BM128" i="1"/>
  <c r="BN128" i="1" s="1"/>
  <c r="AV127" i="1"/>
  <c r="AF127" i="1"/>
  <c r="BM127" i="1"/>
  <c r="BN127" i="1" s="1"/>
  <c r="AV126" i="1"/>
  <c r="AF126" i="1"/>
  <c r="BM126" i="1"/>
  <c r="BN126" i="1" s="1"/>
  <c r="AV125" i="1"/>
  <c r="AF125" i="1"/>
  <c r="BM125" i="1"/>
  <c r="BN125" i="1" s="1"/>
  <c r="AV124" i="1"/>
  <c r="AF124" i="1"/>
  <c r="BM124" i="1"/>
  <c r="BN124" i="1" s="1"/>
  <c r="AV123" i="1"/>
  <c r="AF123" i="1"/>
  <c r="BM123" i="1"/>
  <c r="BN123" i="1" s="1"/>
  <c r="AV122" i="1"/>
  <c r="AF122" i="1"/>
  <c r="BM122" i="1"/>
  <c r="BN122" i="1" s="1"/>
  <c r="AV121" i="1"/>
  <c r="AF121" i="1"/>
  <c r="BM121" i="1"/>
  <c r="BN121" i="1" s="1"/>
  <c r="AV120" i="1"/>
  <c r="AF120" i="1"/>
  <c r="BM120" i="1"/>
  <c r="BN120" i="1" s="1"/>
  <c r="AV119" i="1"/>
  <c r="AF119" i="1"/>
  <c r="BM119" i="1"/>
  <c r="BN119" i="1" s="1"/>
  <c r="AV118" i="1"/>
  <c r="AF118" i="1"/>
  <c r="BM118" i="1"/>
  <c r="BN118" i="1" s="1"/>
  <c r="AV117" i="1"/>
  <c r="AF117" i="1"/>
  <c r="BM117" i="1"/>
  <c r="BN117" i="1" s="1"/>
  <c r="AV116" i="1"/>
  <c r="AF116" i="1"/>
  <c r="BM116" i="1"/>
  <c r="BN116" i="1" s="1"/>
  <c r="AV115" i="1"/>
  <c r="AF115" i="1"/>
  <c r="BM115" i="1"/>
  <c r="BN115" i="1" s="1"/>
  <c r="AV114" i="1"/>
  <c r="AF114" i="1"/>
  <c r="BM114" i="1"/>
  <c r="BN114" i="1" s="1"/>
  <c r="AV113" i="1"/>
  <c r="AF113" i="1"/>
  <c r="BM113" i="1"/>
  <c r="BN113" i="1" s="1"/>
  <c r="AV112" i="1"/>
  <c r="AF112" i="1"/>
  <c r="BM112" i="1"/>
  <c r="BN112" i="1" s="1"/>
  <c r="AV111" i="1"/>
  <c r="AF111" i="1"/>
  <c r="BM111" i="1"/>
  <c r="BN111" i="1" s="1"/>
  <c r="AV110" i="1"/>
  <c r="AF110" i="1"/>
  <c r="BM110" i="1"/>
  <c r="BN110" i="1" s="1"/>
  <c r="AV109" i="1"/>
  <c r="AF109" i="1"/>
  <c r="BM109" i="1"/>
  <c r="BN109" i="1" s="1"/>
  <c r="AV108" i="1"/>
  <c r="AF108" i="1"/>
  <c r="BM108" i="1"/>
  <c r="BN108" i="1" s="1"/>
  <c r="AV107" i="1"/>
  <c r="AF107" i="1"/>
  <c r="BM107" i="1"/>
  <c r="BN107" i="1" s="1"/>
  <c r="AV106" i="1"/>
  <c r="AF106" i="1"/>
  <c r="BM106" i="1"/>
  <c r="BN106" i="1" s="1"/>
  <c r="AV105" i="1"/>
  <c r="AF105" i="1"/>
  <c r="BM105" i="1"/>
  <c r="BN105" i="1" s="1"/>
  <c r="AV104" i="1"/>
  <c r="AF104" i="1"/>
  <c r="BM104" i="1"/>
  <c r="BN104" i="1" s="1"/>
  <c r="AV103" i="1"/>
  <c r="AF103" i="1"/>
  <c r="BM103" i="1"/>
  <c r="BN103" i="1" s="1"/>
  <c r="AV102" i="1"/>
  <c r="AF102" i="1"/>
  <c r="BM102" i="1"/>
  <c r="BN102" i="1" s="1"/>
  <c r="AV101" i="1"/>
  <c r="AF101" i="1"/>
  <c r="BM101" i="1"/>
  <c r="BN101" i="1" s="1"/>
  <c r="AV100" i="1"/>
  <c r="AF100" i="1"/>
  <c r="BM100" i="1"/>
  <c r="BN100" i="1" s="1"/>
  <c r="AV99" i="1"/>
  <c r="AF99" i="1"/>
  <c r="BM99" i="1"/>
  <c r="BN99" i="1" s="1"/>
  <c r="AV98" i="1"/>
  <c r="AF98" i="1"/>
  <c r="BM98" i="1"/>
  <c r="BN98" i="1" s="1"/>
  <c r="AV97" i="1"/>
  <c r="AF97" i="1"/>
  <c r="BM97" i="1"/>
  <c r="BN97" i="1" s="1"/>
  <c r="AV96" i="1"/>
  <c r="AF96" i="1"/>
  <c r="BM96" i="1"/>
  <c r="BN96" i="1" s="1"/>
  <c r="AV95" i="1"/>
  <c r="AF95" i="1"/>
  <c r="BM95" i="1"/>
  <c r="BN95" i="1" s="1"/>
  <c r="AV94" i="1"/>
  <c r="AF94" i="1"/>
  <c r="BM94" i="1"/>
  <c r="BN94" i="1" s="1"/>
  <c r="AV93" i="1"/>
  <c r="AF93" i="1"/>
  <c r="BM93" i="1"/>
  <c r="BN93" i="1" s="1"/>
  <c r="AV92" i="1"/>
  <c r="AF92" i="1"/>
  <c r="BM92" i="1"/>
  <c r="BN92" i="1" s="1"/>
  <c r="AV91" i="1"/>
  <c r="AF91" i="1"/>
  <c r="BM91" i="1"/>
  <c r="BN91" i="1" s="1"/>
  <c r="AV90" i="1"/>
  <c r="AF90" i="1"/>
  <c r="BM90" i="1"/>
  <c r="BN90" i="1" s="1"/>
  <c r="AV89" i="1"/>
  <c r="AF89" i="1"/>
  <c r="BM89" i="1"/>
  <c r="BN89" i="1" s="1"/>
  <c r="AV88" i="1"/>
  <c r="AF88" i="1"/>
  <c r="BM88" i="1"/>
  <c r="BN88" i="1" s="1"/>
  <c r="AV87" i="1"/>
  <c r="AF87" i="1"/>
  <c r="BM87" i="1"/>
  <c r="BN87" i="1" s="1"/>
  <c r="AV86" i="1"/>
  <c r="AF86" i="1"/>
  <c r="BM86" i="1"/>
  <c r="BN86" i="1" s="1"/>
  <c r="AV85" i="1"/>
  <c r="AF85" i="1"/>
  <c r="BM85" i="1"/>
  <c r="BN85" i="1" s="1"/>
  <c r="AV84" i="1"/>
  <c r="AF84" i="1"/>
  <c r="BM84" i="1"/>
  <c r="BN84" i="1" s="1"/>
  <c r="AV83" i="1"/>
  <c r="AF83" i="1"/>
  <c r="BM83" i="1"/>
  <c r="BN83" i="1" s="1"/>
  <c r="AV82" i="1"/>
  <c r="AF82" i="1"/>
  <c r="BM82" i="1"/>
  <c r="BN82" i="1" s="1"/>
  <c r="AV81" i="1"/>
  <c r="AF81" i="1"/>
  <c r="BM81" i="1"/>
  <c r="BN81" i="1" s="1"/>
  <c r="AV80" i="1"/>
  <c r="AF80" i="1"/>
  <c r="BM80" i="1"/>
  <c r="BN80" i="1" s="1"/>
  <c r="AV79" i="1"/>
  <c r="AF79" i="1"/>
  <c r="BM79" i="1"/>
  <c r="BN79" i="1" s="1"/>
  <c r="AV78" i="1"/>
  <c r="AF78" i="1"/>
  <c r="BM78" i="1"/>
  <c r="BN78" i="1" s="1"/>
  <c r="AV77" i="1"/>
  <c r="AF77" i="1"/>
  <c r="BM77" i="1"/>
  <c r="BN77" i="1" s="1"/>
  <c r="AV76" i="1"/>
  <c r="AF76" i="1"/>
  <c r="BM76" i="1"/>
  <c r="BN76" i="1" s="1"/>
  <c r="AV75" i="1"/>
  <c r="AF75" i="1"/>
  <c r="BM75" i="1"/>
  <c r="BN75" i="1" s="1"/>
  <c r="AV74" i="1"/>
  <c r="AF74" i="1"/>
  <c r="BM74" i="1"/>
  <c r="BN74" i="1" s="1"/>
  <c r="AV73" i="1"/>
  <c r="AF73" i="1"/>
  <c r="BM73" i="1"/>
  <c r="BN73" i="1" s="1"/>
  <c r="AV72" i="1"/>
  <c r="AF72" i="1"/>
  <c r="BM72" i="1"/>
  <c r="BN72" i="1" s="1"/>
  <c r="AV71" i="1"/>
  <c r="AF71" i="1"/>
  <c r="BM71" i="1"/>
  <c r="BN71" i="1" s="1"/>
  <c r="AV70" i="1"/>
  <c r="AF70" i="1"/>
  <c r="BM70" i="1"/>
  <c r="BN70" i="1" s="1"/>
  <c r="AV69" i="1"/>
  <c r="AF69" i="1"/>
  <c r="BM69" i="1"/>
  <c r="BN69" i="1" s="1"/>
  <c r="AV68" i="1"/>
  <c r="AF68" i="1"/>
  <c r="BM68" i="1"/>
  <c r="BN68" i="1" s="1"/>
  <c r="AV67" i="1"/>
  <c r="AF67" i="1"/>
  <c r="BM67" i="1"/>
  <c r="BN67" i="1" s="1"/>
  <c r="AV66" i="1"/>
  <c r="AF66" i="1"/>
  <c r="BM66" i="1"/>
  <c r="BN66" i="1" s="1"/>
  <c r="AV65" i="1"/>
  <c r="AF65" i="1"/>
  <c r="BM65" i="1"/>
  <c r="BN65" i="1" s="1"/>
  <c r="AV64" i="1"/>
  <c r="AF64" i="1"/>
  <c r="BM64" i="1"/>
  <c r="BN64" i="1" s="1"/>
  <c r="AV63" i="1"/>
  <c r="AF63" i="1"/>
  <c r="BM63" i="1"/>
  <c r="BN63" i="1" s="1"/>
  <c r="AV62" i="1"/>
  <c r="AF62" i="1"/>
  <c r="BM62" i="1"/>
  <c r="BN62" i="1" s="1"/>
  <c r="AV61" i="1"/>
  <c r="AF61" i="1"/>
  <c r="BM61" i="1"/>
  <c r="BN61" i="1" s="1"/>
  <c r="AV60" i="1"/>
  <c r="AF60" i="1"/>
  <c r="BM60" i="1"/>
  <c r="BN60" i="1" s="1"/>
  <c r="AV59" i="1"/>
  <c r="AF59" i="1"/>
  <c r="BM59" i="1"/>
  <c r="BN59" i="1" s="1"/>
  <c r="AV58" i="1"/>
  <c r="AF58" i="1"/>
  <c r="BM58" i="1"/>
  <c r="BN58" i="1" s="1"/>
  <c r="AV57" i="1"/>
  <c r="AF57" i="1"/>
  <c r="BM57" i="1"/>
  <c r="BN57" i="1" s="1"/>
  <c r="AV56" i="1"/>
  <c r="AF56" i="1"/>
  <c r="BM56" i="1"/>
  <c r="BN56" i="1" s="1"/>
  <c r="AV55" i="1"/>
  <c r="AF55" i="1"/>
  <c r="BM55" i="1"/>
  <c r="BN55" i="1" s="1"/>
  <c r="AV54" i="1"/>
  <c r="AF54" i="1"/>
  <c r="BM54" i="1"/>
  <c r="BN54" i="1" s="1"/>
  <c r="AV53" i="1"/>
  <c r="AF53" i="1"/>
  <c r="BM53" i="1"/>
  <c r="BN53" i="1" s="1"/>
  <c r="AV52" i="1"/>
  <c r="AF52" i="1"/>
  <c r="BM52" i="1"/>
  <c r="BN52" i="1" s="1"/>
  <c r="AV51" i="1"/>
  <c r="AF51" i="1"/>
  <c r="BM51" i="1"/>
  <c r="BN51" i="1" s="1"/>
  <c r="AV50" i="1"/>
  <c r="AF50" i="1"/>
  <c r="BM50" i="1"/>
  <c r="BN50" i="1" s="1"/>
  <c r="AV49" i="1"/>
  <c r="AF49" i="1"/>
  <c r="BM49" i="1"/>
  <c r="BN49" i="1" s="1"/>
  <c r="AV48" i="1"/>
  <c r="AF48" i="1"/>
  <c r="BM48" i="1"/>
  <c r="BN48" i="1" s="1"/>
  <c r="AV47" i="1"/>
  <c r="AF47" i="1"/>
  <c r="BM47" i="1"/>
  <c r="BN47" i="1" s="1"/>
  <c r="AV46" i="1"/>
  <c r="AF46" i="1"/>
  <c r="BM46" i="1"/>
  <c r="BN46" i="1" s="1"/>
  <c r="AV45" i="1"/>
  <c r="AF45" i="1"/>
  <c r="BM45" i="1"/>
  <c r="BN45" i="1" s="1"/>
  <c r="AV44" i="1"/>
  <c r="AF44" i="1"/>
  <c r="BM44" i="1"/>
  <c r="BN44" i="1" s="1"/>
  <c r="AV43" i="1"/>
  <c r="AF43" i="1"/>
  <c r="BM43" i="1"/>
  <c r="BN43" i="1" s="1"/>
  <c r="AV42" i="1"/>
  <c r="AF42" i="1"/>
  <c r="BM42" i="1"/>
  <c r="BN42" i="1" s="1"/>
  <c r="AV41" i="1"/>
  <c r="AF41" i="1"/>
  <c r="BM41" i="1"/>
  <c r="BN41" i="1" s="1"/>
  <c r="AV40" i="1"/>
  <c r="AF40" i="1"/>
  <c r="BM40" i="1"/>
  <c r="BN40" i="1" s="1"/>
  <c r="AV39" i="1"/>
  <c r="AF39" i="1"/>
  <c r="BM39" i="1"/>
  <c r="BN39" i="1" s="1"/>
  <c r="AV38" i="1"/>
  <c r="AF38" i="1"/>
  <c r="BM38" i="1"/>
  <c r="BN38" i="1" s="1"/>
  <c r="AV37" i="1"/>
  <c r="AF37" i="1"/>
  <c r="BM37" i="1"/>
  <c r="BN37" i="1" s="1"/>
  <c r="AV36" i="1"/>
  <c r="AF36" i="1"/>
  <c r="BM36" i="1"/>
  <c r="BN36" i="1" s="1"/>
  <c r="AV35" i="1"/>
  <c r="AF35" i="1"/>
  <c r="BM35" i="1"/>
  <c r="BN35" i="1" s="1"/>
  <c r="AV34" i="1"/>
  <c r="AF34" i="1"/>
  <c r="BM34" i="1"/>
  <c r="BN34" i="1" s="1"/>
  <c r="AV33" i="1"/>
  <c r="AF33" i="1"/>
  <c r="BM33" i="1"/>
  <c r="BN33" i="1" s="1"/>
  <c r="AV32" i="1"/>
  <c r="AF32" i="1"/>
  <c r="BM32" i="1"/>
  <c r="BN32" i="1" s="1"/>
  <c r="AV31" i="1"/>
  <c r="AF31" i="1"/>
  <c r="BM31" i="1"/>
  <c r="BN31" i="1" s="1"/>
  <c r="AV30" i="1"/>
  <c r="AF30" i="1"/>
  <c r="BM30" i="1"/>
  <c r="BN30" i="1" s="1"/>
  <c r="AV29" i="1"/>
  <c r="AF29" i="1"/>
  <c r="BM29" i="1"/>
  <c r="BN29" i="1" s="1"/>
  <c r="AV28" i="1"/>
  <c r="AF28" i="1"/>
  <c r="BM28" i="1"/>
  <c r="BN28" i="1" s="1"/>
  <c r="AV27" i="1"/>
  <c r="AF27" i="1"/>
  <c r="BM27" i="1"/>
  <c r="BN27" i="1" s="1"/>
  <c r="AV26" i="1"/>
  <c r="AF26" i="1"/>
  <c r="BM26" i="1"/>
  <c r="BN26" i="1" s="1"/>
  <c r="AV25" i="1"/>
  <c r="AF25" i="1"/>
  <c r="BM25" i="1"/>
  <c r="BN25" i="1" s="1"/>
  <c r="AV24" i="1"/>
  <c r="AF24" i="1"/>
  <c r="BM24" i="1"/>
  <c r="BN24" i="1" s="1"/>
  <c r="AV23" i="1"/>
  <c r="AF23" i="1"/>
  <c r="BM23" i="1"/>
  <c r="BN23" i="1" s="1"/>
  <c r="AV22" i="1"/>
  <c r="AF22" i="1"/>
  <c r="BM22" i="1"/>
  <c r="BN22" i="1" s="1"/>
  <c r="AV21" i="1"/>
  <c r="AF21" i="1"/>
  <c r="BM21" i="1"/>
  <c r="BN21" i="1" s="1"/>
  <c r="AV20" i="1"/>
  <c r="AF20" i="1"/>
  <c r="BM20" i="1"/>
  <c r="BN20" i="1" s="1"/>
  <c r="AV19" i="1"/>
  <c r="AF19" i="1"/>
  <c r="BM19" i="1"/>
  <c r="BN19" i="1" s="1"/>
  <c r="AV18" i="1"/>
  <c r="AF18" i="1"/>
  <c r="BM18" i="1"/>
  <c r="BN18" i="1" s="1"/>
  <c r="AV17" i="1"/>
  <c r="AF17" i="1"/>
  <c r="BM17" i="1"/>
  <c r="BN17" i="1" s="1"/>
  <c r="AV15" i="1"/>
  <c r="AF15" i="1"/>
  <c r="BM15" i="1"/>
  <c r="BN15" i="1" s="1"/>
  <c r="AV14" i="1"/>
  <c r="AF14" i="1"/>
  <c r="BM14" i="1"/>
  <c r="BN14" i="1" s="1"/>
  <c r="AV13" i="1"/>
  <c r="AF13" i="1"/>
  <c r="BM13" i="1"/>
  <c r="BN13" i="1" s="1"/>
  <c r="AV12" i="1"/>
  <c r="AF12" i="1"/>
  <c r="BM12" i="1"/>
  <c r="BN12" i="1" s="1"/>
  <c r="AV11" i="1"/>
  <c r="AF11" i="1"/>
  <c r="BM11" i="1"/>
  <c r="BN11" i="1" s="1"/>
  <c r="AV10" i="1"/>
  <c r="AF10" i="1"/>
  <c r="BM10" i="1"/>
  <c r="BN10" i="1" s="1"/>
  <c r="AV9" i="1"/>
  <c r="AF9" i="1"/>
  <c r="BM9" i="1"/>
  <c r="BN9" i="1" s="1"/>
  <c r="AV8" i="1"/>
  <c r="AF8" i="1"/>
  <c r="BM8" i="1"/>
  <c r="BN8" i="1" s="1"/>
  <c r="AV7" i="1"/>
  <c r="AF7" i="1"/>
  <c r="BM7" i="1"/>
  <c r="BN7" i="1" s="1"/>
  <c r="BN6" i="1"/>
  <c r="AV6" i="1"/>
  <c r="BL523" i="1"/>
  <c r="BE523" i="1"/>
  <c r="AX523" i="1"/>
  <c r="AP523" i="1"/>
  <c r="AQ523" i="1" s="1"/>
  <c r="AR523" i="1" s="1"/>
  <c r="AF523" i="1"/>
  <c r="AV523" i="1"/>
  <c r="BM523" i="1"/>
  <c r="BN523" i="1" s="1"/>
  <c r="BF523" i="1"/>
  <c r="BG523" i="1" s="1"/>
  <c r="BH523" i="1" s="1"/>
  <c r="BJ523" i="1"/>
  <c r="BA523" i="1"/>
  <c r="AT523" i="1"/>
  <c r="AO523" i="1"/>
  <c r="BI523" i="1"/>
  <c r="AW523" i="1"/>
  <c r="BB523" i="1"/>
  <c r="AS523" i="1"/>
  <c r="AG523" i="1"/>
  <c r="AH523" i="1"/>
  <c r="BL522" i="1"/>
  <c r="BE522" i="1"/>
  <c r="AP522" i="1"/>
  <c r="AQ522" i="1" s="1"/>
  <c r="AR522" i="1" s="1"/>
  <c r="AX522" i="1"/>
  <c r="AV522" i="1"/>
  <c r="AF522" i="1"/>
  <c r="BM522" i="1"/>
  <c r="BN522" i="1" s="1"/>
  <c r="BF522" i="1"/>
  <c r="BG522" i="1" s="1"/>
  <c r="BH522" i="1" s="1"/>
  <c r="BJ522" i="1"/>
  <c r="AW522" i="1"/>
  <c r="BB522" i="1"/>
  <c r="AS522" i="1"/>
  <c r="AO522" i="1"/>
  <c r="BI522" i="1"/>
  <c r="BA522" i="1"/>
  <c r="AT522" i="1"/>
  <c r="AH522" i="1"/>
  <c r="AG522" i="1"/>
  <c r="BL521" i="1"/>
  <c r="BE521" i="1"/>
  <c r="AX521" i="1"/>
  <c r="AP521" i="1"/>
  <c r="AQ521" i="1" s="1"/>
  <c r="AR521" i="1" s="1"/>
  <c r="AF521" i="1"/>
  <c r="AV521" i="1"/>
  <c r="BM521" i="1"/>
  <c r="BN521" i="1" s="1"/>
  <c r="BF521" i="1"/>
  <c r="BG521" i="1" s="1"/>
  <c r="BH521" i="1" s="1"/>
  <c r="BJ521" i="1"/>
  <c r="BA521" i="1"/>
  <c r="AT521" i="1"/>
  <c r="AO521" i="1"/>
  <c r="BI521" i="1"/>
  <c r="AW521" i="1"/>
  <c r="BB521" i="1"/>
  <c r="AS521" i="1"/>
  <c r="AG521" i="1"/>
  <c r="AH521" i="1"/>
  <c r="BL520" i="1"/>
  <c r="BE520" i="1"/>
  <c r="AP520" i="1"/>
  <c r="AQ520" i="1" s="1"/>
  <c r="AR520" i="1" s="1"/>
  <c r="AX520" i="1"/>
  <c r="AV520" i="1"/>
  <c r="AF520" i="1"/>
  <c r="BM520" i="1"/>
  <c r="BN520" i="1" s="1"/>
  <c r="BF520" i="1"/>
  <c r="BG520" i="1" s="1"/>
  <c r="BH520" i="1" s="1"/>
  <c r="BJ520" i="1"/>
  <c r="AW520" i="1"/>
  <c r="BB520" i="1"/>
  <c r="AS520" i="1"/>
  <c r="AO520" i="1"/>
  <c r="BI520" i="1"/>
  <c r="BA520" i="1"/>
  <c r="AT520" i="1"/>
  <c r="AH520" i="1"/>
  <c r="AG520" i="1"/>
  <c r="BL519" i="1"/>
  <c r="AP519" i="1"/>
  <c r="AQ519" i="1" s="1"/>
  <c r="AR519" i="1" s="1"/>
  <c r="BE519" i="1"/>
  <c r="AX519" i="1"/>
  <c r="AV519" i="1"/>
  <c r="AF519" i="1"/>
  <c r="BM519" i="1"/>
  <c r="BN519" i="1" s="1"/>
  <c r="BI519" i="1"/>
  <c r="AW519" i="1"/>
  <c r="BB519" i="1"/>
  <c r="AS519" i="1"/>
  <c r="BF519" i="1"/>
  <c r="BG519" i="1" s="1"/>
  <c r="BH519" i="1" s="1"/>
  <c r="BJ519" i="1"/>
  <c r="BA519" i="1"/>
  <c r="AT519" i="1"/>
  <c r="AO519" i="1"/>
  <c r="AG519" i="1"/>
  <c r="AH519" i="1"/>
  <c r="AI519" i="1" s="1"/>
  <c r="AJ519" i="1" s="1"/>
  <c r="BL518" i="1"/>
  <c r="BE518" i="1"/>
  <c r="AP518" i="1"/>
  <c r="AQ518" i="1" s="1"/>
  <c r="AR518" i="1" s="1"/>
  <c r="AX518" i="1"/>
  <c r="AV518" i="1"/>
  <c r="AF518" i="1"/>
  <c r="BM518" i="1"/>
  <c r="BN518" i="1" s="1"/>
  <c r="BF518" i="1"/>
  <c r="BG518" i="1" s="1"/>
  <c r="BH518" i="1" s="1"/>
  <c r="BJ518" i="1"/>
  <c r="AW518" i="1"/>
  <c r="BB518" i="1"/>
  <c r="AS518" i="1"/>
  <c r="AO518" i="1"/>
  <c r="BI518" i="1"/>
  <c r="BA518" i="1"/>
  <c r="AT518" i="1"/>
  <c r="AH518" i="1"/>
  <c r="AG518" i="1"/>
  <c r="BL517" i="1"/>
  <c r="BE517" i="1"/>
  <c r="AX517" i="1"/>
  <c r="AP517" i="1"/>
  <c r="AQ517" i="1" s="1"/>
  <c r="AR517" i="1" s="1"/>
  <c r="AF517" i="1"/>
  <c r="AV517" i="1"/>
  <c r="BM517" i="1"/>
  <c r="BN517" i="1" s="1"/>
  <c r="BF517" i="1"/>
  <c r="BG517" i="1" s="1"/>
  <c r="BH517" i="1" s="1"/>
  <c r="BJ517" i="1"/>
  <c r="BA517" i="1"/>
  <c r="AT517" i="1"/>
  <c r="AO517" i="1"/>
  <c r="BI517" i="1"/>
  <c r="AW517" i="1"/>
  <c r="BB517" i="1"/>
  <c r="AS517" i="1"/>
  <c r="AG517" i="1"/>
  <c r="AH517" i="1"/>
  <c r="BL516" i="1"/>
  <c r="BE516" i="1"/>
  <c r="AP516" i="1"/>
  <c r="AQ516" i="1" s="1"/>
  <c r="AR516" i="1" s="1"/>
  <c r="AX516" i="1"/>
  <c r="AV516" i="1"/>
  <c r="AF516" i="1"/>
  <c r="BM516" i="1"/>
  <c r="BN516" i="1" s="1"/>
  <c r="BF516" i="1"/>
  <c r="BG516" i="1" s="1"/>
  <c r="BH516" i="1" s="1"/>
  <c r="BJ516" i="1"/>
  <c r="AW516" i="1"/>
  <c r="BB516" i="1"/>
  <c r="AS516" i="1"/>
  <c r="AO516" i="1"/>
  <c r="BI516" i="1"/>
  <c r="BA516" i="1"/>
  <c r="AT516" i="1"/>
  <c r="AH516" i="1"/>
  <c r="AG516" i="1"/>
  <c r="BL515" i="1"/>
  <c r="BE515" i="1"/>
  <c r="AX515" i="1"/>
  <c r="AP515" i="1"/>
  <c r="AQ515" i="1" s="1"/>
  <c r="AR515" i="1" s="1"/>
  <c r="AF515" i="1"/>
  <c r="AV515" i="1"/>
  <c r="BM515" i="1"/>
  <c r="BN515" i="1" s="1"/>
  <c r="BF515" i="1"/>
  <c r="BG515" i="1" s="1"/>
  <c r="BH515" i="1" s="1"/>
  <c r="BJ515" i="1"/>
  <c r="BA515" i="1"/>
  <c r="AT515" i="1"/>
  <c r="AO515" i="1"/>
  <c r="BI515" i="1"/>
  <c r="AW515" i="1"/>
  <c r="BB515" i="1"/>
  <c r="AS515" i="1"/>
  <c r="AG515" i="1"/>
  <c r="AH515" i="1"/>
  <c r="BL514" i="1"/>
  <c r="BE514" i="1"/>
  <c r="AP514" i="1"/>
  <c r="AQ514" i="1" s="1"/>
  <c r="AR514" i="1" s="1"/>
  <c r="AX514" i="1"/>
  <c r="AV514" i="1"/>
  <c r="AF514" i="1"/>
  <c r="BM514" i="1"/>
  <c r="BN514" i="1" s="1"/>
  <c r="BF514" i="1"/>
  <c r="BG514" i="1" s="1"/>
  <c r="BH514" i="1" s="1"/>
  <c r="BJ514" i="1"/>
  <c r="AW514" i="1"/>
  <c r="BB514" i="1"/>
  <c r="AS514" i="1"/>
  <c r="AO514" i="1"/>
  <c r="BI514" i="1"/>
  <c r="BA514" i="1"/>
  <c r="AT514" i="1"/>
  <c r="AH514" i="1"/>
  <c r="AG514" i="1"/>
  <c r="BL513" i="1"/>
  <c r="BE513" i="1"/>
  <c r="AX513" i="1"/>
  <c r="AP513" i="1"/>
  <c r="AQ513" i="1" s="1"/>
  <c r="AR513" i="1" s="1"/>
  <c r="AF513" i="1"/>
  <c r="AV513" i="1"/>
  <c r="BM513" i="1"/>
  <c r="BN513" i="1" s="1"/>
  <c r="BF513" i="1"/>
  <c r="BG513" i="1" s="1"/>
  <c r="BH513" i="1" s="1"/>
  <c r="BJ513" i="1"/>
  <c r="BA513" i="1"/>
  <c r="AT513" i="1"/>
  <c r="AO513" i="1"/>
  <c r="BI513" i="1"/>
  <c r="AW513" i="1"/>
  <c r="BB513" i="1"/>
  <c r="AS513" i="1"/>
  <c r="AG513" i="1"/>
  <c r="AH513" i="1"/>
  <c r="BL512" i="1"/>
  <c r="BE512" i="1"/>
  <c r="AP512" i="1"/>
  <c r="AQ512" i="1" s="1"/>
  <c r="AR512" i="1" s="1"/>
  <c r="AX512" i="1"/>
  <c r="AV512" i="1"/>
  <c r="AF512" i="1"/>
  <c r="BM512" i="1"/>
  <c r="BN512" i="1" s="1"/>
  <c r="BF512" i="1"/>
  <c r="BG512" i="1" s="1"/>
  <c r="BH512" i="1" s="1"/>
  <c r="BJ512" i="1"/>
  <c r="AW512" i="1"/>
  <c r="BB512" i="1"/>
  <c r="AT512" i="1"/>
  <c r="BI512" i="1"/>
  <c r="BA512" i="1"/>
  <c r="AS512" i="1"/>
  <c r="AO512" i="1"/>
  <c r="AH512" i="1"/>
  <c r="AG512" i="1"/>
  <c r="BL511" i="1"/>
  <c r="BE511" i="1"/>
  <c r="AX511" i="1"/>
  <c r="AP511" i="1"/>
  <c r="AQ511" i="1" s="1"/>
  <c r="AR511" i="1" s="1"/>
  <c r="AF511" i="1"/>
  <c r="AV511" i="1"/>
  <c r="BM511" i="1"/>
  <c r="BN511" i="1" s="1"/>
  <c r="BF511" i="1"/>
  <c r="BG511" i="1" s="1"/>
  <c r="BH511" i="1" s="1"/>
  <c r="BJ511" i="1"/>
  <c r="BA511" i="1"/>
  <c r="AS511" i="1"/>
  <c r="AO511" i="1"/>
  <c r="BI511" i="1"/>
  <c r="AW511" i="1"/>
  <c r="BB511" i="1"/>
  <c r="AT511" i="1"/>
  <c r="AG511" i="1"/>
  <c r="AH511" i="1"/>
  <c r="BL510" i="1"/>
  <c r="BE510" i="1"/>
  <c r="AP510" i="1"/>
  <c r="AQ510" i="1" s="1"/>
  <c r="AR510" i="1" s="1"/>
  <c r="AX510" i="1"/>
  <c r="AV510" i="1"/>
  <c r="AF510" i="1"/>
  <c r="BM510" i="1"/>
  <c r="BN510" i="1" s="1"/>
  <c r="BF510" i="1"/>
  <c r="BG510" i="1" s="1"/>
  <c r="BH510" i="1" s="1"/>
  <c r="BJ510" i="1"/>
  <c r="AW510" i="1"/>
  <c r="BB510" i="1"/>
  <c r="AT510" i="1"/>
  <c r="BI510" i="1"/>
  <c r="BA510" i="1"/>
  <c r="AS510" i="1"/>
  <c r="AO510" i="1"/>
  <c r="AH510" i="1"/>
  <c r="AG510" i="1"/>
  <c r="BL509" i="1"/>
  <c r="BE509" i="1"/>
  <c r="AX509" i="1"/>
  <c r="AP509" i="1"/>
  <c r="AQ509" i="1" s="1"/>
  <c r="AR509" i="1" s="1"/>
  <c r="AF509" i="1"/>
  <c r="AV509" i="1"/>
  <c r="BM509" i="1"/>
  <c r="BN509" i="1" s="1"/>
  <c r="BF509" i="1"/>
  <c r="BG509" i="1" s="1"/>
  <c r="BH509" i="1" s="1"/>
  <c r="BJ509" i="1"/>
  <c r="BA509" i="1"/>
  <c r="AS509" i="1"/>
  <c r="AO509" i="1"/>
  <c r="BI509" i="1"/>
  <c r="AW509" i="1"/>
  <c r="BB509" i="1"/>
  <c r="AT509" i="1"/>
  <c r="AG509" i="1"/>
  <c r="AH509" i="1"/>
  <c r="BL508" i="1"/>
  <c r="BE508" i="1"/>
  <c r="AP508" i="1"/>
  <c r="AQ508" i="1" s="1"/>
  <c r="AR508" i="1" s="1"/>
  <c r="AX508" i="1"/>
  <c r="AV508" i="1"/>
  <c r="AF508" i="1"/>
  <c r="BM508" i="1"/>
  <c r="BN508" i="1" s="1"/>
  <c r="BF508" i="1"/>
  <c r="BG508" i="1" s="1"/>
  <c r="BH508" i="1" s="1"/>
  <c r="BJ508" i="1"/>
  <c r="AW508" i="1"/>
  <c r="BB508" i="1"/>
  <c r="AT508" i="1"/>
  <c r="BI508" i="1"/>
  <c r="BA508" i="1"/>
  <c r="AS508" i="1"/>
  <c r="AO508" i="1"/>
  <c r="AH508" i="1"/>
  <c r="AG508" i="1"/>
  <c r="BL507" i="1"/>
  <c r="BE507" i="1"/>
  <c r="AX507" i="1"/>
  <c r="AP507" i="1"/>
  <c r="AQ507" i="1" s="1"/>
  <c r="AR507" i="1" s="1"/>
  <c r="AF507" i="1"/>
  <c r="AV507" i="1"/>
  <c r="BM507" i="1"/>
  <c r="BN507" i="1" s="1"/>
  <c r="BF507" i="1"/>
  <c r="BG507" i="1" s="1"/>
  <c r="BH507" i="1" s="1"/>
  <c r="BJ507" i="1"/>
  <c r="BA507" i="1"/>
  <c r="AS507" i="1"/>
  <c r="AO507" i="1"/>
  <c r="BI507" i="1"/>
  <c r="AW507" i="1"/>
  <c r="BB507" i="1"/>
  <c r="AT507" i="1"/>
  <c r="AH507" i="1"/>
  <c r="AI507" i="1" s="1"/>
  <c r="AJ507" i="1" s="1"/>
  <c r="AG507" i="1"/>
  <c r="BL506" i="1"/>
  <c r="BE506" i="1"/>
  <c r="AP506" i="1"/>
  <c r="AQ506" i="1" s="1"/>
  <c r="AR506" i="1" s="1"/>
  <c r="AX506" i="1"/>
  <c r="AV506" i="1"/>
  <c r="AF506" i="1"/>
  <c r="BM506" i="1"/>
  <c r="BN506" i="1" s="1"/>
  <c r="BF506" i="1"/>
  <c r="BG506" i="1" s="1"/>
  <c r="BH506" i="1" s="1"/>
  <c r="BJ506" i="1"/>
  <c r="AW506" i="1"/>
  <c r="BB506" i="1"/>
  <c r="AT506" i="1"/>
  <c r="BI506" i="1"/>
  <c r="BA506" i="1"/>
  <c r="AS506" i="1"/>
  <c r="AO506" i="1"/>
  <c r="AH506" i="1"/>
  <c r="AG506" i="1"/>
  <c r="BL505" i="1"/>
  <c r="BE505" i="1"/>
  <c r="AX505" i="1"/>
  <c r="AP505" i="1"/>
  <c r="AQ505" i="1" s="1"/>
  <c r="AR505" i="1" s="1"/>
  <c r="AF505" i="1"/>
  <c r="AV505" i="1"/>
  <c r="BM505" i="1"/>
  <c r="BN505" i="1" s="1"/>
  <c r="BF505" i="1"/>
  <c r="BG505" i="1" s="1"/>
  <c r="BH505" i="1" s="1"/>
  <c r="BJ505" i="1"/>
  <c r="BA505" i="1"/>
  <c r="AS505" i="1"/>
  <c r="AO505" i="1"/>
  <c r="BI505" i="1"/>
  <c r="AW505" i="1"/>
  <c r="BB505" i="1"/>
  <c r="AT505" i="1"/>
  <c r="AG505" i="1"/>
  <c r="AH505" i="1"/>
  <c r="BL504" i="1"/>
  <c r="BE504" i="1"/>
  <c r="AP504" i="1"/>
  <c r="AQ504" i="1" s="1"/>
  <c r="AR504" i="1" s="1"/>
  <c r="AX504" i="1"/>
  <c r="AV504" i="1"/>
  <c r="AF504" i="1"/>
  <c r="BM504" i="1"/>
  <c r="BN504" i="1" s="1"/>
  <c r="BF504" i="1"/>
  <c r="BG504" i="1" s="1"/>
  <c r="BH504" i="1" s="1"/>
  <c r="BJ504" i="1"/>
  <c r="AW504" i="1"/>
  <c r="BB504" i="1"/>
  <c r="AT504" i="1"/>
  <c r="BI504" i="1"/>
  <c r="BA504" i="1"/>
  <c r="AS504" i="1"/>
  <c r="AO504" i="1"/>
  <c r="AH504" i="1"/>
  <c r="AG504" i="1"/>
  <c r="BL503" i="1"/>
  <c r="BE503" i="1"/>
  <c r="AX503" i="1"/>
  <c r="AP503" i="1"/>
  <c r="AQ503" i="1" s="1"/>
  <c r="AR503" i="1" s="1"/>
  <c r="AF503" i="1"/>
  <c r="AV503" i="1"/>
  <c r="BM503" i="1"/>
  <c r="BN503" i="1" s="1"/>
  <c r="BF503" i="1"/>
  <c r="BG503" i="1" s="1"/>
  <c r="BH503" i="1" s="1"/>
  <c r="BJ503" i="1"/>
  <c r="BA503" i="1"/>
  <c r="AS503" i="1"/>
  <c r="AO503" i="1"/>
  <c r="BI503" i="1"/>
  <c r="AW503" i="1"/>
  <c r="BB503" i="1"/>
  <c r="AT503" i="1"/>
  <c r="AG503" i="1"/>
  <c r="AH503" i="1"/>
  <c r="BL502" i="1"/>
  <c r="BE502" i="1"/>
  <c r="AP502" i="1"/>
  <c r="AQ502" i="1" s="1"/>
  <c r="AR502" i="1" s="1"/>
  <c r="AX502" i="1"/>
  <c r="AV502" i="1"/>
  <c r="AF502" i="1"/>
  <c r="BM502" i="1"/>
  <c r="BN502" i="1" s="1"/>
  <c r="BF502" i="1"/>
  <c r="BG502" i="1" s="1"/>
  <c r="BH502" i="1" s="1"/>
  <c r="BJ502" i="1"/>
  <c r="AW502" i="1"/>
  <c r="BB502" i="1"/>
  <c r="AT502" i="1"/>
  <c r="BI502" i="1"/>
  <c r="BA502" i="1"/>
  <c r="AS502" i="1"/>
  <c r="AO502" i="1"/>
  <c r="AH502" i="1"/>
  <c r="AG502" i="1"/>
  <c r="BL501" i="1"/>
  <c r="BE501" i="1"/>
  <c r="AX501" i="1"/>
  <c r="AP501" i="1"/>
  <c r="AQ501" i="1" s="1"/>
  <c r="AR501" i="1" s="1"/>
  <c r="AF501" i="1"/>
  <c r="AV501" i="1"/>
  <c r="BM501" i="1"/>
  <c r="BN501" i="1" s="1"/>
  <c r="BF501" i="1"/>
  <c r="BG501" i="1" s="1"/>
  <c r="BH501" i="1" s="1"/>
  <c r="BJ501" i="1"/>
  <c r="BA501" i="1"/>
  <c r="AS501" i="1"/>
  <c r="AO501" i="1"/>
  <c r="BI501" i="1"/>
  <c r="AW501" i="1"/>
  <c r="BB501" i="1"/>
  <c r="AT501" i="1"/>
  <c r="AG501" i="1"/>
  <c r="AH501" i="1"/>
  <c r="BL500" i="1"/>
  <c r="BE500" i="1"/>
  <c r="AP500" i="1"/>
  <c r="AQ500" i="1" s="1"/>
  <c r="AR500" i="1" s="1"/>
  <c r="AX500" i="1"/>
  <c r="AV500" i="1"/>
  <c r="AF500" i="1"/>
  <c r="BM500" i="1"/>
  <c r="BN500" i="1" s="1"/>
  <c r="BF500" i="1"/>
  <c r="BG500" i="1" s="1"/>
  <c r="BH500" i="1" s="1"/>
  <c r="BJ500" i="1"/>
  <c r="AW500" i="1"/>
  <c r="BB500" i="1"/>
  <c r="AT500" i="1"/>
  <c r="BI500" i="1"/>
  <c r="BA500" i="1"/>
  <c r="AS500" i="1"/>
  <c r="AO500" i="1"/>
  <c r="AH500" i="1"/>
  <c r="AG500" i="1"/>
  <c r="BL499" i="1"/>
  <c r="BE499" i="1"/>
  <c r="AX499" i="1"/>
  <c r="AP499" i="1"/>
  <c r="AQ499" i="1" s="1"/>
  <c r="AR499" i="1" s="1"/>
  <c r="AF499" i="1"/>
  <c r="AV499" i="1"/>
  <c r="BM499" i="1"/>
  <c r="BN499" i="1" s="1"/>
  <c r="BF499" i="1"/>
  <c r="BG499" i="1" s="1"/>
  <c r="BH499" i="1" s="1"/>
  <c r="BJ499" i="1"/>
  <c r="BA499" i="1"/>
  <c r="AS499" i="1"/>
  <c r="AO499" i="1"/>
  <c r="BI499" i="1"/>
  <c r="AW499" i="1"/>
  <c r="BB499" i="1"/>
  <c r="AT499" i="1"/>
  <c r="AG499" i="1"/>
  <c r="AH499" i="1"/>
  <c r="BL498" i="1"/>
  <c r="BE498" i="1"/>
  <c r="AP498" i="1"/>
  <c r="AQ498" i="1" s="1"/>
  <c r="AR498" i="1" s="1"/>
  <c r="AX498" i="1"/>
  <c r="AV498" i="1"/>
  <c r="AF498" i="1"/>
  <c r="BM498" i="1"/>
  <c r="BN498" i="1" s="1"/>
  <c r="BF498" i="1"/>
  <c r="BG498" i="1" s="1"/>
  <c r="BH498" i="1" s="1"/>
  <c r="BJ498" i="1"/>
  <c r="AW498" i="1"/>
  <c r="BB498" i="1"/>
  <c r="AT498" i="1"/>
  <c r="AO498" i="1"/>
  <c r="BI498" i="1"/>
  <c r="BA498" i="1"/>
  <c r="AS498" i="1"/>
  <c r="AH498" i="1"/>
  <c r="AG498" i="1"/>
  <c r="BL497" i="1"/>
  <c r="BE497" i="1"/>
  <c r="AX497" i="1"/>
  <c r="AP497" i="1"/>
  <c r="AQ497" i="1" s="1"/>
  <c r="AR497" i="1" s="1"/>
  <c r="AF497" i="1"/>
  <c r="AV497" i="1"/>
  <c r="BM497" i="1"/>
  <c r="BN497" i="1" s="1"/>
  <c r="BF497" i="1"/>
  <c r="BG497" i="1" s="1"/>
  <c r="BH497" i="1" s="1"/>
  <c r="BJ497" i="1"/>
  <c r="BA497" i="1"/>
  <c r="AT497" i="1"/>
  <c r="AO497" i="1"/>
  <c r="BI497" i="1"/>
  <c r="AW497" i="1"/>
  <c r="BB497" i="1"/>
  <c r="AS497" i="1"/>
  <c r="AG497" i="1"/>
  <c r="AH497" i="1"/>
  <c r="BL496" i="1"/>
  <c r="BE496" i="1"/>
  <c r="AP496" i="1"/>
  <c r="AQ496" i="1" s="1"/>
  <c r="AR496" i="1" s="1"/>
  <c r="AX496" i="1"/>
  <c r="AV496" i="1"/>
  <c r="AF496" i="1"/>
  <c r="BM496" i="1"/>
  <c r="BN496" i="1" s="1"/>
  <c r="BF496" i="1"/>
  <c r="BG496" i="1" s="1"/>
  <c r="BH496" i="1" s="1"/>
  <c r="BJ496" i="1"/>
  <c r="AW496" i="1"/>
  <c r="BB496" i="1"/>
  <c r="AT496" i="1"/>
  <c r="BI496" i="1"/>
  <c r="BA496" i="1"/>
  <c r="AS496" i="1"/>
  <c r="AO496" i="1"/>
  <c r="AH496" i="1"/>
  <c r="AG496" i="1"/>
  <c r="BL495" i="1"/>
  <c r="BE495" i="1"/>
  <c r="AX495" i="1"/>
  <c r="AP495" i="1"/>
  <c r="AQ495" i="1" s="1"/>
  <c r="AR495" i="1" s="1"/>
  <c r="AF495" i="1"/>
  <c r="AV495" i="1"/>
  <c r="BM495" i="1"/>
  <c r="BN495" i="1" s="1"/>
  <c r="BF495" i="1"/>
  <c r="BG495" i="1" s="1"/>
  <c r="BH495" i="1" s="1"/>
  <c r="BJ495" i="1"/>
  <c r="BA495" i="1"/>
  <c r="AT495" i="1"/>
  <c r="BI495" i="1"/>
  <c r="AW495" i="1"/>
  <c r="BB495" i="1"/>
  <c r="AS495" i="1"/>
  <c r="AO495" i="1"/>
  <c r="AG495" i="1"/>
  <c r="AH495" i="1"/>
  <c r="BL494" i="1"/>
  <c r="BE494" i="1"/>
  <c r="AP494" i="1"/>
  <c r="AQ494" i="1" s="1"/>
  <c r="AR494" i="1" s="1"/>
  <c r="AX494" i="1"/>
  <c r="AF494" i="1"/>
  <c r="AV494" i="1"/>
  <c r="BM494" i="1"/>
  <c r="BN494" i="1" s="1"/>
  <c r="BF494" i="1"/>
  <c r="BG494" i="1" s="1"/>
  <c r="BH494" i="1" s="1"/>
  <c r="BJ494" i="1"/>
  <c r="AW494" i="1"/>
  <c r="BB494" i="1"/>
  <c r="AT494" i="1"/>
  <c r="AO494" i="1"/>
  <c r="BI494" i="1"/>
  <c r="BA494" i="1"/>
  <c r="AS494" i="1"/>
  <c r="AH494" i="1"/>
  <c r="AI494" i="1" s="1"/>
  <c r="AJ494" i="1" s="1"/>
  <c r="AG494" i="1"/>
  <c r="BL493" i="1"/>
  <c r="BE493" i="1"/>
  <c r="AX493" i="1"/>
  <c r="AP493" i="1"/>
  <c r="AQ493" i="1" s="1"/>
  <c r="AR493" i="1" s="1"/>
  <c r="AF493" i="1"/>
  <c r="AV493" i="1"/>
  <c r="BM493" i="1"/>
  <c r="BN493" i="1" s="1"/>
  <c r="BF493" i="1"/>
  <c r="BG493" i="1" s="1"/>
  <c r="BH493" i="1" s="1"/>
  <c r="BJ493" i="1"/>
  <c r="BA493" i="1"/>
  <c r="AT493" i="1"/>
  <c r="AO493" i="1"/>
  <c r="BI493" i="1"/>
  <c r="AW493" i="1"/>
  <c r="BB493" i="1"/>
  <c r="AS493" i="1"/>
  <c r="AG493" i="1"/>
  <c r="AH493" i="1"/>
  <c r="BL492" i="1"/>
  <c r="BE492" i="1"/>
  <c r="AP492" i="1"/>
  <c r="AQ492" i="1" s="1"/>
  <c r="AR492" i="1" s="1"/>
  <c r="AX492" i="1"/>
  <c r="AV492" i="1"/>
  <c r="AF492" i="1"/>
  <c r="BM492" i="1"/>
  <c r="BN492" i="1" s="1"/>
  <c r="BF492" i="1"/>
  <c r="BG492" i="1" s="1"/>
  <c r="BH492" i="1" s="1"/>
  <c r="BJ492" i="1"/>
  <c r="AW492" i="1"/>
  <c r="BB492" i="1"/>
  <c r="AT492" i="1"/>
  <c r="BI492" i="1"/>
  <c r="BA492" i="1"/>
  <c r="AS492" i="1"/>
  <c r="AO492" i="1"/>
  <c r="AH492" i="1"/>
  <c r="AG492" i="1"/>
  <c r="BL491" i="1"/>
  <c r="BE491" i="1"/>
  <c r="AX491" i="1"/>
  <c r="AP491" i="1"/>
  <c r="AQ491" i="1" s="1"/>
  <c r="AR491" i="1" s="1"/>
  <c r="AF491" i="1"/>
  <c r="AV491" i="1"/>
  <c r="BM491" i="1"/>
  <c r="BN491" i="1" s="1"/>
  <c r="BF491" i="1"/>
  <c r="BG491" i="1" s="1"/>
  <c r="BH491" i="1" s="1"/>
  <c r="BJ491" i="1"/>
  <c r="BA491" i="1"/>
  <c r="AT491" i="1"/>
  <c r="BI491" i="1"/>
  <c r="AW491" i="1"/>
  <c r="BB491" i="1"/>
  <c r="AS491" i="1"/>
  <c r="AO491" i="1"/>
  <c r="AG491" i="1"/>
  <c r="AH491" i="1"/>
  <c r="BL490" i="1"/>
  <c r="BE490" i="1"/>
  <c r="AP490" i="1"/>
  <c r="AQ490" i="1" s="1"/>
  <c r="AR490" i="1" s="1"/>
  <c r="AX490" i="1"/>
  <c r="AV490" i="1"/>
  <c r="AF490" i="1"/>
  <c r="BM490" i="1"/>
  <c r="BN490" i="1" s="1"/>
  <c r="BF490" i="1"/>
  <c r="BG490" i="1" s="1"/>
  <c r="BH490" i="1" s="1"/>
  <c r="BJ490" i="1"/>
  <c r="AW490" i="1"/>
  <c r="BB490" i="1"/>
  <c r="AT490" i="1"/>
  <c r="AO490" i="1"/>
  <c r="BI490" i="1"/>
  <c r="BA490" i="1"/>
  <c r="AS490" i="1"/>
  <c r="AH490" i="1"/>
  <c r="AG490" i="1"/>
  <c r="BL489" i="1"/>
  <c r="BE489" i="1"/>
  <c r="AX489" i="1"/>
  <c r="AP489" i="1"/>
  <c r="AQ489" i="1" s="1"/>
  <c r="AR489" i="1" s="1"/>
  <c r="AF489" i="1"/>
  <c r="AV489" i="1"/>
  <c r="BM489" i="1"/>
  <c r="BN489" i="1" s="1"/>
  <c r="BF489" i="1"/>
  <c r="BG489" i="1" s="1"/>
  <c r="BH489" i="1" s="1"/>
  <c r="BJ489" i="1"/>
  <c r="BA489" i="1"/>
  <c r="AT489" i="1"/>
  <c r="AO489" i="1"/>
  <c r="BI489" i="1"/>
  <c r="AW489" i="1"/>
  <c r="BB489" i="1"/>
  <c r="AS489" i="1"/>
  <c r="AG489" i="1"/>
  <c r="AH489" i="1"/>
  <c r="BL488" i="1"/>
  <c r="BE488" i="1"/>
  <c r="AP488" i="1"/>
  <c r="AQ488" i="1" s="1"/>
  <c r="AR488" i="1" s="1"/>
  <c r="AX488" i="1"/>
  <c r="AV488" i="1"/>
  <c r="AF488" i="1"/>
  <c r="BM488" i="1"/>
  <c r="BN488" i="1" s="1"/>
  <c r="BF488" i="1"/>
  <c r="BG488" i="1" s="1"/>
  <c r="BH488" i="1" s="1"/>
  <c r="BJ488" i="1"/>
  <c r="AW488" i="1"/>
  <c r="BB488" i="1"/>
  <c r="AT488" i="1"/>
  <c r="BI488" i="1"/>
  <c r="BA488" i="1"/>
  <c r="AS488" i="1"/>
  <c r="AO488" i="1"/>
  <c r="AH488" i="1"/>
  <c r="AG488" i="1"/>
  <c r="BL487" i="1"/>
  <c r="AP487" i="1"/>
  <c r="AQ487" i="1" s="1"/>
  <c r="AR487" i="1" s="1"/>
  <c r="BE487" i="1"/>
  <c r="AX487" i="1"/>
  <c r="AF487" i="1"/>
  <c r="AV487" i="1"/>
  <c r="BM487" i="1"/>
  <c r="BN487" i="1" s="1"/>
  <c r="BF487" i="1"/>
  <c r="BG487" i="1" s="1"/>
  <c r="BH487" i="1" s="1"/>
  <c r="BI487" i="1"/>
  <c r="AW487" i="1"/>
  <c r="BB487" i="1"/>
  <c r="AS487" i="1"/>
  <c r="AO487" i="1"/>
  <c r="BJ487" i="1"/>
  <c r="BA487" i="1"/>
  <c r="AT487" i="1"/>
  <c r="AG487" i="1"/>
  <c r="AH487" i="1"/>
  <c r="BL486" i="1"/>
  <c r="AX486" i="1"/>
  <c r="BE486" i="1"/>
  <c r="AP486" i="1"/>
  <c r="AQ486" i="1" s="1"/>
  <c r="AR486" i="1" s="1"/>
  <c r="AV486" i="1"/>
  <c r="AF486" i="1"/>
  <c r="BM486" i="1"/>
  <c r="BN486" i="1" s="1"/>
  <c r="BF486" i="1"/>
  <c r="BG486" i="1" s="1"/>
  <c r="BH486" i="1" s="1"/>
  <c r="BJ486" i="1"/>
  <c r="BA486" i="1"/>
  <c r="AS486" i="1"/>
  <c r="BI486" i="1"/>
  <c r="AW486" i="1"/>
  <c r="BB486" i="1"/>
  <c r="AT486" i="1"/>
  <c r="AO486" i="1"/>
  <c r="AH486" i="1"/>
  <c r="AG486" i="1"/>
  <c r="BL485" i="1"/>
  <c r="BE485" i="1"/>
  <c r="AX485" i="1"/>
  <c r="AP485" i="1"/>
  <c r="AQ485" i="1" s="1"/>
  <c r="AR485" i="1" s="1"/>
  <c r="AF485" i="1"/>
  <c r="AV485" i="1"/>
  <c r="BM485" i="1"/>
  <c r="BN485" i="1" s="1"/>
  <c r="BF485" i="1"/>
  <c r="BG485" i="1" s="1"/>
  <c r="BH485" i="1" s="1"/>
  <c r="BI485" i="1"/>
  <c r="BA485" i="1"/>
  <c r="AT485" i="1"/>
  <c r="AO485" i="1"/>
  <c r="BJ485" i="1"/>
  <c r="AW485" i="1"/>
  <c r="BB485" i="1"/>
  <c r="AS485" i="1"/>
  <c r="AG485" i="1"/>
  <c r="AH485" i="1"/>
  <c r="BL484" i="1"/>
  <c r="BE484" i="1"/>
  <c r="AP484" i="1"/>
  <c r="AQ484" i="1" s="1"/>
  <c r="AR484" i="1" s="1"/>
  <c r="AX484" i="1"/>
  <c r="AV484" i="1"/>
  <c r="AF484" i="1"/>
  <c r="BM484" i="1"/>
  <c r="BN484" i="1" s="1"/>
  <c r="BF484" i="1"/>
  <c r="BG484" i="1" s="1"/>
  <c r="BH484" i="1" s="1"/>
  <c r="BJ484" i="1"/>
  <c r="AW484" i="1"/>
  <c r="BB484" i="1"/>
  <c r="AT484" i="1"/>
  <c r="BI484" i="1"/>
  <c r="BA484" i="1"/>
  <c r="AS484" i="1"/>
  <c r="AO484" i="1"/>
  <c r="AH484" i="1"/>
  <c r="AG484" i="1"/>
  <c r="BL483" i="1"/>
  <c r="AP483" i="1"/>
  <c r="AQ483" i="1" s="1"/>
  <c r="AR483" i="1" s="1"/>
  <c r="BE483" i="1"/>
  <c r="AX483" i="1"/>
  <c r="AF483" i="1"/>
  <c r="AV483" i="1"/>
  <c r="BM483" i="1"/>
  <c r="BN483" i="1" s="1"/>
  <c r="BF483" i="1"/>
  <c r="BG483" i="1" s="1"/>
  <c r="BH483" i="1" s="1"/>
  <c r="BI483" i="1"/>
  <c r="AW483" i="1"/>
  <c r="BB483" i="1"/>
  <c r="AS483" i="1"/>
  <c r="AO483" i="1"/>
  <c r="BJ483" i="1"/>
  <c r="BA483" i="1"/>
  <c r="AT483" i="1"/>
  <c r="AG483" i="1"/>
  <c r="AH483" i="1"/>
  <c r="BL482" i="1"/>
  <c r="AX482" i="1"/>
  <c r="BE482" i="1"/>
  <c r="AP482" i="1"/>
  <c r="AQ482" i="1" s="1"/>
  <c r="AR482" i="1" s="1"/>
  <c r="AV482" i="1"/>
  <c r="AF482" i="1"/>
  <c r="BM482" i="1"/>
  <c r="BN482" i="1" s="1"/>
  <c r="BF482" i="1"/>
  <c r="BG482" i="1" s="1"/>
  <c r="BH482" i="1" s="1"/>
  <c r="BJ482" i="1"/>
  <c r="BA482" i="1"/>
  <c r="AS482" i="1"/>
  <c r="BI482" i="1"/>
  <c r="AW482" i="1"/>
  <c r="BB482" i="1"/>
  <c r="AT482" i="1"/>
  <c r="AO482" i="1"/>
  <c r="AH482" i="1"/>
  <c r="AG482" i="1"/>
  <c r="BL481" i="1"/>
  <c r="BE481" i="1"/>
  <c r="AX481" i="1"/>
  <c r="AP481" i="1"/>
  <c r="AQ481" i="1" s="1"/>
  <c r="AR481" i="1" s="1"/>
  <c r="AF481" i="1"/>
  <c r="AV481" i="1"/>
  <c r="BM481" i="1"/>
  <c r="BN481" i="1" s="1"/>
  <c r="BF481" i="1"/>
  <c r="BG481" i="1" s="1"/>
  <c r="BH481" i="1" s="1"/>
  <c r="BI481" i="1"/>
  <c r="BA481" i="1"/>
  <c r="AT481" i="1"/>
  <c r="AO481" i="1"/>
  <c r="BJ481" i="1"/>
  <c r="AW481" i="1"/>
  <c r="BB481" i="1"/>
  <c r="AS481" i="1"/>
  <c r="AG481" i="1"/>
  <c r="AH481" i="1"/>
  <c r="BL480" i="1"/>
  <c r="BE480" i="1"/>
  <c r="AP480" i="1"/>
  <c r="AQ480" i="1" s="1"/>
  <c r="AR480" i="1" s="1"/>
  <c r="AX480" i="1"/>
  <c r="AV480" i="1"/>
  <c r="AF480" i="1"/>
  <c r="BM480" i="1"/>
  <c r="BN480" i="1" s="1"/>
  <c r="BF480" i="1"/>
  <c r="BG480" i="1" s="1"/>
  <c r="BH480" i="1" s="1"/>
  <c r="BJ480" i="1"/>
  <c r="AW480" i="1"/>
  <c r="BB480" i="1"/>
  <c r="AT480" i="1"/>
  <c r="BI480" i="1"/>
  <c r="BA480" i="1"/>
  <c r="AS480" i="1"/>
  <c r="AO480" i="1"/>
  <c r="AH480" i="1"/>
  <c r="AG480" i="1"/>
  <c r="BL479" i="1"/>
  <c r="AP479" i="1"/>
  <c r="AQ479" i="1" s="1"/>
  <c r="AR479" i="1" s="1"/>
  <c r="BE479" i="1"/>
  <c r="AX479" i="1"/>
  <c r="AF479" i="1"/>
  <c r="AV479" i="1"/>
  <c r="BM479" i="1"/>
  <c r="BN479" i="1" s="1"/>
  <c r="BF479" i="1"/>
  <c r="BG479" i="1" s="1"/>
  <c r="BH479" i="1" s="1"/>
  <c r="BI479" i="1"/>
  <c r="AW479" i="1"/>
  <c r="BB479" i="1"/>
  <c r="AS479" i="1"/>
  <c r="AO479" i="1"/>
  <c r="BJ479" i="1"/>
  <c r="BA479" i="1"/>
  <c r="AT479" i="1"/>
  <c r="AG479" i="1"/>
  <c r="AH479" i="1"/>
  <c r="BL478" i="1"/>
  <c r="AX478" i="1"/>
  <c r="BE478" i="1"/>
  <c r="AP478" i="1"/>
  <c r="AQ478" i="1" s="1"/>
  <c r="AR478" i="1" s="1"/>
  <c r="AV478" i="1"/>
  <c r="AF478" i="1"/>
  <c r="BM478" i="1"/>
  <c r="BN478" i="1" s="1"/>
  <c r="BF478" i="1"/>
  <c r="BG478" i="1" s="1"/>
  <c r="BH478" i="1" s="1"/>
  <c r="BJ478" i="1"/>
  <c r="BA478" i="1"/>
  <c r="AS478" i="1"/>
  <c r="BI478" i="1"/>
  <c r="AW478" i="1"/>
  <c r="BB478" i="1"/>
  <c r="AT478" i="1"/>
  <c r="AO478" i="1"/>
  <c r="AH478" i="1"/>
  <c r="AG478" i="1"/>
  <c r="BL477" i="1"/>
  <c r="BE477" i="1"/>
  <c r="AX477" i="1"/>
  <c r="AP477" i="1"/>
  <c r="AQ477" i="1" s="1"/>
  <c r="AR477" i="1" s="1"/>
  <c r="AF477" i="1"/>
  <c r="AV477" i="1"/>
  <c r="BM477" i="1"/>
  <c r="BN477" i="1" s="1"/>
  <c r="BF477" i="1"/>
  <c r="BG477" i="1" s="1"/>
  <c r="BH477" i="1" s="1"/>
  <c r="BI477" i="1"/>
  <c r="BA477" i="1"/>
  <c r="AT477" i="1"/>
  <c r="AO477" i="1"/>
  <c r="BJ477" i="1"/>
  <c r="AW477" i="1"/>
  <c r="BB477" i="1"/>
  <c r="AS477" i="1"/>
  <c r="AG477" i="1"/>
  <c r="AH477" i="1"/>
  <c r="BL476" i="1"/>
  <c r="BE476" i="1"/>
  <c r="AP476" i="1"/>
  <c r="AQ476" i="1" s="1"/>
  <c r="AR476" i="1" s="1"/>
  <c r="AX476" i="1"/>
  <c r="AV476" i="1"/>
  <c r="AF476" i="1"/>
  <c r="BM476" i="1"/>
  <c r="BN476" i="1" s="1"/>
  <c r="BF476" i="1"/>
  <c r="BG476" i="1" s="1"/>
  <c r="BH476" i="1" s="1"/>
  <c r="BJ476" i="1"/>
  <c r="AW476" i="1"/>
  <c r="BB476" i="1"/>
  <c r="AT476" i="1"/>
  <c r="BI476" i="1"/>
  <c r="BA476" i="1"/>
  <c r="AS476" i="1"/>
  <c r="AO476" i="1"/>
  <c r="AH476" i="1"/>
  <c r="AG476" i="1"/>
  <c r="BL475" i="1"/>
  <c r="AP475" i="1"/>
  <c r="AQ475" i="1" s="1"/>
  <c r="AR475" i="1" s="1"/>
  <c r="BE475" i="1"/>
  <c r="AX475" i="1"/>
  <c r="AF475" i="1"/>
  <c r="AV475" i="1"/>
  <c r="BM475" i="1"/>
  <c r="BN475" i="1" s="1"/>
  <c r="BF475" i="1"/>
  <c r="BG475" i="1" s="1"/>
  <c r="BH475" i="1" s="1"/>
  <c r="BI475" i="1"/>
  <c r="AW475" i="1"/>
  <c r="BB475" i="1"/>
  <c r="AS475" i="1"/>
  <c r="AO475" i="1"/>
  <c r="BJ475" i="1"/>
  <c r="BA475" i="1"/>
  <c r="AT475" i="1"/>
  <c r="AG475" i="1"/>
  <c r="AH475" i="1"/>
  <c r="BL474" i="1"/>
  <c r="AX474" i="1"/>
  <c r="BE474" i="1"/>
  <c r="AP474" i="1"/>
  <c r="AQ474" i="1" s="1"/>
  <c r="AR474" i="1" s="1"/>
  <c r="AV474" i="1"/>
  <c r="AF474" i="1"/>
  <c r="BM474" i="1"/>
  <c r="BN474" i="1" s="1"/>
  <c r="BF474" i="1"/>
  <c r="BG474" i="1" s="1"/>
  <c r="BH474" i="1" s="1"/>
  <c r="BJ474" i="1"/>
  <c r="BA474" i="1"/>
  <c r="AS474" i="1"/>
  <c r="BI474" i="1"/>
  <c r="AW474" i="1"/>
  <c r="BB474" i="1"/>
  <c r="AT474" i="1"/>
  <c r="AO474" i="1"/>
  <c r="AH474" i="1"/>
  <c r="AG474" i="1"/>
  <c r="BL473" i="1"/>
  <c r="BE473" i="1"/>
  <c r="AX473" i="1"/>
  <c r="AP473" i="1"/>
  <c r="AQ473" i="1" s="1"/>
  <c r="AR473" i="1" s="1"/>
  <c r="AF473" i="1"/>
  <c r="AV473" i="1"/>
  <c r="BM473" i="1"/>
  <c r="BN473" i="1" s="1"/>
  <c r="BF473" i="1"/>
  <c r="BG473" i="1" s="1"/>
  <c r="BH473" i="1" s="1"/>
  <c r="BI473" i="1"/>
  <c r="BA473" i="1"/>
  <c r="AT473" i="1"/>
  <c r="AO473" i="1"/>
  <c r="BJ473" i="1"/>
  <c r="AW473" i="1"/>
  <c r="BB473" i="1"/>
  <c r="AS473" i="1"/>
  <c r="AG473" i="1"/>
  <c r="AH473" i="1"/>
  <c r="BL472" i="1"/>
  <c r="BE472" i="1"/>
  <c r="AP472" i="1"/>
  <c r="AQ472" i="1" s="1"/>
  <c r="AR472" i="1" s="1"/>
  <c r="AX472" i="1"/>
  <c r="AV472" i="1"/>
  <c r="AF472" i="1"/>
  <c r="BM472" i="1"/>
  <c r="BN472" i="1" s="1"/>
  <c r="BF472" i="1"/>
  <c r="BG472" i="1" s="1"/>
  <c r="BH472" i="1" s="1"/>
  <c r="BJ472" i="1"/>
  <c r="AW472" i="1"/>
  <c r="BB472" i="1"/>
  <c r="AT472" i="1"/>
  <c r="BI472" i="1"/>
  <c r="BA472" i="1"/>
  <c r="AS472" i="1"/>
  <c r="AO472" i="1"/>
  <c r="AH472" i="1"/>
  <c r="AG472" i="1"/>
  <c r="BL471" i="1"/>
  <c r="AP471" i="1"/>
  <c r="AQ471" i="1" s="1"/>
  <c r="AR471" i="1" s="1"/>
  <c r="BE471" i="1"/>
  <c r="AX471" i="1"/>
  <c r="AF471" i="1"/>
  <c r="AV471" i="1"/>
  <c r="BM471" i="1"/>
  <c r="BN471" i="1" s="1"/>
  <c r="BF471" i="1"/>
  <c r="BG471" i="1" s="1"/>
  <c r="BH471" i="1" s="1"/>
  <c r="BI471" i="1"/>
  <c r="AW471" i="1"/>
  <c r="BB471" i="1"/>
  <c r="AS471" i="1"/>
  <c r="AO471" i="1"/>
  <c r="BJ471" i="1"/>
  <c r="BA471" i="1"/>
  <c r="AT471" i="1"/>
  <c r="AG471" i="1"/>
  <c r="AH471" i="1"/>
  <c r="BL470" i="1"/>
  <c r="AX470" i="1"/>
  <c r="BE470" i="1"/>
  <c r="AP470" i="1"/>
  <c r="AQ470" i="1" s="1"/>
  <c r="AR470" i="1" s="1"/>
  <c r="AV470" i="1"/>
  <c r="AF470" i="1"/>
  <c r="BM470" i="1"/>
  <c r="BN470" i="1" s="1"/>
  <c r="BF470" i="1"/>
  <c r="BG470" i="1" s="1"/>
  <c r="BH470" i="1" s="1"/>
  <c r="BJ470" i="1"/>
  <c r="BA470" i="1"/>
  <c r="AS470" i="1"/>
  <c r="BI470" i="1"/>
  <c r="AW470" i="1"/>
  <c r="BB470" i="1"/>
  <c r="AT470" i="1"/>
  <c r="AO470" i="1"/>
  <c r="AH470" i="1"/>
  <c r="AG470" i="1"/>
  <c r="BL469" i="1"/>
  <c r="BE469" i="1"/>
  <c r="AX469" i="1"/>
  <c r="AP469" i="1"/>
  <c r="AQ469" i="1" s="1"/>
  <c r="AR469" i="1" s="1"/>
  <c r="AF469" i="1"/>
  <c r="AV469" i="1"/>
  <c r="BM469" i="1"/>
  <c r="BN469" i="1" s="1"/>
  <c r="BF469" i="1"/>
  <c r="BG469" i="1" s="1"/>
  <c r="BH469" i="1" s="1"/>
  <c r="BI469" i="1"/>
  <c r="BA469" i="1"/>
  <c r="AT469" i="1"/>
  <c r="AO469" i="1"/>
  <c r="BJ469" i="1"/>
  <c r="AW469" i="1"/>
  <c r="BB469" i="1"/>
  <c r="AS469" i="1"/>
  <c r="AG469" i="1"/>
  <c r="AH469" i="1"/>
  <c r="BL468" i="1"/>
  <c r="BE468" i="1"/>
  <c r="AP468" i="1"/>
  <c r="AQ468" i="1" s="1"/>
  <c r="AR468" i="1" s="1"/>
  <c r="AX468" i="1"/>
  <c r="AV468" i="1"/>
  <c r="AF468" i="1"/>
  <c r="BM468" i="1"/>
  <c r="BN468" i="1" s="1"/>
  <c r="BF468" i="1"/>
  <c r="BG468" i="1" s="1"/>
  <c r="BH468" i="1" s="1"/>
  <c r="BJ468" i="1"/>
  <c r="AW468" i="1"/>
  <c r="BB468" i="1"/>
  <c r="AT468" i="1"/>
  <c r="BI468" i="1"/>
  <c r="BA468" i="1"/>
  <c r="AS468" i="1"/>
  <c r="AO468" i="1"/>
  <c r="AH468" i="1"/>
  <c r="AG468" i="1"/>
  <c r="BL467" i="1"/>
  <c r="AP467" i="1"/>
  <c r="AQ467" i="1" s="1"/>
  <c r="AR467" i="1" s="1"/>
  <c r="BE467" i="1"/>
  <c r="AX467" i="1"/>
  <c r="AF467" i="1"/>
  <c r="AV467" i="1"/>
  <c r="BM467" i="1"/>
  <c r="BN467" i="1" s="1"/>
  <c r="BF467" i="1"/>
  <c r="BG467" i="1" s="1"/>
  <c r="BH467" i="1" s="1"/>
  <c r="BI467" i="1"/>
  <c r="AW467" i="1"/>
  <c r="BB467" i="1"/>
  <c r="AS467" i="1"/>
  <c r="AO467" i="1"/>
  <c r="BJ467" i="1"/>
  <c r="BA467" i="1"/>
  <c r="AT467" i="1"/>
  <c r="AG467" i="1"/>
  <c r="AH467" i="1"/>
  <c r="BL466" i="1"/>
  <c r="AX466" i="1"/>
  <c r="BE466" i="1"/>
  <c r="AP466" i="1"/>
  <c r="AQ466" i="1" s="1"/>
  <c r="AR466" i="1" s="1"/>
  <c r="AV466" i="1"/>
  <c r="AF466" i="1"/>
  <c r="BM466" i="1"/>
  <c r="BN466" i="1" s="1"/>
  <c r="BF466" i="1"/>
  <c r="BG466" i="1" s="1"/>
  <c r="BH466" i="1" s="1"/>
  <c r="BJ466" i="1"/>
  <c r="BA466" i="1"/>
  <c r="AS466" i="1"/>
  <c r="BI466" i="1"/>
  <c r="AW466" i="1"/>
  <c r="BB466" i="1"/>
  <c r="AT466" i="1"/>
  <c r="AO466" i="1"/>
  <c r="AH466" i="1"/>
  <c r="AG466" i="1"/>
  <c r="BL465" i="1"/>
  <c r="BE465" i="1"/>
  <c r="AX465" i="1"/>
  <c r="AP465" i="1"/>
  <c r="AQ465" i="1" s="1"/>
  <c r="AR465" i="1" s="1"/>
  <c r="AF465" i="1"/>
  <c r="AV465" i="1"/>
  <c r="BM465" i="1"/>
  <c r="BN465" i="1" s="1"/>
  <c r="BF465" i="1"/>
  <c r="BG465" i="1" s="1"/>
  <c r="BH465" i="1" s="1"/>
  <c r="BI465" i="1"/>
  <c r="BA465" i="1"/>
  <c r="AT465" i="1"/>
  <c r="AO465" i="1"/>
  <c r="BJ465" i="1"/>
  <c r="AW465" i="1"/>
  <c r="BB465" i="1"/>
  <c r="AS465" i="1"/>
  <c r="AG465" i="1"/>
  <c r="AH465" i="1"/>
  <c r="BL464" i="1"/>
  <c r="BE464" i="1"/>
  <c r="AP464" i="1"/>
  <c r="AQ464" i="1" s="1"/>
  <c r="AR464" i="1" s="1"/>
  <c r="AX464" i="1"/>
  <c r="AV464" i="1"/>
  <c r="AF464" i="1"/>
  <c r="BM464" i="1"/>
  <c r="BN464" i="1" s="1"/>
  <c r="BF464" i="1"/>
  <c r="BG464" i="1" s="1"/>
  <c r="BH464" i="1" s="1"/>
  <c r="BJ464" i="1"/>
  <c r="AW464" i="1"/>
  <c r="BB464" i="1"/>
  <c r="AT464" i="1"/>
  <c r="BI464" i="1"/>
  <c r="BA464" i="1"/>
  <c r="AS464" i="1"/>
  <c r="AO464" i="1"/>
  <c r="AH464" i="1"/>
  <c r="AG464" i="1"/>
  <c r="BL463" i="1"/>
  <c r="AP463" i="1"/>
  <c r="AQ463" i="1" s="1"/>
  <c r="AR463" i="1" s="1"/>
  <c r="BE463" i="1"/>
  <c r="AX463" i="1"/>
  <c r="AF463" i="1"/>
  <c r="AV463" i="1"/>
  <c r="BM463" i="1"/>
  <c r="BN463" i="1" s="1"/>
  <c r="BF463" i="1"/>
  <c r="BG463" i="1" s="1"/>
  <c r="BH463" i="1" s="1"/>
  <c r="BI463" i="1"/>
  <c r="AW463" i="1"/>
  <c r="BB463" i="1"/>
  <c r="AS463" i="1"/>
  <c r="AO463" i="1"/>
  <c r="BJ463" i="1"/>
  <c r="BA463" i="1"/>
  <c r="AT463" i="1"/>
  <c r="AG463" i="1"/>
  <c r="AH463" i="1"/>
  <c r="AV462" i="1"/>
  <c r="AF462" i="1"/>
  <c r="BM462" i="1"/>
  <c r="BN462" i="1" s="1"/>
  <c r="BF462" i="1"/>
  <c r="BG462" i="1" s="1"/>
  <c r="BH462" i="1" s="1"/>
  <c r="BJ462" i="1"/>
  <c r="AX462" i="1"/>
  <c r="BA462" i="1"/>
  <c r="AS462" i="1"/>
  <c r="BI462" i="1"/>
  <c r="BE462" i="1"/>
  <c r="AW462" i="1"/>
  <c r="BB462" i="1"/>
  <c r="AP462" i="1"/>
  <c r="AQ462" i="1" s="1"/>
  <c r="AR462" i="1" s="1"/>
  <c r="AT462" i="1"/>
  <c r="AO462" i="1"/>
  <c r="AH462" i="1"/>
  <c r="AI462" i="1" s="1"/>
  <c r="AG462" i="1"/>
  <c r="BL461" i="1"/>
  <c r="BE461" i="1"/>
  <c r="AX461" i="1"/>
  <c r="AP461" i="1"/>
  <c r="AQ461" i="1" s="1"/>
  <c r="AR461" i="1" s="1"/>
  <c r="AF461" i="1"/>
  <c r="AV461" i="1"/>
  <c r="BM461" i="1"/>
  <c r="BN461" i="1" s="1"/>
  <c r="BF461" i="1"/>
  <c r="BG461" i="1" s="1"/>
  <c r="BH461" i="1" s="1"/>
  <c r="BI461" i="1"/>
  <c r="BA461" i="1"/>
  <c r="AT461" i="1"/>
  <c r="BJ461" i="1"/>
  <c r="AW461" i="1"/>
  <c r="BB461" i="1"/>
  <c r="AS461" i="1"/>
  <c r="AO461" i="1"/>
  <c r="AG461" i="1"/>
  <c r="AH461" i="1"/>
  <c r="BL460" i="1"/>
  <c r="BE460" i="1"/>
  <c r="AP460" i="1"/>
  <c r="AQ460" i="1" s="1"/>
  <c r="AR460" i="1" s="1"/>
  <c r="AX460" i="1"/>
  <c r="AV460" i="1"/>
  <c r="AF460" i="1"/>
  <c r="BM460" i="1"/>
  <c r="BN460" i="1" s="1"/>
  <c r="BF460" i="1"/>
  <c r="BG460" i="1" s="1"/>
  <c r="BH460" i="1" s="1"/>
  <c r="BJ460" i="1"/>
  <c r="AW460" i="1"/>
  <c r="BB460" i="1"/>
  <c r="AT460" i="1"/>
  <c r="BI460" i="1"/>
  <c r="BA460" i="1"/>
  <c r="AS460" i="1"/>
  <c r="AO460" i="1"/>
  <c r="AH460" i="1"/>
  <c r="AG460" i="1"/>
  <c r="BL459" i="1"/>
  <c r="AP459" i="1"/>
  <c r="AQ459" i="1" s="1"/>
  <c r="AR459" i="1" s="1"/>
  <c r="BE459" i="1"/>
  <c r="AX459" i="1"/>
  <c r="AF459" i="1"/>
  <c r="AV459" i="1"/>
  <c r="BM459" i="1"/>
  <c r="BN459" i="1" s="1"/>
  <c r="BF459" i="1"/>
  <c r="BG459" i="1" s="1"/>
  <c r="BH459" i="1" s="1"/>
  <c r="BI459" i="1"/>
  <c r="AW459" i="1"/>
  <c r="BB459" i="1"/>
  <c r="AS459" i="1"/>
  <c r="AO459" i="1"/>
  <c r="BJ459" i="1"/>
  <c r="BA459" i="1"/>
  <c r="AT459" i="1"/>
  <c r="AG459" i="1"/>
  <c r="AH459" i="1"/>
  <c r="BL458" i="1"/>
  <c r="AX458" i="1"/>
  <c r="BE458" i="1"/>
  <c r="AP458" i="1"/>
  <c r="AQ458" i="1" s="1"/>
  <c r="AR458" i="1" s="1"/>
  <c r="AV458" i="1"/>
  <c r="AF458" i="1"/>
  <c r="BM458" i="1"/>
  <c r="BN458" i="1" s="1"/>
  <c r="BF458" i="1"/>
  <c r="BG458" i="1" s="1"/>
  <c r="BH458" i="1" s="1"/>
  <c r="BJ458" i="1"/>
  <c r="BA458" i="1"/>
  <c r="AS458" i="1"/>
  <c r="BI458" i="1"/>
  <c r="AW458" i="1"/>
  <c r="BB458" i="1"/>
  <c r="AT458" i="1"/>
  <c r="AO458" i="1"/>
  <c r="AH458" i="1"/>
  <c r="AG458" i="1"/>
  <c r="AF448" i="1"/>
  <c r="AV448" i="1"/>
  <c r="AV449" i="1"/>
  <c r="AF449" i="1"/>
  <c r="BL457" i="1"/>
  <c r="BE457" i="1"/>
  <c r="AX457" i="1"/>
  <c r="AP457" i="1"/>
  <c r="AQ457" i="1" s="1"/>
  <c r="AR457" i="1" s="1"/>
  <c r="AF457" i="1"/>
  <c r="AV457" i="1"/>
  <c r="BM457" i="1"/>
  <c r="BN457" i="1" s="1"/>
  <c r="BF457" i="1"/>
  <c r="BG457" i="1" s="1"/>
  <c r="BH457" i="1" s="1"/>
  <c r="BI457" i="1"/>
  <c r="BA457" i="1"/>
  <c r="AT457" i="1"/>
  <c r="AO457" i="1"/>
  <c r="BJ457" i="1"/>
  <c r="AW457" i="1"/>
  <c r="BB457" i="1"/>
  <c r="AS457" i="1"/>
  <c r="AG457" i="1"/>
  <c r="AH457" i="1"/>
  <c r="BL456" i="1"/>
  <c r="BE456" i="1"/>
  <c r="AP456" i="1"/>
  <c r="AQ456" i="1" s="1"/>
  <c r="AR456" i="1" s="1"/>
  <c r="AX456" i="1"/>
  <c r="AV456" i="1"/>
  <c r="AF456" i="1"/>
  <c r="BM456" i="1"/>
  <c r="BN456" i="1" s="1"/>
  <c r="BF456" i="1"/>
  <c r="BG456" i="1" s="1"/>
  <c r="BH456" i="1" s="1"/>
  <c r="BJ456" i="1"/>
  <c r="AW456" i="1"/>
  <c r="BB456" i="1"/>
  <c r="AT456" i="1"/>
  <c r="BI456" i="1"/>
  <c r="BA456" i="1"/>
  <c r="AS456" i="1"/>
  <c r="AO456" i="1"/>
  <c r="AH456" i="1"/>
  <c r="AG456" i="1"/>
  <c r="BL455" i="1"/>
  <c r="AP455" i="1"/>
  <c r="AQ455" i="1" s="1"/>
  <c r="AR455" i="1" s="1"/>
  <c r="BE455" i="1"/>
  <c r="AX455" i="1"/>
  <c r="AF455" i="1"/>
  <c r="AV455" i="1"/>
  <c r="BM455" i="1"/>
  <c r="BN455" i="1" s="1"/>
  <c r="BF455" i="1"/>
  <c r="BG455" i="1" s="1"/>
  <c r="BH455" i="1" s="1"/>
  <c r="BI455" i="1"/>
  <c r="AW455" i="1"/>
  <c r="BB455" i="1"/>
  <c r="AS455" i="1"/>
  <c r="AO455" i="1"/>
  <c r="BJ455" i="1"/>
  <c r="BA455" i="1"/>
  <c r="AT455" i="1"/>
  <c r="AG455" i="1"/>
  <c r="AH455" i="1"/>
  <c r="BL454" i="1"/>
  <c r="AX454" i="1"/>
  <c r="BE454" i="1"/>
  <c r="AP454" i="1"/>
  <c r="AQ454" i="1" s="1"/>
  <c r="AR454" i="1" s="1"/>
  <c r="AV454" i="1"/>
  <c r="AF454" i="1"/>
  <c r="BM454" i="1"/>
  <c r="BN454" i="1" s="1"/>
  <c r="BF454" i="1"/>
  <c r="BG454" i="1" s="1"/>
  <c r="BH454" i="1" s="1"/>
  <c r="BJ454" i="1"/>
  <c r="BA454" i="1"/>
  <c r="AS454" i="1"/>
  <c r="BI454" i="1"/>
  <c r="AW454" i="1"/>
  <c r="BB454" i="1"/>
  <c r="AT454" i="1"/>
  <c r="AO454" i="1"/>
  <c r="AH454" i="1"/>
  <c r="AG454" i="1"/>
  <c r="BL453" i="1"/>
  <c r="AX453" i="1"/>
  <c r="AP453" i="1"/>
  <c r="AQ453" i="1" s="1"/>
  <c r="AR453" i="1" s="1"/>
  <c r="BE453" i="1"/>
  <c r="BM453" i="1"/>
  <c r="BN453" i="1" s="1"/>
  <c r="BJ453" i="1"/>
  <c r="BA453" i="1"/>
  <c r="AS453" i="1"/>
  <c r="BF453" i="1"/>
  <c r="BG453" i="1" s="1"/>
  <c r="BH453" i="1" s="1"/>
  <c r="BI453" i="1"/>
  <c r="AW453" i="1"/>
  <c r="BB453" i="1"/>
  <c r="AT453" i="1"/>
  <c r="AO453" i="1"/>
  <c r="AG453" i="1"/>
  <c r="AH453" i="1"/>
  <c r="AI453" i="1" s="1"/>
  <c r="BL452" i="1"/>
  <c r="AP452" i="1"/>
  <c r="AQ452" i="1" s="1"/>
  <c r="AR452" i="1" s="1"/>
  <c r="BE452" i="1"/>
  <c r="AX452" i="1"/>
  <c r="BM452" i="1"/>
  <c r="BN452" i="1" s="1"/>
  <c r="BI452" i="1"/>
  <c r="AW452" i="1"/>
  <c r="BB452" i="1"/>
  <c r="AT452" i="1"/>
  <c r="BF452" i="1"/>
  <c r="BG452" i="1" s="1"/>
  <c r="BH452" i="1" s="1"/>
  <c r="BJ452" i="1"/>
  <c r="BA452" i="1"/>
  <c r="AS452" i="1"/>
  <c r="AO452" i="1"/>
  <c r="AH452" i="1"/>
  <c r="AG452" i="1"/>
  <c r="BL451" i="1"/>
  <c r="BE451" i="1"/>
  <c r="AX451" i="1"/>
  <c r="AP451" i="1"/>
  <c r="AQ451" i="1" s="1"/>
  <c r="AR451" i="1" s="1"/>
  <c r="BM451" i="1"/>
  <c r="BN451" i="1" s="1"/>
  <c r="BJ451" i="1"/>
  <c r="AW451" i="1"/>
  <c r="BB451" i="1"/>
  <c r="AT451" i="1"/>
  <c r="BF451" i="1"/>
  <c r="BG451" i="1" s="1"/>
  <c r="BH451" i="1" s="1"/>
  <c r="BI451" i="1"/>
  <c r="BA451" i="1"/>
  <c r="AS451" i="1"/>
  <c r="AO451" i="1"/>
  <c r="AG451" i="1"/>
  <c r="AH451" i="1"/>
  <c r="AI451" i="1" s="1"/>
  <c r="BL450" i="1"/>
  <c r="BE450" i="1"/>
  <c r="AX450" i="1"/>
  <c r="AP450" i="1"/>
  <c r="AQ450" i="1" s="1"/>
  <c r="AR450" i="1" s="1"/>
  <c r="BM450" i="1"/>
  <c r="BN450" i="1" s="1"/>
  <c r="BI450" i="1"/>
  <c r="BA450" i="1"/>
  <c r="AS450" i="1"/>
  <c r="BF450" i="1"/>
  <c r="BG450" i="1" s="1"/>
  <c r="BH450" i="1" s="1"/>
  <c r="BJ450" i="1"/>
  <c r="AW450" i="1"/>
  <c r="BB450" i="1"/>
  <c r="AT450" i="1"/>
  <c r="AO450" i="1"/>
  <c r="AH450" i="1"/>
  <c r="AG450" i="1"/>
  <c r="BL449" i="1"/>
  <c r="AX449" i="1"/>
  <c r="AP449" i="1"/>
  <c r="AQ449" i="1" s="1"/>
  <c r="AR449" i="1" s="1"/>
  <c r="BE449" i="1"/>
  <c r="BM449" i="1"/>
  <c r="BN449" i="1" s="1"/>
  <c r="BJ449" i="1"/>
  <c r="BA449" i="1"/>
  <c r="AS449" i="1"/>
  <c r="BF449" i="1"/>
  <c r="BG449" i="1" s="1"/>
  <c r="BH449" i="1" s="1"/>
  <c r="BI449" i="1"/>
  <c r="AW449" i="1"/>
  <c r="BB449" i="1"/>
  <c r="AT449" i="1"/>
  <c r="AO449" i="1"/>
  <c r="AG449" i="1"/>
  <c r="AH449" i="1"/>
  <c r="AI449" i="1" s="1"/>
  <c r="BL448" i="1"/>
  <c r="AP448" i="1"/>
  <c r="AQ448" i="1" s="1"/>
  <c r="AR448" i="1" s="1"/>
  <c r="BE448" i="1"/>
  <c r="AX448" i="1"/>
  <c r="BM448" i="1"/>
  <c r="BN448" i="1" s="1"/>
  <c r="BI448" i="1"/>
  <c r="AW448" i="1"/>
  <c r="BB448" i="1"/>
  <c r="AT448" i="1"/>
  <c r="BF448" i="1"/>
  <c r="BG448" i="1" s="1"/>
  <c r="BH448" i="1" s="1"/>
  <c r="BJ448" i="1"/>
  <c r="BA448" i="1"/>
  <c r="AS448" i="1"/>
  <c r="AO448" i="1"/>
  <c r="AH448" i="1"/>
  <c r="AI448" i="1" s="1"/>
  <c r="AG448" i="1"/>
  <c r="BL447" i="1"/>
  <c r="BE447" i="1"/>
  <c r="AX447" i="1"/>
  <c r="AP447" i="1"/>
  <c r="AQ447" i="1" s="1"/>
  <c r="AR447" i="1" s="1"/>
  <c r="BM447" i="1"/>
  <c r="BN447" i="1" s="1"/>
  <c r="BJ447" i="1"/>
  <c r="AW447" i="1"/>
  <c r="BB447" i="1"/>
  <c r="AT447" i="1"/>
  <c r="BF447" i="1"/>
  <c r="BG447" i="1" s="1"/>
  <c r="BH447" i="1" s="1"/>
  <c r="BI447" i="1"/>
  <c r="BA447" i="1"/>
  <c r="AS447" i="1"/>
  <c r="AO447" i="1"/>
  <c r="AG447" i="1"/>
  <c r="AH447" i="1"/>
  <c r="AI447" i="1" s="1"/>
  <c r="BL446" i="1"/>
  <c r="BE446" i="1"/>
  <c r="AX446" i="1"/>
  <c r="AP446" i="1"/>
  <c r="AQ446" i="1" s="1"/>
  <c r="AR446" i="1" s="1"/>
  <c r="BM446" i="1"/>
  <c r="BN446" i="1" s="1"/>
  <c r="BI446" i="1"/>
  <c r="BA446" i="1"/>
  <c r="AS446" i="1"/>
  <c r="AT446" i="1"/>
  <c r="AO446" i="1"/>
  <c r="BF446" i="1"/>
  <c r="BG446" i="1" s="1"/>
  <c r="BH446" i="1" s="1"/>
  <c r="BJ446" i="1"/>
  <c r="AW446" i="1"/>
  <c r="BB446" i="1"/>
  <c r="AH446" i="1"/>
  <c r="AI446" i="1" s="1"/>
  <c r="AG446" i="1"/>
  <c r="BL445" i="1"/>
  <c r="AX445" i="1"/>
  <c r="AP445" i="1"/>
  <c r="AQ445" i="1" s="1"/>
  <c r="AR445" i="1" s="1"/>
  <c r="BE445" i="1"/>
  <c r="BM445" i="1"/>
  <c r="BN445" i="1" s="1"/>
  <c r="BJ445" i="1"/>
  <c r="BA445" i="1"/>
  <c r="AS445" i="1"/>
  <c r="BF445" i="1"/>
  <c r="BG445" i="1" s="1"/>
  <c r="BH445" i="1" s="1"/>
  <c r="BI445" i="1"/>
  <c r="AW445" i="1"/>
  <c r="BB445" i="1"/>
  <c r="AT445" i="1"/>
  <c r="AO445" i="1"/>
  <c r="AG445" i="1"/>
  <c r="AH445" i="1"/>
  <c r="AI445" i="1" s="1"/>
  <c r="BL444" i="1"/>
  <c r="AP444" i="1"/>
  <c r="AQ444" i="1" s="1"/>
  <c r="AR444" i="1" s="1"/>
  <c r="BE444" i="1"/>
  <c r="AX444" i="1"/>
  <c r="BM444" i="1"/>
  <c r="BN444" i="1" s="1"/>
  <c r="BI444" i="1"/>
  <c r="AW444" i="1"/>
  <c r="BB444" i="1"/>
  <c r="AT444" i="1"/>
  <c r="BF444" i="1"/>
  <c r="BG444" i="1" s="1"/>
  <c r="BH444" i="1" s="1"/>
  <c r="BJ444" i="1"/>
  <c r="BA444" i="1"/>
  <c r="AS444" i="1"/>
  <c r="AO444" i="1"/>
  <c r="AH444" i="1"/>
  <c r="AG444" i="1"/>
  <c r="BL443" i="1"/>
  <c r="BE443" i="1"/>
  <c r="AX443" i="1"/>
  <c r="AP443" i="1"/>
  <c r="AQ443" i="1" s="1"/>
  <c r="AR443" i="1" s="1"/>
  <c r="BM443" i="1"/>
  <c r="BN443" i="1" s="1"/>
  <c r="BJ443" i="1"/>
  <c r="AW443" i="1"/>
  <c r="BB443" i="1"/>
  <c r="AT443" i="1"/>
  <c r="BF443" i="1"/>
  <c r="BG443" i="1" s="1"/>
  <c r="BH443" i="1" s="1"/>
  <c r="BI443" i="1"/>
  <c r="BA443" i="1"/>
  <c r="AS443" i="1"/>
  <c r="AO443" i="1"/>
  <c r="AG443" i="1"/>
  <c r="AH443" i="1"/>
  <c r="AI443" i="1" s="1"/>
  <c r="BL442" i="1"/>
  <c r="BE442" i="1"/>
  <c r="AX442" i="1"/>
  <c r="AP442" i="1"/>
  <c r="AQ442" i="1" s="1"/>
  <c r="AR442" i="1" s="1"/>
  <c r="BM442" i="1"/>
  <c r="BN442" i="1" s="1"/>
  <c r="BI442" i="1"/>
  <c r="BA442" i="1"/>
  <c r="AS442" i="1"/>
  <c r="BF442" i="1"/>
  <c r="BG442" i="1" s="1"/>
  <c r="BH442" i="1" s="1"/>
  <c r="BJ442" i="1"/>
  <c r="AW442" i="1"/>
  <c r="BB442" i="1"/>
  <c r="AT442" i="1"/>
  <c r="AO442" i="1"/>
  <c r="AH442" i="1"/>
  <c r="AG442" i="1"/>
  <c r="BL441" i="1"/>
  <c r="AX441" i="1"/>
  <c r="AP441" i="1"/>
  <c r="AQ441" i="1" s="1"/>
  <c r="AR441" i="1" s="1"/>
  <c r="BE441" i="1"/>
  <c r="BM441" i="1"/>
  <c r="BN441" i="1" s="1"/>
  <c r="BJ441" i="1"/>
  <c r="BA441" i="1"/>
  <c r="AS441" i="1"/>
  <c r="BF441" i="1"/>
  <c r="BG441" i="1" s="1"/>
  <c r="BH441" i="1" s="1"/>
  <c r="BI441" i="1"/>
  <c r="AW441" i="1"/>
  <c r="BB441" i="1"/>
  <c r="AT441" i="1"/>
  <c r="AO441" i="1"/>
  <c r="AG441" i="1"/>
  <c r="AH441" i="1"/>
  <c r="AI441" i="1" s="1"/>
  <c r="BL440" i="1"/>
  <c r="AP440" i="1"/>
  <c r="AQ440" i="1" s="1"/>
  <c r="AR440" i="1" s="1"/>
  <c r="BE440" i="1"/>
  <c r="AX440" i="1"/>
  <c r="BM440" i="1"/>
  <c r="BN440" i="1" s="1"/>
  <c r="BI440" i="1"/>
  <c r="AW440" i="1"/>
  <c r="BB440" i="1"/>
  <c r="AT440" i="1"/>
  <c r="BF440" i="1"/>
  <c r="BG440" i="1" s="1"/>
  <c r="BH440" i="1" s="1"/>
  <c r="BJ440" i="1"/>
  <c r="BA440" i="1"/>
  <c r="AS440" i="1"/>
  <c r="AO440" i="1"/>
  <c r="AH440" i="1"/>
  <c r="AG440" i="1"/>
  <c r="BL439" i="1"/>
  <c r="BE439" i="1"/>
  <c r="AX439" i="1"/>
  <c r="AP439" i="1"/>
  <c r="AQ439" i="1" s="1"/>
  <c r="AR439" i="1" s="1"/>
  <c r="BM439" i="1"/>
  <c r="BN439" i="1" s="1"/>
  <c r="BJ439" i="1"/>
  <c r="AW439" i="1"/>
  <c r="BB439" i="1"/>
  <c r="AT439" i="1"/>
  <c r="BF439" i="1"/>
  <c r="BG439" i="1" s="1"/>
  <c r="BH439" i="1" s="1"/>
  <c r="BI439" i="1"/>
  <c r="BA439" i="1"/>
  <c r="AS439" i="1"/>
  <c r="AO439" i="1"/>
  <c r="AG439" i="1"/>
  <c r="AH439" i="1"/>
  <c r="AI439" i="1" s="1"/>
  <c r="BL438" i="1"/>
  <c r="BE438" i="1"/>
  <c r="AX438" i="1"/>
  <c r="AP438" i="1"/>
  <c r="AQ438" i="1" s="1"/>
  <c r="AR438" i="1" s="1"/>
  <c r="BM438" i="1"/>
  <c r="BN438" i="1" s="1"/>
  <c r="BI438" i="1"/>
  <c r="BA438" i="1"/>
  <c r="AS438" i="1"/>
  <c r="BF438" i="1"/>
  <c r="BG438" i="1" s="1"/>
  <c r="BH438" i="1" s="1"/>
  <c r="BJ438" i="1"/>
  <c r="AW438" i="1"/>
  <c r="BB438" i="1"/>
  <c r="AT438" i="1"/>
  <c r="AO438" i="1"/>
  <c r="AH438" i="1"/>
  <c r="AG438" i="1"/>
  <c r="BL437" i="1"/>
  <c r="AX437" i="1"/>
  <c r="AP437" i="1"/>
  <c r="AQ437" i="1" s="1"/>
  <c r="AR437" i="1" s="1"/>
  <c r="BE437" i="1"/>
  <c r="BM437" i="1"/>
  <c r="BJ437" i="1"/>
  <c r="BA437" i="1"/>
  <c r="AS437" i="1"/>
  <c r="BF437" i="1"/>
  <c r="BG437" i="1" s="1"/>
  <c r="BH437" i="1" s="1"/>
  <c r="BI437" i="1"/>
  <c r="AW437" i="1"/>
  <c r="BB437" i="1"/>
  <c r="AT437" i="1"/>
  <c r="AO437" i="1"/>
  <c r="AG437" i="1"/>
  <c r="AH437" i="1"/>
  <c r="AI437" i="1" s="1"/>
  <c r="BL436" i="1"/>
  <c r="AP436" i="1"/>
  <c r="AQ436" i="1" s="1"/>
  <c r="AR436" i="1" s="1"/>
  <c r="BE436" i="1"/>
  <c r="AX436" i="1"/>
  <c r="BM436" i="1"/>
  <c r="BN436" i="1" s="1"/>
  <c r="BI436" i="1"/>
  <c r="AW436" i="1"/>
  <c r="BB436" i="1"/>
  <c r="AT436" i="1"/>
  <c r="BF436" i="1"/>
  <c r="BG436" i="1" s="1"/>
  <c r="BH436" i="1" s="1"/>
  <c r="BJ436" i="1"/>
  <c r="BA436" i="1"/>
  <c r="AS436" i="1"/>
  <c r="AO436" i="1"/>
  <c r="AH436" i="1"/>
  <c r="AI436" i="1" s="1"/>
  <c r="AG436" i="1"/>
  <c r="BL435" i="1"/>
  <c r="BE435" i="1"/>
  <c r="AX435" i="1"/>
  <c r="AP435" i="1"/>
  <c r="AQ435" i="1" s="1"/>
  <c r="AR435" i="1" s="1"/>
  <c r="BM435" i="1"/>
  <c r="BN435" i="1" s="1"/>
  <c r="BJ435" i="1"/>
  <c r="AW435" i="1"/>
  <c r="BB435" i="1"/>
  <c r="AT435" i="1"/>
  <c r="BF435" i="1"/>
  <c r="BG435" i="1" s="1"/>
  <c r="BH435" i="1" s="1"/>
  <c r="BI435" i="1"/>
  <c r="BA435" i="1"/>
  <c r="AS435" i="1"/>
  <c r="AO435" i="1"/>
  <c r="AG435" i="1"/>
  <c r="AH435" i="1"/>
  <c r="AI435" i="1" s="1"/>
  <c r="BL434" i="1"/>
  <c r="BE434" i="1"/>
  <c r="AX434" i="1"/>
  <c r="AP434" i="1"/>
  <c r="AQ434" i="1" s="1"/>
  <c r="AR434" i="1" s="1"/>
  <c r="BM434" i="1"/>
  <c r="BN434" i="1" s="1"/>
  <c r="BI434" i="1"/>
  <c r="BA434" i="1"/>
  <c r="AS434" i="1"/>
  <c r="BF434" i="1"/>
  <c r="BG434" i="1" s="1"/>
  <c r="BH434" i="1" s="1"/>
  <c r="BJ434" i="1"/>
  <c r="AW434" i="1"/>
  <c r="BB434" i="1"/>
  <c r="AT434" i="1"/>
  <c r="AO434" i="1"/>
  <c r="AH434" i="1"/>
  <c r="AG434" i="1"/>
  <c r="BL433" i="1"/>
  <c r="AX433" i="1"/>
  <c r="AP433" i="1"/>
  <c r="AQ433" i="1" s="1"/>
  <c r="AR433" i="1" s="1"/>
  <c r="BE433" i="1"/>
  <c r="BM433" i="1"/>
  <c r="BN433" i="1" s="1"/>
  <c r="BJ433" i="1"/>
  <c r="BA433" i="1"/>
  <c r="AS433" i="1"/>
  <c r="BF433" i="1"/>
  <c r="BG433" i="1" s="1"/>
  <c r="BH433" i="1" s="1"/>
  <c r="BI433" i="1"/>
  <c r="AW433" i="1"/>
  <c r="BB433" i="1"/>
  <c r="AT433" i="1"/>
  <c r="AO433" i="1"/>
  <c r="AG433" i="1"/>
  <c r="AH433" i="1"/>
  <c r="AI433" i="1" s="1"/>
  <c r="BL432" i="1"/>
  <c r="AP432" i="1"/>
  <c r="AQ432" i="1" s="1"/>
  <c r="AR432" i="1" s="1"/>
  <c r="BE432" i="1"/>
  <c r="AX432" i="1"/>
  <c r="BM432" i="1"/>
  <c r="BN432" i="1" s="1"/>
  <c r="BI432" i="1"/>
  <c r="AW432" i="1"/>
  <c r="BB432" i="1"/>
  <c r="AT432" i="1"/>
  <c r="BF432" i="1"/>
  <c r="BG432" i="1" s="1"/>
  <c r="BH432" i="1" s="1"/>
  <c r="BJ432" i="1"/>
  <c r="BA432" i="1"/>
  <c r="AS432" i="1"/>
  <c r="AO432" i="1"/>
  <c r="AH432" i="1"/>
  <c r="AG432" i="1"/>
  <c r="BL431" i="1"/>
  <c r="BE431" i="1"/>
  <c r="AX431" i="1"/>
  <c r="AP431" i="1"/>
  <c r="AQ431" i="1" s="1"/>
  <c r="AR431" i="1" s="1"/>
  <c r="BM431" i="1"/>
  <c r="BN431" i="1" s="1"/>
  <c r="BJ431" i="1"/>
  <c r="AW431" i="1"/>
  <c r="BB431" i="1"/>
  <c r="AT431" i="1"/>
  <c r="BF431" i="1"/>
  <c r="BG431" i="1" s="1"/>
  <c r="BH431" i="1" s="1"/>
  <c r="BI431" i="1"/>
  <c r="BA431" i="1"/>
  <c r="AS431" i="1"/>
  <c r="AO431" i="1"/>
  <c r="AG431" i="1"/>
  <c r="AH431" i="1"/>
  <c r="AI431" i="1" s="1"/>
  <c r="BL430" i="1"/>
  <c r="BE430" i="1"/>
  <c r="AX430" i="1"/>
  <c r="AP430" i="1"/>
  <c r="AQ430" i="1" s="1"/>
  <c r="AR430" i="1" s="1"/>
  <c r="BM430" i="1"/>
  <c r="BN430" i="1" s="1"/>
  <c r="BI430" i="1"/>
  <c r="BA430" i="1"/>
  <c r="AS430" i="1"/>
  <c r="BF430" i="1"/>
  <c r="BG430" i="1" s="1"/>
  <c r="BH430" i="1" s="1"/>
  <c r="BJ430" i="1"/>
  <c r="AW430" i="1"/>
  <c r="BB430" i="1"/>
  <c r="AT430" i="1"/>
  <c r="AO430" i="1"/>
  <c r="AH430" i="1"/>
  <c r="AG430" i="1"/>
  <c r="BL429" i="1"/>
  <c r="AX429" i="1"/>
  <c r="AP429" i="1"/>
  <c r="AQ429" i="1" s="1"/>
  <c r="AR429" i="1" s="1"/>
  <c r="BE429" i="1"/>
  <c r="BM429" i="1"/>
  <c r="BN429" i="1" s="1"/>
  <c r="BJ429" i="1"/>
  <c r="BA429" i="1"/>
  <c r="AS429" i="1"/>
  <c r="BF429" i="1"/>
  <c r="BG429" i="1" s="1"/>
  <c r="BH429" i="1" s="1"/>
  <c r="BI429" i="1"/>
  <c r="AW429" i="1"/>
  <c r="BB429" i="1"/>
  <c r="AT429" i="1"/>
  <c r="AO429" i="1"/>
  <c r="AG429" i="1"/>
  <c r="AH429" i="1"/>
  <c r="AI429" i="1" s="1"/>
  <c r="BL428" i="1"/>
  <c r="AP428" i="1"/>
  <c r="AQ428" i="1" s="1"/>
  <c r="AR428" i="1" s="1"/>
  <c r="BE428" i="1"/>
  <c r="AX428" i="1"/>
  <c r="BM428" i="1"/>
  <c r="BN428" i="1" s="1"/>
  <c r="BI428" i="1"/>
  <c r="AW428" i="1"/>
  <c r="BB428" i="1"/>
  <c r="AT428" i="1"/>
  <c r="BF428" i="1"/>
  <c r="BG428" i="1" s="1"/>
  <c r="BH428" i="1" s="1"/>
  <c r="BJ428" i="1"/>
  <c r="BA428" i="1"/>
  <c r="AS428" i="1"/>
  <c r="AO428" i="1"/>
  <c r="AH428" i="1"/>
  <c r="AI428" i="1" s="1"/>
  <c r="AG428" i="1"/>
  <c r="BL427" i="1"/>
  <c r="BE427" i="1"/>
  <c r="AX427" i="1"/>
  <c r="AP427" i="1"/>
  <c r="AQ427" i="1" s="1"/>
  <c r="AR427" i="1" s="1"/>
  <c r="BM427" i="1"/>
  <c r="BN427" i="1" s="1"/>
  <c r="BJ427" i="1"/>
  <c r="AW427" i="1"/>
  <c r="BB427" i="1"/>
  <c r="AT427" i="1"/>
  <c r="BF427" i="1"/>
  <c r="BG427" i="1" s="1"/>
  <c r="BH427" i="1" s="1"/>
  <c r="BI427" i="1"/>
  <c r="BA427" i="1"/>
  <c r="AS427" i="1"/>
  <c r="AO427" i="1"/>
  <c r="AG427" i="1"/>
  <c r="AH427" i="1"/>
  <c r="AI427" i="1" s="1"/>
  <c r="BL426" i="1"/>
  <c r="BE426" i="1"/>
  <c r="AX426" i="1"/>
  <c r="AP426" i="1"/>
  <c r="AQ426" i="1" s="1"/>
  <c r="AR426" i="1" s="1"/>
  <c r="BM426" i="1"/>
  <c r="BN426" i="1" s="1"/>
  <c r="BI426" i="1"/>
  <c r="BA426" i="1"/>
  <c r="AS426" i="1"/>
  <c r="BF426" i="1"/>
  <c r="BG426" i="1" s="1"/>
  <c r="BH426" i="1" s="1"/>
  <c r="BJ426" i="1"/>
  <c r="AW426" i="1"/>
  <c r="BB426" i="1"/>
  <c r="AT426" i="1"/>
  <c r="AO426" i="1"/>
  <c r="AH426" i="1"/>
  <c r="AG426" i="1"/>
  <c r="BL425" i="1"/>
  <c r="BE425" i="1"/>
  <c r="AX425" i="1"/>
  <c r="AP425" i="1"/>
  <c r="AQ425" i="1" s="1"/>
  <c r="AR425" i="1" s="1"/>
  <c r="BM425" i="1"/>
  <c r="BN425" i="1" s="1"/>
  <c r="BI425" i="1"/>
  <c r="AW425" i="1"/>
  <c r="BB425" i="1"/>
  <c r="AT425" i="1"/>
  <c r="AO425" i="1"/>
  <c r="BF425" i="1"/>
  <c r="BG425" i="1" s="1"/>
  <c r="BH425" i="1" s="1"/>
  <c r="BJ425" i="1"/>
  <c r="BA425" i="1"/>
  <c r="AS425" i="1"/>
  <c r="AG425" i="1"/>
  <c r="AH425" i="1"/>
  <c r="AI425" i="1" s="1"/>
  <c r="BL424" i="1"/>
  <c r="BE424" i="1"/>
  <c r="AX424" i="1"/>
  <c r="AP424" i="1"/>
  <c r="AQ424" i="1" s="1"/>
  <c r="AR424" i="1" s="1"/>
  <c r="BM424" i="1"/>
  <c r="BN424" i="1" s="1"/>
  <c r="BI424" i="1"/>
  <c r="BA424" i="1"/>
  <c r="AS424" i="1"/>
  <c r="AO424" i="1"/>
  <c r="BF424" i="1"/>
  <c r="BG424" i="1" s="1"/>
  <c r="BH424" i="1" s="1"/>
  <c r="BJ424" i="1"/>
  <c r="AW424" i="1"/>
  <c r="BB424" i="1"/>
  <c r="AT424" i="1"/>
  <c r="AH424" i="1"/>
  <c r="AG424" i="1"/>
  <c r="BL423" i="1"/>
  <c r="BE423" i="1"/>
  <c r="AX423" i="1"/>
  <c r="AP423" i="1"/>
  <c r="AQ423" i="1" s="1"/>
  <c r="AR423" i="1" s="1"/>
  <c r="BM423" i="1"/>
  <c r="BN423" i="1" s="1"/>
  <c r="BI423" i="1"/>
  <c r="AW423" i="1"/>
  <c r="BB423" i="1"/>
  <c r="AT423" i="1"/>
  <c r="BF423" i="1"/>
  <c r="BG423" i="1" s="1"/>
  <c r="BH423" i="1" s="1"/>
  <c r="BJ423" i="1"/>
  <c r="BA423" i="1"/>
  <c r="AS423" i="1"/>
  <c r="AO423" i="1"/>
  <c r="AG423" i="1"/>
  <c r="AH423" i="1"/>
  <c r="AI423" i="1" s="1"/>
  <c r="BL422" i="1"/>
  <c r="BE422" i="1"/>
  <c r="AX422" i="1"/>
  <c r="AP422" i="1"/>
  <c r="AQ422" i="1" s="1"/>
  <c r="AR422" i="1" s="1"/>
  <c r="BM422" i="1"/>
  <c r="BN422" i="1" s="1"/>
  <c r="BI422" i="1"/>
  <c r="BA422" i="1"/>
  <c r="AS422" i="1"/>
  <c r="BF422" i="1"/>
  <c r="BG422" i="1" s="1"/>
  <c r="BH422" i="1" s="1"/>
  <c r="BJ422" i="1"/>
  <c r="AW422" i="1"/>
  <c r="BB422" i="1"/>
  <c r="AT422" i="1"/>
  <c r="AO422" i="1"/>
  <c r="AH422" i="1"/>
  <c r="AG422" i="1"/>
  <c r="BL421" i="1"/>
  <c r="BE421" i="1"/>
  <c r="AX421" i="1"/>
  <c r="AP421" i="1"/>
  <c r="AQ421" i="1" s="1"/>
  <c r="AR421" i="1" s="1"/>
  <c r="BM421" i="1"/>
  <c r="BN421" i="1" s="1"/>
  <c r="BI421" i="1"/>
  <c r="AW421" i="1"/>
  <c r="BB421" i="1"/>
  <c r="AT421" i="1"/>
  <c r="AO421" i="1"/>
  <c r="BF421" i="1"/>
  <c r="BG421" i="1" s="1"/>
  <c r="BH421" i="1" s="1"/>
  <c r="BJ421" i="1"/>
  <c r="BA421" i="1"/>
  <c r="AS421" i="1"/>
  <c r="AG421" i="1"/>
  <c r="AH421" i="1"/>
  <c r="AI421" i="1" s="1"/>
  <c r="BL420" i="1"/>
  <c r="BE420" i="1"/>
  <c r="AX420" i="1"/>
  <c r="AP420" i="1"/>
  <c r="AQ420" i="1" s="1"/>
  <c r="AR420" i="1" s="1"/>
  <c r="BM420" i="1"/>
  <c r="BN420" i="1" s="1"/>
  <c r="BI420" i="1"/>
  <c r="BA420" i="1"/>
  <c r="AS420" i="1"/>
  <c r="AO420" i="1"/>
  <c r="BF420" i="1"/>
  <c r="BG420" i="1" s="1"/>
  <c r="BH420" i="1" s="1"/>
  <c r="BJ420" i="1"/>
  <c r="AW420" i="1"/>
  <c r="BB420" i="1"/>
  <c r="AT420" i="1"/>
  <c r="AH420" i="1"/>
  <c r="AG420" i="1"/>
  <c r="BL419" i="1"/>
  <c r="BE419" i="1"/>
  <c r="AX419" i="1"/>
  <c r="AP419" i="1"/>
  <c r="AQ419" i="1" s="1"/>
  <c r="AR419" i="1" s="1"/>
  <c r="BM419" i="1"/>
  <c r="BN419" i="1" s="1"/>
  <c r="BI419" i="1"/>
  <c r="AW419" i="1"/>
  <c r="BB419" i="1"/>
  <c r="AT419" i="1"/>
  <c r="BF419" i="1"/>
  <c r="BG419" i="1" s="1"/>
  <c r="BH419" i="1" s="1"/>
  <c r="BJ419" i="1"/>
  <c r="BA419" i="1"/>
  <c r="AS419" i="1"/>
  <c r="AO419" i="1"/>
  <c r="AG419" i="1"/>
  <c r="AH419" i="1"/>
  <c r="AI419" i="1" s="1"/>
  <c r="BL418" i="1"/>
  <c r="BE418" i="1"/>
  <c r="AX418" i="1"/>
  <c r="AP418" i="1"/>
  <c r="AQ418" i="1" s="1"/>
  <c r="AR418" i="1" s="1"/>
  <c r="BM418" i="1"/>
  <c r="BN418" i="1" s="1"/>
  <c r="BI418" i="1"/>
  <c r="BA418" i="1"/>
  <c r="AS418" i="1"/>
  <c r="BF418" i="1"/>
  <c r="BG418" i="1" s="1"/>
  <c r="BH418" i="1" s="1"/>
  <c r="BJ418" i="1"/>
  <c r="AW418" i="1"/>
  <c r="BB418" i="1"/>
  <c r="AT418" i="1"/>
  <c r="AO418" i="1"/>
  <c r="AH418" i="1"/>
  <c r="AG418" i="1"/>
  <c r="BL417" i="1"/>
  <c r="BE417" i="1"/>
  <c r="AX417" i="1"/>
  <c r="AP417" i="1"/>
  <c r="AQ417" i="1" s="1"/>
  <c r="AR417" i="1" s="1"/>
  <c r="BM417" i="1"/>
  <c r="BN417" i="1" s="1"/>
  <c r="BI417" i="1"/>
  <c r="AW417" i="1"/>
  <c r="BB417" i="1"/>
  <c r="AT417" i="1"/>
  <c r="AO417" i="1"/>
  <c r="BF417" i="1"/>
  <c r="BG417" i="1" s="1"/>
  <c r="BH417" i="1" s="1"/>
  <c r="BJ417" i="1"/>
  <c r="BA417" i="1"/>
  <c r="AS417" i="1"/>
  <c r="AG417" i="1"/>
  <c r="AH417" i="1"/>
  <c r="AI417" i="1" s="1"/>
  <c r="BL416" i="1"/>
  <c r="BE416" i="1"/>
  <c r="AX416" i="1"/>
  <c r="AP416" i="1"/>
  <c r="AQ416" i="1" s="1"/>
  <c r="AR416" i="1" s="1"/>
  <c r="BM416" i="1"/>
  <c r="BN416" i="1" s="1"/>
  <c r="BI416" i="1"/>
  <c r="BA416" i="1"/>
  <c r="AS416" i="1"/>
  <c r="AO416" i="1"/>
  <c r="BF416" i="1"/>
  <c r="BG416" i="1" s="1"/>
  <c r="BH416" i="1" s="1"/>
  <c r="BJ416" i="1"/>
  <c r="AW416" i="1"/>
  <c r="BB416" i="1"/>
  <c r="AT416" i="1"/>
  <c r="AH416" i="1"/>
  <c r="AG416" i="1"/>
  <c r="BL415" i="1"/>
  <c r="BE415" i="1"/>
  <c r="AX415" i="1"/>
  <c r="AP415" i="1"/>
  <c r="AQ415" i="1" s="1"/>
  <c r="AR415" i="1" s="1"/>
  <c r="BM415" i="1"/>
  <c r="BN415" i="1" s="1"/>
  <c r="BI415" i="1"/>
  <c r="AW415" i="1"/>
  <c r="BB415" i="1"/>
  <c r="AT415" i="1"/>
  <c r="BF415" i="1"/>
  <c r="BG415" i="1" s="1"/>
  <c r="BH415" i="1" s="1"/>
  <c r="BJ415" i="1"/>
  <c r="BA415" i="1"/>
  <c r="AS415" i="1"/>
  <c r="AO415" i="1"/>
  <c r="AG415" i="1"/>
  <c r="AH415" i="1"/>
  <c r="AI415" i="1" s="1"/>
  <c r="BL414" i="1"/>
  <c r="BE414" i="1"/>
  <c r="AX414" i="1"/>
  <c r="AP414" i="1"/>
  <c r="AQ414" i="1" s="1"/>
  <c r="AR414" i="1" s="1"/>
  <c r="BM414" i="1"/>
  <c r="BN414" i="1" s="1"/>
  <c r="BI414" i="1"/>
  <c r="BA414" i="1"/>
  <c r="AS414" i="1"/>
  <c r="BF414" i="1"/>
  <c r="BG414" i="1" s="1"/>
  <c r="BH414" i="1" s="1"/>
  <c r="BJ414" i="1"/>
  <c r="AW414" i="1"/>
  <c r="BB414" i="1"/>
  <c r="AT414" i="1"/>
  <c r="AO414" i="1"/>
  <c r="AH414" i="1"/>
  <c r="AG414" i="1"/>
  <c r="BL413" i="1"/>
  <c r="BE413" i="1"/>
  <c r="AX413" i="1"/>
  <c r="AP413" i="1"/>
  <c r="AQ413" i="1" s="1"/>
  <c r="AR413" i="1" s="1"/>
  <c r="BM413" i="1"/>
  <c r="BN413" i="1" s="1"/>
  <c r="BI413" i="1"/>
  <c r="AW413" i="1"/>
  <c r="BB413" i="1"/>
  <c r="AT413" i="1"/>
  <c r="AO413" i="1"/>
  <c r="BF413" i="1"/>
  <c r="BG413" i="1" s="1"/>
  <c r="BH413" i="1" s="1"/>
  <c r="BJ413" i="1"/>
  <c r="BA413" i="1"/>
  <c r="AS413" i="1"/>
  <c r="AG413" i="1"/>
  <c r="AH413" i="1"/>
  <c r="AI413" i="1" s="1"/>
  <c r="BL412" i="1"/>
  <c r="BE412" i="1"/>
  <c r="AX412" i="1"/>
  <c r="AP412" i="1"/>
  <c r="AQ412" i="1" s="1"/>
  <c r="AR412" i="1" s="1"/>
  <c r="BM412" i="1"/>
  <c r="BN412" i="1" s="1"/>
  <c r="BI412" i="1"/>
  <c r="BA412" i="1"/>
  <c r="AS412" i="1"/>
  <c r="AO412" i="1"/>
  <c r="BF412" i="1"/>
  <c r="BG412" i="1" s="1"/>
  <c r="BH412" i="1" s="1"/>
  <c r="BJ412" i="1"/>
  <c r="AW412" i="1"/>
  <c r="BB412" i="1"/>
  <c r="AT412" i="1"/>
  <c r="AH412" i="1"/>
  <c r="AG412" i="1"/>
  <c r="BL411" i="1"/>
  <c r="BE411" i="1"/>
  <c r="AX411" i="1"/>
  <c r="AP411" i="1"/>
  <c r="AQ411" i="1" s="1"/>
  <c r="AR411" i="1" s="1"/>
  <c r="BM411" i="1"/>
  <c r="BN411" i="1" s="1"/>
  <c r="BI411" i="1"/>
  <c r="AW411" i="1"/>
  <c r="BB411" i="1"/>
  <c r="AT411" i="1"/>
  <c r="BF411" i="1"/>
  <c r="BG411" i="1" s="1"/>
  <c r="BH411" i="1" s="1"/>
  <c r="BJ411" i="1"/>
  <c r="BA411" i="1"/>
  <c r="AS411" i="1"/>
  <c r="AO411" i="1"/>
  <c r="AG411" i="1"/>
  <c r="AH411" i="1"/>
  <c r="AI411" i="1" s="1"/>
  <c r="BL410" i="1"/>
  <c r="BE410" i="1"/>
  <c r="AX410" i="1"/>
  <c r="AP410" i="1"/>
  <c r="AQ410" i="1" s="1"/>
  <c r="AR410" i="1" s="1"/>
  <c r="BM410" i="1"/>
  <c r="BN410" i="1" s="1"/>
  <c r="BI410" i="1"/>
  <c r="BA410" i="1"/>
  <c r="AS410" i="1"/>
  <c r="BF410" i="1"/>
  <c r="BG410" i="1" s="1"/>
  <c r="BH410" i="1" s="1"/>
  <c r="BJ410" i="1"/>
  <c r="AW410" i="1"/>
  <c r="BB410" i="1"/>
  <c r="AT410" i="1"/>
  <c r="AO410" i="1"/>
  <c r="AH410" i="1"/>
  <c r="AI410" i="1" s="1"/>
  <c r="AG410" i="1"/>
  <c r="BL409" i="1"/>
  <c r="BE409" i="1"/>
  <c r="AX409" i="1"/>
  <c r="AP409" i="1"/>
  <c r="AQ409" i="1" s="1"/>
  <c r="AR409" i="1" s="1"/>
  <c r="BM409" i="1"/>
  <c r="BN409" i="1" s="1"/>
  <c r="BI409" i="1"/>
  <c r="AW409" i="1"/>
  <c r="BB409" i="1"/>
  <c r="AT409" i="1"/>
  <c r="AO409" i="1"/>
  <c r="BF409" i="1"/>
  <c r="BG409" i="1" s="1"/>
  <c r="BH409" i="1" s="1"/>
  <c r="BJ409" i="1"/>
  <c r="BA409" i="1"/>
  <c r="AS409" i="1"/>
  <c r="AG409" i="1"/>
  <c r="AH409" i="1"/>
  <c r="AI409" i="1" s="1"/>
  <c r="BL408" i="1"/>
  <c r="BE408" i="1"/>
  <c r="AX408" i="1"/>
  <c r="AP408" i="1"/>
  <c r="AQ408" i="1" s="1"/>
  <c r="AR408" i="1" s="1"/>
  <c r="BM408" i="1"/>
  <c r="BN408" i="1" s="1"/>
  <c r="BI408" i="1"/>
  <c r="BA408" i="1"/>
  <c r="AS408" i="1"/>
  <c r="AO408" i="1"/>
  <c r="BF408" i="1"/>
  <c r="BG408" i="1" s="1"/>
  <c r="BH408" i="1" s="1"/>
  <c r="BJ408" i="1"/>
  <c r="AW408" i="1"/>
  <c r="BB408" i="1"/>
  <c r="AT408" i="1"/>
  <c r="AH408" i="1"/>
  <c r="AG408" i="1"/>
  <c r="BL407" i="1"/>
  <c r="BE407" i="1"/>
  <c r="AX407" i="1"/>
  <c r="AP407" i="1"/>
  <c r="AQ407" i="1" s="1"/>
  <c r="AR407" i="1" s="1"/>
  <c r="BM407" i="1"/>
  <c r="BN407" i="1" s="1"/>
  <c r="BI407" i="1"/>
  <c r="AW407" i="1"/>
  <c r="BB407" i="1"/>
  <c r="AT407" i="1"/>
  <c r="BF407" i="1"/>
  <c r="BG407" i="1" s="1"/>
  <c r="BH407" i="1" s="1"/>
  <c r="BJ407" i="1"/>
  <c r="BA407" i="1"/>
  <c r="AS407" i="1"/>
  <c r="AO407" i="1"/>
  <c r="AG407" i="1"/>
  <c r="AH407" i="1"/>
  <c r="AI407" i="1" s="1"/>
  <c r="BL406" i="1"/>
  <c r="BE406" i="1"/>
  <c r="AX406" i="1"/>
  <c r="AP406" i="1"/>
  <c r="AQ406" i="1" s="1"/>
  <c r="AR406" i="1" s="1"/>
  <c r="BM406" i="1"/>
  <c r="BN406" i="1" s="1"/>
  <c r="BI406" i="1"/>
  <c r="BA406" i="1"/>
  <c r="AS406" i="1"/>
  <c r="BF406" i="1"/>
  <c r="BG406" i="1" s="1"/>
  <c r="BH406" i="1" s="1"/>
  <c r="BJ406" i="1"/>
  <c r="AW406" i="1"/>
  <c r="BB406" i="1"/>
  <c r="AT406" i="1"/>
  <c r="AO406" i="1"/>
  <c r="AH406" i="1"/>
  <c r="AI406" i="1" s="1"/>
  <c r="AG406" i="1"/>
  <c r="BL405" i="1"/>
  <c r="BE405" i="1"/>
  <c r="AX405" i="1"/>
  <c r="AP405" i="1"/>
  <c r="AQ405" i="1" s="1"/>
  <c r="AR405" i="1" s="1"/>
  <c r="BM405" i="1"/>
  <c r="BN405" i="1" s="1"/>
  <c r="BI405" i="1"/>
  <c r="AW405" i="1"/>
  <c r="BB405" i="1"/>
  <c r="AT405" i="1"/>
  <c r="AO405" i="1"/>
  <c r="BF405" i="1"/>
  <c r="BG405" i="1" s="1"/>
  <c r="BH405" i="1" s="1"/>
  <c r="BJ405" i="1"/>
  <c r="BA405" i="1"/>
  <c r="AS405" i="1"/>
  <c r="AG405" i="1"/>
  <c r="AH405" i="1"/>
  <c r="AI405" i="1" s="1"/>
  <c r="BL404" i="1"/>
  <c r="BE404" i="1"/>
  <c r="AX404" i="1"/>
  <c r="AP404" i="1"/>
  <c r="AQ404" i="1" s="1"/>
  <c r="AR404" i="1" s="1"/>
  <c r="BM404" i="1"/>
  <c r="BN404" i="1" s="1"/>
  <c r="BI404" i="1"/>
  <c r="BA404" i="1"/>
  <c r="AS404" i="1"/>
  <c r="AO404" i="1"/>
  <c r="BF404" i="1"/>
  <c r="BG404" i="1" s="1"/>
  <c r="BH404" i="1" s="1"/>
  <c r="BJ404" i="1"/>
  <c r="AW404" i="1"/>
  <c r="BB404" i="1"/>
  <c r="AT404" i="1"/>
  <c r="AH404" i="1"/>
  <c r="AI404" i="1" s="1"/>
  <c r="AG404" i="1"/>
  <c r="BL403" i="1"/>
  <c r="BE403" i="1"/>
  <c r="AX403" i="1"/>
  <c r="AP403" i="1"/>
  <c r="AQ403" i="1" s="1"/>
  <c r="AR403" i="1" s="1"/>
  <c r="BM403" i="1"/>
  <c r="BN403" i="1" s="1"/>
  <c r="BI403" i="1"/>
  <c r="AW403" i="1"/>
  <c r="BB403" i="1"/>
  <c r="AT403" i="1"/>
  <c r="BF403" i="1"/>
  <c r="BG403" i="1" s="1"/>
  <c r="BH403" i="1" s="1"/>
  <c r="BJ403" i="1"/>
  <c r="BA403" i="1"/>
  <c r="AS403" i="1"/>
  <c r="AO403" i="1"/>
  <c r="AG403" i="1"/>
  <c r="AH403" i="1"/>
  <c r="AI403" i="1" s="1"/>
  <c r="BL402" i="1"/>
  <c r="BE402" i="1"/>
  <c r="AX402" i="1"/>
  <c r="AP402" i="1"/>
  <c r="AQ402" i="1" s="1"/>
  <c r="AR402" i="1" s="1"/>
  <c r="BM402" i="1"/>
  <c r="BN402" i="1" s="1"/>
  <c r="BI402" i="1"/>
  <c r="BA402" i="1"/>
  <c r="AS402" i="1"/>
  <c r="BF402" i="1"/>
  <c r="BG402" i="1" s="1"/>
  <c r="BH402" i="1" s="1"/>
  <c r="BJ402" i="1"/>
  <c r="AW402" i="1"/>
  <c r="BB402" i="1"/>
  <c r="AT402" i="1"/>
  <c r="AO402" i="1"/>
  <c r="AH402" i="1"/>
  <c r="AG402" i="1"/>
  <c r="BL401" i="1"/>
  <c r="BE401" i="1"/>
  <c r="AX401" i="1"/>
  <c r="AP401" i="1"/>
  <c r="AQ401" i="1" s="1"/>
  <c r="AR401" i="1" s="1"/>
  <c r="BM401" i="1"/>
  <c r="BN401" i="1" s="1"/>
  <c r="BI401" i="1"/>
  <c r="AW401" i="1"/>
  <c r="BB401" i="1"/>
  <c r="AT401" i="1"/>
  <c r="AO401" i="1"/>
  <c r="BF401" i="1"/>
  <c r="BG401" i="1" s="1"/>
  <c r="BH401" i="1" s="1"/>
  <c r="BJ401" i="1"/>
  <c r="BA401" i="1"/>
  <c r="AS401" i="1"/>
  <c r="AG401" i="1"/>
  <c r="AH401" i="1"/>
  <c r="AI401" i="1" s="1"/>
  <c r="BL400" i="1"/>
  <c r="BE400" i="1"/>
  <c r="AX400" i="1"/>
  <c r="AP400" i="1"/>
  <c r="AQ400" i="1" s="1"/>
  <c r="AR400" i="1" s="1"/>
  <c r="BM400" i="1"/>
  <c r="BN400" i="1" s="1"/>
  <c r="BI400" i="1"/>
  <c r="BA400" i="1"/>
  <c r="AS400" i="1"/>
  <c r="AO400" i="1"/>
  <c r="BF400" i="1"/>
  <c r="BG400" i="1" s="1"/>
  <c r="BH400" i="1" s="1"/>
  <c r="BJ400" i="1"/>
  <c r="AW400" i="1"/>
  <c r="BB400" i="1"/>
  <c r="AT400" i="1"/>
  <c r="AH400" i="1"/>
  <c r="AG400" i="1"/>
  <c r="BL399" i="1"/>
  <c r="BE399" i="1"/>
  <c r="AX399" i="1"/>
  <c r="AP399" i="1"/>
  <c r="AQ399" i="1" s="1"/>
  <c r="AR399" i="1" s="1"/>
  <c r="BM399" i="1"/>
  <c r="BN399" i="1" s="1"/>
  <c r="BI399" i="1"/>
  <c r="AW399" i="1"/>
  <c r="BB399" i="1"/>
  <c r="AT399" i="1"/>
  <c r="BF399" i="1"/>
  <c r="BG399" i="1" s="1"/>
  <c r="BH399" i="1" s="1"/>
  <c r="BJ399" i="1"/>
  <c r="BA399" i="1"/>
  <c r="AS399" i="1"/>
  <c r="AO399" i="1"/>
  <c r="AG399" i="1"/>
  <c r="AH399" i="1"/>
  <c r="AI399" i="1" s="1"/>
  <c r="BL398" i="1"/>
  <c r="BE398" i="1"/>
  <c r="AX398" i="1"/>
  <c r="AP398" i="1"/>
  <c r="AQ398" i="1" s="1"/>
  <c r="AR398" i="1" s="1"/>
  <c r="BM398" i="1"/>
  <c r="BN398" i="1" s="1"/>
  <c r="BI398" i="1"/>
  <c r="BA398" i="1"/>
  <c r="AS398" i="1"/>
  <c r="BF398" i="1"/>
  <c r="BG398" i="1" s="1"/>
  <c r="BH398" i="1" s="1"/>
  <c r="BJ398" i="1"/>
  <c r="AW398" i="1"/>
  <c r="BB398" i="1"/>
  <c r="AT398" i="1"/>
  <c r="AO398" i="1"/>
  <c r="AH398" i="1"/>
  <c r="AG398" i="1"/>
  <c r="BL397" i="1"/>
  <c r="BE397" i="1"/>
  <c r="AX397" i="1"/>
  <c r="AP397" i="1"/>
  <c r="AQ397" i="1" s="1"/>
  <c r="AR397" i="1" s="1"/>
  <c r="BM397" i="1"/>
  <c r="BN397" i="1" s="1"/>
  <c r="BI397" i="1"/>
  <c r="AW397" i="1"/>
  <c r="BB397" i="1"/>
  <c r="AT397" i="1"/>
  <c r="AO397" i="1"/>
  <c r="BF397" i="1"/>
  <c r="BG397" i="1" s="1"/>
  <c r="BH397" i="1" s="1"/>
  <c r="BJ397" i="1"/>
  <c r="BA397" i="1"/>
  <c r="AS397" i="1"/>
  <c r="AG397" i="1"/>
  <c r="AH397" i="1"/>
  <c r="AI397" i="1" s="1"/>
  <c r="BL396" i="1"/>
  <c r="BE396" i="1"/>
  <c r="AX396" i="1"/>
  <c r="AP396" i="1"/>
  <c r="AQ396" i="1" s="1"/>
  <c r="AR396" i="1" s="1"/>
  <c r="BM396" i="1"/>
  <c r="BN396" i="1" s="1"/>
  <c r="BI396" i="1"/>
  <c r="BA396" i="1"/>
  <c r="AS396" i="1"/>
  <c r="AO396" i="1"/>
  <c r="BF396" i="1"/>
  <c r="BG396" i="1" s="1"/>
  <c r="BH396" i="1" s="1"/>
  <c r="BJ396" i="1"/>
  <c r="AW396" i="1"/>
  <c r="BB396" i="1"/>
  <c r="AT396" i="1"/>
  <c r="AH396" i="1"/>
  <c r="AI396" i="1" s="1"/>
  <c r="AG396" i="1"/>
  <c r="BL395" i="1"/>
  <c r="BE395" i="1"/>
  <c r="AX395" i="1"/>
  <c r="AP395" i="1"/>
  <c r="AQ395" i="1" s="1"/>
  <c r="AR395" i="1" s="1"/>
  <c r="BM395" i="1"/>
  <c r="BN395" i="1" s="1"/>
  <c r="BI395" i="1"/>
  <c r="AW395" i="1"/>
  <c r="BB395" i="1"/>
  <c r="AT395" i="1"/>
  <c r="BF395" i="1"/>
  <c r="BG395" i="1" s="1"/>
  <c r="BH395" i="1" s="1"/>
  <c r="BJ395" i="1"/>
  <c r="BA395" i="1"/>
  <c r="AS395" i="1"/>
  <c r="AO395" i="1"/>
  <c r="AG395" i="1"/>
  <c r="AH395" i="1"/>
  <c r="AI395" i="1" s="1"/>
  <c r="BL394" i="1"/>
  <c r="BE394" i="1"/>
  <c r="AX394" i="1"/>
  <c r="AP394" i="1"/>
  <c r="AQ394" i="1" s="1"/>
  <c r="AR394" i="1" s="1"/>
  <c r="BM394" i="1"/>
  <c r="BN394" i="1" s="1"/>
  <c r="BI394" i="1"/>
  <c r="BA394" i="1"/>
  <c r="AS394" i="1"/>
  <c r="BF394" i="1"/>
  <c r="BG394" i="1" s="1"/>
  <c r="BH394" i="1" s="1"/>
  <c r="BJ394" i="1"/>
  <c r="AW394" i="1"/>
  <c r="BB394" i="1"/>
  <c r="AT394" i="1"/>
  <c r="AO394" i="1"/>
  <c r="AH394" i="1"/>
  <c r="AG394" i="1"/>
  <c r="BL393" i="1"/>
  <c r="BE393" i="1"/>
  <c r="AX393" i="1"/>
  <c r="AP393" i="1"/>
  <c r="AQ393" i="1" s="1"/>
  <c r="AR393" i="1" s="1"/>
  <c r="BM393" i="1"/>
  <c r="BN393" i="1" s="1"/>
  <c r="BI393" i="1"/>
  <c r="AW393" i="1"/>
  <c r="BB393" i="1"/>
  <c r="AT393" i="1"/>
  <c r="AO393" i="1"/>
  <c r="BF393" i="1"/>
  <c r="BG393" i="1" s="1"/>
  <c r="BH393" i="1" s="1"/>
  <c r="BJ393" i="1"/>
  <c r="BA393" i="1"/>
  <c r="AS393" i="1"/>
  <c r="AG393" i="1"/>
  <c r="AH393" i="1"/>
  <c r="AI393" i="1" s="1"/>
  <c r="BL392" i="1"/>
  <c r="BE392" i="1"/>
  <c r="AX392" i="1"/>
  <c r="AP392" i="1"/>
  <c r="AQ392" i="1" s="1"/>
  <c r="AR392" i="1" s="1"/>
  <c r="BM392" i="1"/>
  <c r="BN392" i="1" s="1"/>
  <c r="BI392" i="1"/>
  <c r="BA392" i="1"/>
  <c r="AS392" i="1"/>
  <c r="AO392" i="1"/>
  <c r="BF392" i="1"/>
  <c r="BG392" i="1" s="1"/>
  <c r="BH392" i="1" s="1"/>
  <c r="BJ392" i="1"/>
  <c r="AW392" i="1"/>
  <c r="BB392" i="1"/>
  <c r="AT392" i="1"/>
  <c r="AH392" i="1"/>
  <c r="AG392" i="1"/>
  <c r="BL391" i="1"/>
  <c r="BE391" i="1"/>
  <c r="AX391" i="1"/>
  <c r="AP391" i="1"/>
  <c r="AQ391" i="1" s="1"/>
  <c r="AR391" i="1" s="1"/>
  <c r="BM391" i="1"/>
  <c r="BN391" i="1" s="1"/>
  <c r="BI391" i="1"/>
  <c r="AW391" i="1"/>
  <c r="BB391" i="1"/>
  <c r="AT391" i="1"/>
  <c r="BF391" i="1"/>
  <c r="BG391" i="1" s="1"/>
  <c r="BH391" i="1" s="1"/>
  <c r="BJ391" i="1"/>
  <c r="BA391" i="1"/>
  <c r="AS391" i="1"/>
  <c r="AO391" i="1"/>
  <c r="AG391" i="1"/>
  <c r="AH391" i="1"/>
  <c r="AI391" i="1" s="1"/>
  <c r="BM390" i="1"/>
  <c r="AW390" i="1"/>
  <c r="AO390" i="1"/>
  <c r="AG390" i="1"/>
  <c r="BL389" i="1"/>
  <c r="BE389" i="1"/>
  <c r="AX389" i="1"/>
  <c r="AP389" i="1"/>
  <c r="AQ389" i="1" s="1"/>
  <c r="AR389" i="1" s="1"/>
  <c r="BM389" i="1"/>
  <c r="BN389" i="1" s="1"/>
  <c r="BI389" i="1"/>
  <c r="BA389" i="1"/>
  <c r="AS389" i="1"/>
  <c r="AO389" i="1"/>
  <c r="BF389" i="1"/>
  <c r="BG389" i="1" s="1"/>
  <c r="BH389" i="1" s="1"/>
  <c r="BJ389" i="1"/>
  <c r="AW389" i="1"/>
  <c r="BB389" i="1"/>
  <c r="AT389" i="1"/>
  <c r="AH389" i="1"/>
  <c r="AG389" i="1"/>
  <c r="BL388" i="1"/>
  <c r="BE388" i="1"/>
  <c r="AP388" i="1"/>
  <c r="AQ388" i="1" s="1"/>
  <c r="AR388" i="1" s="1"/>
  <c r="AX388" i="1"/>
  <c r="BM388" i="1"/>
  <c r="BN388" i="1" s="1"/>
  <c r="BI388" i="1"/>
  <c r="AW388" i="1"/>
  <c r="BB388" i="1"/>
  <c r="AT388" i="1"/>
  <c r="AO388" i="1"/>
  <c r="BF388" i="1"/>
  <c r="BG388" i="1" s="1"/>
  <c r="BH388" i="1" s="1"/>
  <c r="BJ388" i="1"/>
  <c r="BA388" i="1"/>
  <c r="AS388" i="1"/>
  <c r="AG388" i="1"/>
  <c r="AH388" i="1"/>
  <c r="AI388" i="1" s="1"/>
  <c r="BL387" i="1"/>
  <c r="BE387" i="1"/>
  <c r="AX387" i="1"/>
  <c r="AP387" i="1"/>
  <c r="AQ387" i="1" s="1"/>
  <c r="AR387" i="1" s="1"/>
  <c r="BM387" i="1"/>
  <c r="BN387" i="1" s="1"/>
  <c r="BI387" i="1"/>
  <c r="BA387" i="1"/>
  <c r="AS387" i="1"/>
  <c r="BF387" i="1"/>
  <c r="BG387" i="1" s="1"/>
  <c r="BH387" i="1" s="1"/>
  <c r="BJ387" i="1"/>
  <c r="AW387" i="1"/>
  <c r="BB387" i="1"/>
  <c r="AT387" i="1"/>
  <c r="AO387" i="1"/>
  <c r="AH387" i="1"/>
  <c r="AG387" i="1"/>
  <c r="BM386" i="1"/>
  <c r="AW386" i="1"/>
  <c r="AO386" i="1"/>
  <c r="AG386" i="1"/>
  <c r="BL386" i="1"/>
  <c r="BN386" i="1" s="1"/>
  <c r="BI386" i="1"/>
  <c r="BE386" i="1"/>
  <c r="BB386" i="1"/>
  <c r="AP386" i="1"/>
  <c r="AQ386" i="1" s="1"/>
  <c r="AR386" i="1" s="1"/>
  <c r="AT386" i="1"/>
  <c r="BF386" i="1"/>
  <c r="BG386" i="1" s="1"/>
  <c r="BH386" i="1" s="1"/>
  <c r="BJ386" i="1"/>
  <c r="AX386" i="1"/>
  <c r="BA386" i="1"/>
  <c r="AS386" i="1"/>
  <c r="AH386" i="1"/>
  <c r="AI386" i="1" s="1"/>
  <c r="BL385" i="1"/>
  <c r="BE385" i="1"/>
  <c r="AX385" i="1"/>
  <c r="AP385" i="1"/>
  <c r="AQ385" i="1" s="1"/>
  <c r="AR385" i="1" s="1"/>
  <c r="BM385" i="1"/>
  <c r="BN385" i="1" s="1"/>
  <c r="BI385" i="1"/>
  <c r="BA385" i="1"/>
  <c r="AS385" i="1"/>
  <c r="AO385" i="1"/>
  <c r="BF385" i="1"/>
  <c r="BG385" i="1" s="1"/>
  <c r="BH385" i="1" s="1"/>
  <c r="BJ385" i="1"/>
  <c r="AW385" i="1"/>
  <c r="BB385" i="1"/>
  <c r="AT385" i="1"/>
  <c r="AH385" i="1"/>
  <c r="AI385" i="1" s="1"/>
  <c r="AG385" i="1"/>
  <c r="BL390" i="1"/>
  <c r="BN390" i="1" s="1"/>
  <c r="BI390" i="1"/>
  <c r="AX390" i="1"/>
  <c r="BA390" i="1"/>
  <c r="AP390" i="1"/>
  <c r="AQ390" i="1" s="1"/>
  <c r="AR390" i="1" s="1"/>
  <c r="AT390" i="1"/>
  <c r="BF390" i="1"/>
  <c r="BG390" i="1" s="1"/>
  <c r="BH390" i="1" s="1"/>
  <c r="BJ390" i="1"/>
  <c r="BE390" i="1"/>
  <c r="BB390" i="1"/>
  <c r="AS390" i="1"/>
  <c r="AH390" i="1"/>
  <c r="AI390" i="1" s="1"/>
  <c r="BL384" i="1"/>
  <c r="BE384" i="1"/>
  <c r="AX384" i="1"/>
  <c r="AP384" i="1"/>
  <c r="AQ384" i="1" s="1"/>
  <c r="AR384" i="1" s="1"/>
  <c r="BM384" i="1"/>
  <c r="BN384" i="1" s="1"/>
  <c r="BI384" i="1"/>
  <c r="BA384" i="1"/>
  <c r="AS384" i="1"/>
  <c r="AO384" i="1"/>
  <c r="BF384" i="1"/>
  <c r="BG384" i="1" s="1"/>
  <c r="BH384" i="1" s="1"/>
  <c r="BJ384" i="1"/>
  <c r="AW384" i="1"/>
  <c r="BB384" i="1"/>
  <c r="AT384" i="1"/>
  <c r="AH384" i="1"/>
  <c r="AG384" i="1"/>
  <c r="BL383" i="1"/>
  <c r="BE383" i="1"/>
  <c r="AX383" i="1"/>
  <c r="AP383" i="1"/>
  <c r="AQ383" i="1" s="1"/>
  <c r="AR383" i="1" s="1"/>
  <c r="BM383" i="1"/>
  <c r="BN383" i="1" s="1"/>
  <c r="BI383" i="1"/>
  <c r="AW383" i="1"/>
  <c r="BB383" i="1"/>
  <c r="AT383" i="1"/>
  <c r="BF383" i="1"/>
  <c r="BG383" i="1" s="1"/>
  <c r="BH383" i="1" s="1"/>
  <c r="BJ383" i="1"/>
  <c r="BA383" i="1"/>
  <c r="AS383" i="1"/>
  <c r="AO383" i="1"/>
  <c r="AG383" i="1"/>
  <c r="AH383" i="1"/>
  <c r="AI383" i="1" s="1"/>
  <c r="BL382" i="1"/>
  <c r="BE382" i="1"/>
  <c r="AX382" i="1"/>
  <c r="AP382" i="1"/>
  <c r="AQ382" i="1" s="1"/>
  <c r="AR382" i="1" s="1"/>
  <c r="BM382" i="1"/>
  <c r="BN382" i="1" s="1"/>
  <c r="BI382" i="1"/>
  <c r="BA382" i="1"/>
  <c r="AS382" i="1"/>
  <c r="BF382" i="1"/>
  <c r="BG382" i="1" s="1"/>
  <c r="BH382" i="1" s="1"/>
  <c r="BJ382" i="1"/>
  <c r="AW382" i="1"/>
  <c r="BB382" i="1"/>
  <c r="AT382" i="1"/>
  <c r="AO382" i="1"/>
  <c r="AH382" i="1"/>
  <c r="AI382" i="1" s="1"/>
  <c r="AG382" i="1"/>
  <c r="BL381" i="1"/>
  <c r="BE381" i="1"/>
  <c r="AX381" i="1"/>
  <c r="AP381" i="1"/>
  <c r="AQ381" i="1" s="1"/>
  <c r="AR381" i="1" s="1"/>
  <c r="BM381" i="1"/>
  <c r="BN381" i="1" s="1"/>
  <c r="BI381" i="1"/>
  <c r="AW381" i="1"/>
  <c r="BB381" i="1"/>
  <c r="AT381" i="1"/>
  <c r="AO381" i="1"/>
  <c r="BF381" i="1"/>
  <c r="BG381" i="1" s="1"/>
  <c r="BH381" i="1" s="1"/>
  <c r="BJ381" i="1"/>
  <c r="BA381" i="1"/>
  <c r="AS381" i="1"/>
  <c r="AG381" i="1"/>
  <c r="AH381" i="1"/>
  <c r="AI381" i="1" s="1"/>
  <c r="BL380" i="1"/>
  <c r="BE380" i="1"/>
  <c r="AX380" i="1"/>
  <c r="AP380" i="1"/>
  <c r="AQ380" i="1" s="1"/>
  <c r="AR380" i="1" s="1"/>
  <c r="BM380" i="1"/>
  <c r="BN380" i="1" s="1"/>
  <c r="BI380" i="1"/>
  <c r="BA380" i="1"/>
  <c r="AS380" i="1"/>
  <c r="AO380" i="1"/>
  <c r="BF380" i="1"/>
  <c r="BG380" i="1" s="1"/>
  <c r="BH380" i="1" s="1"/>
  <c r="BJ380" i="1"/>
  <c r="AW380" i="1"/>
  <c r="BB380" i="1"/>
  <c r="AT380" i="1"/>
  <c r="AH380" i="1"/>
  <c r="AI380" i="1" s="1"/>
  <c r="AG380" i="1"/>
  <c r="BL379" i="1"/>
  <c r="BE379" i="1"/>
  <c r="AX379" i="1"/>
  <c r="AP379" i="1"/>
  <c r="AQ379" i="1" s="1"/>
  <c r="AR379" i="1" s="1"/>
  <c r="BM379" i="1"/>
  <c r="BN379" i="1" s="1"/>
  <c r="BI379" i="1"/>
  <c r="AW379" i="1"/>
  <c r="BB379" i="1"/>
  <c r="AT379" i="1"/>
  <c r="BF379" i="1"/>
  <c r="BG379" i="1" s="1"/>
  <c r="BH379" i="1" s="1"/>
  <c r="BJ379" i="1"/>
  <c r="BA379" i="1"/>
  <c r="AS379" i="1"/>
  <c r="AO379" i="1"/>
  <c r="AG379" i="1"/>
  <c r="AH379" i="1"/>
  <c r="AI379" i="1" s="1"/>
  <c r="BL378" i="1"/>
  <c r="BE378" i="1"/>
  <c r="AX378" i="1"/>
  <c r="AP378" i="1"/>
  <c r="AQ378" i="1" s="1"/>
  <c r="AR378" i="1" s="1"/>
  <c r="BM378" i="1"/>
  <c r="BN378" i="1" s="1"/>
  <c r="BI378" i="1"/>
  <c r="BA378" i="1"/>
  <c r="AS378" i="1"/>
  <c r="BF378" i="1"/>
  <c r="BG378" i="1" s="1"/>
  <c r="BH378" i="1" s="1"/>
  <c r="BJ378" i="1"/>
  <c r="AW378" i="1"/>
  <c r="BB378" i="1"/>
  <c r="AT378" i="1"/>
  <c r="AO378" i="1"/>
  <c r="AH378" i="1"/>
  <c r="AG378" i="1"/>
  <c r="BL377" i="1"/>
  <c r="BE377" i="1"/>
  <c r="AX377" i="1"/>
  <c r="AP377" i="1"/>
  <c r="AQ377" i="1" s="1"/>
  <c r="AR377" i="1" s="1"/>
  <c r="BM377" i="1"/>
  <c r="BN377" i="1" s="1"/>
  <c r="BI377" i="1"/>
  <c r="AW377" i="1"/>
  <c r="BB377" i="1"/>
  <c r="AT377" i="1"/>
  <c r="AO377" i="1"/>
  <c r="BF377" i="1"/>
  <c r="BG377" i="1" s="1"/>
  <c r="BH377" i="1" s="1"/>
  <c r="BJ377" i="1"/>
  <c r="BA377" i="1"/>
  <c r="AS377" i="1"/>
  <c r="AG377" i="1"/>
  <c r="AH377" i="1"/>
  <c r="AI377" i="1" s="1"/>
  <c r="BL376" i="1"/>
  <c r="BE376" i="1"/>
  <c r="AX376" i="1"/>
  <c r="AP376" i="1"/>
  <c r="AQ376" i="1" s="1"/>
  <c r="AR376" i="1" s="1"/>
  <c r="BM376" i="1"/>
  <c r="BN376" i="1" s="1"/>
  <c r="BI376" i="1"/>
  <c r="BA376" i="1"/>
  <c r="AS376" i="1"/>
  <c r="AO376" i="1"/>
  <c r="BF376" i="1"/>
  <c r="BG376" i="1" s="1"/>
  <c r="BH376" i="1" s="1"/>
  <c r="BJ376" i="1"/>
  <c r="AW376" i="1"/>
  <c r="BB376" i="1"/>
  <c r="AT376" i="1"/>
  <c r="AH376" i="1"/>
  <c r="AG376" i="1"/>
  <c r="BL375" i="1"/>
  <c r="BE375" i="1"/>
  <c r="AX375" i="1"/>
  <c r="AP375" i="1"/>
  <c r="AQ375" i="1" s="1"/>
  <c r="AR375" i="1" s="1"/>
  <c r="BM375" i="1"/>
  <c r="BN375" i="1" s="1"/>
  <c r="BI375" i="1"/>
  <c r="AW375" i="1"/>
  <c r="BB375" i="1"/>
  <c r="AT375" i="1"/>
  <c r="BF375" i="1"/>
  <c r="BG375" i="1" s="1"/>
  <c r="BH375" i="1" s="1"/>
  <c r="BJ375" i="1"/>
  <c r="BA375" i="1"/>
  <c r="AS375" i="1"/>
  <c r="AO375" i="1"/>
  <c r="AG375" i="1"/>
  <c r="AH375" i="1"/>
  <c r="AI375" i="1" s="1"/>
  <c r="BL374" i="1"/>
  <c r="BE374" i="1"/>
  <c r="AX374" i="1"/>
  <c r="AP374" i="1"/>
  <c r="AQ374" i="1" s="1"/>
  <c r="AR374" i="1" s="1"/>
  <c r="BM374" i="1"/>
  <c r="BN374" i="1" s="1"/>
  <c r="BI374" i="1"/>
  <c r="BA374" i="1"/>
  <c r="AS374" i="1"/>
  <c r="BF374" i="1"/>
  <c r="BG374" i="1" s="1"/>
  <c r="BH374" i="1" s="1"/>
  <c r="BJ374" i="1"/>
  <c r="AW374" i="1"/>
  <c r="BB374" i="1"/>
  <c r="AT374" i="1"/>
  <c r="AO374" i="1"/>
  <c r="AH374" i="1"/>
  <c r="AG374" i="1"/>
  <c r="BL373" i="1"/>
  <c r="BE373" i="1"/>
  <c r="AX373" i="1"/>
  <c r="AP373" i="1"/>
  <c r="AQ373" i="1" s="1"/>
  <c r="AR373" i="1" s="1"/>
  <c r="BM373" i="1"/>
  <c r="BN373" i="1" s="1"/>
  <c r="BI373" i="1"/>
  <c r="AW373" i="1"/>
  <c r="BB373" i="1"/>
  <c r="AT373" i="1"/>
  <c r="AO373" i="1"/>
  <c r="BF373" i="1"/>
  <c r="BG373" i="1" s="1"/>
  <c r="BH373" i="1" s="1"/>
  <c r="BJ373" i="1"/>
  <c r="BA373" i="1"/>
  <c r="AS373" i="1"/>
  <c r="AH373" i="1"/>
  <c r="AG373" i="1"/>
  <c r="BL372" i="1"/>
  <c r="BE372" i="1"/>
  <c r="AX372" i="1"/>
  <c r="AP372" i="1"/>
  <c r="AQ372" i="1" s="1"/>
  <c r="AR372" i="1" s="1"/>
  <c r="BM372" i="1"/>
  <c r="BN372" i="1" s="1"/>
  <c r="BI372" i="1"/>
  <c r="BA372" i="1"/>
  <c r="AS372" i="1"/>
  <c r="AO372" i="1"/>
  <c r="BF372" i="1"/>
  <c r="BG372" i="1" s="1"/>
  <c r="BH372" i="1" s="1"/>
  <c r="BJ372" i="1"/>
  <c r="AW372" i="1"/>
  <c r="BB372" i="1"/>
  <c r="AT372" i="1"/>
  <c r="AH372" i="1"/>
  <c r="AG372" i="1"/>
  <c r="BL371" i="1"/>
  <c r="BE371" i="1"/>
  <c r="AX371" i="1"/>
  <c r="AP371" i="1"/>
  <c r="AQ371" i="1" s="1"/>
  <c r="AR371" i="1" s="1"/>
  <c r="BM371" i="1"/>
  <c r="BN371" i="1" s="1"/>
  <c r="BI371" i="1"/>
  <c r="AW371" i="1"/>
  <c r="BB371" i="1"/>
  <c r="AT371" i="1"/>
  <c r="BF371" i="1"/>
  <c r="BG371" i="1" s="1"/>
  <c r="BH371" i="1" s="1"/>
  <c r="BJ371" i="1"/>
  <c r="BA371" i="1"/>
  <c r="AS371" i="1"/>
  <c r="AO371" i="1"/>
  <c r="AG371" i="1"/>
  <c r="AH371" i="1"/>
  <c r="AI371" i="1" s="1"/>
  <c r="BL370" i="1"/>
  <c r="BE370" i="1"/>
  <c r="AX370" i="1"/>
  <c r="AP370" i="1"/>
  <c r="AQ370" i="1" s="1"/>
  <c r="AR370" i="1" s="1"/>
  <c r="BM370" i="1"/>
  <c r="BN370" i="1" s="1"/>
  <c r="BI370" i="1"/>
  <c r="BA370" i="1"/>
  <c r="AS370" i="1"/>
  <c r="BF370" i="1"/>
  <c r="BG370" i="1" s="1"/>
  <c r="BH370" i="1" s="1"/>
  <c r="BJ370" i="1"/>
  <c r="AW370" i="1"/>
  <c r="BB370" i="1"/>
  <c r="AT370" i="1"/>
  <c r="AO370" i="1"/>
  <c r="AH370" i="1"/>
  <c r="AG370" i="1"/>
  <c r="BL369" i="1"/>
  <c r="BE369" i="1"/>
  <c r="AX369" i="1"/>
  <c r="AP369" i="1"/>
  <c r="AQ369" i="1" s="1"/>
  <c r="AR369" i="1" s="1"/>
  <c r="BM369" i="1"/>
  <c r="BN369" i="1" s="1"/>
  <c r="BI369" i="1"/>
  <c r="AW369" i="1"/>
  <c r="BB369" i="1"/>
  <c r="AT369" i="1"/>
  <c r="AO369" i="1"/>
  <c r="BF369" i="1"/>
  <c r="BG369" i="1" s="1"/>
  <c r="BH369" i="1" s="1"/>
  <c r="BJ369" i="1"/>
  <c r="BA369" i="1"/>
  <c r="AS369" i="1"/>
  <c r="AG369" i="1"/>
  <c r="AH369" i="1"/>
  <c r="AI369" i="1" s="1"/>
  <c r="BL368" i="1"/>
  <c r="BE368" i="1"/>
  <c r="AX368" i="1"/>
  <c r="AP368" i="1"/>
  <c r="AQ368" i="1" s="1"/>
  <c r="AR368" i="1" s="1"/>
  <c r="BM368" i="1"/>
  <c r="BN368" i="1" s="1"/>
  <c r="BI368" i="1"/>
  <c r="BA368" i="1"/>
  <c r="AS368" i="1"/>
  <c r="AO368" i="1"/>
  <c r="BF368" i="1"/>
  <c r="BG368" i="1" s="1"/>
  <c r="BH368" i="1" s="1"/>
  <c r="BJ368" i="1"/>
  <c r="AW368" i="1"/>
  <c r="BB368" i="1"/>
  <c r="AT368" i="1"/>
  <c r="AH368" i="1"/>
  <c r="AG368" i="1"/>
  <c r="BL367" i="1"/>
  <c r="BE367" i="1"/>
  <c r="AX367" i="1"/>
  <c r="AP367" i="1"/>
  <c r="AQ367" i="1" s="1"/>
  <c r="AR367" i="1" s="1"/>
  <c r="BM367" i="1"/>
  <c r="BN367" i="1" s="1"/>
  <c r="BI367" i="1"/>
  <c r="AW367" i="1"/>
  <c r="BB367" i="1"/>
  <c r="AT367" i="1"/>
  <c r="BF367" i="1"/>
  <c r="BG367" i="1" s="1"/>
  <c r="BH367" i="1" s="1"/>
  <c r="BJ367" i="1"/>
  <c r="BA367" i="1"/>
  <c r="AS367" i="1"/>
  <c r="AO367" i="1"/>
  <c r="AG367" i="1"/>
  <c r="AH367" i="1"/>
  <c r="AI367" i="1" s="1"/>
  <c r="BL366" i="1"/>
  <c r="BE366" i="1"/>
  <c r="AX366" i="1"/>
  <c r="AP366" i="1"/>
  <c r="AQ366" i="1" s="1"/>
  <c r="AR366" i="1" s="1"/>
  <c r="BM366" i="1"/>
  <c r="BN366" i="1" s="1"/>
  <c r="BI366" i="1"/>
  <c r="BA366" i="1"/>
  <c r="AS366" i="1"/>
  <c r="BF366" i="1"/>
  <c r="BG366" i="1" s="1"/>
  <c r="BH366" i="1" s="1"/>
  <c r="BJ366" i="1"/>
  <c r="AW366" i="1"/>
  <c r="BB366" i="1"/>
  <c r="AT366" i="1"/>
  <c r="AO366" i="1"/>
  <c r="AH366" i="1"/>
  <c r="AG366" i="1"/>
  <c r="BL365" i="1"/>
  <c r="BE365" i="1"/>
  <c r="AX365" i="1"/>
  <c r="AP365" i="1"/>
  <c r="AQ365" i="1" s="1"/>
  <c r="AR365" i="1" s="1"/>
  <c r="BM365" i="1"/>
  <c r="BN365" i="1" s="1"/>
  <c r="BI365" i="1"/>
  <c r="AW365" i="1"/>
  <c r="BB365" i="1"/>
  <c r="AT365" i="1"/>
  <c r="AO365" i="1"/>
  <c r="BF365" i="1"/>
  <c r="BG365" i="1" s="1"/>
  <c r="BH365" i="1" s="1"/>
  <c r="BJ365" i="1"/>
  <c r="BA365" i="1"/>
  <c r="AS365" i="1"/>
  <c r="AG365" i="1"/>
  <c r="AH365" i="1"/>
  <c r="AI365" i="1" s="1"/>
  <c r="BL364" i="1"/>
  <c r="BE364" i="1"/>
  <c r="AX364" i="1"/>
  <c r="AP364" i="1"/>
  <c r="AQ364" i="1" s="1"/>
  <c r="AR364" i="1" s="1"/>
  <c r="BM364" i="1"/>
  <c r="BN364" i="1" s="1"/>
  <c r="BI364" i="1"/>
  <c r="BA364" i="1"/>
  <c r="AS364" i="1"/>
  <c r="AO364" i="1"/>
  <c r="BF364" i="1"/>
  <c r="BG364" i="1" s="1"/>
  <c r="BH364" i="1" s="1"/>
  <c r="BJ364" i="1"/>
  <c r="AW364" i="1"/>
  <c r="BB364" i="1"/>
  <c r="AT364" i="1"/>
  <c r="AH364" i="1"/>
  <c r="AG364" i="1"/>
  <c r="BL363" i="1"/>
  <c r="BE363" i="1"/>
  <c r="AX363" i="1"/>
  <c r="AP363" i="1"/>
  <c r="AQ363" i="1" s="1"/>
  <c r="AR363" i="1" s="1"/>
  <c r="BM363" i="1"/>
  <c r="BN363" i="1" s="1"/>
  <c r="BI363" i="1"/>
  <c r="AW363" i="1"/>
  <c r="BB363" i="1"/>
  <c r="AT363" i="1"/>
  <c r="BF363" i="1"/>
  <c r="BG363" i="1" s="1"/>
  <c r="BH363" i="1" s="1"/>
  <c r="BJ363" i="1"/>
  <c r="BA363" i="1"/>
  <c r="AS363" i="1"/>
  <c r="AO363" i="1"/>
  <c r="AG363" i="1"/>
  <c r="AH363" i="1"/>
  <c r="AI363" i="1" s="1"/>
  <c r="BL362" i="1"/>
  <c r="AP362" i="1"/>
  <c r="AQ362" i="1" s="1"/>
  <c r="AR362" i="1" s="1"/>
  <c r="BE362" i="1"/>
  <c r="AX362" i="1"/>
  <c r="BM362" i="1"/>
  <c r="BN362" i="1" s="1"/>
  <c r="BF362" i="1"/>
  <c r="BG362" i="1" s="1"/>
  <c r="BH362" i="1" s="1"/>
  <c r="BJ362" i="1"/>
  <c r="AW362" i="1"/>
  <c r="BB362" i="1"/>
  <c r="AT362" i="1"/>
  <c r="AO362" i="1"/>
  <c r="BI362" i="1"/>
  <c r="BA362" i="1"/>
  <c r="AS362" i="1"/>
  <c r="AH362" i="1"/>
  <c r="AI362" i="1" s="1"/>
  <c r="AG362" i="1"/>
  <c r="BL361" i="1"/>
  <c r="BE361" i="1"/>
  <c r="AX361" i="1"/>
  <c r="AP361" i="1"/>
  <c r="AQ361" i="1" s="1"/>
  <c r="AR361" i="1" s="1"/>
  <c r="BM361" i="1"/>
  <c r="BN361" i="1" s="1"/>
  <c r="BI361" i="1"/>
  <c r="AW361" i="1"/>
  <c r="BA361" i="1"/>
  <c r="AT361" i="1"/>
  <c r="AO361" i="1"/>
  <c r="BF361" i="1"/>
  <c r="BG361" i="1" s="1"/>
  <c r="BH361" i="1" s="1"/>
  <c r="BJ361" i="1"/>
  <c r="BB361" i="1"/>
  <c r="AS361" i="1"/>
  <c r="AG361" i="1"/>
  <c r="AH361" i="1"/>
  <c r="AI361" i="1" s="1"/>
  <c r="AJ361" i="1" s="1"/>
  <c r="BL360" i="1"/>
  <c r="AP360" i="1"/>
  <c r="AQ360" i="1" s="1"/>
  <c r="AR360" i="1" s="1"/>
  <c r="BE360" i="1"/>
  <c r="AX360" i="1"/>
  <c r="BM360" i="1"/>
  <c r="BN360" i="1" s="1"/>
  <c r="BF360" i="1"/>
  <c r="BG360" i="1" s="1"/>
  <c r="BH360" i="1" s="1"/>
  <c r="BJ360" i="1"/>
  <c r="AW360" i="1"/>
  <c r="BA360" i="1"/>
  <c r="AT360" i="1"/>
  <c r="BI360" i="1"/>
  <c r="BB360" i="1"/>
  <c r="AS360" i="1"/>
  <c r="AO360" i="1"/>
  <c r="AH360" i="1"/>
  <c r="AI360" i="1" s="1"/>
  <c r="AG360" i="1"/>
  <c r="BL359" i="1"/>
  <c r="BE359" i="1"/>
  <c r="AX359" i="1"/>
  <c r="AP359" i="1"/>
  <c r="AQ359" i="1" s="1"/>
  <c r="AR359" i="1" s="1"/>
  <c r="BM359" i="1"/>
  <c r="BN359" i="1" s="1"/>
  <c r="BI359" i="1"/>
  <c r="AW359" i="1"/>
  <c r="BA359" i="1"/>
  <c r="AT359" i="1"/>
  <c r="BF359" i="1"/>
  <c r="BG359" i="1" s="1"/>
  <c r="BH359" i="1" s="1"/>
  <c r="BJ359" i="1"/>
  <c r="BB359" i="1"/>
  <c r="AS359" i="1"/>
  <c r="AO359" i="1"/>
  <c r="AG359" i="1"/>
  <c r="AH359" i="1"/>
  <c r="AI359" i="1" s="1"/>
  <c r="BL358" i="1"/>
  <c r="AP358" i="1"/>
  <c r="AQ358" i="1" s="1"/>
  <c r="AR358" i="1" s="1"/>
  <c r="BE358" i="1"/>
  <c r="AX358" i="1"/>
  <c r="BM358" i="1"/>
  <c r="BN358" i="1" s="1"/>
  <c r="BF358" i="1"/>
  <c r="BG358" i="1" s="1"/>
  <c r="BH358" i="1" s="1"/>
  <c r="BJ358" i="1"/>
  <c r="AW358" i="1"/>
  <c r="BA358" i="1"/>
  <c r="AT358" i="1"/>
  <c r="AO358" i="1"/>
  <c r="BI358" i="1"/>
  <c r="BB358" i="1"/>
  <c r="AS358" i="1"/>
  <c r="AH358" i="1"/>
  <c r="AG358" i="1"/>
  <c r="BL357" i="1"/>
  <c r="BE357" i="1"/>
  <c r="AX357" i="1"/>
  <c r="AP357" i="1"/>
  <c r="AQ357" i="1" s="1"/>
  <c r="AR357" i="1" s="1"/>
  <c r="BM357" i="1"/>
  <c r="BN357" i="1" s="1"/>
  <c r="BI357" i="1"/>
  <c r="AW357" i="1"/>
  <c r="BA357" i="1"/>
  <c r="AT357" i="1"/>
  <c r="AO357" i="1"/>
  <c r="BF357" i="1"/>
  <c r="BG357" i="1" s="1"/>
  <c r="BH357" i="1" s="1"/>
  <c r="BJ357" i="1"/>
  <c r="BB357" i="1"/>
  <c r="AS357" i="1"/>
  <c r="AG357" i="1"/>
  <c r="AH357" i="1"/>
  <c r="AI357" i="1" s="1"/>
  <c r="BL356" i="1"/>
  <c r="AP356" i="1"/>
  <c r="AQ356" i="1" s="1"/>
  <c r="AR356" i="1" s="1"/>
  <c r="BE356" i="1"/>
  <c r="AX356" i="1"/>
  <c r="BM356" i="1"/>
  <c r="BN356" i="1" s="1"/>
  <c r="BF356" i="1"/>
  <c r="BG356" i="1" s="1"/>
  <c r="BH356" i="1" s="1"/>
  <c r="BJ356" i="1"/>
  <c r="AW356" i="1"/>
  <c r="BA356" i="1"/>
  <c r="AT356" i="1"/>
  <c r="BI356" i="1"/>
  <c r="BB356" i="1"/>
  <c r="AS356" i="1"/>
  <c r="AO356" i="1"/>
  <c r="AH356" i="1"/>
  <c r="AI356" i="1" s="1"/>
  <c r="AG356" i="1"/>
  <c r="BL355" i="1"/>
  <c r="BE355" i="1"/>
  <c r="AX355" i="1"/>
  <c r="AP355" i="1"/>
  <c r="AQ355" i="1" s="1"/>
  <c r="AR355" i="1" s="1"/>
  <c r="BM355" i="1"/>
  <c r="BN355" i="1" s="1"/>
  <c r="BI355" i="1"/>
  <c r="AW355" i="1"/>
  <c r="BA355" i="1"/>
  <c r="AT355" i="1"/>
  <c r="BF355" i="1"/>
  <c r="BG355" i="1" s="1"/>
  <c r="BH355" i="1" s="1"/>
  <c r="BJ355" i="1"/>
  <c r="BB355" i="1"/>
  <c r="AS355" i="1"/>
  <c r="AO355" i="1"/>
  <c r="AG355" i="1"/>
  <c r="AH355" i="1"/>
  <c r="AI355" i="1" s="1"/>
  <c r="BL354" i="1"/>
  <c r="AP354" i="1"/>
  <c r="AQ354" i="1" s="1"/>
  <c r="AR354" i="1" s="1"/>
  <c r="BE354" i="1"/>
  <c r="AX354" i="1"/>
  <c r="BM354" i="1"/>
  <c r="BN354" i="1" s="1"/>
  <c r="BF354" i="1"/>
  <c r="BG354" i="1" s="1"/>
  <c r="BH354" i="1" s="1"/>
  <c r="BJ354" i="1"/>
  <c r="AW354" i="1"/>
  <c r="BA354" i="1"/>
  <c r="AT354" i="1"/>
  <c r="AO354" i="1"/>
  <c r="BI354" i="1"/>
  <c r="BB354" i="1"/>
  <c r="AS354" i="1"/>
  <c r="AH354" i="1"/>
  <c r="AI354" i="1" s="1"/>
  <c r="AG354" i="1"/>
  <c r="BL353" i="1"/>
  <c r="BE353" i="1"/>
  <c r="AX353" i="1"/>
  <c r="AP353" i="1"/>
  <c r="AQ353" i="1" s="1"/>
  <c r="AR353" i="1" s="1"/>
  <c r="BM353" i="1"/>
  <c r="BN353" i="1" s="1"/>
  <c r="BI353" i="1"/>
  <c r="AW353" i="1"/>
  <c r="BA353" i="1"/>
  <c r="AT353" i="1"/>
  <c r="AO353" i="1"/>
  <c r="BF353" i="1"/>
  <c r="BG353" i="1" s="1"/>
  <c r="BH353" i="1" s="1"/>
  <c r="BJ353" i="1"/>
  <c r="BB353" i="1"/>
  <c r="AS353" i="1"/>
  <c r="AH353" i="1"/>
  <c r="AI353" i="1" s="1"/>
  <c r="AG353" i="1"/>
  <c r="BL352" i="1"/>
  <c r="AP352" i="1"/>
  <c r="AQ352" i="1" s="1"/>
  <c r="AR352" i="1" s="1"/>
  <c r="BE352" i="1"/>
  <c r="AX352" i="1"/>
  <c r="BM352" i="1"/>
  <c r="BN352" i="1" s="1"/>
  <c r="BF352" i="1"/>
  <c r="BG352" i="1" s="1"/>
  <c r="BH352" i="1" s="1"/>
  <c r="BJ352" i="1"/>
  <c r="AW352" i="1"/>
  <c r="BA352" i="1"/>
  <c r="AT352" i="1"/>
  <c r="BB352" i="1"/>
  <c r="AS352" i="1"/>
  <c r="AO352" i="1"/>
  <c r="BI352" i="1"/>
  <c r="AH352" i="1"/>
  <c r="AI352" i="1" s="1"/>
  <c r="AG352" i="1"/>
  <c r="BL351" i="1"/>
  <c r="BE351" i="1"/>
  <c r="AX351" i="1"/>
  <c r="AP351" i="1"/>
  <c r="AQ351" i="1" s="1"/>
  <c r="AR351" i="1" s="1"/>
  <c r="BM351" i="1"/>
  <c r="BN351" i="1" s="1"/>
  <c r="BI351" i="1"/>
  <c r="AW351" i="1"/>
  <c r="BA351" i="1"/>
  <c r="AT351" i="1"/>
  <c r="BF351" i="1"/>
  <c r="BG351" i="1" s="1"/>
  <c r="BH351" i="1" s="1"/>
  <c r="BJ351" i="1"/>
  <c r="BB351" i="1"/>
  <c r="AS351" i="1"/>
  <c r="AO351" i="1"/>
  <c r="AG351" i="1"/>
  <c r="AH351" i="1"/>
  <c r="AI351" i="1" s="1"/>
  <c r="BL350" i="1"/>
  <c r="AP350" i="1"/>
  <c r="AQ350" i="1" s="1"/>
  <c r="AR350" i="1" s="1"/>
  <c r="BE350" i="1"/>
  <c r="AX350" i="1"/>
  <c r="BM350" i="1"/>
  <c r="BN350" i="1" s="1"/>
  <c r="BF350" i="1"/>
  <c r="BG350" i="1" s="1"/>
  <c r="BH350" i="1" s="1"/>
  <c r="BJ350" i="1"/>
  <c r="AW350" i="1"/>
  <c r="BA350" i="1"/>
  <c r="AT350" i="1"/>
  <c r="AO350" i="1"/>
  <c r="BI350" i="1"/>
  <c r="BB350" i="1"/>
  <c r="AS350" i="1"/>
  <c r="AH350" i="1"/>
  <c r="AI350" i="1" s="1"/>
  <c r="AG350" i="1"/>
  <c r="BL349" i="1"/>
  <c r="BE349" i="1"/>
  <c r="AX349" i="1"/>
  <c r="AP349" i="1"/>
  <c r="AQ349" i="1" s="1"/>
  <c r="AR349" i="1" s="1"/>
  <c r="BM349" i="1"/>
  <c r="BN349" i="1" s="1"/>
  <c r="BI349" i="1"/>
  <c r="AW349" i="1"/>
  <c r="BA349" i="1"/>
  <c r="AT349" i="1"/>
  <c r="AO349" i="1"/>
  <c r="BF349" i="1"/>
  <c r="BG349" i="1" s="1"/>
  <c r="BH349" i="1" s="1"/>
  <c r="BJ349" i="1"/>
  <c r="BB349" i="1"/>
  <c r="AS349" i="1"/>
  <c r="AG349" i="1"/>
  <c r="AH349" i="1"/>
  <c r="AI349" i="1" s="1"/>
  <c r="BL348" i="1"/>
  <c r="AP348" i="1"/>
  <c r="AQ348" i="1" s="1"/>
  <c r="AR348" i="1" s="1"/>
  <c r="BE348" i="1"/>
  <c r="AX348" i="1"/>
  <c r="BM348" i="1"/>
  <c r="BN348" i="1" s="1"/>
  <c r="BF348" i="1"/>
  <c r="BG348" i="1" s="1"/>
  <c r="BH348" i="1" s="1"/>
  <c r="BJ348" i="1"/>
  <c r="AW348" i="1"/>
  <c r="BA348" i="1"/>
  <c r="AT348" i="1"/>
  <c r="BI348" i="1"/>
  <c r="BB348" i="1"/>
  <c r="AS348" i="1"/>
  <c r="AO348" i="1"/>
  <c r="AH348" i="1"/>
  <c r="AI348" i="1" s="1"/>
  <c r="AG348" i="1"/>
  <c r="BL347" i="1"/>
  <c r="BE347" i="1"/>
  <c r="AX347" i="1"/>
  <c r="AP347" i="1"/>
  <c r="AQ347" i="1" s="1"/>
  <c r="AR347" i="1" s="1"/>
  <c r="BM347" i="1"/>
  <c r="BN347" i="1" s="1"/>
  <c r="BI347" i="1"/>
  <c r="AW347" i="1"/>
  <c r="BA347" i="1"/>
  <c r="AT347" i="1"/>
  <c r="BF347" i="1"/>
  <c r="BG347" i="1" s="1"/>
  <c r="BH347" i="1" s="1"/>
  <c r="BJ347" i="1"/>
  <c r="BB347" i="1"/>
  <c r="AS347" i="1"/>
  <c r="AO347" i="1"/>
  <c r="AG347" i="1"/>
  <c r="AH347" i="1"/>
  <c r="AI347" i="1" s="1"/>
  <c r="BL346" i="1"/>
  <c r="AP346" i="1"/>
  <c r="AQ346" i="1" s="1"/>
  <c r="AR346" i="1" s="1"/>
  <c r="BE346" i="1"/>
  <c r="AX346" i="1"/>
  <c r="BM346" i="1"/>
  <c r="BN346" i="1" s="1"/>
  <c r="BF346" i="1"/>
  <c r="BG346" i="1" s="1"/>
  <c r="BH346" i="1" s="1"/>
  <c r="BJ346" i="1"/>
  <c r="AW346" i="1"/>
  <c r="BA346" i="1"/>
  <c r="AT346" i="1"/>
  <c r="AO346" i="1"/>
  <c r="BI346" i="1"/>
  <c r="BB346" i="1"/>
  <c r="AS346" i="1"/>
  <c r="AH346" i="1"/>
  <c r="AI346" i="1" s="1"/>
  <c r="AG346" i="1"/>
  <c r="BL345" i="1"/>
  <c r="BE345" i="1"/>
  <c r="AX345" i="1"/>
  <c r="AP345" i="1"/>
  <c r="AQ345" i="1" s="1"/>
  <c r="AR345" i="1" s="1"/>
  <c r="BM345" i="1"/>
  <c r="BN345" i="1" s="1"/>
  <c r="BI345" i="1"/>
  <c r="AW345" i="1"/>
  <c r="BA345" i="1"/>
  <c r="AT345" i="1"/>
  <c r="AO345" i="1"/>
  <c r="BF345" i="1"/>
  <c r="BG345" i="1" s="1"/>
  <c r="BH345" i="1" s="1"/>
  <c r="BJ345" i="1"/>
  <c r="BB345" i="1"/>
  <c r="AS345" i="1"/>
  <c r="AG345" i="1"/>
  <c r="AH345" i="1"/>
  <c r="AI345" i="1" s="1"/>
  <c r="BL344" i="1"/>
  <c r="AP344" i="1"/>
  <c r="AQ344" i="1" s="1"/>
  <c r="AR344" i="1" s="1"/>
  <c r="BE344" i="1"/>
  <c r="AX344" i="1"/>
  <c r="BM344" i="1"/>
  <c r="BN344" i="1" s="1"/>
  <c r="BF344" i="1"/>
  <c r="BG344" i="1" s="1"/>
  <c r="BH344" i="1" s="1"/>
  <c r="BJ344" i="1"/>
  <c r="AW344" i="1"/>
  <c r="BA344" i="1"/>
  <c r="AT344" i="1"/>
  <c r="BI344" i="1"/>
  <c r="BB344" i="1"/>
  <c r="AS344" i="1"/>
  <c r="AO344" i="1"/>
  <c r="AH344" i="1"/>
  <c r="AG344" i="1"/>
  <c r="BL343" i="1"/>
  <c r="AX343" i="1"/>
  <c r="AP343" i="1"/>
  <c r="AQ343" i="1" s="1"/>
  <c r="AR343" i="1" s="1"/>
  <c r="BE343" i="1"/>
  <c r="BM343" i="1"/>
  <c r="BN343" i="1" s="1"/>
  <c r="BF343" i="1"/>
  <c r="BG343" i="1" s="1"/>
  <c r="BH343" i="1" s="1"/>
  <c r="BJ343" i="1"/>
  <c r="BB343" i="1"/>
  <c r="AS343" i="1"/>
  <c r="AO343" i="1"/>
  <c r="BI343" i="1"/>
  <c r="AW343" i="1"/>
  <c r="BA343" i="1"/>
  <c r="AT343" i="1"/>
  <c r="AG343" i="1"/>
  <c r="AH343" i="1"/>
  <c r="AI343" i="1" s="1"/>
  <c r="BL342" i="1"/>
  <c r="AP342" i="1"/>
  <c r="AQ342" i="1" s="1"/>
  <c r="AR342" i="1" s="1"/>
  <c r="BE342" i="1"/>
  <c r="AX342" i="1"/>
  <c r="BM342" i="1"/>
  <c r="BN342" i="1" s="1"/>
  <c r="BF342" i="1"/>
  <c r="BG342" i="1" s="1"/>
  <c r="BH342" i="1" s="1"/>
  <c r="BJ342" i="1"/>
  <c r="AW342" i="1"/>
  <c r="BA342" i="1"/>
  <c r="AT342" i="1"/>
  <c r="AO342" i="1"/>
  <c r="BI342" i="1"/>
  <c r="BB342" i="1"/>
  <c r="AS342" i="1"/>
  <c r="AH342" i="1"/>
  <c r="AG342" i="1"/>
  <c r="BL341" i="1"/>
  <c r="AX341" i="1"/>
  <c r="AP341" i="1"/>
  <c r="AQ341" i="1" s="1"/>
  <c r="AR341" i="1" s="1"/>
  <c r="BE341" i="1"/>
  <c r="BM341" i="1"/>
  <c r="BN341" i="1" s="1"/>
  <c r="BF341" i="1"/>
  <c r="BG341" i="1" s="1"/>
  <c r="BH341" i="1" s="1"/>
  <c r="BJ341" i="1"/>
  <c r="BB341" i="1"/>
  <c r="AS341" i="1"/>
  <c r="BI341" i="1"/>
  <c r="AW341" i="1"/>
  <c r="BA341" i="1"/>
  <c r="AT341" i="1"/>
  <c r="AO341" i="1"/>
  <c r="AG341" i="1"/>
  <c r="AH341" i="1"/>
  <c r="AI341" i="1" s="1"/>
  <c r="BL340" i="1"/>
  <c r="AP340" i="1"/>
  <c r="AQ340" i="1" s="1"/>
  <c r="AR340" i="1" s="1"/>
  <c r="BE340" i="1"/>
  <c r="AX340" i="1"/>
  <c r="BM340" i="1"/>
  <c r="BN340" i="1" s="1"/>
  <c r="BF340" i="1"/>
  <c r="BG340" i="1" s="1"/>
  <c r="BH340" i="1" s="1"/>
  <c r="BJ340" i="1"/>
  <c r="AW340" i="1"/>
  <c r="BA340" i="1"/>
  <c r="AT340" i="1"/>
  <c r="BI340" i="1"/>
  <c r="BB340" i="1"/>
  <c r="AS340" i="1"/>
  <c r="AO340" i="1"/>
  <c r="AH340" i="1"/>
  <c r="AG340" i="1"/>
  <c r="BL339" i="1"/>
  <c r="BE339" i="1"/>
  <c r="AX339" i="1"/>
  <c r="AP339" i="1"/>
  <c r="AQ339" i="1" s="1"/>
  <c r="AR339" i="1" s="1"/>
  <c r="BM339" i="1"/>
  <c r="BN339" i="1" s="1"/>
  <c r="BF339" i="1"/>
  <c r="BG339" i="1" s="1"/>
  <c r="BH339" i="1" s="1"/>
  <c r="BI339" i="1"/>
  <c r="AW339" i="1"/>
  <c r="BA339" i="1"/>
  <c r="AT339" i="1"/>
  <c r="BJ339" i="1"/>
  <c r="BB339" i="1"/>
  <c r="AS339" i="1"/>
  <c r="AO339" i="1"/>
  <c r="AG339" i="1"/>
  <c r="AH339" i="1"/>
  <c r="AI339" i="1" s="1"/>
  <c r="BL338" i="1"/>
  <c r="BE338" i="1"/>
  <c r="AX338" i="1"/>
  <c r="AP338" i="1"/>
  <c r="AQ338" i="1" s="1"/>
  <c r="AR338" i="1" s="1"/>
  <c r="BM338" i="1"/>
  <c r="BN338" i="1" s="1"/>
  <c r="BF338" i="1"/>
  <c r="BG338" i="1" s="1"/>
  <c r="BH338" i="1" s="1"/>
  <c r="BJ338" i="1"/>
  <c r="BB338" i="1"/>
  <c r="AS338" i="1"/>
  <c r="BI338" i="1"/>
  <c r="AW338" i="1"/>
  <c r="BA338" i="1"/>
  <c r="AT338" i="1"/>
  <c r="AO338" i="1"/>
  <c r="AH338" i="1"/>
  <c r="AI338" i="1" s="1"/>
  <c r="AG338" i="1"/>
  <c r="BL337" i="1"/>
  <c r="AX337" i="1"/>
  <c r="AP337" i="1"/>
  <c r="AQ337" i="1" s="1"/>
  <c r="AR337" i="1" s="1"/>
  <c r="BE337" i="1"/>
  <c r="BM337" i="1"/>
  <c r="BN337" i="1" s="1"/>
  <c r="BF337" i="1"/>
  <c r="BG337" i="1" s="1"/>
  <c r="BH337" i="1" s="1"/>
  <c r="BI337" i="1"/>
  <c r="BB337" i="1"/>
  <c r="AS337" i="1"/>
  <c r="BJ337" i="1"/>
  <c r="AW337" i="1"/>
  <c r="BA337" i="1"/>
  <c r="AT337" i="1"/>
  <c r="AO337" i="1"/>
  <c r="AG337" i="1"/>
  <c r="AH337" i="1"/>
  <c r="AI337" i="1" s="1"/>
  <c r="BL336" i="1"/>
  <c r="AP336" i="1"/>
  <c r="AQ336" i="1" s="1"/>
  <c r="AR336" i="1" s="1"/>
  <c r="BE336" i="1"/>
  <c r="AX336" i="1"/>
  <c r="BM336" i="1"/>
  <c r="BN336" i="1" s="1"/>
  <c r="BF336" i="1"/>
  <c r="BG336" i="1" s="1"/>
  <c r="BH336" i="1" s="1"/>
  <c r="BJ336" i="1"/>
  <c r="AW336" i="1"/>
  <c r="BA336" i="1"/>
  <c r="AT336" i="1"/>
  <c r="BI336" i="1"/>
  <c r="BB336" i="1"/>
  <c r="AS336" i="1"/>
  <c r="AO336" i="1"/>
  <c r="AH336" i="1"/>
  <c r="AG336" i="1"/>
  <c r="BL335" i="1"/>
  <c r="BE335" i="1"/>
  <c r="AX335" i="1"/>
  <c r="AP335" i="1"/>
  <c r="AQ335" i="1" s="1"/>
  <c r="AR335" i="1" s="1"/>
  <c r="BM335" i="1"/>
  <c r="BN335" i="1" s="1"/>
  <c r="BF335" i="1"/>
  <c r="BG335" i="1" s="1"/>
  <c r="BH335" i="1" s="1"/>
  <c r="BI335" i="1"/>
  <c r="AW335" i="1"/>
  <c r="BA335" i="1"/>
  <c r="AT335" i="1"/>
  <c r="BJ335" i="1"/>
  <c r="BB335" i="1"/>
  <c r="AS335" i="1"/>
  <c r="AO335" i="1"/>
  <c r="AG335" i="1"/>
  <c r="AH335" i="1"/>
  <c r="AI335" i="1" s="1"/>
  <c r="BL334" i="1"/>
  <c r="BE334" i="1"/>
  <c r="AX334" i="1"/>
  <c r="AP334" i="1"/>
  <c r="AQ334" i="1" s="1"/>
  <c r="AR334" i="1" s="1"/>
  <c r="BM334" i="1"/>
  <c r="BN334" i="1" s="1"/>
  <c r="BF334" i="1"/>
  <c r="BG334" i="1" s="1"/>
  <c r="BH334" i="1" s="1"/>
  <c r="BJ334" i="1"/>
  <c r="BB334" i="1"/>
  <c r="AS334" i="1"/>
  <c r="BI334" i="1"/>
  <c r="AW334" i="1"/>
  <c r="BA334" i="1"/>
  <c r="AT334" i="1"/>
  <c r="AO334" i="1"/>
  <c r="AH334" i="1"/>
  <c r="AI334" i="1" s="1"/>
  <c r="AG334" i="1"/>
  <c r="BL333" i="1"/>
  <c r="AX333" i="1"/>
  <c r="AP333" i="1"/>
  <c r="AQ333" i="1" s="1"/>
  <c r="AR333" i="1" s="1"/>
  <c r="BE333" i="1"/>
  <c r="BM333" i="1"/>
  <c r="BN333" i="1" s="1"/>
  <c r="BF333" i="1"/>
  <c r="BG333" i="1" s="1"/>
  <c r="BH333" i="1" s="1"/>
  <c r="BI333" i="1"/>
  <c r="BB333" i="1"/>
  <c r="AS333" i="1"/>
  <c r="BJ333" i="1"/>
  <c r="AW333" i="1"/>
  <c r="BA333" i="1"/>
  <c r="AT333" i="1"/>
  <c r="AO333" i="1"/>
  <c r="AG333" i="1"/>
  <c r="AH333" i="1"/>
  <c r="AI333" i="1" s="1"/>
  <c r="BL332" i="1"/>
  <c r="BE332" i="1"/>
  <c r="AX332" i="1"/>
  <c r="AP332" i="1"/>
  <c r="AQ332" i="1" s="1"/>
  <c r="AR332" i="1" s="1"/>
  <c r="BM332" i="1"/>
  <c r="BN332" i="1" s="1"/>
  <c r="BI332" i="1"/>
  <c r="BB332" i="1"/>
  <c r="AS332" i="1"/>
  <c r="AO332" i="1"/>
  <c r="BF332" i="1"/>
  <c r="BG332" i="1" s="1"/>
  <c r="BH332" i="1" s="1"/>
  <c r="BJ332" i="1"/>
  <c r="AW332" i="1"/>
  <c r="BA332" i="1"/>
  <c r="AT332" i="1"/>
  <c r="AH332" i="1"/>
  <c r="AI332" i="1" s="1"/>
  <c r="AG332" i="1"/>
  <c r="BL331" i="1"/>
  <c r="BE331" i="1"/>
  <c r="AX331" i="1"/>
  <c r="AP331" i="1"/>
  <c r="AQ331" i="1" s="1"/>
  <c r="AR331" i="1" s="1"/>
  <c r="BM331" i="1"/>
  <c r="BN331" i="1" s="1"/>
  <c r="BF331" i="1"/>
  <c r="BG331" i="1" s="1"/>
  <c r="BH331" i="1" s="1"/>
  <c r="BI331" i="1"/>
  <c r="AW331" i="1"/>
  <c r="BA331" i="1"/>
  <c r="AT331" i="1"/>
  <c r="BJ331" i="1"/>
  <c r="BB331" i="1"/>
  <c r="AS331" i="1"/>
  <c r="AO331" i="1"/>
  <c r="AG331" i="1"/>
  <c r="AH331" i="1"/>
  <c r="AI331" i="1" s="1"/>
  <c r="BL330" i="1"/>
  <c r="AP330" i="1"/>
  <c r="AQ330" i="1" s="1"/>
  <c r="AR330" i="1" s="1"/>
  <c r="BE330" i="1"/>
  <c r="AX330" i="1"/>
  <c r="BM330" i="1"/>
  <c r="BN330" i="1" s="1"/>
  <c r="BI330" i="1"/>
  <c r="AW330" i="1"/>
  <c r="BA330" i="1"/>
  <c r="AT330" i="1"/>
  <c r="AO330" i="1"/>
  <c r="BF330" i="1"/>
  <c r="BG330" i="1" s="1"/>
  <c r="BH330" i="1" s="1"/>
  <c r="BJ330" i="1"/>
  <c r="BB330" i="1"/>
  <c r="AS330" i="1"/>
  <c r="AH330" i="1"/>
  <c r="AG330" i="1"/>
  <c r="BL329" i="1"/>
  <c r="AX329" i="1"/>
  <c r="AP329" i="1"/>
  <c r="AQ329" i="1" s="1"/>
  <c r="AR329" i="1" s="1"/>
  <c r="BE329" i="1"/>
  <c r="BM329" i="1"/>
  <c r="BN329" i="1" s="1"/>
  <c r="BF329" i="1"/>
  <c r="BG329" i="1" s="1"/>
  <c r="BH329" i="1" s="1"/>
  <c r="BI329" i="1"/>
  <c r="BB329" i="1"/>
  <c r="AS329" i="1"/>
  <c r="BJ329" i="1"/>
  <c r="AW329" i="1"/>
  <c r="BA329" i="1"/>
  <c r="AT329" i="1"/>
  <c r="AO329" i="1"/>
  <c r="AG329" i="1"/>
  <c r="AH329" i="1"/>
  <c r="AI329" i="1" s="1"/>
  <c r="BL328" i="1"/>
  <c r="BE328" i="1"/>
  <c r="AX328" i="1"/>
  <c r="AP328" i="1"/>
  <c r="AQ328" i="1" s="1"/>
  <c r="AR328" i="1" s="1"/>
  <c r="BM328" i="1"/>
  <c r="BN328" i="1" s="1"/>
  <c r="BI328" i="1"/>
  <c r="BB328" i="1"/>
  <c r="AS328" i="1"/>
  <c r="AO328" i="1"/>
  <c r="BF328" i="1"/>
  <c r="BG328" i="1" s="1"/>
  <c r="BH328" i="1" s="1"/>
  <c r="BJ328" i="1"/>
  <c r="AW328" i="1"/>
  <c r="BA328" i="1"/>
  <c r="AT328" i="1"/>
  <c r="AH328" i="1"/>
  <c r="AG328" i="1"/>
  <c r="BL327" i="1"/>
  <c r="BE327" i="1"/>
  <c r="AX327" i="1"/>
  <c r="AP327" i="1"/>
  <c r="AQ327" i="1" s="1"/>
  <c r="AR327" i="1" s="1"/>
  <c r="BM327" i="1"/>
  <c r="BN327" i="1" s="1"/>
  <c r="BF327" i="1"/>
  <c r="BG327" i="1" s="1"/>
  <c r="BH327" i="1" s="1"/>
  <c r="BI327" i="1"/>
  <c r="AW327" i="1"/>
  <c r="BA327" i="1"/>
  <c r="AT327" i="1"/>
  <c r="BJ327" i="1"/>
  <c r="BB327" i="1"/>
  <c r="AS327" i="1"/>
  <c r="AO327" i="1"/>
  <c r="AG327" i="1"/>
  <c r="AH327" i="1"/>
  <c r="AI327" i="1" s="1"/>
  <c r="BL326" i="1"/>
  <c r="AP326" i="1"/>
  <c r="AQ326" i="1" s="1"/>
  <c r="AR326" i="1" s="1"/>
  <c r="BE326" i="1"/>
  <c r="AX326" i="1"/>
  <c r="BM326" i="1"/>
  <c r="BN326" i="1" s="1"/>
  <c r="BI326" i="1"/>
  <c r="AW326" i="1"/>
  <c r="BA326" i="1"/>
  <c r="AT326" i="1"/>
  <c r="AO326" i="1"/>
  <c r="BF326" i="1"/>
  <c r="BG326" i="1" s="1"/>
  <c r="BH326" i="1" s="1"/>
  <c r="BJ326" i="1"/>
  <c r="BB326" i="1"/>
  <c r="AS326" i="1"/>
  <c r="AH326" i="1"/>
  <c r="AI326" i="1" s="1"/>
  <c r="AG326" i="1"/>
  <c r="BL325" i="1"/>
  <c r="AX325" i="1"/>
  <c r="AP325" i="1"/>
  <c r="AQ325" i="1" s="1"/>
  <c r="AR325" i="1" s="1"/>
  <c r="BE325" i="1"/>
  <c r="BM325" i="1"/>
  <c r="BN325" i="1" s="1"/>
  <c r="BF325" i="1"/>
  <c r="BG325" i="1" s="1"/>
  <c r="BH325" i="1" s="1"/>
  <c r="BI325" i="1"/>
  <c r="BB325" i="1"/>
  <c r="AS325" i="1"/>
  <c r="BJ325" i="1"/>
  <c r="AW325" i="1"/>
  <c r="BA325" i="1"/>
  <c r="AT325" i="1"/>
  <c r="AO325" i="1"/>
  <c r="AG325" i="1"/>
  <c r="AH325" i="1"/>
  <c r="AI325" i="1" s="1"/>
  <c r="BL324" i="1"/>
  <c r="BE324" i="1"/>
  <c r="AX324" i="1"/>
  <c r="AP324" i="1"/>
  <c r="AQ324" i="1" s="1"/>
  <c r="AR324" i="1" s="1"/>
  <c r="BM324" i="1"/>
  <c r="BN324" i="1" s="1"/>
  <c r="BI324" i="1"/>
  <c r="BB324" i="1"/>
  <c r="AS324" i="1"/>
  <c r="AO324" i="1"/>
  <c r="BF324" i="1"/>
  <c r="BG324" i="1" s="1"/>
  <c r="BH324" i="1" s="1"/>
  <c r="BJ324" i="1"/>
  <c r="AW324" i="1"/>
  <c r="BA324" i="1"/>
  <c r="AT324" i="1"/>
  <c r="AH324" i="1"/>
  <c r="AI324" i="1" s="1"/>
  <c r="AG324" i="1"/>
  <c r="BL323" i="1"/>
  <c r="BE323" i="1"/>
  <c r="AX323" i="1"/>
  <c r="AP323" i="1"/>
  <c r="AQ323" i="1" s="1"/>
  <c r="AR323" i="1" s="1"/>
  <c r="BM323" i="1"/>
  <c r="BN323" i="1" s="1"/>
  <c r="BF323" i="1"/>
  <c r="BG323" i="1" s="1"/>
  <c r="BH323" i="1" s="1"/>
  <c r="BI323" i="1"/>
  <c r="AW323" i="1"/>
  <c r="BA323" i="1"/>
  <c r="AT323" i="1"/>
  <c r="BJ323" i="1"/>
  <c r="BB323" i="1"/>
  <c r="AS323" i="1"/>
  <c r="AO323" i="1"/>
  <c r="AG323" i="1"/>
  <c r="AH323" i="1"/>
  <c r="AI323" i="1" s="1"/>
  <c r="BL322" i="1"/>
  <c r="AP322" i="1"/>
  <c r="AQ322" i="1" s="1"/>
  <c r="AR322" i="1" s="1"/>
  <c r="BE322" i="1"/>
  <c r="AX322" i="1"/>
  <c r="BM322" i="1"/>
  <c r="BN322" i="1" s="1"/>
  <c r="BI322" i="1"/>
  <c r="AW322" i="1"/>
  <c r="BA322" i="1"/>
  <c r="AT322" i="1"/>
  <c r="AO322" i="1"/>
  <c r="BF322" i="1"/>
  <c r="BG322" i="1" s="1"/>
  <c r="BH322" i="1" s="1"/>
  <c r="BJ322" i="1"/>
  <c r="BB322" i="1"/>
  <c r="AS322" i="1"/>
  <c r="AH322" i="1"/>
  <c r="AG322" i="1"/>
  <c r="BL321" i="1"/>
  <c r="AX321" i="1"/>
  <c r="AP321" i="1"/>
  <c r="AQ321" i="1" s="1"/>
  <c r="AR321" i="1" s="1"/>
  <c r="BE321" i="1"/>
  <c r="BM321" i="1"/>
  <c r="BN321" i="1" s="1"/>
  <c r="BF321" i="1"/>
  <c r="BG321" i="1" s="1"/>
  <c r="BH321" i="1" s="1"/>
  <c r="BI321" i="1"/>
  <c r="BB321" i="1"/>
  <c r="AS321" i="1"/>
  <c r="BJ321" i="1"/>
  <c r="AW321" i="1"/>
  <c r="BA321" i="1"/>
  <c r="AT321" i="1"/>
  <c r="AO321" i="1"/>
  <c r="AG321" i="1"/>
  <c r="AH321" i="1"/>
  <c r="AI321" i="1" s="1"/>
  <c r="BM320" i="1"/>
  <c r="AW320" i="1"/>
  <c r="AO320" i="1"/>
  <c r="AG320" i="1"/>
  <c r="BL320" i="1"/>
  <c r="BN320" i="1" s="1"/>
  <c r="BI320" i="1"/>
  <c r="BE320" i="1"/>
  <c r="AX320" i="1"/>
  <c r="BB320" i="1"/>
  <c r="AS320" i="1"/>
  <c r="BF320" i="1"/>
  <c r="BG320" i="1" s="1"/>
  <c r="BH320" i="1" s="1"/>
  <c r="BJ320" i="1"/>
  <c r="BA320" i="1"/>
  <c r="AP320" i="1"/>
  <c r="AQ320" i="1" s="1"/>
  <c r="AR320" i="1" s="1"/>
  <c r="AT320" i="1"/>
  <c r="AH320" i="1"/>
  <c r="AI320" i="1" s="1"/>
  <c r="BL319" i="1"/>
  <c r="BE319" i="1"/>
  <c r="AX319" i="1"/>
  <c r="AP319" i="1"/>
  <c r="AQ319" i="1" s="1"/>
  <c r="AR319" i="1" s="1"/>
  <c r="BM319" i="1"/>
  <c r="BN319" i="1" s="1"/>
  <c r="BF319" i="1"/>
  <c r="BG319" i="1" s="1"/>
  <c r="BH319" i="1" s="1"/>
  <c r="BI319" i="1"/>
  <c r="AW319" i="1"/>
  <c r="BA319" i="1"/>
  <c r="AT319" i="1"/>
  <c r="BJ319" i="1"/>
  <c r="BB319" i="1"/>
  <c r="AS319" i="1"/>
  <c r="AO319" i="1"/>
  <c r="AG319" i="1"/>
  <c r="AH319" i="1"/>
  <c r="AI319" i="1" s="1"/>
  <c r="BL318" i="1"/>
  <c r="AP318" i="1"/>
  <c r="AQ318" i="1" s="1"/>
  <c r="AR318" i="1" s="1"/>
  <c r="BE318" i="1"/>
  <c r="AX318" i="1"/>
  <c r="BM318" i="1"/>
  <c r="BN318" i="1" s="1"/>
  <c r="BI318" i="1"/>
  <c r="AW318" i="1"/>
  <c r="BA318" i="1"/>
  <c r="AT318" i="1"/>
  <c r="AO318" i="1"/>
  <c r="BF318" i="1"/>
  <c r="BG318" i="1" s="1"/>
  <c r="BH318" i="1" s="1"/>
  <c r="BJ318" i="1"/>
  <c r="BB318" i="1"/>
  <c r="AS318" i="1"/>
  <c r="AH318" i="1"/>
  <c r="AG318" i="1"/>
  <c r="BL312" i="1"/>
  <c r="BL311" i="1"/>
  <c r="BL310" i="1"/>
  <c r="BL309" i="1"/>
  <c r="BL308" i="1"/>
  <c r="BL307" i="1"/>
  <c r="BL306" i="1"/>
  <c r="BL305" i="1"/>
  <c r="BL304" i="1"/>
  <c r="BL317" i="1"/>
  <c r="BE317" i="1"/>
  <c r="AX317" i="1"/>
  <c r="AP317" i="1"/>
  <c r="AQ317" i="1" s="1"/>
  <c r="AR317" i="1" s="1"/>
  <c r="BL316" i="1"/>
  <c r="AX316" i="1"/>
  <c r="BE316" i="1"/>
  <c r="AP316" i="1"/>
  <c r="AQ316" i="1" s="1"/>
  <c r="AR316" i="1" s="1"/>
  <c r="BL315" i="1"/>
  <c r="BE315" i="1"/>
  <c r="AP315" i="1"/>
  <c r="AQ315" i="1" s="1"/>
  <c r="AR315" i="1" s="1"/>
  <c r="AX315" i="1"/>
  <c r="BL314" i="1"/>
  <c r="AX314" i="1"/>
  <c r="AP314" i="1"/>
  <c r="AQ314" i="1" s="1"/>
  <c r="AR314" i="1" s="1"/>
  <c r="BE314" i="1"/>
  <c r="BL313" i="1"/>
  <c r="BE313" i="1"/>
  <c r="AX313" i="1"/>
  <c r="AP313" i="1"/>
  <c r="AQ313" i="1" s="1"/>
  <c r="AR313" i="1" s="1"/>
  <c r="BM317" i="1"/>
  <c r="BN317" i="1" s="1"/>
  <c r="BJ317" i="1"/>
  <c r="AW317" i="1"/>
  <c r="BA317" i="1"/>
  <c r="AT317" i="1"/>
  <c r="AO317" i="1"/>
  <c r="BF317" i="1"/>
  <c r="BG317" i="1" s="1"/>
  <c r="BH317" i="1" s="1"/>
  <c r="BI317" i="1"/>
  <c r="BB317" i="1"/>
  <c r="AS317" i="1"/>
  <c r="AG317" i="1"/>
  <c r="AH317" i="1"/>
  <c r="AI317" i="1" s="1"/>
  <c r="BM316" i="1"/>
  <c r="BN316" i="1" s="1"/>
  <c r="BI316" i="1"/>
  <c r="BB316" i="1"/>
  <c r="AS316" i="1"/>
  <c r="BF316" i="1"/>
  <c r="BG316" i="1" s="1"/>
  <c r="BH316" i="1" s="1"/>
  <c r="BJ316" i="1"/>
  <c r="AW316" i="1"/>
  <c r="BA316" i="1"/>
  <c r="AT316" i="1"/>
  <c r="AO316" i="1"/>
  <c r="AH316" i="1"/>
  <c r="AG316" i="1"/>
  <c r="BM315" i="1"/>
  <c r="BN315" i="1" s="1"/>
  <c r="BF315" i="1"/>
  <c r="BG315" i="1" s="1"/>
  <c r="BH315" i="1" s="1"/>
  <c r="BI315" i="1"/>
  <c r="AW315" i="1"/>
  <c r="BA315" i="1"/>
  <c r="AS315" i="1"/>
  <c r="AO315" i="1"/>
  <c r="BJ315" i="1"/>
  <c r="BB315" i="1"/>
  <c r="AT315" i="1"/>
  <c r="AG315" i="1"/>
  <c r="AH315" i="1"/>
  <c r="AI315" i="1" s="1"/>
  <c r="BM314" i="1"/>
  <c r="BN314" i="1" s="1"/>
  <c r="BF314" i="1"/>
  <c r="BG314" i="1" s="1"/>
  <c r="BH314" i="1" s="1"/>
  <c r="BJ314" i="1"/>
  <c r="BB314" i="1"/>
  <c r="AT314" i="1"/>
  <c r="BI314" i="1"/>
  <c r="AW314" i="1"/>
  <c r="BA314" i="1"/>
  <c r="AS314" i="1"/>
  <c r="AO314" i="1"/>
  <c r="AH314" i="1"/>
  <c r="AG314" i="1"/>
  <c r="BM313" i="1"/>
  <c r="BN313" i="1" s="1"/>
  <c r="BJ313" i="1"/>
  <c r="AW313" i="1"/>
  <c r="BA313" i="1"/>
  <c r="AT313" i="1"/>
  <c r="AO313" i="1"/>
  <c r="BF313" i="1"/>
  <c r="BG313" i="1" s="1"/>
  <c r="BH313" i="1" s="1"/>
  <c r="BI313" i="1"/>
  <c r="BB313" i="1"/>
  <c r="AS313" i="1"/>
  <c r="AG313" i="1"/>
  <c r="AH313" i="1"/>
  <c r="AI313" i="1" s="1"/>
  <c r="BM312" i="1"/>
  <c r="BM311" i="1"/>
  <c r="BM310" i="1"/>
  <c r="BM309" i="1"/>
  <c r="BM308" i="1"/>
  <c r="BM307" i="1"/>
  <c r="BM306" i="1"/>
  <c r="BM305" i="1"/>
  <c r="BM304" i="1"/>
  <c r="BM303" i="1"/>
  <c r="BL303" i="1"/>
  <c r="BL299" i="1"/>
  <c r="BL302" i="1"/>
  <c r="BM302" i="1"/>
  <c r="BL300" i="1"/>
  <c r="BL301" i="1"/>
  <c r="BL291" i="1"/>
  <c r="BM301" i="1"/>
  <c r="BN301" i="1" s="1"/>
  <c r="BM300" i="1"/>
  <c r="BM299" i="1"/>
  <c r="BN299" i="1" s="1"/>
  <c r="BL298" i="1"/>
  <c r="BM298" i="1"/>
  <c r="BM297" i="1"/>
  <c r="BN297" i="1" s="1"/>
  <c r="BM296" i="1"/>
  <c r="BN296" i="1" s="1"/>
  <c r="BL292" i="1"/>
  <c r="BL290" i="1"/>
  <c r="BM295" i="1"/>
  <c r="BN295" i="1" s="1"/>
  <c r="BM294" i="1"/>
  <c r="BN294" i="1" s="1"/>
  <c r="BM293" i="1"/>
  <c r="BN293" i="1" s="1"/>
  <c r="BM292" i="1"/>
  <c r="BM291" i="1"/>
  <c r="BN291" i="1" s="1"/>
  <c r="BM290" i="1"/>
  <c r="BN290" i="1" s="1"/>
  <c r="BM289" i="1"/>
  <c r="BN289" i="1" s="1"/>
  <c r="BM288" i="1"/>
  <c r="BN288" i="1" s="1"/>
  <c r="BM287" i="1"/>
  <c r="BN287" i="1" s="1"/>
  <c r="BM286" i="1"/>
  <c r="BN286" i="1" s="1"/>
  <c r="BL285" i="1"/>
  <c r="BM285" i="1"/>
  <c r="BM284" i="1"/>
  <c r="BN284" i="1" s="1"/>
  <c r="BL282" i="1"/>
  <c r="BM283" i="1"/>
  <c r="BN283" i="1" s="1"/>
  <c r="BM282" i="1"/>
  <c r="BN282" i="1" s="1"/>
  <c r="BM281" i="1"/>
  <c r="BN281" i="1" s="1"/>
  <c r="BM280" i="1"/>
  <c r="BN280" i="1" s="1"/>
  <c r="BM279" i="1"/>
  <c r="BN279" i="1" s="1"/>
  <c r="BL278" i="1"/>
  <c r="BM278" i="1"/>
  <c r="BL236" i="1"/>
  <c r="BL256" i="1"/>
  <c r="BL237" i="1"/>
  <c r="BL225" i="1"/>
  <c r="BL267" i="1"/>
  <c r="BL263" i="1"/>
  <c r="BL218" i="1"/>
  <c r="BL254" i="1"/>
  <c r="BL248" i="1"/>
  <c r="BM277" i="1"/>
  <c r="BN277" i="1" s="1"/>
  <c r="BM276" i="1"/>
  <c r="BN276" i="1" s="1"/>
  <c r="BM275" i="1"/>
  <c r="BN275" i="1" s="1"/>
  <c r="BM274" i="1"/>
  <c r="BN274" i="1" s="1"/>
  <c r="BM273" i="1"/>
  <c r="BN273" i="1" s="1"/>
  <c r="BL228" i="1"/>
  <c r="BL251" i="1"/>
  <c r="BL272" i="1"/>
  <c r="BM272" i="1"/>
  <c r="BL255" i="1"/>
  <c r="BL226" i="1"/>
  <c r="BL232" i="1"/>
  <c r="BL231" i="1"/>
  <c r="BM271" i="1"/>
  <c r="BN271" i="1" s="1"/>
  <c r="BL244" i="1"/>
  <c r="BM266" i="1"/>
  <c r="BM270" i="1"/>
  <c r="BN270" i="1" s="1"/>
  <c r="BL257" i="1"/>
  <c r="BL243" i="1"/>
  <c r="BM269" i="1"/>
  <c r="BN269" i="1" s="1"/>
  <c r="BL249" i="1"/>
  <c r="BL246" i="1"/>
  <c r="BM268" i="1"/>
  <c r="BN268" i="1" s="1"/>
  <c r="BM267" i="1"/>
  <c r="BN267" i="1" s="1"/>
  <c r="BL264" i="1"/>
  <c r="BL266" i="1"/>
  <c r="BN266" i="1" s="1"/>
  <c r="BM265" i="1"/>
  <c r="BN265" i="1" s="1"/>
  <c r="BM264" i="1"/>
  <c r="BM263" i="1"/>
  <c r="BN263" i="1" s="1"/>
  <c r="BM262" i="1"/>
  <c r="BN262" i="1" s="1"/>
  <c r="BM261" i="1"/>
  <c r="BN261" i="1" s="1"/>
  <c r="BM260" i="1"/>
  <c r="BN260" i="1" s="1"/>
  <c r="BM259" i="1"/>
  <c r="BN259" i="1" s="1"/>
  <c r="BM258" i="1"/>
  <c r="BN258" i="1" s="1"/>
  <c r="BM257" i="1"/>
  <c r="BL219" i="1"/>
  <c r="BM256" i="1"/>
  <c r="BN256" i="1" s="1"/>
  <c r="BL230" i="1"/>
  <c r="BM255" i="1"/>
  <c r="BM254" i="1"/>
  <c r="BM253" i="1"/>
  <c r="BN253" i="1" s="1"/>
  <c r="BM252" i="1"/>
  <c r="BN252" i="1" s="1"/>
  <c r="BM251" i="1"/>
  <c r="BN251" i="1" s="1"/>
  <c r="BM250" i="1"/>
  <c r="BN250" i="1" s="1"/>
  <c r="BM249" i="1"/>
  <c r="BN249" i="1" s="1"/>
  <c r="BM248" i="1"/>
  <c r="BN248" i="1" s="1"/>
  <c r="BM247" i="1"/>
  <c r="BN247" i="1" s="1"/>
  <c r="BM246" i="1"/>
  <c r="BN246" i="1" s="1"/>
  <c r="BL242" i="1"/>
  <c r="BM245" i="1"/>
  <c r="BN245" i="1" s="1"/>
  <c r="BM244" i="1"/>
  <c r="BN244" i="1" s="1"/>
  <c r="BM243" i="1"/>
  <c r="BM242" i="1"/>
  <c r="BN242" i="1" s="1"/>
  <c r="BM241" i="1"/>
  <c r="BN241" i="1" s="1"/>
  <c r="BM240" i="1"/>
  <c r="BN240" i="1" s="1"/>
  <c r="BM239" i="1"/>
  <c r="BN239" i="1" s="1"/>
  <c r="BM238" i="1"/>
  <c r="BN238" i="1" s="1"/>
  <c r="BM237" i="1"/>
  <c r="BN237" i="1" s="1"/>
  <c r="BM236" i="1"/>
  <c r="BM235" i="1"/>
  <c r="BN235" i="1" s="1"/>
  <c r="BM234" i="1"/>
  <c r="BN234" i="1" s="1"/>
  <c r="BL222" i="1"/>
  <c r="BM233" i="1"/>
  <c r="BN233" i="1" s="1"/>
  <c r="BM232" i="1"/>
  <c r="BN232" i="1" s="1"/>
  <c r="BM231" i="1"/>
  <c r="BN231" i="1" s="1"/>
  <c r="BL220" i="1"/>
  <c r="BM230" i="1"/>
  <c r="BM229" i="1"/>
  <c r="BN229" i="1" s="1"/>
  <c r="BM228" i="1"/>
  <c r="BM227" i="1"/>
  <c r="BN227" i="1" s="1"/>
  <c r="BM226" i="1"/>
  <c r="BN226" i="1" s="1"/>
  <c r="BM225" i="1"/>
  <c r="BM224" i="1"/>
  <c r="BN224" i="1" s="1"/>
  <c r="BM223" i="1"/>
  <c r="BN223" i="1" s="1"/>
  <c r="BM222" i="1"/>
  <c r="BM221" i="1"/>
  <c r="BN221" i="1" s="1"/>
  <c r="BM220" i="1"/>
  <c r="BM219" i="1"/>
  <c r="BN219" i="1" s="1"/>
  <c r="BM218" i="1"/>
  <c r="BL217" i="1"/>
  <c r="BM217" i="1"/>
  <c r="BM216" i="1"/>
  <c r="BN216" i="1" s="1"/>
  <c r="BL215" i="1"/>
  <c r="BM215" i="1"/>
  <c r="BM214" i="1"/>
  <c r="BN214" i="1" s="1"/>
  <c r="BL213" i="1"/>
  <c r="BM213" i="1"/>
  <c r="BL212" i="1"/>
  <c r="BM212" i="1"/>
  <c r="BM211" i="1"/>
  <c r="BN211" i="1" s="1"/>
  <c r="BL210" i="1"/>
  <c r="BM210" i="1"/>
  <c r="BM209" i="1"/>
  <c r="BN209" i="1" s="1"/>
  <c r="BL208" i="1"/>
  <c r="BM208" i="1"/>
  <c r="BM207" i="1"/>
  <c r="BN207" i="1" s="1"/>
  <c r="BM206" i="1"/>
  <c r="BN206" i="1" s="1"/>
  <c r="BL205" i="1"/>
  <c r="BM205" i="1"/>
  <c r="BM204" i="1"/>
  <c r="BN204" i="1" s="1"/>
  <c r="BL203" i="1"/>
  <c r="BM203" i="1"/>
  <c r="BM202" i="1"/>
  <c r="BN202" i="1" s="1"/>
  <c r="BL201" i="1"/>
  <c r="BM201" i="1"/>
  <c r="BM200" i="1"/>
  <c r="BN200" i="1" s="1"/>
  <c r="BL199" i="1"/>
  <c r="BM199" i="1"/>
  <c r="BM198" i="1"/>
  <c r="BN198" i="1" s="1"/>
  <c r="BI312" i="1"/>
  <c r="BF312" i="1"/>
  <c r="BG312" i="1" s="1"/>
  <c r="BH312" i="1" s="1"/>
  <c r="BJ312" i="1"/>
  <c r="BE312" i="1"/>
  <c r="AX312" i="1"/>
  <c r="BB312" i="1"/>
  <c r="AW312" i="1"/>
  <c r="AP312" i="1"/>
  <c r="AQ312" i="1" s="1"/>
  <c r="AR312" i="1" s="1"/>
  <c r="AT312" i="1"/>
  <c r="BA312" i="1"/>
  <c r="AS312" i="1"/>
  <c r="AO312" i="1"/>
  <c r="AH312" i="1"/>
  <c r="AI312" i="1" s="1"/>
  <c r="AG312" i="1"/>
  <c r="BF311" i="1"/>
  <c r="BG311" i="1" s="1"/>
  <c r="BH311" i="1" s="1"/>
  <c r="BI311" i="1"/>
  <c r="BJ311" i="1"/>
  <c r="AW311" i="1"/>
  <c r="BA311" i="1"/>
  <c r="BE311" i="1"/>
  <c r="AX311" i="1"/>
  <c r="AT311" i="1"/>
  <c r="AO311" i="1"/>
  <c r="BB311" i="1"/>
  <c r="AS311" i="1"/>
  <c r="AP311" i="1"/>
  <c r="AQ311" i="1" s="1"/>
  <c r="AR311" i="1" s="1"/>
  <c r="AH311" i="1"/>
  <c r="AI311" i="1" s="1"/>
  <c r="AG311" i="1"/>
  <c r="BF310" i="1"/>
  <c r="BG310" i="1" s="1"/>
  <c r="BH310" i="1" s="1"/>
  <c r="BJ310" i="1"/>
  <c r="BI310" i="1"/>
  <c r="BE310" i="1"/>
  <c r="AX310" i="1"/>
  <c r="BB310" i="1"/>
  <c r="BA310" i="1"/>
  <c r="AS310" i="1"/>
  <c r="AW310" i="1"/>
  <c r="AT310" i="1"/>
  <c r="AO310" i="1"/>
  <c r="AP310" i="1"/>
  <c r="AQ310" i="1" s="1"/>
  <c r="AR310" i="1" s="1"/>
  <c r="AH310" i="1"/>
  <c r="AI310" i="1" s="1"/>
  <c r="AG310" i="1"/>
  <c r="BJ309" i="1"/>
  <c r="BF309" i="1"/>
  <c r="BG309" i="1" s="1"/>
  <c r="BH309" i="1" s="1"/>
  <c r="BI309" i="1"/>
  <c r="BE309" i="1"/>
  <c r="AW309" i="1"/>
  <c r="BA309" i="1"/>
  <c r="BB309" i="1"/>
  <c r="AP309" i="1"/>
  <c r="AQ309" i="1" s="1"/>
  <c r="AR309" i="1" s="1"/>
  <c r="AS309" i="1"/>
  <c r="AO309" i="1"/>
  <c r="AX309" i="1"/>
  <c r="AT309" i="1"/>
  <c r="AH309" i="1"/>
  <c r="AI309" i="1" s="1"/>
  <c r="AG309" i="1"/>
  <c r="BI308" i="1"/>
  <c r="BF308" i="1"/>
  <c r="BG308" i="1" s="1"/>
  <c r="BH308" i="1" s="1"/>
  <c r="BJ308" i="1"/>
  <c r="BE308" i="1"/>
  <c r="AX308" i="1"/>
  <c r="BB308" i="1"/>
  <c r="AW308" i="1"/>
  <c r="AP308" i="1"/>
  <c r="AQ308" i="1" s="1"/>
  <c r="AR308" i="1" s="1"/>
  <c r="AT308" i="1"/>
  <c r="BA308" i="1"/>
  <c r="AS308" i="1"/>
  <c r="AO308" i="1"/>
  <c r="AH308" i="1"/>
  <c r="AI308" i="1" s="1"/>
  <c r="AG308" i="1"/>
  <c r="BF307" i="1"/>
  <c r="BG307" i="1" s="1"/>
  <c r="BH307" i="1" s="1"/>
  <c r="BI307" i="1"/>
  <c r="BJ307" i="1"/>
  <c r="AW307" i="1"/>
  <c r="BA307" i="1"/>
  <c r="AX307" i="1"/>
  <c r="AT307" i="1"/>
  <c r="AO307" i="1"/>
  <c r="BE307" i="1"/>
  <c r="BB307" i="1"/>
  <c r="AP307" i="1"/>
  <c r="AQ307" i="1" s="1"/>
  <c r="AR307" i="1" s="1"/>
  <c r="AS307" i="1"/>
  <c r="AH307" i="1"/>
  <c r="AI307" i="1" s="1"/>
  <c r="AG307" i="1"/>
  <c r="BF306" i="1"/>
  <c r="BG306" i="1" s="1"/>
  <c r="BH306" i="1" s="1"/>
  <c r="BJ306" i="1"/>
  <c r="BI306" i="1"/>
  <c r="BE306" i="1"/>
  <c r="AX306" i="1"/>
  <c r="BB306" i="1"/>
  <c r="BA306" i="1"/>
  <c r="AS306" i="1"/>
  <c r="AW306" i="1"/>
  <c r="AP306" i="1"/>
  <c r="AQ306" i="1" s="1"/>
  <c r="AR306" i="1" s="1"/>
  <c r="AO306" i="1"/>
  <c r="AT306" i="1"/>
  <c r="AH306" i="1"/>
  <c r="AI306" i="1" s="1"/>
  <c r="AG306" i="1"/>
  <c r="BJ305" i="1"/>
  <c r="BF305" i="1"/>
  <c r="BG305" i="1" s="1"/>
  <c r="BH305" i="1" s="1"/>
  <c r="BI305" i="1"/>
  <c r="BE305" i="1"/>
  <c r="AW305" i="1"/>
  <c r="BA305" i="1"/>
  <c r="BB305" i="1"/>
  <c r="AP305" i="1"/>
  <c r="AQ305" i="1" s="1"/>
  <c r="AR305" i="1" s="1"/>
  <c r="AS305" i="1"/>
  <c r="AO305" i="1"/>
  <c r="AX305" i="1"/>
  <c r="AT305" i="1"/>
  <c r="AH305" i="1"/>
  <c r="AI305" i="1" s="1"/>
  <c r="AG305" i="1"/>
  <c r="BI304" i="1"/>
  <c r="BF304" i="1"/>
  <c r="BG304" i="1" s="1"/>
  <c r="BH304" i="1" s="1"/>
  <c r="BJ304" i="1"/>
  <c r="BE304" i="1"/>
  <c r="AX304" i="1"/>
  <c r="BB304" i="1"/>
  <c r="AW304" i="1"/>
  <c r="AP304" i="1"/>
  <c r="AQ304" i="1" s="1"/>
  <c r="AR304" i="1" s="1"/>
  <c r="AT304" i="1"/>
  <c r="BA304" i="1"/>
  <c r="AS304" i="1"/>
  <c r="AO304" i="1"/>
  <c r="AH304" i="1"/>
  <c r="AI304" i="1" s="1"/>
  <c r="AG304" i="1"/>
  <c r="BF303" i="1"/>
  <c r="BG303" i="1" s="1"/>
  <c r="BH303" i="1" s="1"/>
  <c r="BI303" i="1"/>
  <c r="BJ303" i="1"/>
  <c r="AW303" i="1"/>
  <c r="BA303" i="1"/>
  <c r="BE303" i="1"/>
  <c r="AX303" i="1"/>
  <c r="AT303" i="1"/>
  <c r="AO303" i="1"/>
  <c r="BB303" i="1"/>
  <c r="AS303" i="1"/>
  <c r="AP303" i="1"/>
  <c r="AQ303" i="1" s="1"/>
  <c r="AR303" i="1" s="1"/>
  <c r="AH303" i="1"/>
  <c r="AI303" i="1" s="1"/>
  <c r="AG303" i="1"/>
  <c r="BF302" i="1"/>
  <c r="BG302" i="1" s="1"/>
  <c r="BH302" i="1" s="1"/>
  <c r="BJ302" i="1"/>
  <c r="BI302" i="1"/>
  <c r="BE302" i="1"/>
  <c r="AX302" i="1"/>
  <c r="BB302" i="1"/>
  <c r="BA302" i="1"/>
  <c r="AS302" i="1"/>
  <c r="AW302" i="1"/>
  <c r="AT302" i="1"/>
  <c r="AO302" i="1"/>
  <c r="AP302" i="1"/>
  <c r="AQ302" i="1" s="1"/>
  <c r="AR302" i="1" s="1"/>
  <c r="AH302" i="1"/>
  <c r="AI302" i="1" s="1"/>
  <c r="AG302" i="1"/>
  <c r="BJ301" i="1"/>
  <c r="BF301" i="1"/>
  <c r="BG301" i="1" s="1"/>
  <c r="BH301" i="1" s="1"/>
  <c r="BI301" i="1"/>
  <c r="BE301" i="1"/>
  <c r="AW301" i="1"/>
  <c r="BA301" i="1"/>
  <c r="BB301" i="1"/>
  <c r="AP301" i="1"/>
  <c r="AQ301" i="1" s="1"/>
  <c r="AR301" i="1" s="1"/>
  <c r="AS301" i="1"/>
  <c r="AO301" i="1"/>
  <c r="AX301" i="1"/>
  <c r="AT301" i="1"/>
  <c r="AH301" i="1"/>
  <c r="AG301" i="1"/>
  <c r="BI300" i="1"/>
  <c r="BF300" i="1"/>
  <c r="BG300" i="1" s="1"/>
  <c r="BH300" i="1" s="1"/>
  <c r="BJ300" i="1"/>
  <c r="BE300" i="1"/>
  <c r="AX300" i="1"/>
  <c r="BB300" i="1"/>
  <c r="AW300" i="1"/>
  <c r="AP300" i="1"/>
  <c r="AQ300" i="1" s="1"/>
  <c r="AR300" i="1" s="1"/>
  <c r="AT300" i="1"/>
  <c r="BA300" i="1"/>
  <c r="AS300" i="1"/>
  <c r="AO300" i="1"/>
  <c r="AH300" i="1"/>
  <c r="AI300" i="1" s="1"/>
  <c r="AG300" i="1"/>
  <c r="BF299" i="1"/>
  <c r="BG299" i="1" s="1"/>
  <c r="BH299" i="1" s="1"/>
  <c r="BI299" i="1"/>
  <c r="BJ299" i="1"/>
  <c r="AW299" i="1"/>
  <c r="BA299" i="1"/>
  <c r="AX299" i="1"/>
  <c r="AT299" i="1"/>
  <c r="AO299" i="1"/>
  <c r="BE299" i="1"/>
  <c r="BB299" i="1"/>
  <c r="AP299" i="1"/>
  <c r="AQ299" i="1" s="1"/>
  <c r="AR299" i="1" s="1"/>
  <c r="AS299" i="1"/>
  <c r="AH299" i="1"/>
  <c r="AG299" i="1"/>
  <c r="BF298" i="1"/>
  <c r="BG298" i="1" s="1"/>
  <c r="BH298" i="1" s="1"/>
  <c r="BJ298" i="1"/>
  <c r="BI298" i="1"/>
  <c r="BE298" i="1"/>
  <c r="AX298" i="1"/>
  <c r="BB298" i="1"/>
  <c r="BA298" i="1"/>
  <c r="AS298" i="1"/>
  <c r="AW298" i="1"/>
  <c r="AP298" i="1"/>
  <c r="AQ298" i="1" s="1"/>
  <c r="AR298" i="1" s="1"/>
  <c r="AO298" i="1"/>
  <c r="AT298" i="1"/>
  <c r="AH298" i="1"/>
  <c r="AI298" i="1" s="1"/>
  <c r="AG298" i="1"/>
  <c r="BJ297" i="1"/>
  <c r="BF297" i="1"/>
  <c r="BG297" i="1" s="1"/>
  <c r="BH297" i="1" s="1"/>
  <c r="BI297" i="1"/>
  <c r="BE297" i="1"/>
  <c r="AW297" i="1"/>
  <c r="BA297" i="1"/>
  <c r="BB297" i="1"/>
  <c r="AP297" i="1"/>
  <c r="AQ297" i="1" s="1"/>
  <c r="AR297" i="1" s="1"/>
  <c r="AS297" i="1"/>
  <c r="AO297" i="1"/>
  <c r="AX297" i="1"/>
  <c r="AT297" i="1"/>
  <c r="AH297" i="1"/>
  <c r="AI297" i="1" s="1"/>
  <c r="AG297" i="1"/>
  <c r="BI296" i="1"/>
  <c r="BF296" i="1"/>
  <c r="BG296" i="1" s="1"/>
  <c r="BH296" i="1" s="1"/>
  <c r="BJ296" i="1"/>
  <c r="BE296" i="1"/>
  <c r="AX296" i="1"/>
  <c r="BB296" i="1"/>
  <c r="AW296" i="1"/>
  <c r="AP296" i="1"/>
  <c r="AQ296" i="1" s="1"/>
  <c r="AR296" i="1" s="1"/>
  <c r="AT296" i="1"/>
  <c r="BA296" i="1"/>
  <c r="AS296" i="1"/>
  <c r="AO296" i="1"/>
  <c r="AH296" i="1"/>
  <c r="AI296" i="1" s="1"/>
  <c r="AG296" i="1"/>
  <c r="BI295" i="1"/>
  <c r="BF295" i="1"/>
  <c r="BG295" i="1" s="1"/>
  <c r="BH295" i="1" s="1"/>
  <c r="BJ295" i="1"/>
  <c r="AW295" i="1"/>
  <c r="BA295" i="1"/>
  <c r="BE295" i="1"/>
  <c r="AX295" i="1"/>
  <c r="AT295" i="1"/>
  <c r="AO295" i="1"/>
  <c r="BB295" i="1"/>
  <c r="AS295" i="1"/>
  <c r="AP295" i="1"/>
  <c r="AQ295" i="1" s="1"/>
  <c r="AR295" i="1" s="1"/>
  <c r="AH295" i="1"/>
  <c r="AI295" i="1" s="1"/>
  <c r="AG295" i="1"/>
  <c r="BI294" i="1"/>
  <c r="BF294" i="1"/>
  <c r="BG294" i="1" s="1"/>
  <c r="BH294" i="1" s="1"/>
  <c r="BJ294" i="1"/>
  <c r="BE294" i="1"/>
  <c r="AX294" i="1"/>
  <c r="BB294" i="1"/>
  <c r="BA294" i="1"/>
  <c r="AS294" i="1"/>
  <c r="AW294" i="1"/>
  <c r="AT294" i="1"/>
  <c r="AO294" i="1"/>
  <c r="AP294" i="1"/>
  <c r="AQ294" i="1" s="1"/>
  <c r="AR294" i="1" s="1"/>
  <c r="AH294" i="1"/>
  <c r="AG294" i="1"/>
  <c r="BI293" i="1"/>
  <c r="BF293" i="1"/>
  <c r="BG293" i="1" s="1"/>
  <c r="BH293" i="1" s="1"/>
  <c r="BJ293" i="1"/>
  <c r="BE293" i="1"/>
  <c r="AW293" i="1"/>
  <c r="BA293" i="1"/>
  <c r="BB293" i="1"/>
  <c r="AP293" i="1"/>
  <c r="AQ293" i="1" s="1"/>
  <c r="AR293" i="1" s="1"/>
  <c r="AS293" i="1"/>
  <c r="AO293" i="1"/>
  <c r="AX293" i="1"/>
  <c r="AT293" i="1"/>
  <c r="AH293" i="1"/>
  <c r="AI293" i="1" s="1"/>
  <c r="AG293" i="1"/>
  <c r="BI292" i="1"/>
  <c r="BF292" i="1"/>
  <c r="BG292" i="1" s="1"/>
  <c r="BH292" i="1" s="1"/>
  <c r="BJ292" i="1"/>
  <c r="BE292" i="1"/>
  <c r="AX292" i="1"/>
  <c r="BB292" i="1"/>
  <c r="AW292" i="1"/>
  <c r="AP292" i="1"/>
  <c r="AQ292" i="1" s="1"/>
  <c r="AR292" i="1" s="1"/>
  <c r="AT292" i="1"/>
  <c r="BA292" i="1"/>
  <c r="AS292" i="1"/>
  <c r="AO292" i="1"/>
  <c r="AH292" i="1"/>
  <c r="AI292" i="1" s="1"/>
  <c r="AG292" i="1"/>
  <c r="BI291" i="1"/>
  <c r="BF291" i="1"/>
  <c r="BG291" i="1" s="1"/>
  <c r="BH291" i="1" s="1"/>
  <c r="BJ291" i="1"/>
  <c r="AW291" i="1"/>
  <c r="BA291" i="1"/>
  <c r="AX291" i="1"/>
  <c r="AT291" i="1"/>
  <c r="AO291" i="1"/>
  <c r="BE291" i="1"/>
  <c r="BB291" i="1"/>
  <c r="AP291" i="1"/>
  <c r="AQ291" i="1" s="1"/>
  <c r="AR291" i="1" s="1"/>
  <c r="AS291" i="1"/>
  <c r="AH291" i="1"/>
  <c r="AI291" i="1" s="1"/>
  <c r="AG291" i="1"/>
  <c r="BI290" i="1"/>
  <c r="BF290" i="1"/>
  <c r="BG290" i="1" s="1"/>
  <c r="BH290" i="1" s="1"/>
  <c r="BJ290" i="1"/>
  <c r="BE290" i="1"/>
  <c r="AX290" i="1"/>
  <c r="BB290" i="1"/>
  <c r="BA290" i="1"/>
  <c r="AS290" i="1"/>
  <c r="AW290" i="1"/>
  <c r="AP290" i="1"/>
  <c r="AQ290" i="1" s="1"/>
  <c r="AR290" i="1" s="1"/>
  <c r="AO290" i="1"/>
  <c r="AT290" i="1"/>
  <c r="AH290" i="1"/>
  <c r="AG290" i="1"/>
  <c r="BI289" i="1"/>
  <c r="BF289" i="1"/>
  <c r="BG289" i="1" s="1"/>
  <c r="BH289" i="1" s="1"/>
  <c r="BJ289" i="1"/>
  <c r="BE289" i="1"/>
  <c r="AW289" i="1"/>
  <c r="BA289" i="1"/>
  <c r="BB289" i="1"/>
  <c r="AP289" i="1"/>
  <c r="AQ289" i="1" s="1"/>
  <c r="AR289" i="1" s="1"/>
  <c r="AS289" i="1"/>
  <c r="AO289" i="1"/>
  <c r="AX289" i="1"/>
  <c r="AT289" i="1"/>
  <c r="AH289" i="1"/>
  <c r="AI289" i="1" s="1"/>
  <c r="AG289" i="1"/>
  <c r="BI288" i="1"/>
  <c r="BF288" i="1"/>
  <c r="BG288" i="1" s="1"/>
  <c r="BH288" i="1" s="1"/>
  <c r="BJ288" i="1"/>
  <c r="BE288" i="1"/>
  <c r="AX288" i="1"/>
  <c r="BB288" i="1"/>
  <c r="AW288" i="1"/>
  <c r="AP288" i="1"/>
  <c r="AQ288" i="1" s="1"/>
  <c r="AR288" i="1" s="1"/>
  <c r="AT288" i="1"/>
  <c r="BA288" i="1"/>
  <c r="AS288" i="1"/>
  <c r="AO288" i="1"/>
  <c r="AH288" i="1"/>
  <c r="AI288" i="1" s="1"/>
  <c r="AG288" i="1"/>
  <c r="BI287" i="1"/>
  <c r="BF287" i="1"/>
  <c r="BG287" i="1" s="1"/>
  <c r="BH287" i="1" s="1"/>
  <c r="BJ287" i="1"/>
  <c r="AW287" i="1"/>
  <c r="BA287" i="1"/>
  <c r="BE287" i="1"/>
  <c r="AX287" i="1"/>
  <c r="AT287" i="1"/>
  <c r="AO287" i="1"/>
  <c r="BB287" i="1"/>
  <c r="AS287" i="1"/>
  <c r="AP287" i="1"/>
  <c r="AQ287" i="1" s="1"/>
  <c r="AR287" i="1" s="1"/>
  <c r="AH287" i="1"/>
  <c r="AI287" i="1" s="1"/>
  <c r="AG287" i="1"/>
  <c r="BI286" i="1"/>
  <c r="BF286" i="1"/>
  <c r="BG286" i="1" s="1"/>
  <c r="BH286" i="1" s="1"/>
  <c r="BJ286" i="1"/>
  <c r="BE286" i="1"/>
  <c r="AX286" i="1"/>
  <c r="BB286" i="1"/>
  <c r="BA286" i="1"/>
  <c r="AS286" i="1"/>
  <c r="AW286" i="1"/>
  <c r="AT286" i="1"/>
  <c r="AO286" i="1"/>
  <c r="AP286" i="1"/>
  <c r="AQ286" i="1" s="1"/>
  <c r="AR286" i="1" s="1"/>
  <c r="AH286" i="1"/>
  <c r="AG286" i="1"/>
  <c r="BI285" i="1"/>
  <c r="BF285" i="1"/>
  <c r="BG285" i="1" s="1"/>
  <c r="BH285" i="1" s="1"/>
  <c r="BJ285" i="1"/>
  <c r="BE285" i="1"/>
  <c r="AW285" i="1"/>
  <c r="BA285" i="1"/>
  <c r="BB285" i="1"/>
  <c r="AP285" i="1"/>
  <c r="AQ285" i="1" s="1"/>
  <c r="AR285" i="1" s="1"/>
  <c r="AS285" i="1"/>
  <c r="AO285" i="1"/>
  <c r="AX285" i="1"/>
  <c r="AT285" i="1"/>
  <c r="AH285" i="1"/>
  <c r="AI285" i="1" s="1"/>
  <c r="AG285" i="1"/>
  <c r="BI284" i="1"/>
  <c r="BF284" i="1"/>
  <c r="BG284" i="1" s="1"/>
  <c r="BH284" i="1" s="1"/>
  <c r="BJ284" i="1"/>
  <c r="BE284" i="1"/>
  <c r="AX284" i="1"/>
  <c r="BB284" i="1"/>
  <c r="AW284" i="1"/>
  <c r="AP284" i="1"/>
  <c r="AQ284" i="1" s="1"/>
  <c r="AR284" i="1" s="1"/>
  <c r="AT284" i="1"/>
  <c r="BA284" i="1"/>
  <c r="AS284" i="1"/>
  <c r="AO284" i="1"/>
  <c r="AH284" i="1"/>
  <c r="AI284" i="1" s="1"/>
  <c r="AG284" i="1"/>
  <c r="BI283" i="1"/>
  <c r="BF283" i="1"/>
  <c r="BG283" i="1" s="1"/>
  <c r="BH283" i="1" s="1"/>
  <c r="BJ283" i="1"/>
  <c r="AW283" i="1"/>
  <c r="BA283" i="1"/>
  <c r="AX283" i="1"/>
  <c r="AT283" i="1"/>
  <c r="AO283" i="1"/>
  <c r="BE283" i="1"/>
  <c r="BB283" i="1"/>
  <c r="AP283" i="1"/>
  <c r="AQ283" i="1" s="1"/>
  <c r="AR283" i="1" s="1"/>
  <c r="AS283" i="1"/>
  <c r="AH283" i="1"/>
  <c r="AI283" i="1" s="1"/>
  <c r="AG283" i="1"/>
  <c r="BI282" i="1"/>
  <c r="BF282" i="1"/>
  <c r="BG282" i="1" s="1"/>
  <c r="BH282" i="1" s="1"/>
  <c r="BJ282" i="1"/>
  <c r="BE282" i="1"/>
  <c r="AX282" i="1"/>
  <c r="BB282" i="1"/>
  <c r="BA282" i="1"/>
  <c r="AS282" i="1"/>
  <c r="AW282" i="1"/>
  <c r="AP282" i="1"/>
  <c r="AQ282" i="1" s="1"/>
  <c r="AR282" i="1" s="1"/>
  <c r="AO282" i="1"/>
  <c r="AT282" i="1"/>
  <c r="AH282" i="1"/>
  <c r="AG282" i="1"/>
  <c r="BI281" i="1"/>
  <c r="BF281" i="1"/>
  <c r="BG281" i="1" s="1"/>
  <c r="BH281" i="1" s="1"/>
  <c r="BJ281" i="1"/>
  <c r="BE281" i="1"/>
  <c r="AW281" i="1"/>
  <c r="BA281" i="1"/>
  <c r="BB281" i="1"/>
  <c r="AP281" i="1"/>
  <c r="AQ281" i="1" s="1"/>
  <c r="AR281" i="1" s="1"/>
  <c r="AS281" i="1"/>
  <c r="AO281" i="1"/>
  <c r="AX281" i="1"/>
  <c r="AT281" i="1"/>
  <c r="AH281" i="1"/>
  <c r="AI281" i="1" s="1"/>
  <c r="AG281" i="1"/>
  <c r="BI280" i="1"/>
  <c r="BF280" i="1"/>
  <c r="BG280" i="1" s="1"/>
  <c r="BH280" i="1" s="1"/>
  <c r="BJ280" i="1"/>
  <c r="BE280" i="1"/>
  <c r="AW280" i="1"/>
  <c r="BA280" i="1"/>
  <c r="AX280" i="1"/>
  <c r="AP280" i="1"/>
  <c r="AQ280" i="1" s="1"/>
  <c r="AR280" i="1" s="1"/>
  <c r="AT280" i="1"/>
  <c r="BB280" i="1"/>
  <c r="AS280" i="1"/>
  <c r="AO280" i="1"/>
  <c r="AH280" i="1"/>
  <c r="AI280" i="1" s="1"/>
  <c r="AG280" i="1"/>
  <c r="BI279" i="1"/>
  <c r="BF279" i="1"/>
  <c r="BG279" i="1" s="1"/>
  <c r="BH279" i="1" s="1"/>
  <c r="BJ279" i="1"/>
  <c r="AW279" i="1"/>
  <c r="BA279" i="1"/>
  <c r="BE279" i="1"/>
  <c r="BB279" i="1"/>
  <c r="AT279" i="1"/>
  <c r="AO279" i="1"/>
  <c r="AX279" i="1"/>
  <c r="AS279" i="1"/>
  <c r="AP279" i="1"/>
  <c r="AQ279" i="1" s="1"/>
  <c r="AR279" i="1" s="1"/>
  <c r="AH279" i="1"/>
  <c r="AI279" i="1" s="1"/>
  <c r="AG279" i="1"/>
  <c r="BI278" i="1"/>
  <c r="BF278" i="1"/>
  <c r="BG278" i="1" s="1"/>
  <c r="BH278" i="1" s="1"/>
  <c r="BJ278" i="1"/>
  <c r="BE278" i="1"/>
  <c r="AW278" i="1"/>
  <c r="BA278" i="1"/>
  <c r="AX278" i="1"/>
  <c r="AS278" i="1"/>
  <c r="BB278" i="1"/>
  <c r="AT278" i="1"/>
  <c r="AO278" i="1"/>
  <c r="AP278" i="1"/>
  <c r="AQ278" i="1" s="1"/>
  <c r="AR278" i="1" s="1"/>
  <c r="AH278" i="1"/>
  <c r="AI278" i="1" s="1"/>
  <c r="AG278" i="1"/>
  <c r="BI277" i="1"/>
  <c r="BF277" i="1"/>
  <c r="BG277" i="1" s="1"/>
  <c r="BH277" i="1" s="1"/>
  <c r="BJ277" i="1"/>
  <c r="BE277" i="1"/>
  <c r="AW277" i="1"/>
  <c r="BA277" i="1"/>
  <c r="BB277" i="1"/>
  <c r="AP277" i="1"/>
  <c r="AQ277" i="1" s="1"/>
  <c r="AR277" i="1" s="1"/>
  <c r="AS277" i="1"/>
  <c r="AO277" i="1"/>
  <c r="AX277" i="1"/>
  <c r="AT277" i="1"/>
  <c r="AH277" i="1"/>
  <c r="AI277" i="1" s="1"/>
  <c r="AG277" i="1"/>
  <c r="BI276" i="1"/>
  <c r="BF276" i="1"/>
  <c r="BG276" i="1" s="1"/>
  <c r="BH276" i="1" s="1"/>
  <c r="BJ276" i="1"/>
  <c r="BE276" i="1"/>
  <c r="AW276" i="1"/>
  <c r="BA276" i="1"/>
  <c r="AX276" i="1"/>
  <c r="AP276" i="1"/>
  <c r="AQ276" i="1" s="1"/>
  <c r="AR276" i="1" s="1"/>
  <c r="AT276" i="1"/>
  <c r="BB276" i="1"/>
  <c r="AS276" i="1"/>
  <c r="AO276" i="1"/>
  <c r="AH276" i="1"/>
  <c r="AG276" i="1"/>
  <c r="BI275" i="1"/>
  <c r="BF275" i="1"/>
  <c r="BG275" i="1" s="1"/>
  <c r="BH275" i="1" s="1"/>
  <c r="BJ275" i="1"/>
  <c r="AX275" i="1"/>
  <c r="BA275" i="1"/>
  <c r="AW275" i="1"/>
  <c r="BB275" i="1"/>
  <c r="AT275" i="1"/>
  <c r="AO275" i="1"/>
  <c r="BE275" i="1"/>
  <c r="AP275" i="1"/>
  <c r="AQ275" i="1" s="1"/>
  <c r="AR275" i="1" s="1"/>
  <c r="AS275" i="1"/>
  <c r="AH275" i="1"/>
  <c r="AI275" i="1" s="1"/>
  <c r="AG275" i="1"/>
  <c r="BI274" i="1"/>
  <c r="BF274" i="1"/>
  <c r="BG274" i="1" s="1"/>
  <c r="BH274" i="1" s="1"/>
  <c r="BJ274" i="1"/>
  <c r="BE274" i="1"/>
  <c r="AW274" i="1"/>
  <c r="BB274" i="1"/>
  <c r="BA274" i="1"/>
  <c r="AS274" i="1"/>
  <c r="AX274" i="1"/>
  <c r="AP274" i="1"/>
  <c r="AQ274" i="1" s="1"/>
  <c r="AR274" i="1" s="1"/>
  <c r="AT274" i="1"/>
  <c r="AO274" i="1"/>
  <c r="AH274" i="1"/>
  <c r="AI274" i="1" s="1"/>
  <c r="AG274" i="1"/>
  <c r="BI273" i="1"/>
  <c r="BF273" i="1"/>
  <c r="BG273" i="1" s="1"/>
  <c r="BH273" i="1" s="1"/>
  <c r="BJ273" i="1"/>
  <c r="BE273" i="1"/>
  <c r="AX273" i="1"/>
  <c r="BA273" i="1"/>
  <c r="AP273" i="1"/>
  <c r="AQ273" i="1" s="1"/>
  <c r="AR273" i="1" s="1"/>
  <c r="AS273" i="1"/>
  <c r="AO273" i="1"/>
  <c r="AW273" i="1"/>
  <c r="BB273" i="1"/>
  <c r="AT273" i="1"/>
  <c r="AH273" i="1"/>
  <c r="AI273" i="1" s="1"/>
  <c r="AG273" i="1"/>
  <c r="BI272" i="1"/>
  <c r="BF272" i="1"/>
  <c r="BG272" i="1" s="1"/>
  <c r="BH272" i="1" s="1"/>
  <c r="BJ272" i="1"/>
  <c r="BE272" i="1"/>
  <c r="AW272" i="1"/>
  <c r="BB272" i="1"/>
  <c r="AX272" i="1"/>
  <c r="AP272" i="1"/>
  <c r="AQ272" i="1" s="1"/>
  <c r="AR272" i="1" s="1"/>
  <c r="AT272" i="1"/>
  <c r="BA272" i="1"/>
  <c r="AS272" i="1"/>
  <c r="AO272" i="1"/>
  <c r="AH272" i="1"/>
  <c r="AI272" i="1" s="1"/>
  <c r="AG272" i="1"/>
  <c r="BI271" i="1"/>
  <c r="BF271" i="1"/>
  <c r="BG271" i="1" s="1"/>
  <c r="BH271" i="1" s="1"/>
  <c r="BJ271" i="1"/>
  <c r="AX271" i="1"/>
  <c r="BA271" i="1"/>
  <c r="BE271" i="1"/>
  <c r="AW271" i="1"/>
  <c r="BB271" i="1"/>
  <c r="AT271" i="1"/>
  <c r="AO271" i="1"/>
  <c r="AP271" i="1"/>
  <c r="AQ271" i="1" s="1"/>
  <c r="AR271" i="1" s="1"/>
  <c r="AS271" i="1"/>
  <c r="AH271" i="1"/>
  <c r="AI271" i="1" s="1"/>
  <c r="AG271" i="1"/>
  <c r="BI270" i="1"/>
  <c r="BF270" i="1"/>
  <c r="BG270" i="1" s="1"/>
  <c r="BH270" i="1" s="1"/>
  <c r="BJ270" i="1"/>
  <c r="BE270" i="1"/>
  <c r="AW270" i="1"/>
  <c r="BB270" i="1"/>
  <c r="BA270" i="1"/>
  <c r="AS270" i="1"/>
  <c r="AX270" i="1"/>
  <c r="AP270" i="1"/>
  <c r="AQ270" i="1" s="1"/>
  <c r="AR270" i="1" s="1"/>
  <c r="AT270" i="1"/>
  <c r="AO270" i="1"/>
  <c r="AH270" i="1"/>
  <c r="AI270" i="1" s="1"/>
  <c r="AG270" i="1"/>
  <c r="BI269" i="1"/>
  <c r="BF269" i="1"/>
  <c r="BG269" i="1" s="1"/>
  <c r="BH269" i="1" s="1"/>
  <c r="BJ269" i="1"/>
  <c r="BE269" i="1"/>
  <c r="AX269" i="1"/>
  <c r="BA269" i="1"/>
  <c r="AP269" i="1"/>
  <c r="AQ269" i="1" s="1"/>
  <c r="AR269" i="1" s="1"/>
  <c r="AS269" i="1"/>
  <c r="AO269" i="1"/>
  <c r="AW269" i="1"/>
  <c r="BB269" i="1"/>
  <c r="AT269" i="1"/>
  <c r="AH269" i="1"/>
  <c r="AI269" i="1" s="1"/>
  <c r="AG269" i="1"/>
  <c r="BI268" i="1"/>
  <c r="BF268" i="1"/>
  <c r="BG268" i="1" s="1"/>
  <c r="BH268" i="1" s="1"/>
  <c r="BJ268" i="1"/>
  <c r="BE268" i="1"/>
  <c r="AX268" i="1"/>
  <c r="BB268" i="1"/>
  <c r="AW268" i="1"/>
  <c r="AP268" i="1"/>
  <c r="AQ268" i="1" s="1"/>
  <c r="AR268" i="1" s="1"/>
  <c r="AT268" i="1"/>
  <c r="BA268" i="1"/>
  <c r="AS268" i="1"/>
  <c r="AO268" i="1"/>
  <c r="AH268" i="1"/>
  <c r="AI268" i="1" s="1"/>
  <c r="AG268" i="1"/>
  <c r="BI267" i="1"/>
  <c r="BF267" i="1"/>
  <c r="BG267" i="1" s="1"/>
  <c r="BH267" i="1" s="1"/>
  <c r="BJ267" i="1"/>
  <c r="AW267" i="1"/>
  <c r="BA267" i="1"/>
  <c r="AX267" i="1"/>
  <c r="AT267" i="1"/>
  <c r="AO267" i="1"/>
  <c r="BE267" i="1"/>
  <c r="BB267" i="1"/>
  <c r="AP267" i="1"/>
  <c r="AQ267" i="1" s="1"/>
  <c r="AR267" i="1" s="1"/>
  <c r="AS267" i="1"/>
  <c r="AH267" i="1"/>
  <c r="AI267" i="1" s="1"/>
  <c r="AG267" i="1"/>
  <c r="BI266" i="1"/>
  <c r="BF266" i="1"/>
  <c r="BG266" i="1" s="1"/>
  <c r="BH266" i="1" s="1"/>
  <c r="BJ266" i="1"/>
  <c r="BE266" i="1"/>
  <c r="AX266" i="1"/>
  <c r="BB266" i="1"/>
  <c r="BA266" i="1"/>
  <c r="AS266" i="1"/>
  <c r="AW266" i="1"/>
  <c r="AP266" i="1"/>
  <c r="AQ266" i="1" s="1"/>
  <c r="AR266" i="1" s="1"/>
  <c r="AT266" i="1"/>
  <c r="AO266" i="1"/>
  <c r="AH266" i="1"/>
  <c r="AI266" i="1" s="1"/>
  <c r="AG266" i="1"/>
  <c r="BI265" i="1"/>
  <c r="BF265" i="1"/>
  <c r="BG265" i="1" s="1"/>
  <c r="BH265" i="1" s="1"/>
  <c r="BJ265" i="1"/>
  <c r="BE265" i="1"/>
  <c r="AW265" i="1"/>
  <c r="BA265" i="1"/>
  <c r="BB265" i="1"/>
  <c r="AP265" i="1"/>
  <c r="AQ265" i="1" s="1"/>
  <c r="AR265" i="1" s="1"/>
  <c r="AS265" i="1"/>
  <c r="AO265" i="1"/>
  <c r="AX265" i="1"/>
  <c r="AT265" i="1"/>
  <c r="AH265" i="1"/>
  <c r="AI265" i="1" s="1"/>
  <c r="AG265" i="1"/>
  <c r="BI264" i="1"/>
  <c r="BF264" i="1"/>
  <c r="BG264" i="1" s="1"/>
  <c r="BH264" i="1" s="1"/>
  <c r="BJ264" i="1"/>
  <c r="BE264" i="1"/>
  <c r="AX264" i="1"/>
  <c r="BB264" i="1"/>
  <c r="AW264" i="1"/>
  <c r="AP264" i="1"/>
  <c r="AQ264" i="1" s="1"/>
  <c r="AR264" i="1" s="1"/>
  <c r="AT264" i="1"/>
  <c r="BA264" i="1"/>
  <c r="AS264" i="1"/>
  <c r="AO264" i="1"/>
  <c r="AH264" i="1"/>
  <c r="AI264" i="1" s="1"/>
  <c r="AG264" i="1"/>
  <c r="BI263" i="1"/>
  <c r="BF263" i="1"/>
  <c r="BG263" i="1" s="1"/>
  <c r="BH263" i="1" s="1"/>
  <c r="BJ263" i="1"/>
  <c r="AW263" i="1"/>
  <c r="BA263" i="1"/>
  <c r="BE263" i="1"/>
  <c r="AX263" i="1"/>
  <c r="AT263" i="1"/>
  <c r="AO263" i="1"/>
  <c r="BB263" i="1"/>
  <c r="AP263" i="1"/>
  <c r="AQ263" i="1" s="1"/>
  <c r="AR263" i="1" s="1"/>
  <c r="AS263" i="1"/>
  <c r="AH263" i="1"/>
  <c r="AI263" i="1" s="1"/>
  <c r="AG263" i="1"/>
  <c r="BI262" i="1"/>
  <c r="BF262" i="1"/>
  <c r="BG262" i="1" s="1"/>
  <c r="BH262" i="1" s="1"/>
  <c r="BJ262" i="1"/>
  <c r="BE262" i="1"/>
  <c r="AX262" i="1"/>
  <c r="BB262" i="1"/>
  <c r="BA262" i="1"/>
  <c r="AS262" i="1"/>
  <c r="AW262" i="1"/>
  <c r="AP262" i="1"/>
  <c r="AQ262" i="1" s="1"/>
  <c r="AR262" i="1" s="1"/>
  <c r="AT262" i="1"/>
  <c r="AO262" i="1"/>
  <c r="AH262" i="1"/>
  <c r="AI262" i="1" s="1"/>
  <c r="AG262" i="1"/>
  <c r="BI261" i="1"/>
  <c r="BF261" i="1"/>
  <c r="BG261" i="1" s="1"/>
  <c r="BH261" i="1" s="1"/>
  <c r="BJ261" i="1"/>
  <c r="BE261" i="1"/>
  <c r="AW261" i="1"/>
  <c r="BA261" i="1"/>
  <c r="BB261" i="1"/>
  <c r="AP261" i="1"/>
  <c r="AQ261" i="1" s="1"/>
  <c r="AR261" i="1" s="1"/>
  <c r="AS261" i="1"/>
  <c r="AO261" i="1"/>
  <c r="AX261" i="1"/>
  <c r="AT261" i="1"/>
  <c r="AH261" i="1"/>
  <c r="AI261" i="1" s="1"/>
  <c r="AG261" i="1"/>
  <c r="BI260" i="1"/>
  <c r="BF260" i="1"/>
  <c r="BG260" i="1" s="1"/>
  <c r="BH260" i="1" s="1"/>
  <c r="BJ260" i="1"/>
  <c r="BE260" i="1"/>
  <c r="AX260" i="1"/>
  <c r="BB260" i="1"/>
  <c r="AW260" i="1"/>
  <c r="AP260" i="1"/>
  <c r="AQ260" i="1" s="1"/>
  <c r="AR260" i="1" s="1"/>
  <c r="AT260" i="1"/>
  <c r="BA260" i="1"/>
  <c r="AS260" i="1"/>
  <c r="AO260" i="1"/>
  <c r="AH260" i="1"/>
  <c r="AI260" i="1" s="1"/>
  <c r="AG260" i="1"/>
  <c r="BI259" i="1"/>
  <c r="BF259" i="1"/>
  <c r="BG259" i="1" s="1"/>
  <c r="BH259" i="1" s="1"/>
  <c r="BJ259" i="1"/>
  <c r="AX259" i="1"/>
  <c r="BA259" i="1"/>
  <c r="AT259" i="1"/>
  <c r="AO259" i="1"/>
  <c r="BE259" i="1"/>
  <c r="AW259" i="1"/>
  <c r="BB259" i="1"/>
  <c r="AP259" i="1"/>
  <c r="AQ259" i="1" s="1"/>
  <c r="AR259" i="1" s="1"/>
  <c r="AS259" i="1"/>
  <c r="AH259" i="1"/>
  <c r="AI259" i="1" s="1"/>
  <c r="AG259" i="1"/>
  <c r="BI258" i="1"/>
  <c r="BF258" i="1"/>
  <c r="BG258" i="1" s="1"/>
  <c r="BH258" i="1" s="1"/>
  <c r="BJ258" i="1"/>
  <c r="BE258" i="1"/>
  <c r="AW258" i="1"/>
  <c r="BA258" i="1"/>
  <c r="BB258" i="1"/>
  <c r="AS258" i="1"/>
  <c r="AX258" i="1"/>
  <c r="AP258" i="1"/>
  <c r="AQ258" i="1" s="1"/>
  <c r="AR258" i="1" s="1"/>
  <c r="AT258" i="1"/>
  <c r="AO258" i="1"/>
  <c r="AH258" i="1"/>
  <c r="AI258" i="1" s="1"/>
  <c r="AG258" i="1"/>
  <c r="BI257" i="1"/>
  <c r="BF257" i="1"/>
  <c r="BG257" i="1" s="1"/>
  <c r="BH257" i="1" s="1"/>
  <c r="BJ257" i="1"/>
  <c r="BE257" i="1"/>
  <c r="AX257" i="1"/>
  <c r="BB257" i="1"/>
  <c r="AW257" i="1"/>
  <c r="AP257" i="1"/>
  <c r="AQ257" i="1" s="1"/>
  <c r="AR257" i="1" s="1"/>
  <c r="AS257" i="1"/>
  <c r="AO257" i="1"/>
  <c r="BA257" i="1"/>
  <c r="AT257" i="1"/>
  <c r="AH257" i="1"/>
  <c r="AI257" i="1" s="1"/>
  <c r="AG257" i="1"/>
  <c r="BI256" i="1"/>
  <c r="BF256" i="1"/>
  <c r="BG256" i="1" s="1"/>
  <c r="BH256" i="1" s="1"/>
  <c r="BJ256" i="1"/>
  <c r="BE256" i="1"/>
  <c r="AW256" i="1"/>
  <c r="BA256" i="1"/>
  <c r="AX256" i="1"/>
  <c r="AP256" i="1"/>
  <c r="AQ256" i="1" s="1"/>
  <c r="AR256" i="1" s="1"/>
  <c r="AT256" i="1"/>
  <c r="BB256" i="1"/>
  <c r="AS256" i="1"/>
  <c r="AO256" i="1"/>
  <c r="AH256" i="1"/>
  <c r="AI256" i="1" s="1"/>
  <c r="AG256" i="1"/>
  <c r="BI255" i="1"/>
  <c r="BF255" i="1"/>
  <c r="BG255" i="1" s="1"/>
  <c r="BH255" i="1" s="1"/>
  <c r="BJ255" i="1"/>
  <c r="AX255" i="1"/>
  <c r="BB255" i="1"/>
  <c r="BE255" i="1"/>
  <c r="BA255" i="1"/>
  <c r="AT255" i="1"/>
  <c r="AO255" i="1"/>
  <c r="AW255" i="1"/>
  <c r="AP255" i="1"/>
  <c r="AQ255" i="1" s="1"/>
  <c r="AR255" i="1" s="1"/>
  <c r="AS255" i="1"/>
  <c r="AH255" i="1"/>
  <c r="AI255" i="1" s="1"/>
  <c r="AG255" i="1"/>
  <c r="BI254" i="1"/>
  <c r="BF254" i="1"/>
  <c r="BG254" i="1" s="1"/>
  <c r="BH254" i="1" s="1"/>
  <c r="BJ254" i="1"/>
  <c r="BE254" i="1"/>
  <c r="AW254" i="1"/>
  <c r="BA254" i="1"/>
  <c r="BB254" i="1"/>
  <c r="AS254" i="1"/>
  <c r="AX254" i="1"/>
  <c r="AP254" i="1"/>
  <c r="AQ254" i="1" s="1"/>
  <c r="AR254" i="1" s="1"/>
  <c r="AT254" i="1"/>
  <c r="AO254" i="1"/>
  <c r="AH254" i="1"/>
  <c r="AI254" i="1" s="1"/>
  <c r="AG254" i="1"/>
  <c r="BI253" i="1"/>
  <c r="BF253" i="1"/>
  <c r="BG253" i="1" s="1"/>
  <c r="BH253" i="1" s="1"/>
  <c r="BJ253" i="1"/>
  <c r="BE253" i="1"/>
  <c r="AX253" i="1"/>
  <c r="BB253" i="1"/>
  <c r="AW253" i="1"/>
  <c r="AP253" i="1"/>
  <c r="AQ253" i="1" s="1"/>
  <c r="AR253" i="1" s="1"/>
  <c r="AS253" i="1"/>
  <c r="AO253" i="1"/>
  <c r="BA253" i="1"/>
  <c r="AT253" i="1"/>
  <c r="AH253" i="1"/>
  <c r="AI253" i="1" s="1"/>
  <c r="AG253" i="1"/>
  <c r="BI252" i="1"/>
  <c r="BF252" i="1"/>
  <c r="BG252" i="1" s="1"/>
  <c r="BH252" i="1" s="1"/>
  <c r="BJ252" i="1"/>
  <c r="BE252" i="1"/>
  <c r="AW252" i="1"/>
  <c r="BA252" i="1"/>
  <c r="AX252" i="1"/>
  <c r="AP252" i="1"/>
  <c r="AQ252" i="1" s="1"/>
  <c r="AR252" i="1" s="1"/>
  <c r="AT252" i="1"/>
  <c r="BB252" i="1"/>
  <c r="AS252" i="1"/>
  <c r="AO252" i="1"/>
  <c r="AH252" i="1"/>
  <c r="AI252" i="1" s="1"/>
  <c r="AG252" i="1"/>
  <c r="BI251" i="1"/>
  <c r="BF251" i="1"/>
  <c r="BG251" i="1" s="1"/>
  <c r="BH251" i="1" s="1"/>
  <c r="BJ251" i="1"/>
  <c r="AX251" i="1"/>
  <c r="BB251" i="1"/>
  <c r="BA251" i="1"/>
  <c r="AT251" i="1"/>
  <c r="AO251" i="1"/>
  <c r="BE251" i="1"/>
  <c r="AW251" i="1"/>
  <c r="AP251" i="1"/>
  <c r="AQ251" i="1" s="1"/>
  <c r="AR251" i="1" s="1"/>
  <c r="AS251" i="1"/>
  <c r="AH251" i="1"/>
  <c r="AI251" i="1" s="1"/>
  <c r="AG251" i="1"/>
  <c r="BI250" i="1"/>
  <c r="BF250" i="1"/>
  <c r="BG250" i="1" s="1"/>
  <c r="BH250" i="1" s="1"/>
  <c r="BJ250" i="1"/>
  <c r="BE250" i="1"/>
  <c r="AW250" i="1"/>
  <c r="BA250" i="1"/>
  <c r="BB250" i="1"/>
  <c r="AS250" i="1"/>
  <c r="AX250" i="1"/>
  <c r="AP250" i="1"/>
  <c r="AQ250" i="1" s="1"/>
  <c r="AR250" i="1" s="1"/>
  <c r="AT250" i="1"/>
  <c r="AO250" i="1"/>
  <c r="AH250" i="1"/>
  <c r="AI250" i="1" s="1"/>
  <c r="AG250" i="1"/>
  <c r="BI249" i="1"/>
  <c r="BF249" i="1"/>
  <c r="BG249" i="1" s="1"/>
  <c r="BH249" i="1" s="1"/>
  <c r="BJ249" i="1"/>
  <c r="BE249" i="1"/>
  <c r="AX249" i="1"/>
  <c r="BB249" i="1"/>
  <c r="AW249" i="1"/>
  <c r="AP249" i="1"/>
  <c r="AQ249" i="1" s="1"/>
  <c r="AR249" i="1" s="1"/>
  <c r="AS249" i="1"/>
  <c r="AO249" i="1"/>
  <c r="BA249" i="1"/>
  <c r="AT249" i="1"/>
  <c r="AH249" i="1"/>
  <c r="AI249" i="1" s="1"/>
  <c r="AG249" i="1"/>
  <c r="BI248" i="1"/>
  <c r="BF248" i="1"/>
  <c r="BG248" i="1" s="1"/>
  <c r="BH248" i="1" s="1"/>
  <c r="BJ248" i="1"/>
  <c r="BE248" i="1"/>
  <c r="AW248" i="1"/>
  <c r="BA248" i="1"/>
  <c r="AX248" i="1"/>
  <c r="AP248" i="1"/>
  <c r="AQ248" i="1" s="1"/>
  <c r="AR248" i="1" s="1"/>
  <c r="AT248" i="1"/>
  <c r="BB248" i="1"/>
  <c r="AS248" i="1"/>
  <c r="AO248" i="1"/>
  <c r="AH248" i="1"/>
  <c r="AG248" i="1"/>
  <c r="BI247" i="1"/>
  <c r="BF247" i="1"/>
  <c r="BG247" i="1" s="1"/>
  <c r="BH247" i="1" s="1"/>
  <c r="BJ247" i="1"/>
  <c r="AX247" i="1"/>
  <c r="BB247" i="1"/>
  <c r="BE247" i="1"/>
  <c r="BA247" i="1"/>
  <c r="AT247" i="1"/>
  <c r="AO247" i="1"/>
  <c r="AW247" i="1"/>
  <c r="AP247" i="1"/>
  <c r="AQ247" i="1" s="1"/>
  <c r="AR247" i="1" s="1"/>
  <c r="AS247" i="1"/>
  <c r="AH247" i="1"/>
  <c r="AI247" i="1" s="1"/>
  <c r="AG247" i="1"/>
  <c r="BI246" i="1"/>
  <c r="BF246" i="1"/>
  <c r="BG246" i="1" s="1"/>
  <c r="BH246" i="1" s="1"/>
  <c r="BJ246" i="1"/>
  <c r="BE246" i="1"/>
  <c r="AW246" i="1"/>
  <c r="BA246" i="1"/>
  <c r="BB246" i="1"/>
  <c r="AS246" i="1"/>
  <c r="AX246" i="1"/>
  <c r="AP246" i="1"/>
  <c r="AQ246" i="1" s="1"/>
  <c r="AR246" i="1" s="1"/>
  <c r="AT246" i="1"/>
  <c r="AO246" i="1"/>
  <c r="AH246" i="1"/>
  <c r="AI246" i="1" s="1"/>
  <c r="AG246" i="1"/>
  <c r="BI245" i="1"/>
  <c r="BF245" i="1"/>
  <c r="BG245" i="1" s="1"/>
  <c r="BH245" i="1" s="1"/>
  <c r="BJ245" i="1"/>
  <c r="BE245" i="1"/>
  <c r="AX245" i="1"/>
  <c r="BB245" i="1"/>
  <c r="AW245" i="1"/>
  <c r="AP245" i="1"/>
  <c r="AQ245" i="1" s="1"/>
  <c r="AR245" i="1" s="1"/>
  <c r="AS245" i="1"/>
  <c r="AO245" i="1"/>
  <c r="BA245" i="1"/>
  <c r="AT245" i="1"/>
  <c r="AH245" i="1"/>
  <c r="AI245" i="1" s="1"/>
  <c r="AG245" i="1"/>
  <c r="BI244" i="1"/>
  <c r="BF244" i="1"/>
  <c r="BG244" i="1" s="1"/>
  <c r="BH244" i="1" s="1"/>
  <c r="BJ244" i="1"/>
  <c r="BE244" i="1"/>
  <c r="AW244" i="1"/>
  <c r="BA244" i="1"/>
  <c r="AX244" i="1"/>
  <c r="AP244" i="1"/>
  <c r="AQ244" i="1" s="1"/>
  <c r="AR244" i="1" s="1"/>
  <c r="AT244" i="1"/>
  <c r="BB244" i="1"/>
  <c r="AS244" i="1"/>
  <c r="AO244" i="1"/>
  <c r="AH244" i="1"/>
  <c r="AI244" i="1" s="1"/>
  <c r="AG244" i="1"/>
  <c r="BI243" i="1"/>
  <c r="BF243" i="1"/>
  <c r="BG243" i="1" s="1"/>
  <c r="BH243" i="1" s="1"/>
  <c r="BJ243" i="1"/>
  <c r="AX243" i="1"/>
  <c r="BB243" i="1"/>
  <c r="BA243" i="1"/>
  <c r="AT243" i="1"/>
  <c r="AO243" i="1"/>
  <c r="BE243" i="1"/>
  <c r="AW243" i="1"/>
  <c r="AP243" i="1"/>
  <c r="AQ243" i="1" s="1"/>
  <c r="AR243" i="1" s="1"/>
  <c r="AS243" i="1"/>
  <c r="AH243" i="1"/>
  <c r="AI243" i="1" s="1"/>
  <c r="AG243" i="1"/>
  <c r="BI242" i="1"/>
  <c r="BF242" i="1"/>
  <c r="BG242" i="1" s="1"/>
  <c r="BH242" i="1" s="1"/>
  <c r="BJ242" i="1"/>
  <c r="BE242" i="1"/>
  <c r="AW242" i="1"/>
  <c r="BA242" i="1"/>
  <c r="BB242" i="1"/>
  <c r="AS242" i="1"/>
  <c r="AX242" i="1"/>
  <c r="AP242" i="1"/>
  <c r="AQ242" i="1" s="1"/>
  <c r="AR242" i="1" s="1"/>
  <c r="AT242" i="1"/>
  <c r="AO242" i="1"/>
  <c r="AH242" i="1"/>
  <c r="AI242" i="1" s="1"/>
  <c r="AG242" i="1"/>
  <c r="BI241" i="1"/>
  <c r="BF241" i="1"/>
  <c r="BG241" i="1" s="1"/>
  <c r="BH241" i="1" s="1"/>
  <c r="BJ241" i="1"/>
  <c r="BE241" i="1"/>
  <c r="AX241" i="1"/>
  <c r="BB241" i="1"/>
  <c r="AW241" i="1"/>
  <c r="AP241" i="1"/>
  <c r="AQ241" i="1" s="1"/>
  <c r="AR241" i="1" s="1"/>
  <c r="AS241" i="1"/>
  <c r="AO241" i="1"/>
  <c r="BA241" i="1"/>
  <c r="AT241" i="1"/>
  <c r="AH241" i="1"/>
  <c r="AI241" i="1" s="1"/>
  <c r="AG241" i="1"/>
  <c r="BI240" i="1"/>
  <c r="BF240" i="1"/>
  <c r="BG240" i="1" s="1"/>
  <c r="BH240" i="1" s="1"/>
  <c r="BJ240" i="1"/>
  <c r="BE240" i="1"/>
  <c r="AW240" i="1"/>
  <c r="BA240" i="1"/>
  <c r="AX240" i="1"/>
  <c r="AP240" i="1"/>
  <c r="AQ240" i="1" s="1"/>
  <c r="AR240" i="1" s="1"/>
  <c r="AT240" i="1"/>
  <c r="BB240" i="1"/>
  <c r="AS240" i="1"/>
  <c r="AO240" i="1"/>
  <c r="AH240" i="1"/>
  <c r="AI240" i="1" s="1"/>
  <c r="AG240" i="1"/>
  <c r="BI239" i="1"/>
  <c r="BF239" i="1"/>
  <c r="BG239" i="1" s="1"/>
  <c r="BH239" i="1" s="1"/>
  <c r="BJ239" i="1"/>
  <c r="AX239" i="1"/>
  <c r="BB239" i="1"/>
  <c r="BE239" i="1"/>
  <c r="BA239" i="1"/>
  <c r="AT239" i="1"/>
  <c r="AO239" i="1"/>
  <c r="AW239" i="1"/>
  <c r="AP239" i="1"/>
  <c r="AQ239" i="1" s="1"/>
  <c r="AR239" i="1" s="1"/>
  <c r="AS239" i="1"/>
  <c r="AH239" i="1"/>
  <c r="AG239" i="1"/>
  <c r="BI238" i="1"/>
  <c r="BF238" i="1"/>
  <c r="BG238" i="1" s="1"/>
  <c r="BH238" i="1" s="1"/>
  <c r="BJ238" i="1"/>
  <c r="BE238" i="1"/>
  <c r="AW238" i="1"/>
  <c r="BA238" i="1"/>
  <c r="BB238" i="1"/>
  <c r="AS238" i="1"/>
  <c r="AX238" i="1"/>
  <c r="AP238" i="1"/>
  <c r="AQ238" i="1" s="1"/>
  <c r="AR238" i="1" s="1"/>
  <c r="AT238" i="1"/>
  <c r="AO238" i="1"/>
  <c r="AH238" i="1"/>
  <c r="AI238" i="1" s="1"/>
  <c r="AJ238" i="1" s="1"/>
  <c r="AG238" i="1"/>
  <c r="BI237" i="1"/>
  <c r="BF237" i="1"/>
  <c r="BG237" i="1" s="1"/>
  <c r="BH237" i="1" s="1"/>
  <c r="BJ237" i="1"/>
  <c r="BE237" i="1"/>
  <c r="AX237" i="1"/>
  <c r="BB237" i="1"/>
  <c r="AW237" i="1"/>
  <c r="AP237" i="1"/>
  <c r="AQ237" i="1" s="1"/>
  <c r="AR237" i="1" s="1"/>
  <c r="AS237" i="1"/>
  <c r="AO237" i="1"/>
  <c r="BA237" i="1"/>
  <c r="AT237" i="1"/>
  <c r="AH237" i="1"/>
  <c r="AG237" i="1"/>
  <c r="BI236" i="1"/>
  <c r="BF236" i="1"/>
  <c r="BG236" i="1" s="1"/>
  <c r="BH236" i="1" s="1"/>
  <c r="BJ236" i="1"/>
  <c r="BE236" i="1"/>
  <c r="AW236" i="1"/>
  <c r="BA236" i="1"/>
  <c r="AX236" i="1"/>
  <c r="AP236" i="1"/>
  <c r="AQ236" i="1" s="1"/>
  <c r="AR236" i="1" s="1"/>
  <c r="AT236" i="1"/>
  <c r="BB236" i="1"/>
  <c r="AS236" i="1"/>
  <c r="AO236" i="1"/>
  <c r="AH236" i="1"/>
  <c r="AI236" i="1" s="1"/>
  <c r="AJ236" i="1" s="1"/>
  <c r="AG236" i="1"/>
  <c r="BI235" i="1"/>
  <c r="BF235" i="1"/>
  <c r="BG235" i="1" s="1"/>
  <c r="BH235" i="1" s="1"/>
  <c r="BJ235" i="1"/>
  <c r="AX235" i="1"/>
  <c r="BB235" i="1"/>
  <c r="BA235" i="1"/>
  <c r="AT235" i="1"/>
  <c r="AO235" i="1"/>
  <c r="BE235" i="1"/>
  <c r="AW235" i="1"/>
  <c r="AP235" i="1"/>
  <c r="AQ235" i="1" s="1"/>
  <c r="AR235" i="1" s="1"/>
  <c r="AS235" i="1"/>
  <c r="AH235" i="1"/>
  <c r="AG235" i="1"/>
  <c r="BF234" i="1"/>
  <c r="BG234" i="1" s="1"/>
  <c r="BH234" i="1" s="1"/>
  <c r="BI234" i="1"/>
  <c r="BJ234" i="1"/>
  <c r="BE234" i="1"/>
  <c r="AX234" i="1"/>
  <c r="BB234" i="1"/>
  <c r="AW234" i="1"/>
  <c r="AS234" i="1"/>
  <c r="BA234" i="1"/>
  <c r="AP234" i="1"/>
  <c r="AQ234" i="1" s="1"/>
  <c r="AR234" i="1" s="1"/>
  <c r="AT234" i="1"/>
  <c r="AO234" i="1"/>
  <c r="AH234" i="1"/>
  <c r="AI234" i="1" s="1"/>
  <c r="AG234" i="1"/>
  <c r="BF233" i="1"/>
  <c r="BG233" i="1" s="1"/>
  <c r="BH233" i="1" s="1"/>
  <c r="BJ233" i="1"/>
  <c r="BI233" i="1"/>
  <c r="BE233" i="1"/>
  <c r="AX233" i="1"/>
  <c r="BB233" i="1"/>
  <c r="BA233" i="1"/>
  <c r="AP233" i="1"/>
  <c r="AQ233" i="1" s="1"/>
  <c r="AR233" i="1" s="1"/>
  <c r="AS233" i="1"/>
  <c r="AO233" i="1"/>
  <c r="AW233" i="1"/>
  <c r="AT233" i="1"/>
  <c r="AH233" i="1"/>
  <c r="AI233" i="1" s="1"/>
  <c r="AG233" i="1"/>
  <c r="BF232" i="1"/>
  <c r="BG232" i="1" s="1"/>
  <c r="BH232" i="1" s="1"/>
  <c r="BJ232" i="1"/>
  <c r="BI232" i="1"/>
  <c r="BE232" i="1"/>
  <c r="AX232" i="1"/>
  <c r="BB232" i="1"/>
  <c r="AW232" i="1"/>
  <c r="AP232" i="1"/>
  <c r="AQ232" i="1" s="1"/>
  <c r="AR232" i="1" s="1"/>
  <c r="AT232" i="1"/>
  <c r="BA232" i="1"/>
  <c r="AS232" i="1"/>
  <c r="AO232" i="1"/>
  <c r="AH232" i="1"/>
  <c r="AI232" i="1" s="1"/>
  <c r="AG232" i="1"/>
  <c r="BF231" i="1"/>
  <c r="BG231" i="1" s="1"/>
  <c r="BH231" i="1" s="1"/>
  <c r="BJ231" i="1"/>
  <c r="BI231" i="1"/>
  <c r="AX231" i="1"/>
  <c r="BB231" i="1"/>
  <c r="BE231" i="1"/>
  <c r="BA231" i="1"/>
  <c r="AT231" i="1"/>
  <c r="AO231" i="1"/>
  <c r="AW231" i="1"/>
  <c r="AP231" i="1"/>
  <c r="AQ231" i="1" s="1"/>
  <c r="AR231" i="1" s="1"/>
  <c r="AS231" i="1"/>
  <c r="AH231" i="1"/>
  <c r="AI231" i="1" s="1"/>
  <c r="AG231" i="1"/>
  <c r="BF230" i="1"/>
  <c r="BG230" i="1" s="1"/>
  <c r="BH230" i="1" s="1"/>
  <c r="BJ230" i="1"/>
  <c r="BI230" i="1"/>
  <c r="BE230" i="1"/>
  <c r="AX230" i="1"/>
  <c r="BB230" i="1"/>
  <c r="AW230" i="1"/>
  <c r="AS230" i="1"/>
  <c r="BA230" i="1"/>
  <c r="AP230" i="1"/>
  <c r="AQ230" i="1" s="1"/>
  <c r="AR230" i="1" s="1"/>
  <c r="AT230" i="1"/>
  <c r="AO230" i="1"/>
  <c r="AH230" i="1"/>
  <c r="AI230" i="1" s="1"/>
  <c r="AG230" i="1"/>
  <c r="BF229" i="1"/>
  <c r="BG229" i="1" s="1"/>
  <c r="BH229" i="1" s="1"/>
  <c r="BJ229" i="1"/>
  <c r="BI229" i="1"/>
  <c r="BE229" i="1"/>
  <c r="AW229" i="1"/>
  <c r="BB229" i="1"/>
  <c r="BA229" i="1"/>
  <c r="AP229" i="1"/>
  <c r="AQ229" i="1" s="1"/>
  <c r="AR229" i="1" s="1"/>
  <c r="AS229" i="1"/>
  <c r="AO229" i="1"/>
  <c r="AX229" i="1"/>
  <c r="AT229" i="1"/>
  <c r="AH229" i="1"/>
  <c r="AI229" i="1" s="1"/>
  <c r="AG229" i="1"/>
  <c r="BF228" i="1"/>
  <c r="BG228" i="1" s="1"/>
  <c r="BH228" i="1" s="1"/>
  <c r="BJ228" i="1"/>
  <c r="BI228" i="1"/>
  <c r="BE228" i="1"/>
  <c r="AX228" i="1"/>
  <c r="BA228" i="1"/>
  <c r="AP228" i="1"/>
  <c r="AQ228" i="1" s="1"/>
  <c r="AR228" i="1" s="1"/>
  <c r="AT228" i="1"/>
  <c r="AW228" i="1"/>
  <c r="BB228" i="1"/>
  <c r="AS228" i="1"/>
  <c r="AO228" i="1"/>
  <c r="AH228" i="1"/>
  <c r="AI228" i="1" s="1"/>
  <c r="AG228" i="1"/>
  <c r="BF227" i="1"/>
  <c r="BG227" i="1" s="1"/>
  <c r="BH227" i="1" s="1"/>
  <c r="BJ227" i="1"/>
  <c r="BI227" i="1"/>
  <c r="AW227" i="1"/>
  <c r="BB227" i="1"/>
  <c r="AX227" i="1"/>
  <c r="AT227" i="1"/>
  <c r="AO227" i="1"/>
  <c r="BE227" i="1"/>
  <c r="BA227" i="1"/>
  <c r="AP227" i="1"/>
  <c r="AQ227" i="1" s="1"/>
  <c r="AR227" i="1" s="1"/>
  <c r="AS227" i="1"/>
  <c r="AH227" i="1"/>
  <c r="AI227" i="1" s="1"/>
  <c r="AG227" i="1"/>
  <c r="BF226" i="1"/>
  <c r="BG226" i="1" s="1"/>
  <c r="BH226" i="1" s="1"/>
  <c r="BJ226" i="1"/>
  <c r="BI226" i="1"/>
  <c r="BE226" i="1"/>
  <c r="AX226" i="1"/>
  <c r="BA226" i="1"/>
  <c r="AW226" i="1"/>
  <c r="BB226" i="1"/>
  <c r="AS226" i="1"/>
  <c r="AP226" i="1"/>
  <c r="AQ226" i="1" s="1"/>
  <c r="AR226" i="1" s="1"/>
  <c r="AT226" i="1"/>
  <c r="AO226" i="1"/>
  <c r="AH226" i="1"/>
  <c r="AI226" i="1" s="1"/>
  <c r="AG226" i="1"/>
  <c r="BF225" i="1"/>
  <c r="BG225" i="1" s="1"/>
  <c r="BH225" i="1" s="1"/>
  <c r="BJ225" i="1"/>
  <c r="BI225" i="1"/>
  <c r="BE225" i="1"/>
  <c r="AW225" i="1"/>
  <c r="BB225" i="1"/>
  <c r="BA225" i="1"/>
  <c r="AP225" i="1"/>
  <c r="AQ225" i="1" s="1"/>
  <c r="AR225" i="1" s="1"/>
  <c r="AS225" i="1"/>
  <c r="AO225" i="1"/>
  <c r="AX225" i="1"/>
  <c r="AT225" i="1"/>
  <c r="AH225" i="1"/>
  <c r="AI225" i="1" s="1"/>
  <c r="AG225" i="1"/>
  <c r="BF224" i="1"/>
  <c r="BG224" i="1" s="1"/>
  <c r="BH224" i="1" s="1"/>
  <c r="BJ224" i="1"/>
  <c r="BI224" i="1"/>
  <c r="BE224" i="1"/>
  <c r="AX224" i="1"/>
  <c r="BA224" i="1"/>
  <c r="AW224" i="1"/>
  <c r="AP224" i="1"/>
  <c r="AQ224" i="1" s="1"/>
  <c r="AR224" i="1" s="1"/>
  <c r="AT224" i="1"/>
  <c r="BB224" i="1"/>
  <c r="AS224" i="1"/>
  <c r="AO224" i="1"/>
  <c r="AH224" i="1"/>
  <c r="AI224" i="1" s="1"/>
  <c r="AG224" i="1"/>
  <c r="BF223" i="1"/>
  <c r="BG223" i="1" s="1"/>
  <c r="BH223" i="1" s="1"/>
  <c r="BJ223" i="1"/>
  <c r="BI223" i="1"/>
  <c r="AW223" i="1"/>
  <c r="BB223" i="1"/>
  <c r="AX223" i="1"/>
  <c r="BE223" i="1"/>
  <c r="AT223" i="1"/>
  <c r="AO223" i="1"/>
  <c r="BA223" i="1"/>
  <c r="AP223" i="1"/>
  <c r="AQ223" i="1" s="1"/>
  <c r="AR223" i="1" s="1"/>
  <c r="AS223" i="1"/>
  <c r="AH223" i="1"/>
  <c r="AI223" i="1" s="1"/>
  <c r="AG223" i="1"/>
  <c r="BF222" i="1"/>
  <c r="BG222" i="1" s="1"/>
  <c r="BH222" i="1" s="1"/>
  <c r="BJ222" i="1"/>
  <c r="BI222" i="1"/>
  <c r="BE222" i="1"/>
  <c r="AX222" i="1"/>
  <c r="BA222" i="1"/>
  <c r="AW222" i="1"/>
  <c r="BB222" i="1"/>
  <c r="AS222" i="1"/>
  <c r="AP222" i="1"/>
  <c r="AQ222" i="1" s="1"/>
  <c r="AR222" i="1" s="1"/>
  <c r="AT222" i="1"/>
  <c r="AO222" i="1"/>
  <c r="AH222" i="1"/>
  <c r="AI222" i="1" s="1"/>
  <c r="AG222" i="1"/>
  <c r="BF221" i="1"/>
  <c r="BG221" i="1" s="1"/>
  <c r="BH221" i="1" s="1"/>
  <c r="BJ221" i="1"/>
  <c r="BI221" i="1"/>
  <c r="AW221" i="1"/>
  <c r="BB221" i="1"/>
  <c r="BE221" i="1"/>
  <c r="BA221" i="1"/>
  <c r="AP221" i="1"/>
  <c r="AQ221" i="1" s="1"/>
  <c r="AR221" i="1" s="1"/>
  <c r="AS221" i="1"/>
  <c r="AO221" i="1"/>
  <c r="AX221" i="1"/>
  <c r="AT221" i="1"/>
  <c r="AH221" i="1"/>
  <c r="AI221" i="1" s="1"/>
  <c r="AG221" i="1"/>
  <c r="BF220" i="1"/>
  <c r="BG220" i="1" s="1"/>
  <c r="BH220" i="1" s="1"/>
  <c r="BJ220" i="1"/>
  <c r="BI220" i="1"/>
  <c r="BE220" i="1"/>
  <c r="AX220" i="1"/>
  <c r="BA220" i="1"/>
  <c r="BB220" i="1"/>
  <c r="AP220" i="1"/>
  <c r="AQ220" i="1" s="1"/>
  <c r="AR220" i="1" s="1"/>
  <c r="AT220" i="1"/>
  <c r="AW220" i="1"/>
  <c r="AS220" i="1"/>
  <c r="AO220" i="1"/>
  <c r="AH220" i="1"/>
  <c r="AI220" i="1" s="1"/>
  <c r="AG220" i="1"/>
  <c r="BF219" i="1"/>
  <c r="BG219" i="1" s="1"/>
  <c r="BH219" i="1" s="1"/>
  <c r="BJ219" i="1"/>
  <c r="BI219" i="1"/>
  <c r="AW219" i="1"/>
  <c r="BB219" i="1"/>
  <c r="AX219" i="1"/>
  <c r="BA219" i="1"/>
  <c r="AT219" i="1"/>
  <c r="AO219" i="1"/>
  <c r="BE219" i="1"/>
  <c r="AP219" i="1"/>
  <c r="AQ219" i="1" s="1"/>
  <c r="AR219" i="1" s="1"/>
  <c r="AS219" i="1"/>
  <c r="AH219" i="1"/>
  <c r="AI219" i="1" s="1"/>
  <c r="AG219" i="1"/>
  <c r="BF218" i="1"/>
  <c r="BG218" i="1" s="1"/>
  <c r="BH218" i="1" s="1"/>
  <c r="BJ218" i="1"/>
  <c r="BI218" i="1"/>
  <c r="BE218" i="1"/>
  <c r="AX218" i="1"/>
  <c r="BA218" i="1"/>
  <c r="AW218" i="1"/>
  <c r="BB218" i="1"/>
  <c r="AS218" i="1"/>
  <c r="AP218" i="1"/>
  <c r="AQ218" i="1" s="1"/>
  <c r="AR218" i="1" s="1"/>
  <c r="AT218" i="1"/>
  <c r="AO218" i="1"/>
  <c r="AH218" i="1"/>
  <c r="AI218" i="1" s="1"/>
  <c r="AG218" i="1"/>
  <c r="BF217" i="1"/>
  <c r="BG217" i="1" s="1"/>
  <c r="BH217" i="1" s="1"/>
  <c r="BJ217" i="1"/>
  <c r="BI217" i="1"/>
  <c r="AW217" i="1"/>
  <c r="BB217" i="1"/>
  <c r="BE217" i="1"/>
  <c r="BA217" i="1"/>
  <c r="AX217" i="1"/>
  <c r="AP217" i="1"/>
  <c r="AQ217" i="1" s="1"/>
  <c r="AR217" i="1" s="1"/>
  <c r="AS217" i="1"/>
  <c r="AO217" i="1"/>
  <c r="AT217" i="1"/>
  <c r="AH217" i="1"/>
  <c r="AI217" i="1" s="1"/>
  <c r="AG217" i="1"/>
  <c r="BF216" i="1"/>
  <c r="BG216" i="1" s="1"/>
  <c r="BH216" i="1" s="1"/>
  <c r="BJ216" i="1"/>
  <c r="BI216" i="1"/>
  <c r="BE216" i="1"/>
  <c r="AX216" i="1"/>
  <c r="BA216" i="1"/>
  <c r="AW216" i="1"/>
  <c r="AP216" i="1"/>
  <c r="AQ216" i="1" s="1"/>
  <c r="AR216" i="1" s="1"/>
  <c r="AT216" i="1"/>
  <c r="BB216" i="1"/>
  <c r="AS216" i="1"/>
  <c r="AO216" i="1"/>
  <c r="AH216" i="1"/>
  <c r="AI216" i="1" s="1"/>
  <c r="AG216" i="1"/>
  <c r="BF215" i="1"/>
  <c r="BG215" i="1" s="1"/>
  <c r="BH215" i="1" s="1"/>
  <c r="BJ215" i="1"/>
  <c r="BI215" i="1"/>
  <c r="AW215" i="1"/>
  <c r="BB215" i="1"/>
  <c r="AX215" i="1"/>
  <c r="BE215" i="1"/>
  <c r="AT215" i="1"/>
  <c r="AO215" i="1"/>
  <c r="BA215" i="1"/>
  <c r="AP215" i="1"/>
  <c r="AQ215" i="1" s="1"/>
  <c r="AR215" i="1" s="1"/>
  <c r="AS215" i="1"/>
  <c r="AH215" i="1"/>
  <c r="AI215" i="1" s="1"/>
  <c r="AG215" i="1"/>
  <c r="BF214" i="1"/>
  <c r="BG214" i="1" s="1"/>
  <c r="BH214" i="1" s="1"/>
  <c r="BJ214" i="1"/>
  <c r="BI214" i="1"/>
  <c r="BE214" i="1"/>
  <c r="AX214" i="1"/>
  <c r="BA214" i="1"/>
  <c r="AW214" i="1"/>
  <c r="BB214" i="1"/>
  <c r="AS214" i="1"/>
  <c r="AP214" i="1"/>
  <c r="AQ214" i="1" s="1"/>
  <c r="AR214" i="1" s="1"/>
  <c r="AT214" i="1"/>
  <c r="AO214" i="1"/>
  <c r="AH214" i="1"/>
  <c r="AI214" i="1" s="1"/>
  <c r="AG214" i="1"/>
  <c r="BF213" i="1"/>
  <c r="BG213" i="1" s="1"/>
  <c r="BH213" i="1" s="1"/>
  <c r="BJ213" i="1"/>
  <c r="BI213" i="1"/>
  <c r="BE213" i="1"/>
  <c r="AW213" i="1"/>
  <c r="BB213" i="1"/>
  <c r="BA213" i="1"/>
  <c r="AP213" i="1"/>
  <c r="AQ213" i="1" s="1"/>
  <c r="AR213" i="1" s="1"/>
  <c r="AS213" i="1"/>
  <c r="AO213" i="1"/>
  <c r="AX213" i="1"/>
  <c r="AT213" i="1"/>
  <c r="AH213" i="1"/>
  <c r="AG213" i="1"/>
  <c r="BF212" i="1"/>
  <c r="BG212" i="1" s="1"/>
  <c r="BH212" i="1" s="1"/>
  <c r="BJ212" i="1"/>
  <c r="BI212" i="1"/>
  <c r="AX212" i="1"/>
  <c r="BA212" i="1"/>
  <c r="BE212" i="1"/>
  <c r="BB212" i="1"/>
  <c r="AP212" i="1"/>
  <c r="AQ212" i="1" s="1"/>
  <c r="AR212" i="1" s="1"/>
  <c r="AT212" i="1"/>
  <c r="AW212" i="1"/>
  <c r="AS212" i="1"/>
  <c r="AO212" i="1"/>
  <c r="AH212" i="1"/>
  <c r="AI212" i="1" s="1"/>
  <c r="AG212" i="1"/>
  <c r="BF211" i="1"/>
  <c r="BG211" i="1" s="1"/>
  <c r="BH211" i="1" s="1"/>
  <c r="BJ211" i="1"/>
  <c r="BI211" i="1"/>
  <c r="BE211" i="1"/>
  <c r="AW211" i="1"/>
  <c r="BB211" i="1"/>
  <c r="AX211" i="1"/>
  <c r="BA211" i="1"/>
  <c r="AT211" i="1"/>
  <c r="AO211" i="1"/>
  <c r="AP211" i="1"/>
  <c r="AQ211" i="1" s="1"/>
  <c r="AR211" i="1" s="1"/>
  <c r="AS211" i="1"/>
  <c r="AH211" i="1"/>
  <c r="AI211" i="1" s="1"/>
  <c r="AG211" i="1"/>
  <c r="BF210" i="1"/>
  <c r="BG210" i="1" s="1"/>
  <c r="BH210" i="1" s="1"/>
  <c r="BJ210" i="1"/>
  <c r="BI210" i="1"/>
  <c r="BE210" i="1"/>
  <c r="AX210" i="1"/>
  <c r="BA210" i="1"/>
  <c r="AW210" i="1"/>
  <c r="BB210" i="1"/>
  <c r="AS210" i="1"/>
  <c r="AP210" i="1"/>
  <c r="AQ210" i="1" s="1"/>
  <c r="AR210" i="1" s="1"/>
  <c r="AT210" i="1"/>
  <c r="AO210" i="1"/>
  <c r="AH210" i="1"/>
  <c r="AI210" i="1" s="1"/>
  <c r="AG210" i="1"/>
  <c r="BF209" i="1"/>
  <c r="BG209" i="1" s="1"/>
  <c r="BH209" i="1" s="1"/>
  <c r="BJ209" i="1"/>
  <c r="BI209" i="1"/>
  <c r="BE209" i="1"/>
  <c r="AW209" i="1"/>
  <c r="BB209" i="1"/>
  <c r="BA209" i="1"/>
  <c r="AX209" i="1"/>
  <c r="AP209" i="1"/>
  <c r="AQ209" i="1" s="1"/>
  <c r="AR209" i="1" s="1"/>
  <c r="AS209" i="1"/>
  <c r="AO209" i="1"/>
  <c r="AT209" i="1"/>
  <c r="AH209" i="1"/>
  <c r="AI209" i="1" s="1"/>
  <c r="AG209" i="1"/>
  <c r="BF208" i="1"/>
  <c r="BG208" i="1" s="1"/>
  <c r="BH208" i="1" s="1"/>
  <c r="BJ208" i="1"/>
  <c r="BI208" i="1"/>
  <c r="AX208" i="1"/>
  <c r="BA208" i="1"/>
  <c r="AW208" i="1"/>
  <c r="AP208" i="1"/>
  <c r="AQ208" i="1" s="1"/>
  <c r="AR208" i="1" s="1"/>
  <c r="AT208" i="1"/>
  <c r="BE208" i="1"/>
  <c r="BB208" i="1"/>
  <c r="AS208" i="1"/>
  <c r="AO208" i="1"/>
  <c r="AH208" i="1"/>
  <c r="AI208" i="1" s="1"/>
  <c r="AJ208" i="1" s="1"/>
  <c r="AG208" i="1"/>
  <c r="BF207" i="1"/>
  <c r="BG207" i="1" s="1"/>
  <c r="BH207" i="1" s="1"/>
  <c r="BJ207" i="1"/>
  <c r="BI207" i="1"/>
  <c r="BE207" i="1"/>
  <c r="AW207" i="1"/>
  <c r="BB207" i="1"/>
  <c r="AX207" i="1"/>
  <c r="AT207" i="1"/>
  <c r="AO207" i="1"/>
  <c r="BA207" i="1"/>
  <c r="AP207" i="1"/>
  <c r="AQ207" i="1" s="1"/>
  <c r="AR207" i="1" s="1"/>
  <c r="AS207" i="1"/>
  <c r="AH207" i="1"/>
  <c r="AG207" i="1"/>
  <c r="BF206" i="1"/>
  <c r="BG206" i="1" s="1"/>
  <c r="BH206" i="1" s="1"/>
  <c r="BJ206" i="1"/>
  <c r="BI206" i="1"/>
  <c r="BE206" i="1"/>
  <c r="AX206" i="1"/>
  <c r="BA206" i="1"/>
  <c r="AW206" i="1"/>
  <c r="BB206" i="1"/>
  <c r="AS206" i="1"/>
  <c r="AP206" i="1"/>
  <c r="AQ206" i="1" s="1"/>
  <c r="AR206" i="1" s="1"/>
  <c r="AT206" i="1"/>
  <c r="AO206" i="1"/>
  <c r="AH206" i="1"/>
  <c r="AI206" i="1" s="1"/>
  <c r="AG206" i="1"/>
  <c r="BF205" i="1"/>
  <c r="BG205" i="1" s="1"/>
  <c r="BH205" i="1" s="1"/>
  <c r="BJ205" i="1"/>
  <c r="BI205" i="1"/>
  <c r="BE205" i="1"/>
  <c r="AW205" i="1"/>
  <c r="BB205" i="1"/>
  <c r="BA205" i="1"/>
  <c r="AP205" i="1"/>
  <c r="AQ205" i="1" s="1"/>
  <c r="AR205" i="1" s="1"/>
  <c r="AS205" i="1"/>
  <c r="AO205" i="1"/>
  <c r="AX205" i="1"/>
  <c r="AT205" i="1"/>
  <c r="AH205" i="1"/>
  <c r="AI205" i="1" s="1"/>
  <c r="AG205" i="1"/>
  <c r="BF204" i="1"/>
  <c r="BG204" i="1" s="1"/>
  <c r="BH204" i="1" s="1"/>
  <c r="BJ204" i="1"/>
  <c r="BI204" i="1"/>
  <c r="AX204" i="1"/>
  <c r="BA204" i="1"/>
  <c r="BE204" i="1"/>
  <c r="BB204" i="1"/>
  <c r="AP204" i="1"/>
  <c r="AQ204" i="1" s="1"/>
  <c r="AR204" i="1" s="1"/>
  <c r="AT204" i="1"/>
  <c r="AW204" i="1"/>
  <c r="AS204" i="1"/>
  <c r="AO204" i="1"/>
  <c r="AH204" i="1"/>
  <c r="AI204" i="1" s="1"/>
  <c r="AG204" i="1"/>
  <c r="BF203" i="1"/>
  <c r="BG203" i="1" s="1"/>
  <c r="BH203" i="1" s="1"/>
  <c r="BJ203" i="1"/>
  <c r="BI203" i="1"/>
  <c r="BE203" i="1"/>
  <c r="AW203" i="1"/>
  <c r="BB203" i="1"/>
  <c r="AX203" i="1"/>
  <c r="BA203" i="1"/>
  <c r="AT203" i="1"/>
  <c r="AO203" i="1"/>
  <c r="AP203" i="1"/>
  <c r="AQ203" i="1" s="1"/>
  <c r="AR203" i="1" s="1"/>
  <c r="AS203" i="1"/>
  <c r="AH203" i="1"/>
  <c r="AI203" i="1" s="1"/>
  <c r="AG203" i="1"/>
  <c r="BF202" i="1"/>
  <c r="BG202" i="1" s="1"/>
  <c r="BH202" i="1" s="1"/>
  <c r="BJ202" i="1"/>
  <c r="BI202" i="1"/>
  <c r="BE202" i="1"/>
  <c r="AX202" i="1"/>
  <c r="BA202" i="1"/>
  <c r="AW202" i="1"/>
  <c r="BB202" i="1"/>
  <c r="AS202" i="1"/>
  <c r="AP202" i="1"/>
  <c r="AQ202" i="1" s="1"/>
  <c r="AR202" i="1" s="1"/>
  <c r="AT202" i="1"/>
  <c r="AO202" i="1"/>
  <c r="AH202" i="1"/>
  <c r="AI202" i="1" s="1"/>
  <c r="AG202" i="1"/>
  <c r="BF201" i="1"/>
  <c r="BG201" i="1" s="1"/>
  <c r="BH201" i="1" s="1"/>
  <c r="BJ201" i="1"/>
  <c r="BI201" i="1"/>
  <c r="BE201" i="1"/>
  <c r="AW201" i="1"/>
  <c r="BB201" i="1"/>
  <c r="BA201" i="1"/>
  <c r="AX201" i="1"/>
  <c r="AP201" i="1"/>
  <c r="AQ201" i="1" s="1"/>
  <c r="AR201" i="1" s="1"/>
  <c r="AS201" i="1"/>
  <c r="AO201" i="1"/>
  <c r="AT201" i="1"/>
  <c r="AH201" i="1"/>
  <c r="AI201" i="1" s="1"/>
  <c r="AG201" i="1"/>
  <c r="BF200" i="1"/>
  <c r="BG200" i="1" s="1"/>
  <c r="BH200" i="1" s="1"/>
  <c r="BJ200" i="1"/>
  <c r="BI200" i="1"/>
  <c r="AX200" i="1"/>
  <c r="BA200" i="1"/>
  <c r="BE200" i="1"/>
  <c r="AW200" i="1"/>
  <c r="AP200" i="1"/>
  <c r="AQ200" i="1" s="1"/>
  <c r="AR200" i="1" s="1"/>
  <c r="AT200" i="1"/>
  <c r="BB200" i="1"/>
  <c r="AS200" i="1"/>
  <c r="AO200" i="1"/>
  <c r="AH200" i="1"/>
  <c r="AG200" i="1"/>
  <c r="BF199" i="1"/>
  <c r="BG199" i="1" s="1"/>
  <c r="BH199" i="1" s="1"/>
  <c r="BJ199" i="1"/>
  <c r="BI199" i="1"/>
  <c r="BE199" i="1"/>
  <c r="AW199" i="1"/>
  <c r="BB199" i="1"/>
  <c r="AX199" i="1"/>
  <c r="AP199" i="1"/>
  <c r="AQ199" i="1" s="1"/>
  <c r="AR199" i="1" s="1"/>
  <c r="AS199" i="1"/>
  <c r="AO199" i="1"/>
  <c r="BA199" i="1"/>
  <c r="AT199" i="1"/>
  <c r="AH199" i="1"/>
  <c r="AI199" i="1" s="1"/>
  <c r="AG199" i="1"/>
  <c r="BF198" i="1"/>
  <c r="BG198" i="1" s="1"/>
  <c r="BH198" i="1" s="1"/>
  <c r="BJ198" i="1"/>
  <c r="BI198" i="1"/>
  <c r="BE198" i="1"/>
  <c r="AX198" i="1"/>
  <c r="BA198" i="1"/>
  <c r="AW198" i="1"/>
  <c r="BB198" i="1"/>
  <c r="AP198" i="1"/>
  <c r="AQ198" i="1" s="1"/>
  <c r="AR198" i="1" s="1"/>
  <c r="AT198" i="1"/>
  <c r="AS198" i="1"/>
  <c r="AO198" i="1"/>
  <c r="AH198" i="1"/>
  <c r="AI198" i="1" s="1"/>
  <c r="AG198" i="1"/>
  <c r="BF197" i="1"/>
  <c r="BG197" i="1" s="1"/>
  <c r="BH197" i="1" s="1"/>
  <c r="BJ197" i="1"/>
  <c r="BI197" i="1"/>
  <c r="BE197" i="1"/>
  <c r="AW197" i="1"/>
  <c r="BB197" i="1"/>
  <c r="BA197" i="1"/>
  <c r="AT197" i="1"/>
  <c r="AS197" i="1"/>
  <c r="AO197" i="1"/>
  <c r="AX197" i="1"/>
  <c r="AP197" i="1"/>
  <c r="AQ197" i="1" s="1"/>
  <c r="AR197" i="1" s="1"/>
  <c r="AH197" i="1"/>
  <c r="AI197" i="1" s="1"/>
  <c r="AG197" i="1"/>
  <c r="BF196" i="1"/>
  <c r="BG196" i="1" s="1"/>
  <c r="BH196" i="1" s="1"/>
  <c r="BJ196" i="1"/>
  <c r="BI196" i="1"/>
  <c r="AX196" i="1"/>
  <c r="BA196" i="1"/>
  <c r="BE196" i="1"/>
  <c r="AS196" i="1"/>
  <c r="BB196" i="1"/>
  <c r="AT196" i="1"/>
  <c r="AW196" i="1"/>
  <c r="AP196" i="1"/>
  <c r="AQ196" i="1" s="1"/>
  <c r="AR196" i="1" s="1"/>
  <c r="AO196" i="1"/>
  <c r="AH196" i="1"/>
  <c r="AI196" i="1" s="1"/>
  <c r="AG196" i="1"/>
  <c r="BF195" i="1"/>
  <c r="BG195" i="1" s="1"/>
  <c r="BH195" i="1" s="1"/>
  <c r="BJ195" i="1"/>
  <c r="BI195" i="1"/>
  <c r="BE195" i="1"/>
  <c r="AW195" i="1"/>
  <c r="BB195" i="1"/>
  <c r="AX195" i="1"/>
  <c r="AP195" i="1"/>
  <c r="AQ195" i="1" s="1"/>
  <c r="AR195" i="1" s="1"/>
  <c r="AS195" i="1"/>
  <c r="BA195" i="1"/>
  <c r="AT195" i="1"/>
  <c r="AO195" i="1"/>
  <c r="AH195" i="1"/>
  <c r="AI195" i="1" s="1"/>
  <c r="AG195" i="1"/>
  <c r="BF194" i="1"/>
  <c r="BG194" i="1" s="1"/>
  <c r="BH194" i="1" s="1"/>
  <c r="BJ194" i="1"/>
  <c r="BI194" i="1"/>
  <c r="BE194" i="1"/>
  <c r="AX194" i="1"/>
  <c r="BA194" i="1"/>
  <c r="AW194" i="1"/>
  <c r="BB194" i="1"/>
  <c r="AP194" i="1"/>
  <c r="AQ194" i="1" s="1"/>
  <c r="AR194" i="1" s="1"/>
  <c r="AT194" i="1"/>
  <c r="AS194" i="1"/>
  <c r="AO194" i="1"/>
  <c r="AH194" i="1"/>
  <c r="AI194" i="1" s="1"/>
  <c r="AG194" i="1"/>
  <c r="BF193" i="1"/>
  <c r="BG193" i="1" s="1"/>
  <c r="BH193" i="1" s="1"/>
  <c r="BJ193" i="1"/>
  <c r="BI193" i="1"/>
  <c r="BE193" i="1"/>
  <c r="AW193" i="1"/>
  <c r="BB193" i="1"/>
  <c r="BA193" i="1"/>
  <c r="AT193" i="1"/>
  <c r="AX193" i="1"/>
  <c r="AP193" i="1"/>
  <c r="AQ193" i="1" s="1"/>
  <c r="AR193" i="1" s="1"/>
  <c r="AO193" i="1"/>
  <c r="AS193" i="1"/>
  <c r="AH193" i="1"/>
  <c r="AI193" i="1" s="1"/>
  <c r="AG193" i="1"/>
  <c r="BF192" i="1"/>
  <c r="BG192" i="1" s="1"/>
  <c r="BH192" i="1" s="1"/>
  <c r="BJ192" i="1"/>
  <c r="BI192" i="1"/>
  <c r="AX192" i="1"/>
  <c r="BA192" i="1"/>
  <c r="AS192" i="1"/>
  <c r="AW192" i="1"/>
  <c r="AP192" i="1"/>
  <c r="AQ192" i="1" s="1"/>
  <c r="AR192" i="1" s="1"/>
  <c r="BE192" i="1"/>
  <c r="BB192" i="1"/>
  <c r="AT192" i="1"/>
  <c r="AO192" i="1"/>
  <c r="AH192" i="1"/>
  <c r="AI192" i="1" s="1"/>
  <c r="AG192" i="1"/>
  <c r="BI191" i="1"/>
  <c r="BF191" i="1"/>
  <c r="BG191" i="1" s="1"/>
  <c r="BH191" i="1" s="1"/>
  <c r="BJ191" i="1"/>
  <c r="BE191" i="1"/>
  <c r="AW191" i="1"/>
  <c r="BB191" i="1"/>
  <c r="AX191" i="1"/>
  <c r="AT191" i="1"/>
  <c r="AO191" i="1"/>
  <c r="BA191" i="1"/>
  <c r="AP191" i="1"/>
  <c r="AQ191" i="1" s="1"/>
  <c r="AR191" i="1" s="1"/>
  <c r="AS191" i="1"/>
  <c r="AH191" i="1"/>
  <c r="AI191" i="1" s="1"/>
  <c r="AG191" i="1"/>
  <c r="BI190" i="1"/>
  <c r="BF190" i="1"/>
  <c r="BG190" i="1" s="1"/>
  <c r="BH190" i="1" s="1"/>
  <c r="BJ190" i="1"/>
  <c r="BE190" i="1"/>
  <c r="AX190" i="1"/>
  <c r="BA190" i="1"/>
  <c r="AS190" i="1"/>
  <c r="AW190" i="1"/>
  <c r="BB190" i="1"/>
  <c r="AT190" i="1"/>
  <c r="AP190" i="1"/>
  <c r="AQ190" i="1" s="1"/>
  <c r="AR190" i="1" s="1"/>
  <c r="AO190" i="1"/>
  <c r="AH190" i="1"/>
  <c r="AI190" i="1" s="1"/>
  <c r="AG190" i="1"/>
  <c r="BI189" i="1"/>
  <c r="BF189" i="1"/>
  <c r="BG189" i="1" s="1"/>
  <c r="BH189" i="1" s="1"/>
  <c r="BJ189" i="1"/>
  <c r="AW189" i="1"/>
  <c r="BB189" i="1"/>
  <c r="AP189" i="1"/>
  <c r="AQ189" i="1" s="1"/>
  <c r="AR189" i="1" s="1"/>
  <c r="AS189" i="1"/>
  <c r="BE189" i="1"/>
  <c r="BA189" i="1"/>
  <c r="AT189" i="1"/>
  <c r="AO189" i="1"/>
  <c r="AX189" i="1"/>
  <c r="AH189" i="1"/>
  <c r="AI189" i="1" s="1"/>
  <c r="AG189" i="1"/>
  <c r="BI188" i="1"/>
  <c r="BF188" i="1"/>
  <c r="BG188" i="1" s="1"/>
  <c r="BH188" i="1" s="1"/>
  <c r="BJ188" i="1"/>
  <c r="BE188" i="1"/>
  <c r="AX188" i="1"/>
  <c r="BA188" i="1"/>
  <c r="AP188" i="1"/>
  <c r="AQ188" i="1" s="1"/>
  <c r="AR188" i="1" s="1"/>
  <c r="AT188" i="1"/>
  <c r="AW188" i="1"/>
  <c r="BB188" i="1"/>
  <c r="AS188" i="1"/>
  <c r="AO188" i="1"/>
  <c r="AH188" i="1"/>
  <c r="AI188" i="1" s="1"/>
  <c r="AG188" i="1"/>
  <c r="BI187" i="1"/>
  <c r="BF187" i="1"/>
  <c r="BG187" i="1" s="1"/>
  <c r="BH187" i="1" s="1"/>
  <c r="BJ187" i="1"/>
  <c r="BE187" i="1"/>
  <c r="AW187" i="1"/>
  <c r="BB187" i="1"/>
  <c r="AT187" i="1"/>
  <c r="AX187" i="1"/>
  <c r="AP187" i="1"/>
  <c r="AQ187" i="1" s="1"/>
  <c r="AR187" i="1" s="1"/>
  <c r="AO187" i="1"/>
  <c r="BA187" i="1"/>
  <c r="AS187" i="1"/>
  <c r="AH187" i="1"/>
  <c r="AI187" i="1" s="1"/>
  <c r="AG187" i="1"/>
  <c r="BI186" i="1"/>
  <c r="BF186" i="1"/>
  <c r="BG186" i="1" s="1"/>
  <c r="BH186" i="1" s="1"/>
  <c r="BJ186" i="1"/>
  <c r="BE186" i="1"/>
  <c r="AX186" i="1"/>
  <c r="BA186" i="1"/>
  <c r="AS186" i="1"/>
  <c r="AW186" i="1"/>
  <c r="BB186" i="1"/>
  <c r="AP186" i="1"/>
  <c r="AQ186" i="1" s="1"/>
  <c r="AR186" i="1" s="1"/>
  <c r="AT186" i="1"/>
  <c r="AO186" i="1"/>
  <c r="AH186" i="1"/>
  <c r="AI186" i="1" s="1"/>
  <c r="AG186" i="1"/>
  <c r="BI185" i="1"/>
  <c r="BF185" i="1"/>
  <c r="BG185" i="1" s="1"/>
  <c r="BH185" i="1" s="1"/>
  <c r="BJ185" i="1"/>
  <c r="AW185" i="1"/>
  <c r="BB185" i="1"/>
  <c r="AP185" i="1"/>
  <c r="AQ185" i="1" s="1"/>
  <c r="AR185" i="1" s="1"/>
  <c r="AS185" i="1"/>
  <c r="BA185" i="1"/>
  <c r="AO185" i="1"/>
  <c r="BE185" i="1"/>
  <c r="AX185" i="1"/>
  <c r="AT185" i="1"/>
  <c r="AH185" i="1"/>
  <c r="AI185" i="1" s="1"/>
  <c r="AG185" i="1"/>
  <c r="BI184" i="1"/>
  <c r="BF184" i="1"/>
  <c r="BG184" i="1" s="1"/>
  <c r="BH184" i="1" s="1"/>
  <c r="BJ184" i="1"/>
  <c r="BE184" i="1"/>
  <c r="AX184" i="1"/>
  <c r="BA184" i="1"/>
  <c r="AP184" i="1"/>
  <c r="AQ184" i="1" s="1"/>
  <c r="AR184" i="1" s="1"/>
  <c r="AT184" i="1"/>
  <c r="AS184" i="1"/>
  <c r="AW184" i="1"/>
  <c r="BB184" i="1"/>
  <c r="AO184" i="1"/>
  <c r="AH184" i="1"/>
  <c r="AI184" i="1" s="1"/>
  <c r="AG184" i="1"/>
  <c r="BI183" i="1"/>
  <c r="BF183" i="1"/>
  <c r="BG183" i="1" s="1"/>
  <c r="BH183" i="1" s="1"/>
  <c r="BJ183" i="1"/>
  <c r="BE183" i="1"/>
  <c r="AW183" i="1"/>
  <c r="BB183" i="1"/>
  <c r="AT183" i="1"/>
  <c r="AX183" i="1"/>
  <c r="AS183" i="1"/>
  <c r="AO183" i="1"/>
  <c r="BA183" i="1"/>
  <c r="AP183" i="1"/>
  <c r="AQ183" i="1" s="1"/>
  <c r="AR183" i="1" s="1"/>
  <c r="AH183" i="1"/>
  <c r="AI183" i="1" s="1"/>
  <c r="AG183" i="1"/>
  <c r="BI182" i="1"/>
  <c r="BF182" i="1"/>
  <c r="BG182" i="1" s="1"/>
  <c r="BH182" i="1" s="1"/>
  <c r="BJ182" i="1"/>
  <c r="BE182" i="1"/>
  <c r="AX182" i="1"/>
  <c r="BA182" i="1"/>
  <c r="AS182" i="1"/>
  <c r="AW182" i="1"/>
  <c r="BB182" i="1"/>
  <c r="AT182" i="1"/>
  <c r="AP182" i="1"/>
  <c r="AQ182" i="1" s="1"/>
  <c r="AR182" i="1" s="1"/>
  <c r="AO182" i="1"/>
  <c r="AH182" i="1"/>
  <c r="AI182" i="1" s="1"/>
  <c r="AG182" i="1"/>
  <c r="BI181" i="1"/>
  <c r="BF181" i="1"/>
  <c r="BG181" i="1" s="1"/>
  <c r="BH181" i="1" s="1"/>
  <c r="BJ181" i="1"/>
  <c r="AW181" i="1"/>
  <c r="BB181" i="1"/>
  <c r="AP181" i="1"/>
  <c r="AQ181" i="1" s="1"/>
  <c r="AR181" i="1" s="1"/>
  <c r="AS181" i="1"/>
  <c r="BE181" i="1"/>
  <c r="BA181" i="1"/>
  <c r="AT181" i="1"/>
  <c r="AO181" i="1"/>
  <c r="AX181" i="1"/>
  <c r="AH181" i="1"/>
  <c r="AI181" i="1" s="1"/>
  <c r="AG181" i="1"/>
  <c r="BI180" i="1"/>
  <c r="BF180" i="1"/>
  <c r="BG180" i="1" s="1"/>
  <c r="BH180" i="1" s="1"/>
  <c r="BJ180" i="1"/>
  <c r="BE180" i="1"/>
  <c r="AX180" i="1"/>
  <c r="BA180" i="1"/>
  <c r="AP180" i="1"/>
  <c r="AQ180" i="1" s="1"/>
  <c r="AR180" i="1" s="1"/>
  <c r="AT180" i="1"/>
  <c r="AW180" i="1"/>
  <c r="BB180" i="1"/>
  <c r="AS180" i="1"/>
  <c r="AO180" i="1"/>
  <c r="AH180" i="1"/>
  <c r="AI180" i="1" s="1"/>
  <c r="AG180" i="1"/>
  <c r="BI179" i="1"/>
  <c r="BF179" i="1"/>
  <c r="BG179" i="1" s="1"/>
  <c r="BH179" i="1" s="1"/>
  <c r="BJ179" i="1"/>
  <c r="BE179" i="1"/>
  <c r="AW179" i="1"/>
  <c r="BB179" i="1"/>
  <c r="AT179" i="1"/>
  <c r="AX179" i="1"/>
  <c r="AP179" i="1"/>
  <c r="AQ179" i="1" s="1"/>
  <c r="AR179" i="1" s="1"/>
  <c r="AO179" i="1"/>
  <c r="BA179" i="1"/>
  <c r="AS179" i="1"/>
  <c r="AH179" i="1"/>
  <c r="AI179" i="1" s="1"/>
  <c r="AG179" i="1"/>
  <c r="BI178" i="1"/>
  <c r="BF178" i="1"/>
  <c r="BG178" i="1" s="1"/>
  <c r="BH178" i="1" s="1"/>
  <c r="BJ178" i="1"/>
  <c r="BE178" i="1"/>
  <c r="AW178" i="1"/>
  <c r="BB178" i="1"/>
  <c r="BA178" i="1"/>
  <c r="AS178" i="1"/>
  <c r="AX178" i="1"/>
  <c r="AP178" i="1"/>
  <c r="AQ178" i="1" s="1"/>
  <c r="AR178" i="1" s="1"/>
  <c r="AT178" i="1"/>
  <c r="AO178" i="1"/>
  <c r="AH178" i="1"/>
  <c r="AI178" i="1" s="1"/>
  <c r="AG178" i="1"/>
  <c r="BI177" i="1"/>
  <c r="BF177" i="1"/>
  <c r="BG177" i="1" s="1"/>
  <c r="BH177" i="1" s="1"/>
  <c r="BJ177" i="1"/>
  <c r="AX177" i="1"/>
  <c r="BA177" i="1"/>
  <c r="AP177" i="1"/>
  <c r="AQ177" i="1" s="1"/>
  <c r="AR177" i="1" s="1"/>
  <c r="AS177" i="1"/>
  <c r="AW177" i="1"/>
  <c r="AO177" i="1"/>
  <c r="BE177" i="1"/>
  <c r="BB177" i="1"/>
  <c r="AT177" i="1"/>
  <c r="AH177" i="1"/>
  <c r="AI177" i="1" s="1"/>
  <c r="AG177" i="1"/>
  <c r="BI176" i="1"/>
  <c r="BF176" i="1"/>
  <c r="BG176" i="1" s="1"/>
  <c r="BH176" i="1" s="1"/>
  <c r="BJ176" i="1"/>
  <c r="BE176" i="1"/>
  <c r="AW176" i="1"/>
  <c r="BB176" i="1"/>
  <c r="AX176" i="1"/>
  <c r="AP176" i="1"/>
  <c r="AQ176" i="1" s="1"/>
  <c r="AR176" i="1" s="1"/>
  <c r="AT176" i="1"/>
  <c r="AS176" i="1"/>
  <c r="BA176" i="1"/>
  <c r="AO176" i="1"/>
  <c r="AH176" i="1"/>
  <c r="AI176" i="1" s="1"/>
  <c r="AG176" i="1"/>
  <c r="BI175" i="1"/>
  <c r="BF175" i="1"/>
  <c r="BG175" i="1" s="1"/>
  <c r="BH175" i="1" s="1"/>
  <c r="BJ175" i="1"/>
  <c r="AX175" i="1"/>
  <c r="BA175" i="1"/>
  <c r="BE175" i="1"/>
  <c r="AW175" i="1"/>
  <c r="BB175" i="1"/>
  <c r="AT175" i="1"/>
  <c r="AS175" i="1"/>
  <c r="AO175" i="1"/>
  <c r="AP175" i="1"/>
  <c r="AQ175" i="1" s="1"/>
  <c r="AR175" i="1" s="1"/>
  <c r="AH175" i="1"/>
  <c r="AI175" i="1" s="1"/>
  <c r="AG175" i="1"/>
  <c r="BF174" i="1"/>
  <c r="BG174" i="1" s="1"/>
  <c r="BH174" i="1" s="1"/>
  <c r="BI174" i="1"/>
  <c r="BJ174" i="1"/>
  <c r="BE174" i="1"/>
  <c r="AW174" i="1"/>
  <c r="BB174" i="1"/>
  <c r="BA174" i="1"/>
  <c r="AS174" i="1"/>
  <c r="AT174" i="1"/>
  <c r="AX174" i="1"/>
  <c r="AP174" i="1"/>
  <c r="AQ174" i="1" s="1"/>
  <c r="AR174" i="1" s="1"/>
  <c r="AO174" i="1"/>
  <c r="AH174" i="1"/>
  <c r="AI174" i="1" s="1"/>
  <c r="AG174" i="1"/>
  <c r="BF173" i="1"/>
  <c r="BG173" i="1" s="1"/>
  <c r="BH173" i="1" s="1"/>
  <c r="BJ173" i="1"/>
  <c r="BI173" i="1"/>
  <c r="AX173" i="1"/>
  <c r="BA173" i="1"/>
  <c r="AP173" i="1"/>
  <c r="AQ173" i="1" s="1"/>
  <c r="AR173" i="1" s="1"/>
  <c r="AS173" i="1"/>
  <c r="BE173" i="1"/>
  <c r="BB173" i="1"/>
  <c r="AT173" i="1"/>
  <c r="AO173" i="1"/>
  <c r="AW173" i="1"/>
  <c r="AH173" i="1"/>
  <c r="AI173" i="1" s="1"/>
  <c r="AG173" i="1"/>
  <c r="BJ172" i="1"/>
  <c r="BF172" i="1"/>
  <c r="BG172" i="1" s="1"/>
  <c r="BH172" i="1" s="1"/>
  <c r="BI172" i="1"/>
  <c r="BE172" i="1"/>
  <c r="AX172" i="1"/>
  <c r="BB172" i="1"/>
  <c r="AW172" i="1"/>
  <c r="AP172" i="1"/>
  <c r="AQ172" i="1" s="1"/>
  <c r="AR172" i="1" s="1"/>
  <c r="AT172" i="1"/>
  <c r="BA172" i="1"/>
  <c r="AS172" i="1"/>
  <c r="AO172" i="1"/>
  <c r="AH172" i="1"/>
  <c r="AI172" i="1" s="1"/>
  <c r="AG172" i="1"/>
  <c r="BI171" i="1"/>
  <c r="BF171" i="1"/>
  <c r="BG171" i="1" s="1"/>
  <c r="BH171" i="1" s="1"/>
  <c r="BJ171" i="1"/>
  <c r="AW171" i="1"/>
  <c r="BA171" i="1"/>
  <c r="BE171" i="1"/>
  <c r="AX171" i="1"/>
  <c r="AT171" i="1"/>
  <c r="AP171" i="1"/>
  <c r="AQ171" i="1" s="1"/>
  <c r="AR171" i="1" s="1"/>
  <c r="AO171" i="1"/>
  <c r="BB171" i="1"/>
  <c r="AS171" i="1"/>
  <c r="AH171" i="1"/>
  <c r="AI171" i="1" s="1"/>
  <c r="AG171" i="1"/>
  <c r="BF170" i="1"/>
  <c r="BG170" i="1" s="1"/>
  <c r="BH170" i="1" s="1"/>
  <c r="BI170" i="1"/>
  <c r="BJ170" i="1"/>
  <c r="BE170" i="1"/>
  <c r="AX170" i="1"/>
  <c r="BB170" i="1"/>
  <c r="BA170" i="1"/>
  <c r="AS170" i="1"/>
  <c r="AP170" i="1"/>
  <c r="AQ170" i="1" s="1"/>
  <c r="AR170" i="1" s="1"/>
  <c r="AW170" i="1"/>
  <c r="AT170" i="1"/>
  <c r="AO170" i="1"/>
  <c r="AH170" i="1"/>
  <c r="AI170" i="1" s="1"/>
  <c r="AG170" i="1"/>
  <c r="BF169" i="1"/>
  <c r="BG169" i="1" s="1"/>
  <c r="BH169" i="1" s="1"/>
  <c r="BJ169" i="1"/>
  <c r="BI169" i="1"/>
  <c r="AW169" i="1"/>
  <c r="BA169" i="1"/>
  <c r="BB169" i="1"/>
  <c r="AP169" i="1"/>
  <c r="AQ169" i="1" s="1"/>
  <c r="AR169" i="1" s="1"/>
  <c r="AS169" i="1"/>
  <c r="AX169" i="1"/>
  <c r="AO169" i="1"/>
  <c r="BE169" i="1"/>
  <c r="AT169" i="1"/>
  <c r="AH169" i="1"/>
  <c r="AI169" i="1" s="1"/>
  <c r="AG169" i="1"/>
  <c r="BJ168" i="1"/>
  <c r="BF168" i="1"/>
  <c r="BG168" i="1" s="1"/>
  <c r="BH168" i="1" s="1"/>
  <c r="BI168" i="1"/>
  <c r="BE168" i="1"/>
  <c r="AX168" i="1"/>
  <c r="BB168" i="1"/>
  <c r="AW168" i="1"/>
  <c r="AP168" i="1"/>
  <c r="AQ168" i="1" s="1"/>
  <c r="AR168" i="1" s="1"/>
  <c r="AT168" i="1"/>
  <c r="AS168" i="1"/>
  <c r="BA168" i="1"/>
  <c r="AO168" i="1"/>
  <c r="AH168" i="1"/>
  <c r="AI168" i="1" s="1"/>
  <c r="AG168" i="1"/>
  <c r="BI167" i="1"/>
  <c r="BF167" i="1"/>
  <c r="BG167" i="1" s="1"/>
  <c r="BH167" i="1" s="1"/>
  <c r="BJ167" i="1"/>
  <c r="BE167" i="1"/>
  <c r="AW167" i="1"/>
  <c r="BA167" i="1"/>
  <c r="AX167" i="1"/>
  <c r="AT167" i="1"/>
  <c r="BB167" i="1"/>
  <c r="AS167" i="1"/>
  <c r="AO167" i="1"/>
  <c r="AP167" i="1"/>
  <c r="AQ167" i="1" s="1"/>
  <c r="AR167" i="1" s="1"/>
  <c r="AH167" i="1"/>
  <c r="AI167" i="1" s="1"/>
  <c r="AG167" i="1"/>
  <c r="BF166" i="1"/>
  <c r="BG166" i="1" s="1"/>
  <c r="BH166" i="1" s="1"/>
  <c r="BI166" i="1"/>
  <c r="BJ166" i="1"/>
  <c r="AX166" i="1"/>
  <c r="BB166" i="1"/>
  <c r="BE166" i="1"/>
  <c r="BA166" i="1"/>
  <c r="AS166" i="1"/>
  <c r="AW166" i="1"/>
  <c r="AT166" i="1"/>
  <c r="AP166" i="1"/>
  <c r="AQ166" i="1" s="1"/>
  <c r="AR166" i="1" s="1"/>
  <c r="AO166" i="1"/>
  <c r="AH166" i="1"/>
  <c r="AI166" i="1" s="1"/>
  <c r="AG166" i="1"/>
  <c r="BF165" i="1"/>
  <c r="BG165" i="1" s="1"/>
  <c r="BH165" i="1" s="1"/>
  <c r="BJ165" i="1"/>
  <c r="BI165" i="1"/>
  <c r="BE165" i="1"/>
  <c r="AW165" i="1"/>
  <c r="BA165" i="1"/>
  <c r="BB165" i="1"/>
  <c r="AP165" i="1"/>
  <c r="AQ165" i="1" s="1"/>
  <c r="AR165" i="1" s="1"/>
  <c r="AS165" i="1"/>
  <c r="AT165" i="1"/>
  <c r="AO165" i="1"/>
  <c r="AX165" i="1"/>
  <c r="AH165" i="1"/>
  <c r="AI165" i="1" s="1"/>
  <c r="AG165" i="1"/>
  <c r="BF164" i="1"/>
  <c r="BG164" i="1" s="1"/>
  <c r="BH164" i="1" s="1"/>
  <c r="BJ164" i="1"/>
  <c r="BI164" i="1"/>
  <c r="BE164" i="1"/>
  <c r="AX164" i="1"/>
  <c r="BB164" i="1"/>
  <c r="AW164" i="1"/>
  <c r="AP164" i="1"/>
  <c r="AQ164" i="1" s="1"/>
  <c r="AR164" i="1" s="1"/>
  <c r="AT164" i="1"/>
  <c r="BA164" i="1"/>
  <c r="AS164" i="1"/>
  <c r="AO164" i="1"/>
  <c r="AH164" i="1"/>
  <c r="AI164" i="1" s="1"/>
  <c r="AG164" i="1"/>
  <c r="BF163" i="1"/>
  <c r="BG163" i="1" s="1"/>
  <c r="BH163" i="1" s="1"/>
  <c r="BJ163" i="1"/>
  <c r="BI163" i="1"/>
  <c r="BE163" i="1"/>
  <c r="AW163" i="1"/>
  <c r="BA163" i="1"/>
  <c r="AX163" i="1"/>
  <c r="AT163" i="1"/>
  <c r="AP163" i="1"/>
  <c r="AQ163" i="1" s="1"/>
  <c r="AR163" i="1" s="1"/>
  <c r="AO163" i="1"/>
  <c r="BB163" i="1"/>
  <c r="AS163" i="1"/>
  <c r="AH163" i="1"/>
  <c r="AI163" i="1" s="1"/>
  <c r="AG163" i="1"/>
  <c r="BF162" i="1"/>
  <c r="BG162" i="1" s="1"/>
  <c r="BH162" i="1" s="1"/>
  <c r="BJ162" i="1"/>
  <c r="BI162" i="1"/>
  <c r="AX162" i="1"/>
  <c r="BB162" i="1"/>
  <c r="BA162" i="1"/>
  <c r="AS162" i="1"/>
  <c r="BE162" i="1"/>
  <c r="AP162" i="1"/>
  <c r="AQ162" i="1" s="1"/>
  <c r="AR162" i="1" s="1"/>
  <c r="AW162" i="1"/>
  <c r="AT162" i="1"/>
  <c r="AO162" i="1"/>
  <c r="AH162" i="1"/>
  <c r="AI162" i="1" s="1"/>
  <c r="AG162" i="1"/>
  <c r="BF161" i="1"/>
  <c r="BG161" i="1" s="1"/>
  <c r="BH161" i="1" s="1"/>
  <c r="BJ161" i="1"/>
  <c r="BI161" i="1"/>
  <c r="BE161" i="1"/>
  <c r="AW161" i="1"/>
  <c r="BA161" i="1"/>
  <c r="BB161" i="1"/>
  <c r="AP161" i="1"/>
  <c r="AQ161" i="1" s="1"/>
  <c r="AR161" i="1" s="1"/>
  <c r="AS161" i="1"/>
  <c r="AX161" i="1"/>
  <c r="AO161" i="1"/>
  <c r="AT161" i="1"/>
  <c r="AH161" i="1"/>
  <c r="AI161" i="1" s="1"/>
  <c r="AG161" i="1"/>
  <c r="BF160" i="1"/>
  <c r="BG160" i="1" s="1"/>
  <c r="BH160" i="1" s="1"/>
  <c r="BJ160" i="1"/>
  <c r="BI160" i="1"/>
  <c r="BE160" i="1"/>
  <c r="AX160" i="1"/>
  <c r="BB160" i="1"/>
  <c r="AW160" i="1"/>
  <c r="AP160" i="1"/>
  <c r="AQ160" i="1" s="1"/>
  <c r="AR160" i="1" s="1"/>
  <c r="AT160" i="1"/>
  <c r="AS160" i="1"/>
  <c r="BA160" i="1"/>
  <c r="AO160" i="1"/>
  <c r="AH160" i="1"/>
  <c r="AI160" i="1" s="1"/>
  <c r="AG160" i="1"/>
  <c r="BF159" i="1"/>
  <c r="BG159" i="1" s="1"/>
  <c r="BH159" i="1" s="1"/>
  <c r="BJ159" i="1"/>
  <c r="BI159" i="1"/>
  <c r="BE159" i="1"/>
  <c r="AW159" i="1"/>
  <c r="BA159" i="1"/>
  <c r="AX159" i="1"/>
  <c r="AT159" i="1"/>
  <c r="BB159" i="1"/>
  <c r="AS159" i="1"/>
  <c r="AO159" i="1"/>
  <c r="AP159" i="1"/>
  <c r="AQ159" i="1" s="1"/>
  <c r="AR159" i="1" s="1"/>
  <c r="AH159" i="1"/>
  <c r="AI159" i="1" s="1"/>
  <c r="AG159" i="1"/>
  <c r="BF158" i="1"/>
  <c r="BG158" i="1" s="1"/>
  <c r="BH158" i="1" s="1"/>
  <c r="BJ158" i="1"/>
  <c r="BI158" i="1"/>
  <c r="AX158" i="1"/>
  <c r="BB158" i="1"/>
  <c r="BE158" i="1"/>
  <c r="BA158" i="1"/>
  <c r="AS158" i="1"/>
  <c r="AW158" i="1"/>
  <c r="AT158" i="1"/>
  <c r="AP158" i="1"/>
  <c r="AQ158" i="1" s="1"/>
  <c r="AR158" i="1" s="1"/>
  <c r="AO158" i="1"/>
  <c r="AH158" i="1"/>
  <c r="AI158" i="1" s="1"/>
  <c r="AG158" i="1"/>
  <c r="BF157" i="1"/>
  <c r="BG157" i="1" s="1"/>
  <c r="BH157" i="1" s="1"/>
  <c r="BJ157" i="1"/>
  <c r="BI157" i="1"/>
  <c r="BE157" i="1"/>
  <c r="AW157" i="1"/>
  <c r="BA157" i="1"/>
  <c r="BB157" i="1"/>
  <c r="AP157" i="1"/>
  <c r="AQ157" i="1" s="1"/>
  <c r="AR157" i="1" s="1"/>
  <c r="AS157" i="1"/>
  <c r="AT157" i="1"/>
  <c r="AO157" i="1"/>
  <c r="AX157" i="1"/>
  <c r="AH157" i="1"/>
  <c r="AI157" i="1" s="1"/>
  <c r="AG157" i="1"/>
  <c r="BF156" i="1"/>
  <c r="BG156" i="1" s="1"/>
  <c r="BH156" i="1" s="1"/>
  <c r="BJ156" i="1"/>
  <c r="BI156" i="1"/>
  <c r="BE156" i="1"/>
  <c r="AX156" i="1"/>
  <c r="BB156" i="1"/>
  <c r="AW156" i="1"/>
  <c r="AP156" i="1"/>
  <c r="AQ156" i="1" s="1"/>
  <c r="AR156" i="1" s="1"/>
  <c r="AT156" i="1"/>
  <c r="BA156" i="1"/>
  <c r="AS156" i="1"/>
  <c r="AO156" i="1"/>
  <c r="AH156" i="1"/>
  <c r="AI156" i="1" s="1"/>
  <c r="AJ156" i="1" s="1"/>
  <c r="AG156" i="1"/>
  <c r="BF155" i="1"/>
  <c r="BG155" i="1" s="1"/>
  <c r="BH155" i="1" s="1"/>
  <c r="BJ155" i="1"/>
  <c r="BI155" i="1"/>
  <c r="BE155" i="1"/>
  <c r="AW155" i="1"/>
  <c r="BA155" i="1"/>
  <c r="AX155" i="1"/>
  <c r="AT155" i="1"/>
  <c r="AP155" i="1"/>
  <c r="AQ155" i="1" s="1"/>
  <c r="AR155" i="1" s="1"/>
  <c r="AO155" i="1"/>
  <c r="BB155" i="1"/>
  <c r="AS155" i="1"/>
  <c r="AH155" i="1"/>
  <c r="AI155" i="1" s="1"/>
  <c r="AG155" i="1"/>
  <c r="BF154" i="1"/>
  <c r="BG154" i="1" s="1"/>
  <c r="BH154" i="1" s="1"/>
  <c r="BJ154" i="1"/>
  <c r="BI154" i="1"/>
  <c r="AX154" i="1"/>
  <c r="BB154" i="1"/>
  <c r="BA154" i="1"/>
  <c r="AS154" i="1"/>
  <c r="AP154" i="1"/>
  <c r="AQ154" i="1" s="1"/>
  <c r="AR154" i="1" s="1"/>
  <c r="BE154" i="1"/>
  <c r="AW154" i="1"/>
  <c r="AT154" i="1"/>
  <c r="AO154" i="1"/>
  <c r="AH154" i="1"/>
  <c r="AI154" i="1" s="1"/>
  <c r="AG154" i="1"/>
  <c r="BE153" i="1"/>
  <c r="AX153" i="1"/>
  <c r="AP153" i="1"/>
  <c r="AQ153" i="1" s="1"/>
  <c r="AR153" i="1" s="1"/>
  <c r="BE152" i="1"/>
  <c r="AX152" i="1"/>
  <c r="AP152" i="1"/>
  <c r="AQ152" i="1" s="1"/>
  <c r="AR152" i="1" s="1"/>
  <c r="BE151" i="1"/>
  <c r="AX151" i="1"/>
  <c r="AP151" i="1"/>
  <c r="AQ151" i="1" s="1"/>
  <c r="AR151" i="1" s="1"/>
  <c r="BE150" i="1"/>
  <c r="AP150" i="1"/>
  <c r="AQ150" i="1" s="1"/>
  <c r="AR150" i="1" s="1"/>
  <c r="AX150" i="1"/>
  <c r="BE149" i="1"/>
  <c r="AX149" i="1"/>
  <c r="AP149" i="1"/>
  <c r="AQ149" i="1" s="1"/>
  <c r="AR149" i="1" s="1"/>
  <c r="BE148" i="1"/>
  <c r="AX148" i="1"/>
  <c r="AP148" i="1"/>
  <c r="AQ148" i="1" s="1"/>
  <c r="AR148" i="1" s="1"/>
  <c r="BE147" i="1"/>
  <c r="AX147" i="1"/>
  <c r="AP147" i="1"/>
  <c r="AQ147" i="1" s="1"/>
  <c r="AR147" i="1" s="1"/>
  <c r="BE146" i="1"/>
  <c r="AX146" i="1"/>
  <c r="AP146" i="1"/>
  <c r="AQ146" i="1" s="1"/>
  <c r="AR146" i="1" s="1"/>
  <c r="BE145" i="1"/>
  <c r="AX145" i="1"/>
  <c r="AP145" i="1"/>
  <c r="AQ145" i="1" s="1"/>
  <c r="AR145" i="1" s="1"/>
  <c r="BE144" i="1"/>
  <c r="AX144" i="1"/>
  <c r="AP144" i="1"/>
  <c r="AQ144" i="1" s="1"/>
  <c r="AR144" i="1" s="1"/>
  <c r="BE143" i="1"/>
  <c r="AX143" i="1"/>
  <c r="AP143" i="1"/>
  <c r="AQ143" i="1" s="1"/>
  <c r="AR143" i="1" s="1"/>
  <c r="BE142" i="1"/>
  <c r="AX142" i="1"/>
  <c r="AP142" i="1"/>
  <c r="AQ142" i="1" s="1"/>
  <c r="AR142" i="1" s="1"/>
  <c r="BE141" i="1"/>
  <c r="AX141" i="1"/>
  <c r="AP141" i="1"/>
  <c r="AQ141" i="1" s="1"/>
  <c r="AR141" i="1" s="1"/>
  <c r="BE140" i="1"/>
  <c r="AX140" i="1"/>
  <c r="AP140" i="1"/>
  <c r="AQ140" i="1" s="1"/>
  <c r="AR140" i="1" s="1"/>
  <c r="BE139" i="1"/>
  <c r="AX139" i="1"/>
  <c r="AP139" i="1"/>
  <c r="AQ139" i="1" s="1"/>
  <c r="AR139" i="1" s="1"/>
  <c r="BE138" i="1"/>
  <c r="AX138" i="1"/>
  <c r="AP138" i="1"/>
  <c r="AQ138" i="1" s="1"/>
  <c r="AR138" i="1" s="1"/>
  <c r="BE137" i="1"/>
  <c r="AX137" i="1"/>
  <c r="AP137" i="1"/>
  <c r="AQ137" i="1" s="1"/>
  <c r="AR137" i="1" s="1"/>
  <c r="BE136" i="1"/>
  <c r="AX136" i="1"/>
  <c r="AP136" i="1"/>
  <c r="AQ136" i="1" s="1"/>
  <c r="AR136" i="1" s="1"/>
  <c r="BE135" i="1"/>
  <c r="AX135" i="1"/>
  <c r="AP135" i="1"/>
  <c r="AQ135" i="1" s="1"/>
  <c r="AR135" i="1" s="1"/>
  <c r="BE134" i="1"/>
  <c r="AX134" i="1"/>
  <c r="AP134" i="1"/>
  <c r="AQ134" i="1" s="1"/>
  <c r="AR134" i="1" s="1"/>
  <c r="BE133" i="1"/>
  <c r="AX133" i="1"/>
  <c r="AP133" i="1"/>
  <c r="AQ133" i="1" s="1"/>
  <c r="AR133" i="1" s="1"/>
  <c r="BE132" i="1"/>
  <c r="AX132" i="1"/>
  <c r="AP132" i="1"/>
  <c r="AQ132" i="1" s="1"/>
  <c r="AR132" i="1" s="1"/>
  <c r="BE131" i="1"/>
  <c r="AX131" i="1"/>
  <c r="AP131" i="1"/>
  <c r="AQ131" i="1" s="1"/>
  <c r="AR131" i="1" s="1"/>
  <c r="BE130" i="1"/>
  <c r="AX130" i="1"/>
  <c r="AP130" i="1"/>
  <c r="AQ130" i="1" s="1"/>
  <c r="AR130" i="1" s="1"/>
  <c r="BE129" i="1"/>
  <c r="AX129" i="1"/>
  <c r="AP129" i="1"/>
  <c r="AQ129" i="1" s="1"/>
  <c r="AR129" i="1" s="1"/>
  <c r="BE128" i="1"/>
  <c r="AX128" i="1"/>
  <c r="AP128" i="1"/>
  <c r="AQ128" i="1" s="1"/>
  <c r="AR128" i="1" s="1"/>
  <c r="BE127" i="1"/>
  <c r="AX127" i="1"/>
  <c r="AP127" i="1"/>
  <c r="AQ127" i="1" s="1"/>
  <c r="AR127" i="1" s="1"/>
  <c r="BE126" i="1"/>
  <c r="AX126" i="1"/>
  <c r="AP126" i="1"/>
  <c r="AQ126" i="1" s="1"/>
  <c r="AR126" i="1" s="1"/>
  <c r="BE125" i="1"/>
  <c r="AX125" i="1"/>
  <c r="AP125" i="1"/>
  <c r="AQ125" i="1" s="1"/>
  <c r="AR125" i="1" s="1"/>
  <c r="BE124" i="1"/>
  <c r="AX124" i="1"/>
  <c r="AP124" i="1"/>
  <c r="AQ124" i="1" s="1"/>
  <c r="AR124" i="1" s="1"/>
  <c r="BE123" i="1"/>
  <c r="AX123" i="1"/>
  <c r="AP123" i="1"/>
  <c r="AQ123" i="1" s="1"/>
  <c r="AR123" i="1" s="1"/>
  <c r="BE122" i="1"/>
  <c r="AX122" i="1"/>
  <c r="AP122" i="1"/>
  <c r="AQ122" i="1" s="1"/>
  <c r="AR122" i="1" s="1"/>
  <c r="BE121" i="1"/>
  <c r="AX121" i="1"/>
  <c r="AP121" i="1"/>
  <c r="AQ121" i="1" s="1"/>
  <c r="AR121" i="1" s="1"/>
  <c r="BE120" i="1"/>
  <c r="AX120" i="1"/>
  <c r="AP120" i="1"/>
  <c r="AQ120" i="1" s="1"/>
  <c r="AR120" i="1" s="1"/>
  <c r="BE119" i="1"/>
  <c r="AX119" i="1"/>
  <c r="AP119" i="1"/>
  <c r="AQ119" i="1" s="1"/>
  <c r="AR119" i="1" s="1"/>
  <c r="BE118" i="1"/>
  <c r="AX118" i="1"/>
  <c r="AP118" i="1"/>
  <c r="AQ118" i="1" s="1"/>
  <c r="AR118" i="1" s="1"/>
  <c r="BE117" i="1"/>
  <c r="AX117" i="1"/>
  <c r="AP117" i="1"/>
  <c r="AQ117" i="1" s="1"/>
  <c r="AR117" i="1" s="1"/>
  <c r="BE116" i="1"/>
  <c r="AX116" i="1"/>
  <c r="AP116" i="1"/>
  <c r="AQ116" i="1" s="1"/>
  <c r="AR116" i="1" s="1"/>
  <c r="BE115" i="1"/>
  <c r="AX115" i="1"/>
  <c r="AP115" i="1"/>
  <c r="AQ115" i="1" s="1"/>
  <c r="AR115" i="1" s="1"/>
  <c r="BE114" i="1"/>
  <c r="AX114" i="1"/>
  <c r="AP114" i="1"/>
  <c r="AQ114" i="1" s="1"/>
  <c r="AR114" i="1" s="1"/>
  <c r="BE113" i="1"/>
  <c r="AX113" i="1"/>
  <c r="AP113" i="1"/>
  <c r="AQ113" i="1" s="1"/>
  <c r="AR113" i="1" s="1"/>
  <c r="BE112" i="1"/>
  <c r="AX112" i="1"/>
  <c r="AP112" i="1"/>
  <c r="AQ112" i="1" s="1"/>
  <c r="AR112" i="1" s="1"/>
  <c r="BE111" i="1"/>
  <c r="AX111" i="1"/>
  <c r="AP111" i="1"/>
  <c r="AQ111" i="1" s="1"/>
  <c r="AR111" i="1" s="1"/>
  <c r="BE110" i="1"/>
  <c r="AX110" i="1"/>
  <c r="AP110" i="1"/>
  <c r="AQ110" i="1" s="1"/>
  <c r="AR110" i="1" s="1"/>
  <c r="BE109" i="1"/>
  <c r="AX109" i="1"/>
  <c r="AP109" i="1"/>
  <c r="AQ109" i="1" s="1"/>
  <c r="AR109" i="1" s="1"/>
  <c r="BE108" i="1"/>
  <c r="AX108" i="1"/>
  <c r="AP108" i="1"/>
  <c r="AQ108" i="1" s="1"/>
  <c r="AR108" i="1" s="1"/>
  <c r="BE107" i="1"/>
  <c r="AX107" i="1"/>
  <c r="AP107" i="1"/>
  <c r="AQ107" i="1" s="1"/>
  <c r="AR107" i="1" s="1"/>
  <c r="BE106" i="1"/>
  <c r="AX106" i="1"/>
  <c r="AP106" i="1"/>
  <c r="AQ106" i="1" s="1"/>
  <c r="AR106" i="1" s="1"/>
  <c r="BE105" i="1"/>
  <c r="AX105" i="1"/>
  <c r="AP105" i="1"/>
  <c r="AQ105" i="1" s="1"/>
  <c r="AR105" i="1" s="1"/>
  <c r="BE104" i="1"/>
  <c r="AX104" i="1"/>
  <c r="AP104" i="1"/>
  <c r="AQ104" i="1" s="1"/>
  <c r="AR104" i="1" s="1"/>
  <c r="BE103" i="1"/>
  <c r="AX103" i="1"/>
  <c r="AP103" i="1"/>
  <c r="AQ103" i="1" s="1"/>
  <c r="AR103" i="1" s="1"/>
  <c r="BE102" i="1"/>
  <c r="AX102" i="1"/>
  <c r="AP102" i="1"/>
  <c r="AQ102" i="1" s="1"/>
  <c r="AR102" i="1" s="1"/>
  <c r="BE101" i="1"/>
  <c r="AX101" i="1"/>
  <c r="AP101" i="1"/>
  <c r="AQ101" i="1" s="1"/>
  <c r="AR101" i="1" s="1"/>
  <c r="BE100" i="1"/>
  <c r="AX100" i="1"/>
  <c r="AP100" i="1"/>
  <c r="AQ100" i="1" s="1"/>
  <c r="AR100" i="1" s="1"/>
  <c r="BE99" i="1"/>
  <c r="AX99" i="1"/>
  <c r="AP99" i="1"/>
  <c r="AQ99" i="1" s="1"/>
  <c r="AR99" i="1" s="1"/>
  <c r="BE98" i="1"/>
  <c r="AX98" i="1"/>
  <c r="AP98" i="1"/>
  <c r="AQ98" i="1" s="1"/>
  <c r="AR98" i="1" s="1"/>
  <c r="BE97" i="1"/>
  <c r="AX97" i="1"/>
  <c r="AP97" i="1"/>
  <c r="AQ97" i="1" s="1"/>
  <c r="AR97" i="1" s="1"/>
  <c r="BE96" i="1"/>
  <c r="AX96" i="1"/>
  <c r="AP96" i="1"/>
  <c r="AQ96" i="1" s="1"/>
  <c r="AR96" i="1" s="1"/>
  <c r="BE95" i="1"/>
  <c r="AX95" i="1"/>
  <c r="AP95" i="1"/>
  <c r="AQ95" i="1" s="1"/>
  <c r="AR95" i="1" s="1"/>
  <c r="BE94" i="1"/>
  <c r="AX94" i="1"/>
  <c r="AP94" i="1"/>
  <c r="AQ94" i="1" s="1"/>
  <c r="AR94" i="1" s="1"/>
  <c r="BE93" i="1"/>
  <c r="AX93" i="1"/>
  <c r="AP93" i="1"/>
  <c r="AQ93" i="1" s="1"/>
  <c r="AR93" i="1" s="1"/>
  <c r="BE92" i="1"/>
  <c r="AX92" i="1"/>
  <c r="AP92" i="1"/>
  <c r="AQ92" i="1" s="1"/>
  <c r="AR92" i="1" s="1"/>
  <c r="BE91" i="1"/>
  <c r="AX91" i="1"/>
  <c r="AP91" i="1"/>
  <c r="AQ91" i="1" s="1"/>
  <c r="AR91" i="1" s="1"/>
  <c r="BE90" i="1"/>
  <c r="AX90" i="1"/>
  <c r="AP90" i="1"/>
  <c r="AQ90" i="1" s="1"/>
  <c r="AR90" i="1" s="1"/>
  <c r="BE89" i="1"/>
  <c r="AX89" i="1"/>
  <c r="AP89" i="1"/>
  <c r="AQ89" i="1" s="1"/>
  <c r="AR89" i="1" s="1"/>
  <c r="BE88" i="1"/>
  <c r="AX88" i="1"/>
  <c r="AP88" i="1"/>
  <c r="AQ88" i="1" s="1"/>
  <c r="AR88" i="1" s="1"/>
  <c r="BE87" i="1"/>
  <c r="AX87" i="1"/>
  <c r="AP87" i="1"/>
  <c r="AQ87" i="1" s="1"/>
  <c r="AR87" i="1" s="1"/>
  <c r="BE86" i="1"/>
  <c r="AX86" i="1"/>
  <c r="AP86" i="1"/>
  <c r="AQ86" i="1" s="1"/>
  <c r="AR86" i="1" s="1"/>
  <c r="BE85" i="1"/>
  <c r="AX85" i="1"/>
  <c r="AP85" i="1"/>
  <c r="AQ85" i="1" s="1"/>
  <c r="AR85" i="1" s="1"/>
  <c r="BE84" i="1"/>
  <c r="AX84" i="1"/>
  <c r="AP84" i="1"/>
  <c r="AQ84" i="1" s="1"/>
  <c r="AR84" i="1" s="1"/>
  <c r="BE83" i="1"/>
  <c r="AX83" i="1"/>
  <c r="AP83" i="1"/>
  <c r="AQ83" i="1" s="1"/>
  <c r="AR83" i="1" s="1"/>
  <c r="BE82" i="1"/>
  <c r="AX82" i="1"/>
  <c r="AP82" i="1"/>
  <c r="AQ82" i="1" s="1"/>
  <c r="AR82" i="1" s="1"/>
  <c r="BE81" i="1"/>
  <c r="AX81" i="1"/>
  <c r="AP81" i="1"/>
  <c r="AQ81" i="1" s="1"/>
  <c r="AR81" i="1" s="1"/>
  <c r="BE80" i="1"/>
  <c r="AX80" i="1"/>
  <c r="AP80" i="1"/>
  <c r="AQ80" i="1" s="1"/>
  <c r="AR80" i="1" s="1"/>
  <c r="BE79" i="1"/>
  <c r="AX79" i="1"/>
  <c r="AP79" i="1"/>
  <c r="AQ79" i="1" s="1"/>
  <c r="AR79" i="1" s="1"/>
  <c r="BE78" i="1"/>
  <c r="AX78" i="1"/>
  <c r="AP78" i="1"/>
  <c r="AQ78" i="1" s="1"/>
  <c r="AR78" i="1" s="1"/>
  <c r="BE77" i="1"/>
  <c r="AX77" i="1"/>
  <c r="AP77" i="1"/>
  <c r="AQ77" i="1" s="1"/>
  <c r="AR77" i="1" s="1"/>
  <c r="BE76" i="1"/>
  <c r="AX76" i="1"/>
  <c r="AP76" i="1"/>
  <c r="AQ76" i="1" s="1"/>
  <c r="AR76" i="1" s="1"/>
  <c r="BE75" i="1"/>
  <c r="AX75" i="1"/>
  <c r="AP75" i="1"/>
  <c r="AQ75" i="1" s="1"/>
  <c r="AR75" i="1" s="1"/>
  <c r="BE74" i="1"/>
  <c r="AX74" i="1"/>
  <c r="AP74" i="1"/>
  <c r="AQ74" i="1" s="1"/>
  <c r="AR74" i="1" s="1"/>
  <c r="BE73" i="1"/>
  <c r="AX73" i="1"/>
  <c r="AP73" i="1"/>
  <c r="AQ73" i="1" s="1"/>
  <c r="AR73" i="1" s="1"/>
  <c r="BE72" i="1"/>
  <c r="AX72" i="1"/>
  <c r="AP72" i="1"/>
  <c r="AQ72" i="1" s="1"/>
  <c r="AR72" i="1" s="1"/>
  <c r="BE71" i="1"/>
  <c r="AX71" i="1"/>
  <c r="AP71" i="1"/>
  <c r="AQ71" i="1" s="1"/>
  <c r="AR71" i="1" s="1"/>
  <c r="BE70" i="1"/>
  <c r="AX70" i="1"/>
  <c r="AP70" i="1"/>
  <c r="AQ70" i="1" s="1"/>
  <c r="AR70" i="1" s="1"/>
  <c r="BE69" i="1"/>
  <c r="AX69" i="1"/>
  <c r="AP69" i="1"/>
  <c r="AQ69" i="1" s="1"/>
  <c r="AR69" i="1" s="1"/>
  <c r="BE68" i="1"/>
  <c r="AX68" i="1"/>
  <c r="AP68" i="1"/>
  <c r="AQ68" i="1" s="1"/>
  <c r="AR68" i="1" s="1"/>
  <c r="BE67" i="1"/>
  <c r="AX67" i="1"/>
  <c r="AP67" i="1"/>
  <c r="AQ67" i="1" s="1"/>
  <c r="AR67" i="1" s="1"/>
  <c r="BE66" i="1"/>
  <c r="AX66" i="1"/>
  <c r="AP66" i="1"/>
  <c r="AQ66" i="1" s="1"/>
  <c r="AR66" i="1" s="1"/>
  <c r="BE65" i="1"/>
  <c r="AX65" i="1"/>
  <c r="AP65" i="1"/>
  <c r="AQ65" i="1" s="1"/>
  <c r="AR65" i="1" s="1"/>
  <c r="BE64" i="1"/>
  <c r="AX64" i="1"/>
  <c r="AP64" i="1"/>
  <c r="AQ64" i="1" s="1"/>
  <c r="AR64" i="1" s="1"/>
  <c r="BE63" i="1"/>
  <c r="AX63" i="1"/>
  <c r="AP63" i="1"/>
  <c r="AQ63" i="1" s="1"/>
  <c r="AR63" i="1" s="1"/>
  <c r="BE62" i="1"/>
  <c r="AX62" i="1"/>
  <c r="AP62" i="1"/>
  <c r="AQ62" i="1" s="1"/>
  <c r="AR62" i="1" s="1"/>
  <c r="BE61" i="1"/>
  <c r="AX61" i="1"/>
  <c r="AP61" i="1"/>
  <c r="AQ61" i="1" s="1"/>
  <c r="AR61" i="1" s="1"/>
  <c r="BE60" i="1"/>
  <c r="AX60" i="1"/>
  <c r="AP60" i="1"/>
  <c r="AQ60" i="1" s="1"/>
  <c r="AR60" i="1" s="1"/>
  <c r="BE59" i="1"/>
  <c r="AX59" i="1"/>
  <c r="AP59" i="1"/>
  <c r="AQ59" i="1" s="1"/>
  <c r="AR59" i="1" s="1"/>
  <c r="BE58" i="1"/>
  <c r="AX58" i="1"/>
  <c r="AP58" i="1"/>
  <c r="AQ58" i="1" s="1"/>
  <c r="AR58" i="1" s="1"/>
  <c r="BE57" i="1"/>
  <c r="AX57" i="1"/>
  <c r="AP57" i="1"/>
  <c r="AQ57" i="1" s="1"/>
  <c r="AR57" i="1" s="1"/>
  <c r="BE56" i="1"/>
  <c r="AX56" i="1"/>
  <c r="AP56" i="1"/>
  <c r="AQ56" i="1" s="1"/>
  <c r="AR56" i="1" s="1"/>
  <c r="BE55" i="1"/>
  <c r="AX55" i="1"/>
  <c r="AP55" i="1"/>
  <c r="AQ55" i="1" s="1"/>
  <c r="AR55" i="1" s="1"/>
  <c r="BE54" i="1"/>
  <c r="AX54" i="1"/>
  <c r="AP54" i="1"/>
  <c r="AQ54" i="1" s="1"/>
  <c r="AR54" i="1" s="1"/>
  <c r="BE53" i="1"/>
  <c r="AX53" i="1"/>
  <c r="AP53" i="1"/>
  <c r="AQ53" i="1" s="1"/>
  <c r="AR53" i="1" s="1"/>
  <c r="BE52" i="1"/>
  <c r="AX52" i="1"/>
  <c r="AP52" i="1"/>
  <c r="AQ52" i="1" s="1"/>
  <c r="AR52" i="1" s="1"/>
  <c r="BE51" i="1"/>
  <c r="AX51" i="1"/>
  <c r="AP51" i="1"/>
  <c r="AQ51" i="1" s="1"/>
  <c r="AR51" i="1" s="1"/>
  <c r="BE50" i="1"/>
  <c r="AX50" i="1"/>
  <c r="AP50" i="1"/>
  <c r="AQ50" i="1" s="1"/>
  <c r="AR50" i="1" s="1"/>
  <c r="BE49" i="1"/>
  <c r="AX49" i="1"/>
  <c r="AP49" i="1"/>
  <c r="AQ49" i="1" s="1"/>
  <c r="AR49" i="1" s="1"/>
  <c r="BE48" i="1"/>
  <c r="AX48" i="1"/>
  <c r="AP48" i="1"/>
  <c r="AQ48" i="1" s="1"/>
  <c r="AR48" i="1" s="1"/>
  <c r="BE47" i="1"/>
  <c r="AX47" i="1"/>
  <c r="AP47" i="1"/>
  <c r="AQ47" i="1" s="1"/>
  <c r="AR47" i="1" s="1"/>
  <c r="BE46" i="1"/>
  <c r="AX46" i="1"/>
  <c r="AP46" i="1"/>
  <c r="AQ46" i="1" s="1"/>
  <c r="AR46" i="1" s="1"/>
  <c r="BE45" i="1"/>
  <c r="AX45" i="1"/>
  <c r="AP45" i="1"/>
  <c r="AQ45" i="1" s="1"/>
  <c r="AR45" i="1" s="1"/>
  <c r="BE44" i="1"/>
  <c r="AX44" i="1"/>
  <c r="AP44" i="1"/>
  <c r="AQ44" i="1" s="1"/>
  <c r="AR44" i="1" s="1"/>
  <c r="BE43" i="1"/>
  <c r="AX43" i="1"/>
  <c r="AP43" i="1"/>
  <c r="AQ43" i="1" s="1"/>
  <c r="AR43" i="1" s="1"/>
  <c r="BE42" i="1"/>
  <c r="AX42" i="1"/>
  <c r="AP42" i="1"/>
  <c r="AQ42" i="1" s="1"/>
  <c r="AR42" i="1" s="1"/>
  <c r="BE41" i="1"/>
  <c r="AX41" i="1"/>
  <c r="AP41" i="1"/>
  <c r="AQ41" i="1" s="1"/>
  <c r="AR41" i="1" s="1"/>
  <c r="BE40" i="1"/>
  <c r="AX40" i="1"/>
  <c r="AP40" i="1"/>
  <c r="AQ40" i="1" s="1"/>
  <c r="AR40" i="1" s="1"/>
  <c r="BE39" i="1"/>
  <c r="AX39" i="1"/>
  <c r="AP39" i="1"/>
  <c r="AQ39" i="1" s="1"/>
  <c r="AR39" i="1" s="1"/>
  <c r="BE38" i="1"/>
  <c r="AX38" i="1"/>
  <c r="AP38" i="1"/>
  <c r="AQ38" i="1" s="1"/>
  <c r="AR38" i="1" s="1"/>
  <c r="BE37" i="1"/>
  <c r="AX37" i="1"/>
  <c r="AP37" i="1"/>
  <c r="AQ37" i="1" s="1"/>
  <c r="AR37" i="1" s="1"/>
  <c r="BE36" i="1"/>
  <c r="AX36" i="1"/>
  <c r="AP36" i="1"/>
  <c r="AQ36" i="1" s="1"/>
  <c r="AR36" i="1" s="1"/>
  <c r="BE35" i="1"/>
  <c r="AX35" i="1"/>
  <c r="AP35" i="1"/>
  <c r="AQ35" i="1" s="1"/>
  <c r="AR35" i="1" s="1"/>
  <c r="BE34" i="1"/>
  <c r="AX34" i="1"/>
  <c r="AP34" i="1"/>
  <c r="AQ34" i="1" s="1"/>
  <c r="AR34" i="1" s="1"/>
  <c r="BE33" i="1"/>
  <c r="AX33" i="1"/>
  <c r="AP33" i="1"/>
  <c r="AQ33" i="1" s="1"/>
  <c r="AR33" i="1" s="1"/>
  <c r="BE32" i="1"/>
  <c r="AX32" i="1"/>
  <c r="AP32" i="1"/>
  <c r="AQ32" i="1" s="1"/>
  <c r="AR32" i="1" s="1"/>
  <c r="BE31" i="1"/>
  <c r="AX31" i="1"/>
  <c r="AP31" i="1"/>
  <c r="AQ31" i="1" s="1"/>
  <c r="AR31" i="1" s="1"/>
  <c r="BE30" i="1"/>
  <c r="AX30" i="1"/>
  <c r="AP30" i="1"/>
  <c r="AQ30" i="1" s="1"/>
  <c r="AR30" i="1" s="1"/>
  <c r="BE29" i="1"/>
  <c r="AX29" i="1"/>
  <c r="AP29" i="1"/>
  <c r="AQ29" i="1" s="1"/>
  <c r="AR29" i="1" s="1"/>
  <c r="BE28" i="1"/>
  <c r="AX28" i="1"/>
  <c r="AP28" i="1"/>
  <c r="AQ28" i="1" s="1"/>
  <c r="AR28" i="1" s="1"/>
  <c r="BE27" i="1"/>
  <c r="AX27" i="1"/>
  <c r="AP27" i="1"/>
  <c r="AQ27" i="1" s="1"/>
  <c r="AR27" i="1" s="1"/>
  <c r="BE26" i="1"/>
  <c r="AX26" i="1"/>
  <c r="AP26" i="1"/>
  <c r="AQ26" i="1" s="1"/>
  <c r="AR26" i="1" s="1"/>
  <c r="BE25" i="1"/>
  <c r="AX25" i="1"/>
  <c r="AP25" i="1"/>
  <c r="AQ25" i="1" s="1"/>
  <c r="AR25" i="1" s="1"/>
  <c r="BE24" i="1"/>
  <c r="AX24" i="1"/>
  <c r="AP24" i="1"/>
  <c r="AQ24" i="1" s="1"/>
  <c r="AR24" i="1" s="1"/>
  <c r="BE23" i="1"/>
  <c r="AX23" i="1"/>
  <c r="AP23" i="1"/>
  <c r="AQ23" i="1" s="1"/>
  <c r="AR23" i="1" s="1"/>
  <c r="BE22" i="1"/>
  <c r="AX22" i="1"/>
  <c r="AP22" i="1"/>
  <c r="AQ22" i="1" s="1"/>
  <c r="AR22" i="1" s="1"/>
  <c r="AX21" i="1"/>
  <c r="BE21" i="1"/>
  <c r="AP21" i="1"/>
  <c r="AQ21" i="1" s="1"/>
  <c r="AR21" i="1" s="1"/>
  <c r="BE20" i="1"/>
  <c r="AX20" i="1"/>
  <c r="AP20" i="1"/>
  <c r="AQ20" i="1" s="1"/>
  <c r="AR20" i="1" s="1"/>
  <c r="AX19" i="1"/>
  <c r="BE19" i="1"/>
  <c r="AP19" i="1"/>
  <c r="AQ19" i="1" s="1"/>
  <c r="AR19" i="1" s="1"/>
  <c r="BE18" i="1"/>
  <c r="AX18" i="1"/>
  <c r="AP18" i="1"/>
  <c r="AQ18" i="1" s="1"/>
  <c r="AR18" i="1" s="1"/>
  <c r="AX17" i="1"/>
  <c r="BE17" i="1"/>
  <c r="AP17" i="1"/>
  <c r="AQ17" i="1" s="1"/>
  <c r="AR17" i="1" s="1"/>
  <c r="BI153" i="1"/>
  <c r="BF153" i="1"/>
  <c r="BG153" i="1" s="1"/>
  <c r="BH153" i="1" s="1"/>
  <c r="BJ153" i="1"/>
  <c r="BB153" i="1"/>
  <c r="AT153" i="1"/>
  <c r="AO153" i="1"/>
  <c r="AW153" i="1"/>
  <c r="BA153" i="1"/>
  <c r="AS153" i="1"/>
  <c r="AG153" i="1"/>
  <c r="AH153" i="1"/>
  <c r="AI153" i="1" s="1"/>
  <c r="BI152" i="1"/>
  <c r="BF152" i="1"/>
  <c r="BG152" i="1" s="1"/>
  <c r="BH152" i="1" s="1"/>
  <c r="BJ152" i="1"/>
  <c r="AW152" i="1"/>
  <c r="BA152" i="1"/>
  <c r="AS152" i="1"/>
  <c r="BB152" i="1"/>
  <c r="AT152" i="1"/>
  <c r="AO152" i="1"/>
  <c r="AH152" i="1"/>
  <c r="AI152" i="1" s="1"/>
  <c r="AG152" i="1"/>
  <c r="BI151" i="1"/>
  <c r="BF151" i="1"/>
  <c r="BG151" i="1" s="1"/>
  <c r="BH151" i="1" s="1"/>
  <c r="BJ151" i="1"/>
  <c r="BB151" i="1"/>
  <c r="AS151" i="1"/>
  <c r="AO151" i="1"/>
  <c r="AW151" i="1"/>
  <c r="BA151" i="1"/>
  <c r="AT151" i="1"/>
  <c r="AG151" i="1"/>
  <c r="AH151" i="1"/>
  <c r="AI151" i="1" s="1"/>
  <c r="BI150" i="1"/>
  <c r="BF150" i="1"/>
  <c r="BG150" i="1" s="1"/>
  <c r="BH150" i="1" s="1"/>
  <c r="BJ150" i="1"/>
  <c r="AW150" i="1"/>
  <c r="BA150" i="1"/>
  <c r="AT150" i="1"/>
  <c r="BB150" i="1"/>
  <c r="AS150" i="1"/>
  <c r="AO150" i="1"/>
  <c r="AH150" i="1"/>
  <c r="AI150" i="1" s="1"/>
  <c r="AG150" i="1"/>
  <c r="BI149" i="1"/>
  <c r="BF149" i="1"/>
  <c r="BG149" i="1" s="1"/>
  <c r="BH149" i="1" s="1"/>
  <c r="BJ149" i="1"/>
  <c r="AW149" i="1"/>
  <c r="BA149" i="1"/>
  <c r="AT149" i="1"/>
  <c r="AO149" i="1"/>
  <c r="BB149" i="1"/>
  <c r="AS149" i="1"/>
  <c r="AG149" i="1"/>
  <c r="AH149" i="1"/>
  <c r="AI149" i="1" s="1"/>
  <c r="BI148" i="1"/>
  <c r="BF148" i="1"/>
  <c r="BG148" i="1" s="1"/>
  <c r="BH148" i="1" s="1"/>
  <c r="BJ148" i="1"/>
  <c r="BB148" i="1"/>
  <c r="AW148" i="1"/>
  <c r="BA148" i="1"/>
  <c r="AS148" i="1"/>
  <c r="AT148" i="1"/>
  <c r="AO148" i="1"/>
  <c r="AH148" i="1"/>
  <c r="AI148" i="1" s="1"/>
  <c r="AG148" i="1"/>
  <c r="BI147" i="1"/>
  <c r="BF147" i="1"/>
  <c r="BG147" i="1" s="1"/>
  <c r="BH147" i="1" s="1"/>
  <c r="BJ147" i="1"/>
  <c r="AW147" i="1"/>
  <c r="BA147" i="1"/>
  <c r="BB147" i="1"/>
  <c r="AS147" i="1"/>
  <c r="AO147" i="1"/>
  <c r="AT147" i="1"/>
  <c r="AG147" i="1"/>
  <c r="AH147" i="1"/>
  <c r="AI147" i="1" s="1"/>
  <c r="BI146" i="1"/>
  <c r="BF146" i="1"/>
  <c r="BG146" i="1" s="1"/>
  <c r="BH146" i="1" s="1"/>
  <c r="BJ146" i="1"/>
  <c r="BB146" i="1"/>
  <c r="AW146" i="1"/>
  <c r="BA146" i="1"/>
  <c r="AT146" i="1"/>
  <c r="AS146" i="1"/>
  <c r="AO146" i="1"/>
  <c r="AH146" i="1"/>
  <c r="AI146" i="1" s="1"/>
  <c r="AG146" i="1"/>
  <c r="BI145" i="1"/>
  <c r="BF145" i="1"/>
  <c r="BG145" i="1" s="1"/>
  <c r="BH145" i="1" s="1"/>
  <c r="BJ145" i="1"/>
  <c r="AW145" i="1"/>
  <c r="BA145" i="1"/>
  <c r="BB145" i="1"/>
  <c r="AT145" i="1"/>
  <c r="AO145" i="1"/>
  <c r="AS145" i="1"/>
  <c r="AG145" i="1"/>
  <c r="AH145" i="1"/>
  <c r="AI145" i="1" s="1"/>
  <c r="BI144" i="1"/>
  <c r="BF144" i="1"/>
  <c r="BG144" i="1" s="1"/>
  <c r="BH144" i="1" s="1"/>
  <c r="BJ144" i="1"/>
  <c r="BB144" i="1"/>
  <c r="AW144" i="1"/>
  <c r="BA144" i="1"/>
  <c r="AS144" i="1"/>
  <c r="AT144" i="1"/>
  <c r="AO144" i="1"/>
  <c r="AH144" i="1"/>
  <c r="AI144" i="1" s="1"/>
  <c r="AG144" i="1"/>
  <c r="BI143" i="1"/>
  <c r="BF143" i="1"/>
  <c r="BG143" i="1" s="1"/>
  <c r="BH143" i="1" s="1"/>
  <c r="BJ143" i="1"/>
  <c r="AW143" i="1"/>
  <c r="BA143" i="1"/>
  <c r="BB143" i="1"/>
  <c r="AS143" i="1"/>
  <c r="AO143" i="1"/>
  <c r="AT143" i="1"/>
  <c r="AG143" i="1"/>
  <c r="AH143" i="1"/>
  <c r="AI143" i="1" s="1"/>
  <c r="BI142" i="1"/>
  <c r="BF142" i="1"/>
  <c r="BG142" i="1" s="1"/>
  <c r="BH142" i="1" s="1"/>
  <c r="BJ142" i="1"/>
  <c r="BB142" i="1"/>
  <c r="AW142" i="1"/>
  <c r="BA142" i="1"/>
  <c r="AT142" i="1"/>
  <c r="AS142" i="1"/>
  <c r="AO142" i="1"/>
  <c r="AH142" i="1"/>
  <c r="AI142" i="1" s="1"/>
  <c r="AG142" i="1"/>
  <c r="BI141" i="1"/>
  <c r="BF141" i="1"/>
  <c r="BG141" i="1" s="1"/>
  <c r="BH141" i="1" s="1"/>
  <c r="BJ141" i="1"/>
  <c r="AW141" i="1"/>
  <c r="BA141" i="1"/>
  <c r="BB141" i="1"/>
  <c r="AT141" i="1"/>
  <c r="AO141" i="1"/>
  <c r="AS141" i="1"/>
  <c r="AG141" i="1"/>
  <c r="AH141" i="1"/>
  <c r="AI141" i="1" s="1"/>
  <c r="BI140" i="1"/>
  <c r="BF140" i="1"/>
  <c r="BG140" i="1" s="1"/>
  <c r="BH140" i="1" s="1"/>
  <c r="BJ140" i="1"/>
  <c r="BB140" i="1"/>
  <c r="AW140" i="1"/>
  <c r="BA140" i="1"/>
  <c r="AS140" i="1"/>
  <c r="AT140" i="1"/>
  <c r="AO140" i="1"/>
  <c r="AH140" i="1"/>
  <c r="AI140" i="1" s="1"/>
  <c r="AG140" i="1"/>
  <c r="BI139" i="1"/>
  <c r="BF139" i="1"/>
  <c r="BG139" i="1" s="1"/>
  <c r="BH139" i="1" s="1"/>
  <c r="BJ139" i="1"/>
  <c r="AW139" i="1"/>
  <c r="BA139" i="1"/>
  <c r="BB139" i="1"/>
  <c r="AS139" i="1"/>
  <c r="AO139" i="1"/>
  <c r="AT139" i="1"/>
  <c r="AG139" i="1"/>
  <c r="AH139" i="1"/>
  <c r="AI139" i="1" s="1"/>
  <c r="BI138" i="1"/>
  <c r="BF138" i="1"/>
  <c r="BG138" i="1" s="1"/>
  <c r="BH138" i="1" s="1"/>
  <c r="BJ138" i="1"/>
  <c r="BB138" i="1"/>
  <c r="AW138" i="1"/>
  <c r="BA138" i="1"/>
  <c r="AT138" i="1"/>
  <c r="AS138" i="1"/>
  <c r="AO138" i="1"/>
  <c r="AH138" i="1"/>
  <c r="AI138" i="1" s="1"/>
  <c r="AG138" i="1"/>
  <c r="BI137" i="1"/>
  <c r="BF137" i="1"/>
  <c r="BG137" i="1" s="1"/>
  <c r="BH137" i="1" s="1"/>
  <c r="BJ137" i="1"/>
  <c r="AW137" i="1"/>
  <c r="BA137" i="1"/>
  <c r="BB137" i="1"/>
  <c r="AT137" i="1"/>
  <c r="AO137" i="1"/>
  <c r="AS137" i="1"/>
  <c r="AG137" i="1"/>
  <c r="AH137" i="1"/>
  <c r="AI137" i="1" s="1"/>
  <c r="BI136" i="1"/>
  <c r="BF136" i="1"/>
  <c r="BG136" i="1" s="1"/>
  <c r="BH136" i="1" s="1"/>
  <c r="BJ136" i="1"/>
  <c r="BB136" i="1"/>
  <c r="AW136" i="1"/>
  <c r="BA136" i="1"/>
  <c r="AS136" i="1"/>
  <c r="AT136" i="1"/>
  <c r="AO136" i="1"/>
  <c r="AH136" i="1"/>
  <c r="AI136" i="1" s="1"/>
  <c r="AG136" i="1"/>
  <c r="BI135" i="1"/>
  <c r="BF135" i="1"/>
  <c r="BG135" i="1" s="1"/>
  <c r="BH135" i="1" s="1"/>
  <c r="BJ135" i="1"/>
  <c r="AW135" i="1"/>
  <c r="BA135" i="1"/>
  <c r="BB135" i="1"/>
  <c r="AS135" i="1"/>
  <c r="AO135" i="1"/>
  <c r="AT135" i="1"/>
  <c r="AG135" i="1"/>
  <c r="AH135" i="1"/>
  <c r="AI135" i="1" s="1"/>
  <c r="BI134" i="1"/>
  <c r="BF134" i="1"/>
  <c r="BG134" i="1" s="1"/>
  <c r="BH134" i="1" s="1"/>
  <c r="BJ134" i="1"/>
  <c r="BB134" i="1"/>
  <c r="AW134" i="1"/>
  <c r="BA134" i="1"/>
  <c r="AT134" i="1"/>
  <c r="AS134" i="1"/>
  <c r="AO134" i="1"/>
  <c r="AH134" i="1"/>
  <c r="AI134" i="1" s="1"/>
  <c r="AG134" i="1"/>
  <c r="BI133" i="1"/>
  <c r="BF133" i="1"/>
  <c r="BG133" i="1" s="1"/>
  <c r="BH133" i="1" s="1"/>
  <c r="BJ133" i="1"/>
  <c r="AW133" i="1"/>
  <c r="BA133" i="1"/>
  <c r="BB133" i="1"/>
  <c r="AT133" i="1"/>
  <c r="AO133" i="1"/>
  <c r="AS133" i="1"/>
  <c r="AG133" i="1"/>
  <c r="AH133" i="1"/>
  <c r="AI133" i="1" s="1"/>
  <c r="BI132" i="1"/>
  <c r="BF132" i="1"/>
  <c r="BG132" i="1" s="1"/>
  <c r="BH132" i="1" s="1"/>
  <c r="BJ132" i="1"/>
  <c r="BB132" i="1"/>
  <c r="AW132" i="1"/>
  <c r="BA132" i="1"/>
  <c r="AS132" i="1"/>
  <c r="AT132" i="1"/>
  <c r="AO132" i="1"/>
  <c r="AH132" i="1"/>
  <c r="AI132" i="1" s="1"/>
  <c r="AG132" i="1"/>
  <c r="BI131" i="1"/>
  <c r="BF131" i="1"/>
  <c r="BG131" i="1" s="1"/>
  <c r="BH131" i="1" s="1"/>
  <c r="BJ131" i="1"/>
  <c r="AW131" i="1"/>
  <c r="BA131" i="1"/>
  <c r="BB131" i="1"/>
  <c r="AS131" i="1"/>
  <c r="AO131" i="1"/>
  <c r="AT131" i="1"/>
  <c r="AG131" i="1"/>
  <c r="AH131" i="1"/>
  <c r="AI131" i="1" s="1"/>
  <c r="BI130" i="1"/>
  <c r="BF130" i="1"/>
  <c r="BG130" i="1" s="1"/>
  <c r="BH130" i="1" s="1"/>
  <c r="BJ130" i="1"/>
  <c r="BB130" i="1"/>
  <c r="AW130" i="1"/>
  <c r="BA130" i="1"/>
  <c r="AT130" i="1"/>
  <c r="AS130" i="1"/>
  <c r="AO130" i="1"/>
  <c r="AH130" i="1"/>
  <c r="AI130" i="1" s="1"/>
  <c r="AG130" i="1"/>
  <c r="BI129" i="1"/>
  <c r="BF129" i="1"/>
  <c r="BG129" i="1" s="1"/>
  <c r="BH129" i="1" s="1"/>
  <c r="BJ129" i="1"/>
  <c r="AW129" i="1"/>
  <c r="BA129" i="1"/>
  <c r="BB129" i="1"/>
  <c r="AT129" i="1"/>
  <c r="AO129" i="1"/>
  <c r="AS129" i="1"/>
  <c r="AG129" i="1"/>
  <c r="AH129" i="1"/>
  <c r="AI129" i="1" s="1"/>
  <c r="BI128" i="1"/>
  <c r="BF128" i="1"/>
  <c r="BG128" i="1" s="1"/>
  <c r="BH128" i="1" s="1"/>
  <c r="BJ128" i="1"/>
  <c r="BB128" i="1"/>
  <c r="AW128" i="1"/>
  <c r="BA128" i="1"/>
  <c r="AS128" i="1"/>
  <c r="AT128" i="1"/>
  <c r="AO128" i="1"/>
  <c r="AH128" i="1"/>
  <c r="AI128" i="1" s="1"/>
  <c r="AG128" i="1"/>
  <c r="BI127" i="1"/>
  <c r="BF127" i="1"/>
  <c r="BG127" i="1" s="1"/>
  <c r="BH127" i="1" s="1"/>
  <c r="BJ127" i="1"/>
  <c r="AW127" i="1"/>
  <c r="BA127" i="1"/>
  <c r="BB127" i="1"/>
  <c r="AS127" i="1"/>
  <c r="AO127" i="1"/>
  <c r="AT127" i="1"/>
  <c r="AG127" i="1"/>
  <c r="AH127" i="1"/>
  <c r="AI127" i="1" s="1"/>
  <c r="BI126" i="1"/>
  <c r="BF126" i="1"/>
  <c r="BG126" i="1" s="1"/>
  <c r="BH126" i="1" s="1"/>
  <c r="BJ126" i="1"/>
  <c r="BB126" i="1"/>
  <c r="AW126" i="1"/>
  <c r="BA126" i="1"/>
  <c r="AT126" i="1"/>
  <c r="AS126" i="1"/>
  <c r="AO126" i="1"/>
  <c r="AH126" i="1"/>
  <c r="AI126" i="1" s="1"/>
  <c r="AG126" i="1"/>
  <c r="BI125" i="1"/>
  <c r="BF125" i="1"/>
  <c r="BG125" i="1" s="1"/>
  <c r="BH125" i="1" s="1"/>
  <c r="BJ125" i="1"/>
  <c r="AW125" i="1"/>
  <c r="BA125" i="1"/>
  <c r="BB125" i="1"/>
  <c r="AT125" i="1"/>
  <c r="AO125" i="1"/>
  <c r="AS125" i="1"/>
  <c r="AG125" i="1"/>
  <c r="AH125" i="1"/>
  <c r="AI125" i="1" s="1"/>
  <c r="BI124" i="1"/>
  <c r="BF124" i="1"/>
  <c r="BG124" i="1" s="1"/>
  <c r="BH124" i="1" s="1"/>
  <c r="BJ124" i="1"/>
  <c r="BB124" i="1"/>
  <c r="AW124" i="1"/>
  <c r="BA124" i="1"/>
  <c r="AS124" i="1"/>
  <c r="AT124" i="1"/>
  <c r="AO124" i="1"/>
  <c r="AH124" i="1"/>
  <c r="AI124" i="1" s="1"/>
  <c r="AG124" i="1"/>
  <c r="BI123" i="1"/>
  <c r="BF123" i="1"/>
  <c r="BG123" i="1" s="1"/>
  <c r="BH123" i="1" s="1"/>
  <c r="BJ123" i="1"/>
  <c r="AW123" i="1"/>
  <c r="BA123" i="1"/>
  <c r="BB123" i="1"/>
  <c r="AS123" i="1"/>
  <c r="AO123" i="1"/>
  <c r="AT123" i="1"/>
  <c r="AG123" i="1"/>
  <c r="AH123" i="1"/>
  <c r="AI123" i="1" s="1"/>
  <c r="BI122" i="1"/>
  <c r="BF122" i="1"/>
  <c r="BG122" i="1" s="1"/>
  <c r="BH122" i="1" s="1"/>
  <c r="BJ122" i="1"/>
  <c r="BB122" i="1"/>
  <c r="AW122" i="1"/>
  <c r="BA122" i="1"/>
  <c r="AT122" i="1"/>
  <c r="AS122" i="1"/>
  <c r="AO122" i="1"/>
  <c r="AH122" i="1"/>
  <c r="AI122" i="1" s="1"/>
  <c r="AG122" i="1"/>
  <c r="BI121" i="1"/>
  <c r="BF121" i="1"/>
  <c r="BG121" i="1" s="1"/>
  <c r="BH121" i="1" s="1"/>
  <c r="BJ121" i="1"/>
  <c r="AW121" i="1"/>
  <c r="BA121" i="1"/>
  <c r="BB121" i="1"/>
  <c r="AT121" i="1"/>
  <c r="AO121" i="1"/>
  <c r="AS121" i="1"/>
  <c r="AG121" i="1"/>
  <c r="AH121" i="1"/>
  <c r="AI121" i="1" s="1"/>
  <c r="BI120" i="1"/>
  <c r="BF120" i="1"/>
  <c r="BG120" i="1" s="1"/>
  <c r="BH120" i="1" s="1"/>
  <c r="BJ120" i="1"/>
  <c r="BB120" i="1"/>
  <c r="AW120" i="1"/>
  <c r="BA120" i="1"/>
  <c r="AS120" i="1"/>
  <c r="AT120" i="1"/>
  <c r="AO120" i="1"/>
  <c r="AH120" i="1"/>
  <c r="AI120" i="1" s="1"/>
  <c r="AG120" i="1"/>
  <c r="BI119" i="1"/>
  <c r="BF119" i="1"/>
  <c r="BG119" i="1" s="1"/>
  <c r="BH119" i="1" s="1"/>
  <c r="BJ119" i="1"/>
  <c r="AW119" i="1"/>
  <c r="BA119" i="1"/>
  <c r="BB119" i="1"/>
  <c r="AS119" i="1"/>
  <c r="AO119" i="1"/>
  <c r="AT119" i="1"/>
  <c r="AG119" i="1"/>
  <c r="AH119" i="1"/>
  <c r="AI119" i="1" s="1"/>
  <c r="BI118" i="1"/>
  <c r="BF118" i="1"/>
  <c r="BG118" i="1" s="1"/>
  <c r="BH118" i="1" s="1"/>
  <c r="BJ118" i="1"/>
  <c r="BB118" i="1"/>
  <c r="AW118" i="1"/>
  <c r="BA118" i="1"/>
  <c r="AT118" i="1"/>
  <c r="AS118" i="1"/>
  <c r="AO118" i="1"/>
  <c r="AH118" i="1"/>
  <c r="AI118" i="1" s="1"/>
  <c r="AG118" i="1"/>
  <c r="BI117" i="1"/>
  <c r="BF117" i="1"/>
  <c r="BG117" i="1" s="1"/>
  <c r="BH117" i="1" s="1"/>
  <c r="BJ117" i="1"/>
  <c r="AW117" i="1"/>
  <c r="BA117" i="1"/>
  <c r="BB117" i="1"/>
  <c r="AT117" i="1"/>
  <c r="AO117" i="1"/>
  <c r="AS117" i="1"/>
  <c r="AG117" i="1"/>
  <c r="AH117" i="1"/>
  <c r="AI117" i="1" s="1"/>
  <c r="BI116" i="1"/>
  <c r="BF116" i="1"/>
  <c r="BG116" i="1" s="1"/>
  <c r="BH116" i="1" s="1"/>
  <c r="BJ116" i="1"/>
  <c r="BB116" i="1"/>
  <c r="AW116" i="1"/>
  <c r="BA116" i="1"/>
  <c r="AS116" i="1"/>
  <c r="AT116" i="1"/>
  <c r="AO116" i="1"/>
  <c r="AH116" i="1"/>
  <c r="AI116" i="1" s="1"/>
  <c r="AG116" i="1"/>
  <c r="BI115" i="1"/>
  <c r="BF115" i="1"/>
  <c r="BG115" i="1" s="1"/>
  <c r="BH115" i="1" s="1"/>
  <c r="BJ115" i="1"/>
  <c r="AW115" i="1"/>
  <c r="BA115" i="1"/>
  <c r="BB115" i="1"/>
  <c r="AS115" i="1"/>
  <c r="AO115" i="1"/>
  <c r="AT115" i="1"/>
  <c r="AG115" i="1"/>
  <c r="AH115" i="1"/>
  <c r="AI115" i="1" s="1"/>
  <c r="BI114" i="1"/>
  <c r="BF114" i="1"/>
  <c r="BG114" i="1" s="1"/>
  <c r="BH114" i="1" s="1"/>
  <c r="BJ114" i="1"/>
  <c r="BB114" i="1"/>
  <c r="AW114" i="1"/>
  <c r="BA114" i="1"/>
  <c r="AT114" i="1"/>
  <c r="AS114" i="1"/>
  <c r="AO114" i="1"/>
  <c r="AH114" i="1"/>
  <c r="AI114" i="1" s="1"/>
  <c r="AG114" i="1"/>
  <c r="BI113" i="1"/>
  <c r="BF113" i="1"/>
  <c r="BG113" i="1" s="1"/>
  <c r="BH113" i="1" s="1"/>
  <c r="BJ113" i="1"/>
  <c r="AW113" i="1"/>
  <c r="BA113" i="1"/>
  <c r="BB113" i="1"/>
  <c r="AT113" i="1"/>
  <c r="AO113" i="1"/>
  <c r="AS113" i="1"/>
  <c r="AG113" i="1"/>
  <c r="AH113" i="1"/>
  <c r="AI113" i="1" s="1"/>
  <c r="BI112" i="1"/>
  <c r="BF112" i="1"/>
  <c r="BG112" i="1" s="1"/>
  <c r="BH112" i="1" s="1"/>
  <c r="BJ112" i="1"/>
  <c r="BB112" i="1"/>
  <c r="AW112" i="1"/>
  <c r="BA112" i="1"/>
  <c r="AS112" i="1"/>
  <c r="AT112" i="1"/>
  <c r="AO112" i="1"/>
  <c r="AH112" i="1"/>
  <c r="AI112" i="1" s="1"/>
  <c r="AG112" i="1"/>
  <c r="BI111" i="1"/>
  <c r="BF111" i="1"/>
  <c r="BG111" i="1" s="1"/>
  <c r="BH111" i="1" s="1"/>
  <c r="BJ111" i="1"/>
  <c r="AW111" i="1"/>
  <c r="BA111" i="1"/>
  <c r="BB111" i="1"/>
  <c r="AS111" i="1"/>
  <c r="AO111" i="1"/>
  <c r="AT111" i="1"/>
  <c r="AG111" i="1"/>
  <c r="AH111" i="1"/>
  <c r="AI111" i="1" s="1"/>
  <c r="BI110" i="1"/>
  <c r="BF110" i="1"/>
  <c r="BG110" i="1" s="1"/>
  <c r="BH110" i="1" s="1"/>
  <c r="BJ110" i="1"/>
  <c r="BB110" i="1"/>
  <c r="AW110" i="1"/>
  <c r="BA110" i="1"/>
  <c r="AT110" i="1"/>
  <c r="AS110" i="1"/>
  <c r="AO110" i="1"/>
  <c r="AH110" i="1"/>
  <c r="AI110" i="1" s="1"/>
  <c r="AG110" i="1"/>
  <c r="BI109" i="1"/>
  <c r="BF109" i="1"/>
  <c r="BG109" i="1" s="1"/>
  <c r="BH109" i="1" s="1"/>
  <c r="BJ109" i="1"/>
  <c r="AW109" i="1"/>
  <c r="BA109" i="1"/>
  <c r="BB109" i="1"/>
  <c r="AT109" i="1"/>
  <c r="AO109" i="1"/>
  <c r="AS109" i="1"/>
  <c r="AG109" i="1"/>
  <c r="AH109" i="1"/>
  <c r="AI109" i="1" s="1"/>
  <c r="BI108" i="1"/>
  <c r="BF108" i="1"/>
  <c r="BG108" i="1" s="1"/>
  <c r="BH108" i="1" s="1"/>
  <c r="BJ108" i="1"/>
  <c r="BB108" i="1"/>
  <c r="AW108" i="1"/>
  <c r="BA108" i="1"/>
  <c r="AS108" i="1"/>
  <c r="AT108" i="1"/>
  <c r="AO108" i="1"/>
  <c r="AH108" i="1"/>
  <c r="AI108" i="1" s="1"/>
  <c r="AG108" i="1"/>
  <c r="BI107" i="1"/>
  <c r="BF107" i="1"/>
  <c r="BG107" i="1" s="1"/>
  <c r="BH107" i="1" s="1"/>
  <c r="BJ107" i="1"/>
  <c r="AW107" i="1"/>
  <c r="BA107" i="1"/>
  <c r="BB107" i="1"/>
  <c r="AS107" i="1"/>
  <c r="AO107" i="1"/>
  <c r="AT107" i="1"/>
  <c r="AG107" i="1"/>
  <c r="AH107" i="1"/>
  <c r="AI107" i="1" s="1"/>
  <c r="BI106" i="1"/>
  <c r="BF106" i="1"/>
  <c r="BG106" i="1" s="1"/>
  <c r="BH106" i="1" s="1"/>
  <c r="BJ106" i="1"/>
  <c r="BB106" i="1"/>
  <c r="AW106" i="1"/>
  <c r="BA106" i="1"/>
  <c r="AT106" i="1"/>
  <c r="AS106" i="1"/>
  <c r="AO106" i="1"/>
  <c r="AH106" i="1"/>
  <c r="AI106" i="1" s="1"/>
  <c r="AG106" i="1"/>
  <c r="BI105" i="1"/>
  <c r="BF105" i="1"/>
  <c r="BG105" i="1" s="1"/>
  <c r="BH105" i="1" s="1"/>
  <c r="BJ105" i="1"/>
  <c r="AW105" i="1"/>
  <c r="BA105" i="1"/>
  <c r="BB105" i="1"/>
  <c r="AT105" i="1"/>
  <c r="AO105" i="1"/>
  <c r="AS105" i="1"/>
  <c r="AG105" i="1"/>
  <c r="AH105" i="1"/>
  <c r="AI105" i="1" s="1"/>
  <c r="BI104" i="1"/>
  <c r="BF104" i="1"/>
  <c r="BG104" i="1" s="1"/>
  <c r="BH104" i="1" s="1"/>
  <c r="BJ104" i="1"/>
  <c r="BB104" i="1"/>
  <c r="AW104" i="1"/>
  <c r="BA104" i="1"/>
  <c r="AS104" i="1"/>
  <c r="AT104" i="1"/>
  <c r="AO104" i="1"/>
  <c r="AH104" i="1"/>
  <c r="AI104" i="1" s="1"/>
  <c r="AG104" i="1"/>
  <c r="BI103" i="1"/>
  <c r="BF103" i="1"/>
  <c r="BG103" i="1" s="1"/>
  <c r="BH103" i="1" s="1"/>
  <c r="BJ103" i="1"/>
  <c r="AW103" i="1"/>
  <c r="BA103" i="1"/>
  <c r="BB103" i="1"/>
  <c r="AS103" i="1"/>
  <c r="AO103" i="1"/>
  <c r="AT103" i="1"/>
  <c r="AG103" i="1"/>
  <c r="AH103" i="1"/>
  <c r="AI103" i="1" s="1"/>
  <c r="BI102" i="1"/>
  <c r="BF102" i="1"/>
  <c r="BG102" i="1" s="1"/>
  <c r="BH102" i="1" s="1"/>
  <c r="BJ102" i="1"/>
  <c r="BB102" i="1"/>
  <c r="AW102" i="1"/>
  <c r="BA102" i="1"/>
  <c r="AT102" i="1"/>
  <c r="AS102" i="1"/>
  <c r="AO102" i="1"/>
  <c r="AH102" i="1"/>
  <c r="AI102" i="1" s="1"/>
  <c r="AG102" i="1"/>
  <c r="BI101" i="1"/>
  <c r="BF101" i="1"/>
  <c r="BG101" i="1" s="1"/>
  <c r="BH101" i="1" s="1"/>
  <c r="BJ101" i="1"/>
  <c r="AW101" i="1"/>
  <c r="BA101" i="1"/>
  <c r="BB101" i="1"/>
  <c r="AT101" i="1"/>
  <c r="AO101" i="1"/>
  <c r="AS101" i="1"/>
  <c r="AG101" i="1"/>
  <c r="AH101" i="1"/>
  <c r="AI101" i="1" s="1"/>
  <c r="BI100" i="1"/>
  <c r="BF100" i="1"/>
  <c r="BG100" i="1" s="1"/>
  <c r="BH100" i="1" s="1"/>
  <c r="BJ100" i="1"/>
  <c r="BB100" i="1"/>
  <c r="AW100" i="1"/>
  <c r="BA100" i="1"/>
  <c r="AS100" i="1"/>
  <c r="AT100" i="1"/>
  <c r="AO100" i="1"/>
  <c r="AH100" i="1"/>
  <c r="AI100" i="1" s="1"/>
  <c r="AG100" i="1"/>
  <c r="BI99" i="1"/>
  <c r="BF99" i="1"/>
  <c r="BG99" i="1" s="1"/>
  <c r="BH99" i="1" s="1"/>
  <c r="BJ99" i="1"/>
  <c r="AW99" i="1"/>
  <c r="BA99" i="1"/>
  <c r="BB99" i="1"/>
  <c r="AS99" i="1"/>
  <c r="AO99" i="1"/>
  <c r="AT99" i="1"/>
  <c r="AG99" i="1"/>
  <c r="AH99" i="1"/>
  <c r="AI99" i="1" s="1"/>
  <c r="BI98" i="1"/>
  <c r="BF98" i="1"/>
  <c r="BG98" i="1" s="1"/>
  <c r="BH98" i="1" s="1"/>
  <c r="BJ98" i="1"/>
  <c r="BB98" i="1"/>
  <c r="AW98" i="1"/>
  <c r="BA98" i="1"/>
  <c r="AT98" i="1"/>
  <c r="AS98" i="1"/>
  <c r="AO98" i="1"/>
  <c r="AH98" i="1"/>
  <c r="AI98" i="1" s="1"/>
  <c r="AG98" i="1"/>
  <c r="BI97" i="1"/>
  <c r="BF97" i="1"/>
  <c r="BG97" i="1" s="1"/>
  <c r="BH97" i="1" s="1"/>
  <c r="BJ97" i="1"/>
  <c r="AW97" i="1"/>
  <c r="BA97" i="1"/>
  <c r="BB97" i="1"/>
  <c r="AT97" i="1"/>
  <c r="AO97" i="1"/>
  <c r="AS97" i="1"/>
  <c r="AG97" i="1"/>
  <c r="AH97" i="1"/>
  <c r="AI97" i="1" s="1"/>
  <c r="BI96" i="1"/>
  <c r="BF96" i="1"/>
  <c r="BG96" i="1" s="1"/>
  <c r="BH96" i="1" s="1"/>
  <c r="BJ96" i="1"/>
  <c r="BB96" i="1"/>
  <c r="AW96" i="1"/>
  <c r="BA96" i="1"/>
  <c r="AS96" i="1"/>
  <c r="AT96" i="1"/>
  <c r="AO96" i="1"/>
  <c r="AH96" i="1"/>
  <c r="AI96" i="1" s="1"/>
  <c r="AG96" i="1"/>
  <c r="BI95" i="1"/>
  <c r="BF95" i="1"/>
  <c r="BG95" i="1" s="1"/>
  <c r="BH95" i="1" s="1"/>
  <c r="BJ95" i="1"/>
  <c r="AW95" i="1"/>
  <c r="BA95" i="1"/>
  <c r="BB95" i="1"/>
  <c r="AS95" i="1"/>
  <c r="AO95" i="1"/>
  <c r="AT95" i="1"/>
  <c r="AG95" i="1"/>
  <c r="AH95" i="1"/>
  <c r="AI95" i="1" s="1"/>
  <c r="BI94" i="1"/>
  <c r="BF94" i="1"/>
  <c r="BG94" i="1" s="1"/>
  <c r="BH94" i="1" s="1"/>
  <c r="BJ94" i="1"/>
  <c r="BB94" i="1"/>
  <c r="AW94" i="1"/>
  <c r="BA94" i="1"/>
  <c r="AT94" i="1"/>
  <c r="AS94" i="1"/>
  <c r="AO94" i="1"/>
  <c r="AH94" i="1"/>
  <c r="AI94" i="1" s="1"/>
  <c r="AG94" i="1"/>
  <c r="BI93" i="1"/>
  <c r="BF93" i="1"/>
  <c r="BG93" i="1" s="1"/>
  <c r="BH93" i="1" s="1"/>
  <c r="BJ93" i="1"/>
  <c r="AW93" i="1"/>
  <c r="BA93" i="1"/>
  <c r="BB93" i="1"/>
  <c r="AT93" i="1"/>
  <c r="AO93" i="1"/>
  <c r="AS93" i="1"/>
  <c r="AG93" i="1"/>
  <c r="AH93" i="1"/>
  <c r="AI93" i="1" s="1"/>
  <c r="BI92" i="1"/>
  <c r="BF92" i="1"/>
  <c r="BG92" i="1" s="1"/>
  <c r="BH92" i="1" s="1"/>
  <c r="BJ92" i="1"/>
  <c r="BB92" i="1"/>
  <c r="AW92" i="1"/>
  <c r="BA92" i="1"/>
  <c r="AS92" i="1"/>
  <c r="AT92" i="1"/>
  <c r="AO92" i="1"/>
  <c r="AH92" i="1"/>
  <c r="AI92" i="1" s="1"/>
  <c r="AG92" i="1"/>
  <c r="BI91" i="1"/>
  <c r="BF91" i="1"/>
  <c r="BG91" i="1" s="1"/>
  <c r="BH91" i="1" s="1"/>
  <c r="BJ91" i="1"/>
  <c r="AW91" i="1"/>
  <c r="BA91" i="1"/>
  <c r="BB91" i="1"/>
  <c r="AS91" i="1"/>
  <c r="AO91" i="1"/>
  <c r="AT91" i="1"/>
  <c r="AG91" i="1"/>
  <c r="AH91" i="1"/>
  <c r="AI91" i="1" s="1"/>
  <c r="BI90" i="1"/>
  <c r="BF90" i="1"/>
  <c r="BG90" i="1" s="1"/>
  <c r="BH90" i="1" s="1"/>
  <c r="BJ90" i="1"/>
  <c r="BB90" i="1"/>
  <c r="AW90" i="1"/>
  <c r="BA90" i="1"/>
  <c r="AT90" i="1"/>
  <c r="AS90" i="1"/>
  <c r="AO90" i="1"/>
  <c r="AH90" i="1"/>
  <c r="AI90" i="1" s="1"/>
  <c r="AG90" i="1"/>
  <c r="BF89" i="1"/>
  <c r="BG89" i="1" s="1"/>
  <c r="BH89" i="1" s="1"/>
  <c r="BI89" i="1"/>
  <c r="BJ89" i="1"/>
  <c r="AW89" i="1"/>
  <c r="BB89" i="1"/>
  <c r="BA89" i="1"/>
  <c r="AT89" i="1"/>
  <c r="AO89" i="1"/>
  <c r="AS89" i="1"/>
  <c r="AG89" i="1"/>
  <c r="AH89" i="1"/>
  <c r="AI89" i="1" s="1"/>
  <c r="BJ88" i="1"/>
  <c r="BI88" i="1"/>
  <c r="BF88" i="1"/>
  <c r="BG88" i="1" s="1"/>
  <c r="BH88" i="1" s="1"/>
  <c r="BA88" i="1"/>
  <c r="AW88" i="1"/>
  <c r="BB88" i="1"/>
  <c r="AS88" i="1"/>
  <c r="AT88" i="1"/>
  <c r="AO88" i="1"/>
  <c r="AH88" i="1"/>
  <c r="AI88" i="1" s="1"/>
  <c r="AG88" i="1"/>
  <c r="BF87" i="1"/>
  <c r="BG87" i="1" s="1"/>
  <c r="BH87" i="1" s="1"/>
  <c r="BI87" i="1"/>
  <c r="BJ87" i="1"/>
  <c r="AW87" i="1"/>
  <c r="BB87" i="1"/>
  <c r="BA87" i="1"/>
  <c r="AT87" i="1"/>
  <c r="AO87" i="1"/>
  <c r="AS87" i="1"/>
  <c r="AG87" i="1"/>
  <c r="AH87" i="1"/>
  <c r="AI87" i="1" s="1"/>
  <c r="BF86" i="1"/>
  <c r="BG86" i="1" s="1"/>
  <c r="BH86" i="1" s="1"/>
  <c r="BI86" i="1"/>
  <c r="BJ86" i="1"/>
  <c r="BA86" i="1"/>
  <c r="AW86" i="1"/>
  <c r="BB86" i="1"/>
  <c r="AS86" i="1"/>
  <c r="AT86" i="1"/>
  <c r="AO86" i="1"/>
  <c r="AH86" i="1"/>
  <c r="AI86" i="1" s="1"/>
  <c r="AG86" i="1"/>
  <c r="BJ85" i="1"/>
  <c r="BF85" i="1"/>
  <c r="BG85" i="1" s="1"/>
  <c r="BH85" i="1" s="1"/>
  <c r="BI85" i="1"/>
  <c r="AW85" i="1"/>
  <c r="BB85" i="1"/>
  <c r="BA85" i="1"/>
  <c r="AT85" i="1"/>
  <c r="AO85" i="1"/>
  <c r="AS85" i="1"/>
  <c r="AG85" i="1"/>
  <c r="AH85" i="1"/>
  <c r="AI85" i="1" s="1"/>
  <c r="BF84" i="1"/>
  <c r="BG84" i="1" s="1"/>
  <c r="BH84" i="1" s="1"/>
  <c r="BI84" i="1"/>
  <c r="BJ84" i="1"/>
  <c r="BA84" i="1"/>
  <c r="AW84" i="1"/>
  <c r="BB84" i="1"/>
  <c r="AS84" i="1"/>
  <c r="AT84" i="1"/>
  <c r="AO84" i="1"/>
  <c r="AH84" i="1"/>
  <c r="AI84" i="1" s="1"/>
  <c r="AG84" i="1"/>
  <c r="BJ83" i="1"/>
  <c r="BF83" i="1"/>
  <c r="BG83" i="1" s="1"/>
  <c r="BH83" i="1" s="1"/>
  <c r="BI83" i="1"/>
  <c r="AW83" i="1"/>
  <c r="BB83" i="1"/>
  <c r="BA83" i="1"/>
  <c r="AT83" i="1"/>
  <c r="AO83" i="1"/>
  <c r="AS83" i="1"/>
  <c r="AG83" i="1"/>
  <c r="AH83" i="1"/>
  <c r="AI83" i="1" s="1"/>
  <c r="BF82" i="1"/>
  <c r="BG82" i="1" s="1"/>
  <c r="BH82" i="1" s="1"/>
  <c r="BI82" i="1"/>
  <c r="BJ82" i="1"/>
  <c r="BA82" i="1"/>
  <c r="AW82" i="1"/>
  <c r="BB82" i="1"/>
  <c r="AS82" i="1"/>
  <c r="AT82" i="1"/>
  <c r="AO82" i="1"/>
  <c r="AH82" i="1"/>
  <c r="AI82" i="1" s="1"/>
  <c r="AG82" i="1"/>
  <c r="BJ81" i="1"/>
  <c r="BF81" i="1"/>
  <c r="BG81" i="1" s="1"/>
  <c r="BH81" i="1" s="1"/>
  <c r="BI81" i="1"/>
  <c r="AW81" i="1"/>
  <c r="BB81" i="1"/>
  <c r="BA81" i="1"/>
  <c r="AT81" i="1"/>
  <c r="AO81" i="1"/>
  <c r="AS81" i="1"/>
  <c r="AG81" i="1"/>
  <c r="AH81" i="1"/>
  <c r="AI81" i="1" s="1"/>
  <c r="BF80" i="1"/>
  <c r="BG80" i="1" s="1"/>
  <c r="BH80" i="1" s="1"/>
  <c r="BI80" i="1"/>
  <c r="BJ80" i="1"/>
  <c r="BA80" i="1"/>
  <c r="AW80" i="1"/>
  <c r="BB80" i="1"/>
  <c r="AS80" i="1"/>
  <c r="AT80" i="1"/>
  <c r="AO80" i="1"/>
  <c r="AH80" i="1"/>
  <c r="AI80" i="1" s="1"/>
  <c r="AG80" i="1"/>
  <c r="BJ79" i="1"/>
  <c r="BF79" i="1"/>
  <c r="BG79" i="1" s="1"/>
  <c r="BH79" i="1" s="1"/>
  <c r="BI79" i="1"/>
  <c r="AW79" i="1"/>
  <c r="BB79" i="1"/>
  <c r="BA79" i="1"/>
  <c r="AT79" i="1"/>
  <c r="AO79" i="1"/>
  <c r="AS79" i="1"/>
  <c r="AG79" i="1"/>
  <c r="AH79" i="1"/>
  <c r="AI79" i="1" s="1"/>
  <c r="BF78" i="1"/>
  <c r="BG78" i="1" s="1"/>
  <c r="BH78" i="1" s="1"/>
  <c r="BI78" i="1"/>
  <c r="BJ78" i="1"/>
  <c r="BA78" i="1"/>
  <c r="AW78" i="1"/>
  <c r="BB78" i="1"/>
  <c r="AS78" i="1"/>
  <c r="AT78" i="1"/>
  <c r="AO78" i="1"/>
  <c r="AH78" i="1"/>
  <c r="AI78" i="1" s="1"/>
  <c r="AG78" i="1"/>
  <c r="BJ77" i="1"/>
  <c r="BI77" i="1"/>
  <c r="BF77" i="1"/>
  <c r="BG77" i="1" s="1"/>
  <c r="BH77" i="1" s="1"/>
  <c r="AW77" i="1"/>
  <c r="BB77" i="1"/>
  <c r="BA77" i="1"/>
  <c r="AT77" i="1"/>
  <c r="AO77" i="1"/>
  <c r="AS77" i="1"/>
  <c r="AG77" i="1"/>
  <c r="AH77" i="1"/>
  <c r="AI77" i="1" s="1"/>
  <c r="BF76" i="1"/>
  <c r="BG76" i="1" s="1"/>
  <c r="BH76" i="1" s="1"/>
  <c r="BI76" i="1"/>
  <c r="BJ76" i="1"/>
  <c r="BA76" i="1"/>
  <c r="AW76" i="1"/>
  <c r="BB76" i="1"/>
  <c r="AS76" i="1"/>
  <c r="AT76" i="1"/>
  <c r="AO76" i="1"/>
  <c r="AH76" i="1"/>
  <c r="AI76" i="1" s="1"/>
  <c r="AG76" i="1"/>
  <c r="BJ75" i="1"/>
  <c r="BF75" i="1"/>
  <c r="BG75" i="1" s="1"/>
  <c r="BH75" i="1" s="1"/>
  <c r="BI75" i="1"/>
  <c r="AW75" i="1"/>
  <c r="BB75" i="1"/>
  <c r="BA75" i="1"/>
  <c r="AT75" i="1"/>
  <c r="AO75" i="1"/>
  <c r="AS75" i="1"/>
  <c r="AG75" i="1"/>
  <c r="AH75" i="1"/>
  <c r="AI75" i="1" s="1"/>
  <c r="BF74" i="1"/>
  <c r="BG74" i="1" s="1"/>
  <c r="BH74" i="1" s="1"/>
  <c r="BI74" i="1"/>
  <c r="BJ74" i="1"/>
  <c r="BA74" i="1"/>
  <c r="AW74" i="1"/>
  <c r="BB74" i="1"/>
  <c r="AS74" i="1"/>
  <c r="AT74" i="1"/>
  <c r="AO74" i="1"/>
  <c r="AH74" i="1"/>
  <c r="AI74" i="1" s="1"/>
  <c r="AG74" i="1"/>
  <c r="BJ73" i="1"/>
  <c r="BI73" i="1"/>
  <c r="BF73" i="1"/>
  <c r="BG73" i="1" s="1"/>
  <c r="BH73" i="1" s="1"/>
  <c r="AW73" i="1"/>
  <c r="BB73" i="1"/>
  <c r="BA73" i="1"/>
  <c r="AT73" i="1"/>
  <c r="AO73" i="1"/>
  <c r="AS73" i="1"/>
  <c r="AG73" i="1"/>
  <c r="AH73" i="1"/>
  <c r="AI73" i="1" s="1"/>
  <c r="BF72" i="1"/>
  <c r="BG72" i="1" s="1"/>
  <c r="BH72" i="1" s="1"/>
  <c r="BI72" i="1"/>
  <c r="BJ72" i="1"/>
  <c r="BA72" i="1"/>
  <c r="AW72" i="1"/>
  <c r="BB72" i="1"/>
  <c r="AS72" i="1"/>
  <c r="AT72" i="1"/>
  <c r="AO72" i="1"/>
  <c r="AH72" i="1"/>
  <c r="AI72" i="1" s="1"/>
  <c r="AG72" i="1"/>
  <c r="BJ71" i="1"/>
  <c r="BF71" i="1"/>
  <c r="BG71" i="1" s="1"/>
  <c r="BH71" i="1" s="1"/>
  <c r="BI71" i="1"/>
  <c r="AW71" i="1"/>
  <c r="BB71" i="1"/>
  <c r="BA71" i="1"/>
  <c r="AT71" i="1"/>
  <c r="AO71" i="1"/>
  <c r="AS71" i="1"/>
  <c r="AG71" i="1"/>
  <c r="AH71" i="1"/>
  <c r="AI71" i="1" s="1"/>
  <c r="BF70" i="1"/>
  <c r="BG70" i="1" s="1"/>
  <c r="BH70" i="1" s="1"/>
  <c r="BI70" i="1"/>
  <c r="BJ70" i="1"/>
  <c r="BA70" i="1"/>
  <c r="AW70" i="1"/>
  <c r="BB70" i="1"/>
  <c r="AS70" i="1"/>
  <c r="AT70" i="1"/>
  <c r="AO70" i="1"/>
  <c r="AH70" i="1"/>
  <c r="AI70" i="1" s="1"/>
  <c r="AG70" i="1"/>
  <c r="BJ69" i="1"/>
  <c r="BI69" i="1"/>
  <c r="BF69" i="1"/>
  <c r="BG69" i="1" s="1"/>
  <c r="BH69" i="1" s="1"/>
  <c r="AW69" i="1"/>
  <c r="BB69" i="1"/>
  <c r="BA69" i="1"/>
  <c r="AT69" i="1"/>
  <c r="AO69" i="1"/>
  <c r="AS69" i="1"/>
  <c r="AG69" i="1"/>
  <c r="AH69" i="1"/>
  <c r="AI69" i="1" s="1"/>
  <c r="BF68" i="1"/>
  <c r="BG68" i="1" s="1"/>
  <c r="BH68" i="1" s="1"/>
  <c r="BI68" i="1"/>
  <c r="BJ68" i="1"/>
  <c r="BA68" i="1"/>
  <c r="AW68" i="1"/>
  <c r="BB68" i="1"/>
  <c r="AS68" i="1"/>
  <c r="AT68" i="1"/>
  <c r="AO68" i="1"/>
  <c r="AH68" i="1"/>
  <c r="AI68" i="1" s="1"/>
  <c r="AG68" i="1"/>
  <c r="BJ67" i="1"/>
  <c r="BF67" i="1"/>
  <c r="BG67" i="1" s="1"/>
  <c r="BH67" i="1" s="1"/>
  <c r="BI67" i="1"/>
  <c r="AW67" i="1"/>
  <c r="BB67" i="1"/>
  <c r="BA67" i="1"/>
  <c r="AT67" i="1"/>
  <c r="AO67" i="1"/>
  <c r="AS67" i="1"/>
  <c r="AG67" i="1"/>
  <c r="AH67" i="1"/>
  <c r="AI67" i="1" s="1"/>
  <c r="BF66" i="1"/>
  <c r="BG66" i="1" s="1"/>
  <c r="BH66" i="1" s="1"/>
  <c r="BI66" i="1"/>
  <c r="BJ66" i="1"/>
  <c r="BA66" i="1"/>
  <c r="AW66" i="1"/>
  <c r="BB66" i="1"/>
  <c r="AS66" i="1"/>
  <c r="AT66" i="1"/>
  <c r="AO66" i="1"/>
  <c r="AH66" i="1"/>
  <c r="AI66" i="1" s="1"/>
  <c r="AG66" i="1"/>
  <c r="BJ65" i="1"/>
  <c r="BI65" i="1"/>
  <c r="BF65" i="1"/>
  <c r="BG65" i="1" s="1"/>
  <c r="BH65" i="1" s="1"/>
  <c r="AW65" i="1"/>
  <c r="BB65" i="1"/>
  <c r="BA65" i="1"/>
  <c r="AT65" i="1"/>
  <c r="AO65" i="1"/>
  <c r="AS65" i="1"/>
  <c r="AG65" i="1"/>
  <c r="AH65" i="1"/>
  <c r="AI65" i="1" s="1"/>
  <c r="BF64" i="1"/>
  <c r="BG64" i="1" s="1"/>
  <c r="BH64" i="1" s="1"/>
  <c r="BI64" i="1"/>
  <c r="BJ64" i="1"/>
  <c r="BA64" i="1"/>
  <c r="AW64" i="1"/>
  <c r="BB64" i="1"/>
  <c r="AS64" i="1"/>
  <c r="AT64" i="1"/>
  <c r="AO64" i="1"/>
  <c r="AH64" i="1"/>
  <c r="AI64" i="1" s="1"/>
  <c r="AG64" i="1"/>
  <c r="BJ63" i="1"/>
  <c r="BF63" i="1"/>
  <c r="BG63" i="1" s="1"/>
  <c r="BH63" i="1" s="1"/>
  <c r="BI63" i="1"/>
  <c r="AW63" i="1"/>
  <c r="BB63" i="1"/>
  <c r="BA63" i="1"/>
  <c r="AT63" i="1"/>
  <c r="AO63" i="1"/>
  <c r="AS63" i="1"/>
  <c r="AG63" i="1"/>
  <c r="AH63" i="1"/>
  <c r="AI63" i="1" s="1"/>
  <c r="BF62" i="1"/>
  <c r="BG62" i="1" s="1"/>
  <c r="BH62" i="1" s="1"/>
  <c r="BI62" i="1"/>
  <c r="BJ62" i="1"/>
  <c r="BA62" i="1"/>
  <c r="AW62" i="1"/>
  <c r="BB62" i="1"/>
  <c r="AS62" i="1"/>
  <c r="AT62" i="1"/>
  <c r="AO62" i="1"/>
  <c r="AH62" i="1"/>
  <c r="AI62" i="1" s="1"/>
  <c r="AG62" i="1"/>
  <c r="BJ61" i="1"/>
  <c r="BI61" i="1"/>
  <c r="BF61" i="1"/>
  <c r="BG61" i="1" s="1"/>
  <c r="BH61" i="1" s="1"/>
  <c r="AW61" i="1"/>
  <c r="BB61" i="1"/>
  <c r="BA61" i="1"/>
  <c r="AT61" i="1"/>
  <c r="AO61" i="1"/>
  <c r="AS61" i="1"/>
  <c r="AG61" i="1"/>
  <c r="AH61" i="1"/>
  <c r="AI61" i="1" s="1"/>
  <c r="BF60" i="1"/>
  <c r="BG60" i="1" s="1"/>
  <c r="BH60" i="1" s="1"/>
  <c r="BI60" i="1"/>
  <c r="BJ60" i="1"/>
  <c r="BA60" i="1"/>
  <c r="AW60" i="1"/>
  <c r="BB60" i="1"/>
  <c r="AS60" i="1"/>
  <c r="AT60" i="1"/>
  <c r="AO60" i="1"/>
  <c r="AH60" i="1"/>
  <c r="AI60" i="1" s="1"/>
  <c r="AG60" i="1"/>
  <c r="BJ59" i="1"/>
  <c r="BF59" i="1"/>
  <c r="BG59" i="1" s="1"/>
  <c r="BH59" i="1" s="1"/>
  <c r="BI59" i="1"/>
  <c r="AW59" i="1"/>
  <c r="BB59" i="1"/>
  <c r="BA59" i="1"/>
  <c r="AT59" i="1"/>
  <c r="AO59" i="1"/>
  <c r="AS59" i="1"/>
  <c r="AG59" i="1"/>
  <c r="AH59" i="1"/>
  <c r="AI59" i="1" s="1"/>
  <c r="BF58" i="1"/>
  <c r="BG58" i="1" s="1"/>
  <c r="BH58" i="1" s="1"/>
  <c r="BI58" i="1"/>
  <c r="BJ58" i="1"/>
  <c r="BA58" i="1"/>
  <c r="AW58" i="1"/>
  <c r="BB58" i="1"/>
  <c r="AS58" i="1"/>
  <c r="AT58" i="1"/>
  <c r="AO58" i="1"/>
  <c r="AH58" i="1"/>
  <c r="AI58" i="1" s="1"/>
  <c r="AG58" i="1"/>
  <c r="BJ57" i="1"/>
  <c r="BI57" i="1"/>
  <c r="BF57" i="1"/>
  <c r="BG57" i="1" s="1"/>
  <c r="BH57" i="1" s="1"/>
  <c r="AW57" i="1"/>
  <c r="BB57" i="1"/>
  <c r="BA57" i="1"/>
  <c r="AT57" i="1"/>
  <c r="AO57" i="1"/>
  <c r="AS57" i="1"/>
  <c r="AG57" i="1"/>
  <c r="AH57" i="1"/>
  <c r="AI57" i="1" s="1"/>
  <c r="BF56" i="1"/>
  <c r="BG56" i="1" s="1"/>
  <c r="BH56" i="1" s="1"/>
  <c r="BI56" i="1"/>
  <c r="BJ56" i="1"/>
  <c r="BA56" i="1"/>
  <c r="AW56" i="1"/>
  <c r="BB56" i="1"/>
  <c r="AS56" i="1"/>
  <c r="AT56" i="1"/>
  <c r="AO56" i="1"/>
  <c r="AH56" i="1"/>
  <c r="AI56" i="1" s="1"/>
  <c r="AG56" i="1"/>
  <c r="BJ55" i="1"/>
  <c r="BF55" i="1"/>
  <c r="BG55" i="1" s="1"/>
  <c r="BH55" i="1" s="1"/>
  <c r="BI55" i="1"/>
  <c r="AW55" i="1"/>
  <c r="BB55" i="1"/>
  <c r="BA55" i="1"/>
  <c r="AT55" i="1"/>
  <c r="AO55" i="1"/>
  <c r="AS55" i="1"/>
  <c r="AG55" i="1"/>
  <c r="AH55" i="1"/>
  <c r="AI55" i="1" s="1"/>
  <c r="BF54" i="1"/>
  <c r="BG54" i="1" s="1"/>
  <c r="BH54" i="1" s="1"/>
  <c r="BI54" i="1"/>
  <c r="BJ54" i="1"/>
  <c r="BA54" i="1"/>
  <c r="AW54" i="1"/>
  <c r="BB54" i="1"/>
  <c r="AS54" i="1"/>
  <c r="AT54" i="1"/>
  <c r="AO54" i="1"/>
  <c r="AH54" i="1"/>
  <c r="AI54" i="1" s="1"/>
  <c r="AG54" i="1"/>
  <c r="BJ53" i="1"/>
  <c r="BI53" i="1"/>
  <c r="BF53" i="1"/>
  <c r="BG53" i="1" s="1"/>
  <c r="BH53" i="1" s="1"/>
  <c r="AW53" i="1"/>
  <c r="BB53" i="1"/>
  <c r="BA53" i="1"/>
  <c r="AT53" i="1"/>
  <c r="AO53" i="1"/>
  <c r="AS53" i="1"/>
  <c r="AG53" i="1"/>
  <c r="AH53" i="1"/>
  <c r="AI53" i="1" s="1"/>
  <c r="BF52" i="1"/>
  <c r="BG52" i="1" s="1"/>
  <c r="BH52" i="1" s="1"/>
  <c r="BI52" i="1"/>
  <c r="BJ52" i="1"/>
  <c r="BA52" i="1"/>
  <c r="AW52" i="1"/>
  <c r="BB52" i="1"/>
  <c r="AS52" i="1"/>
  <c r="AT52" i="1"/>
  <c r="AO52" i="1"/>
  <c r="AH52" i="1"/>
  <c r="AI52" i="1" s="1"/>
  <c r="AG52" i="1"/>
  <c r="BJ51" i="1"/>
  <c r="BF51" i="1"/>
  <c r="BG51" i="1" s="1"/>
  <c r="BH51" i="1" s="1"/>
  <c r="BI51" i="1"/>
  <c r="AW51" i="1"/>
  <c r="BB51" i="1"/>
  <c r="BA51" i="1"/>
  <c r="AT51" i="1"/>
  <c r="AO51" i="1"/>
  <c r="AS51" i="1"/>
  <c r="AG51" i="1"/>
  <c r="AH51" i="1"/>
  <c r="AI51" i="1" s="1"/>
  <c r="BF50" i="1"/>
  <c r="BG50" i="1" s="1"/>
  <c r="BH50" i="1" s="1"/>
  <c r="BI50" i="1"/>
  <c r="BJ50" i="1"/>
  <c r="BA50" i="1"/>
  <c r="AW50" i="1"/>
  <c r="BB50" i="1"/>
  <c r="AS50" i="1"/>
  <c r="AT50" i="1"/>
  <c r="AO50" i="1"/>
  <c r="AH50" i="1"/>
  <c r="AI50" i="1" s="1"/>
  <c r="AG50" i="1"/>
  <c r="BJ49" i="1"/>
  <c r="BI49" i="1"/>
  <c r="BF49" i="1"/>
  <c r="BG49" i="1" s="1"/>
  <c r="BH49" i="1" s="1"/>
  <c r="AW49" i="1"/>
  <c r="BB49" i="1"/>
  <c r="BA49" i="1"/>
  <c r="AT49" i="1"/>
  <c r="AO49" i="1"/>
  <c r="AS49" i="1"/>
  <c r="AG49" i="1"/>
  <c r="AH49" i="1"/>
  <c r="AI49" i="1" s="1"/>
  <c r="BF48" i="1"/>
  <c r="BG48" i="1" s="1"/>
  <c r="BH48" i="1" s="1"/>
  <c r="BI48" i="1"/>
  <c r="BJ48" i="1"/>
  <c r="BA48" i="1"/>
  <c r="AW48" i="1"/>
  <c r="BB48" i="1"/>
  <c r="AS48" i="1"/>
  <c r="AT48" i="1"/>
  <c r="AO48" i="1"/>
  <c r="AH48" i="1"/>
  <c r="AI48" i="1" s="1"/>
  <c r="AG48" i="1"/>
  <c r="BJ47" i="1"/>
  <c r="BF47" i="1"/>
  <c r="BG47" i="1" s="1"/>
  <c r="BH47" i="1" s="1"/>
  <c r="BI47" i="1"/>
  <c r="AW47" i="1"/>
  <c r="BB47" i="1"/>
  <c r="BA47" i="1"/>
  <c r="AT47" i="1"/>
  <c r="AO47" i="1"/>
  <c r="AS47" i="1"/>
  <c r="AG47" i="1"/>
  <c r="AH47" i="1"/>
  <c r="AI47" i="1" s="1"/>
  <c r="BF46" i="1"/>
  <c r="BG46" i="1" s="1"/>
  <c r="BH46" i="1" s="1"/>
  <c r="BI46" i="1"/>
  <c r="BJ46" i="1"/>
  <c r="BA46" i="1"/>
  <c r="AW46" i="1"/>
  <c r="BB46" i="1"/>
  <c r="AS46" i="1"/>
  <c r="AT46" i="1"/>
  <c r="AO46" i="1"/>
  <c r="AH46" i="1"/>
  <c r="AI46" i="1" s="1"/>
  <c r="AG46" i="1"/>
  <c r="BJ45" i="1"/>
  <c r="BI45" i="1"/>
  <c r="BF45" i="1"/>
  <c r="BG45" i="1" s="1"/>
  <c r="BH45" i="1" s="1"/>
  <c r="AW45" i="1"/>
  <c r="BB45" i="1"/>
  <c r="BA45" i="1"/>
  <c r="AT45" i="1"/>
  <c r="AO45" i="1"/>
  <c r="AS45" i="1"/>
  <c r="AG45" i="1"/>
  <c r="AH45" i="1"/>
  <c r="AI45" i="1" s="1"/>
  <c r="BJ44" i="1"/>
  <c r="BF44" i="1"/>
  <c r="BG44" i="1" s="1"/>
  <c r="BH44" i="1" s="1"/>
  <c r="BI44" i="1"/>
  <c r="BA44" i="1"/>
  <c r="AW44" i="1"/>
  <c r="BB44" i="1"/>
  <c r="AS44" i="1"/>
  <c r="AT44" i="1"/>
  <c r="AO44" i="1"/>
  <c r="AH44" i="1"/>
  <c r="AI44" i="1" s="1"/>
  <c r="AG44" i="1"/>
  <c r="BF43" i="1"/>
  <c r="BG43" i="1" s="1"/>
  <c r="BH43" i="1" s="1"/>
  <c r="BI43" i="1"/>
  <c r="BJ43" i="1"/>
  <c r="AW43" i="1"/>
  <c r="BB43" i="1"/>
  <c r="BA43" i="1"/>
  <c r="AT43" i="1"/>
  <c r="AO43" i="1"/>
  <c r="AS43" i="1"/>
  <c r="AG43" i="1"/>
  <c r="AH43" i="1"/>
  <c r="AI43" i="1" s="1"/>
  <c r="BJ42" i="1"/>
  <c r="BF42" i="1"/>
  <c r="BG42" i="1" s="1"/>
  <c r="BH42" i="1" s="1"/>
  <c r="BI42" i="1"/>
  <c r="BA42" i="1"/>
  <c r="AW42" i="1"/>
  <c r="BB42" i="1"/>
  <c r="AS42" i="1"/>
  <c r="AT42" i="1"/>
  <c r="AO42" i="1"/>
  <c r="AH42" i="1"/>
  <c r="AI42" i="1" s="1"/>
  <c r="AG42" i="1"/>
  <c r="BF41" i="1"/>
  <c r="BG41" i="1" s="1"/>
  <c r="BH41" i="1" s="1"/>
  <c r="BI41" i="1"/>
  <c r="BJ41" i="1"/>
  <c r="AW41" i="1"/>
  <c r="BB41" i="1"/>
  <c r="BA41" i="1"/>
  <c r="AT41" i="1"/>
  <c r="AO41" i="1"/>
  <c r="AS41" i="1"/>
  <c r="AG41" i="1"/>
  <c r="AH41" i="1"/>
  <c r="AI41" i="1" s="1"/>
  <c r="BJ40" i="1"/>
  <c r="BF40" i="1"/>
  <c r="BG40" i="1" s="1"/>
  <c r="BH40" i="1" s="1"/>
  <c r="BI40" i="1"/>
  <c r="BA40" i="1"/>
  <c r="AW40" i="1"/>
  <c r="BB40" i="1"/>
  <c r="AS40" i="1"/>
  <c r="AT40" i="1"/>
  <c r="AO40" i="1"/>
  <c r="AH40" i="1"/>
  <c r="AI40" i="1" s="1"/>
  <c r="AG40" i="1"/>
  <c r="BF39" i="1"/>
  <c r="BG39" i="1" s="1"/>
  <c r="BH39" i="1" s="1"/>
  <c r="BI39" i="1"/>
  <c r="BJ39" i="1"/>
  <c r="AW39" i="1"/>
  <c r="BB39" i="1"/>
  <c r="BA39" i="1"/>
  <c r="AT39" i="1"/>
  <c r="AO39" i="1"/>
  <c r="AS39" i="1"/>
  <c r="AG39" i="1"/>
  <c r="AH39" i="1"/>
  <c r="AI39" i="1" s="1"/>
  <c r="BJ38" i="1"/>
  <c r="BF38" i="1"/>
  <c r="BG38" i="1" s="1"/>
  <c r="BH38" i="1" s="1"/>
  <c r="BI38" i="1"/>
  <c r="BA38" i="1"/>
  <c r="AW38" i="1"/>
  <c r="BB38" i="1"/>
  <c r="AS38" i="1"/>
  <c r="AT38" i="1"/>
  <c r="AO38" i="1"/>
  <c r="AH38" i="1"/>
  <c r="AI38" i="1" s="1"/>
  <c r="AG38" i="1"/>
  <c r="BF37" i="1"/>
  <c r="BG37" i="1" s="1"/>
  <c r="BH37" i="1" s="1"/>
  <c r="BI37" i="1"/>
  <c r="BJ37" i="1"/>
  <c r="AW37" i="1"/>
  <c r="BB37" i="1"/>
  <c r="BA37" i="1"/>
  <c r="AT37" i="1"/>
  <c r="AO37" i="1"/>
  <c r="AS37" i="1"/>
  <c r="AG37" i="1"/>
  <c r="AH37" i="1"/>
  <c r="AI37" i="1" s="1"/>
  <c r="BJ36" i="1"/>
  <c r="BF36" i="1"/>
  <c r="BG36" i="1" s="1"/>
  <c r="BH36" i="1" s="1"/>
  <c r="BI36" i="1"/>
  <c r="BA36" i="1"/>
  <c r="AW36" i="1"/>
  <c r="BB36" i="1"/>
  <c r="AS36" i="1"/>
  <c r="AT36" i="1"/>
  <c r="AO36" i="1"/>
  <c r="AH36" i="1"/>
  <c r="AI36" i="1" s="1"/>
  <c r="AG36" i="1"/>
  <c r="BF35" i="1"/>
  <c r="BG35" i="1" s="1"/>
  <c r="BH35" i="1" s="1"/>
  <c r="BI35" i="1"/>
  <c r="BJ35" i="1"/>
  <c r="AW35" i="1"/>
  <c r="BB35" i="1"/>
  <c r="BA35" i="1"/>
  <c r="AT35" i="1"/>
  <c r="AO35" i="1"/>
  <c r="AS35" i="1"/>
  <c r="AG35" i="1"/>
  <c r="AH35" i="1"/>
  <c r="AI35" i="1" s="1"/>
  <c r="BJ34" i="1"/>
  <c r="BF34" i="1"/>
  <c r="BG34" i="1" s="1"/>
  <c r="BH34" i="1" s="1"/>
  <c r="BI34" i="1"/>
  <c r="BA34" i="1"/>
  <c r="AW34" i="1"/>
  <c r="BB34" i="1"/>
  <c r="AS34" i="1"/>
  <c r="AT34" i="1"/>
  <c r="AO34" i="1"/>
  <c r="AH34" i="1"/>
  <c r="AI34" i="1" s="1"/>
  <c r="AG34" i="1"/>
  <c r="BF33" i="1"/>
  <c r="BG33" i="1" s="1"/>
  <c r="BH33" i="1" s="1"/>
  <c r="BI33" i="1"/>
  <c r="BJ33" i="1"/>
  <c r="AW33" i="1"/>
  <c r="BB33" i="1"/>
  <c r="BA33" i="1"/>
  <c r="AT33" i="1"/>
  <c r="AO33" i="1"/>
  <c r="AS33" i="1"/>
  <c r="AG33" i="1"/>
  <c r="AH33" i="1"/>
  <c r="AI33" i="1" s="1"/>
  <c r="BJ32" i="1"/>
  <c r="BF32" i="1"/>
  <c r="BG32" i="1" s="1"/>
  <c r="BH32" i="1" s="1"/>
  <c r="BI32" i="1"/>
  <c r="BA32" i="1"/>
  <c r="AW32" i="1"/>
  <c r="BB32" i="1"/>
  <c r="AS32" i="1"/>
  <c r="AT32" i="1"/>
  <c r="AO32" i="1"/>
  <c r="AH32" i="1"/>
  <c r="AI32" i="1" s="1"/>
  <c r="AG32" i="1"/>
  <c r="BF31" i="1"/>
  <c r="BG31" i="1" s="1"/>
  <c r="BH31" i="1" s="1"/>
  <c r="BI31" i="1"/>
  <c r="BJ31" i="1"/>
  <c r="AW31" i="1"/>
  <c r="BB31" i="1"/>
  <c r="BA31" i="1"/>
  <c r="AT31" i="1"/>
  <c r="AO31" i="1"/>
  <c r="AS31" i="1"/>
  <c r="AG31" i="1"/>
  <c r="AH31" i="1"/>
  <c r="AI31" i="1" s="1"/>
  <c r="BJ30" i="1"/>
  <c r="BF30" i="1"/>
  <c r="BG30" i="1" s="1"/>
  <c r="BH30" i="1" s="1"/>
  <c r="BI30" i="1"/>
  <c r="BA30" i="1"/>
  <c r="AW30" i="1"/>
  <c r="BB30" i="1"/>
  <c r="AS30" i="1"/>
  <c r="AT30" i="1"/>
  <c r="AO30" i="1"/>
  <c r="AH30" i="1"/>
  <c r="AI30" i="1" s="1"/>
  <c r="AG30" i="1"/>
  <c r="BF29" i="1"/>
  <c r="BG29" i="1" s="1"/>
  <c r="BH29" i="1" s="1"/>
  <c r="BI29" i="1"/>
  <c r="BJ29" i="1"/>
  <c r="AW29" i="1"/>
  <c r="BB29" i="1"/>
  <c r="BA29" i="1"/>
  <c r="AT29" i="1"/>
  <c r="AO29" i="1"/>
  <c r="AS29" i="1"/>
  <c r="AG29" i="1"/>
  <c r="AH29" i="1"/>
  <c r="AI29" i="1" s="1"/>
  <c r="BJ28" i="1"/>
  <c r="BF28" i="1"/>
  <c r="BG28" i="1" s="1"/>
  <c r="BH28" i="1" s="1"/>
  <c r="BI28" i="1"/>
  <c r="BA28" i="1"/>
  <c r="AW28" i="1"/>
  <c r="BB28" i="1"/>
  <c r="AS28" i="1"/>
  <c r="AT28" i="1"/>
  <c r="AO28" i="1"/>
  <c r="AH28" i="1"/>
  <c r="AI28" i="1" s="1"/>
  <c r="AG28" i="1"/>
  <c r="BF27" i="1"/>
  <c r="BG27" i="1" s="1"/>
  <c r="BH27" i="1" s="1"/>
  <c r="BI27" i="1"/>
  <c r="BJ27" i="1"/>
  <c r="AW27" i="1"/>
  <c r="BB27" i="1"/>
  <c r="BA27" i="1"/>
  <c r="AT27" i="1"/>
  <c r="AO27" i="1"/>
  <c r="AS27" i="1"/>
  <c r="AG27" i="1"/>
  <c r="AH27" i="1"/>
  <c r="AI27" i="1" s="1"/>
  <c r="BJ26" i="1"/>
  <c r="BF26" i="1"/>
  <c r="BG26" i="1" s="1"/>
  <c r="BH26" i="1" s="1"/>
  <c r="BI26" i="1"/>
  <c r="BA26" i="1"/>
  <c r="AW26" i="1"/>
  <c r="BB26" i="1"/>
  <c r="AS26" i="1"/>
  <c r="AT26" i="1"/>
  <c r="AO26" i="1"/>
  <c r="AH26" i="1"/>
  <c r="AI26" i="1" s="1"/>
  <c r="AG26" i="1"/>
  <c r="BF25" i="1"/>
  <c r="BG25" i="1" s="1"/>
  <c r="BH25" i="1" s="1"/>
  <c r="BI25" i="1"/>
  <c r="BJ25" i="1"/>
  <c r="AW25" i="1"/>
  <c r="BB25" i="1"/>
  <c r="BA25" i="1"/>
  <c r="AT25" i="1"/>
  <c r="AO25" i="1"/>
  <c r="AS25" i="1"/>
  <c r="AG25" i="1"/>
  <c r="AH25" i="1"/>
  <c r="AI25" i="1" s="1"/>
  <c r="BJ24" i="1"/>
  <c r="BF24" i="1"/>
  <c r="BG24" i="1" s="1"/>
  <c r="BH24" i="1" s="1"/>
  <c r="BI24" i="1"/>
  <c r="BA24" i="1"/>
  <c r="AW24" i="1"/>
  <c r="BB24" i="1"/>
  <c r="AS24" i="1"/>
  <c r="AT24" i="1"/>
  <c r="AO24" i="1"/>
  <c r="AH24" i="1"/>
  <c r="AI24" i="1" s="1"/>
  <c r="AG24" i="1"/>
  <c r="BF23" i="1"/>
  <c r="BG23" i="1" s="1"/>
  <c r="BH23" i="1" s="1"/>
  <c r="BI23" i="1"/>
  <c r="BJ23" i="1"/>
  <c r="AW23" i="1"/>
  <c r="BB23" i="1"/>
  <c r="BA23" i="1"/>
  <c r="AT23" i="1"/>
  <c r="AO23" i="1"/>
  <c r="AS23" i="1"/>
  <c r="AG23" i="1"/>
  <c r="AH23" i="1"/>
  <c r="AI23" i="1" s="1"/>
  <c r="BJ22" i="1"/>
  <c r="BF22" i="1"/>
  <c r="BG22" i="1" s="1"/>
  <c r="BH22" i="1" s="1"/>
  <c r="BI22" i="1"/>
  <c r="AW22" i="1"/>
  <c r="BA22" i="1"/>
  <c r="BB22" i="1"/>
  <c r="AS22" i="1"/>
  <c r="AT22" i="1"/>
  <c r="AO22" i="1"/>
  <c r="AH22" i="1"/>
  <c r="AI22" i="1" s="1"/>
  <c r="AG22" i="1"/>
  <c r="BF21" i="1"/>
  <c r="BG21" i="1" s="1"/>
  <c r="BH21" i="1" s="1"/>
  <c r="BI21" i="1"/>
  <c r="BJ21" i="1"/>
  <c r="BA21" i="1"/>
  <c r="AW21" i="1"/>
  <c r="BB21" i="1"/>
  <c r="AT21" i="1"/>
  <c r="AO21" i="1"/>
  <c r="AS21" i="1"/>
  <c r="AG21" i="1"/>
  <c r="AH21" i="1"/>
  <c r="AI21" i="1" s="1"/>
  <c r="BJ20" i="1"/>
  <c r="BF20" i="1"/>
  <c r="BG20" i="1" s="1"/>
  <c r="BH20" i="1" s="1"/>
  <c r="BI20" i="1"/>
  <c r="AW20" i="1"/>
  <c r="BB20" i="1"/>
  <c r="BA20" i="1"/>
  <c r="AS20" i="1"/>
  <c r="AT20" i="1"/>
  <c r="AO20" i="1"/>
  <c r="AH20" i="1"/>
  <c r="AI20" i="1" s="1"/>
  <c r="AG20" i="1"/>
  <c r="BF19" i="1"/>
  <c r="BG19" i="1" s="1"/>
  <c r="BH19" i="1" s="1"/>
  <c r="BI19" i="1"/>
  <c r="BJ19" i="1"/>
  <c r="BA19" i="1"/>
  <c r="AW19" i="1"/>
  <c r="BB19" i="1"/>
  <c r="AT19" i="1"/>
  <c r="AO19" i="1"/>
  <c r="AS19" i="1"/>
  <c r="AG19" i="1"/>
  <c r="AH19" i="1"/>
  <c r="AI19" i="1" s="1"/>
  <c r="BJ18" i="1"/>
  <c r="BF18" i="1"/>
  <c r="BG18" i="1" s="1"/>
  <c r="BH18" i="1" s="1"/>
  <c r="BI18" i="1"/>
  <c r="AW18" i="1"/>
  <c r="BB18" i="1"/>
  <c r="BA18" i="1"/>
  <c r="AS18" i="1"/>
  <c r="AT18" i="1"/>
  <c r="AO18" i="1"/>
  <c r="AH18" i="1"/>
  <c r="AI18" i="1" s="1"/>
  <c r="AG18" i="1"/>
  <c r="BF17" i="1"/>
  <c r="BG17" i="1" s="1"/>
  <c r="BH17" i="1" s="1"/>
  <c r="BI17" i="1"/>
  <c r="BJ17" i="1"/>
  <c r="BA17" i="1"/>
  <c r="AW17" i="1"/>
  <c r="BB17" i="1"/>
  <c r="AT17" i="1"/>
  <c r="AO17" i="1"/>
  <c r="AS17" i="1"/>
  <c r="AG17" i="1"/>
  <c r="AH17" i="1"/>
  <c r="AI17" i="1" s="1"/>
  <c r="BI4" i="1"/>
  <c r="BJ4" i="1"/>
  <c r="BF4" i="1"/>
  <c r="BG4" i="1" s="1"/>
  <c r="BH4" i="1" s="1"/>
  <c r="BB4" i="1"/>
  <c r="BA4" i="1"/>
  <c r="AW4" i="1"/>
  <c r="AS4" i="1"/>
  <c r="AO4" i="1"/>
  <c r="AT4" i="1"/>
  <c r="BE4" i="1"/>
  <c r="AX4" i="1"/>
  <c r="AP4" i="1"/>
  <c r="AQ4" i="1" s="1"/>
  <c r="AR4" i="1" s="1"/>
  <c r="AT6" i="1"/>
  <c r="BF6" i="1"/>
  <c r="BG6" i="1" s="1"/>
  <c r="BH6" i="1" s="1"/>
  <c r="BE5" i="1"/>
  <c r="AX5" i="1"/>
  <c r="AP5" i="1"/>
  <c r="AQ5" i="1" s="1"/>
  <c r="AR5" i="1" s="1"/>
  <c r="BF5" i="1"/>
  <c r="BG5" i="1" s="1"/>
  <c r="BH5" i="1" s="1"/>
  <c r="BJ5" i="1"/>
  <c r="AW5" i="1"/>
  <c r="BB5" i="1"/>
  <c r="BI5" i="1"/>
  <c r="BA5" i="1"/>
  <c r="AT5" i="1"/>
  <c r="AS5" i="1"/>
  <c r="AO5" i="1"/>
  <c r="BE15" i="1"/>
  <c r="AX15" i="1"/>
  <c r="AP15" i="1"/>
  <c r="AQ15" i="1" s="1"/>
  <c r="AR15" i="1" s="1"/>
  <c r="AX14" i="1"/>
  <c r="BE14" i="1"/>
  <c r="AP14" i="1"/>
  <c r="AQ14" i="1" s="1"/>
  <c r="AR14" i="1" s="1"/>
  <c r="BE13" i="1"/>
  <c r="AX13" i="1"/>
  <c r="AY13" i="1" s="1"/>
  <c r="AZ13" i="1" s="1"/>
  <c r="AP13" i="1"/>
  <c r="AQ13" i="1" s="1"/>
  <c r="AR13" i="1" s="1"/>
  <c r="BE12" i="1"/>
  <c r="AX12" i="1"/>
  <c r="AP12" i="1"/>
  <c r="AQ12" i="1" s="1"/>
  <c r="AR12" i="1" s="1"/>
  <c r="BE11" i="1"/>
  <c r="AX11" i="1"/>
  <c r="AY11" i="1" s="1"/>
  <c r="AZ11" i="1" s="1"/>
  <c r="AP11" i="1"/>
  <c r="AQ11" i="1" s="1"/>
  <c r="AR11" i="1" s="1"/>
  <c r="AX10" i="1"/>
  <c r="BE10" i="1"/>
  <c r="AP10" i="1"/>
  <c r="AQ10" i="1" s="1"/>
  <c r="AR10" i="1" s="1"/>
  <c r="BE9" i="1"/>
  <c r="AX9" i="1"/>
  <c r="AY9" i="1" s="1"/>
  <c r="AZ9" i="1" s="1"/>
  <c r="AP9" i="1"/>
  <c r="AQ9" i="1" s="1"/>
  <c r="AR9" i="1" s="1"/>
  <c r="BE8" i="1"/>
  <c r="AX8" i="1"/>
  <c r="AP8" i="1"/>
  <c r="AQ8" i="1" s="1"/>
  <c r="AR8" i="1" s="1"/>
  <c r="BE7" i="1"/>
  <c r="AX7" i="1"/>
  <c r="AY7" i="1" s="1"/>
  <c r="AZ7" i="1" s="1"/>
  <c r="AP7" i="1"/>
  <c r="AQ7" i="1" s="1"/>
  <c r="AR7" i="1" s="1"/>
  <c r="AX6" i="1"/>
  <c r="BE6" i="1"/>
  <c r="AP6" i="1"/>
  <c r="AQ6" i="1" s="1"/>
  <c r="AR6" i="1" s="1"/>
  <c r="BJ15" i="1"/>
  <c r="AW15" i="1"/>
  <c r="BB15" i="1"/>
  <c r="BF15" i="1"/>
  <c r="BG15" i="1" s="1"/>
  <c r="BH15" i="1" s="1"/>
  <c r="BI15" i="1"/>
  <c r="AY15" i="1"/>
  <c r="AZ15" i="1" s="1"/>
  <c r="BA15" i="1"/>
  <c r="AT15" i="1"/>
  <c r="AO15" i="1"/>
  <c r="AS15" i="1"/>
  <c r="BJ14" i="1"/>
  <c r="BA14" i="1"/>
  <c r="BF14" i="1"/>
  <c r="BG14" i="1" s="1"/>
  <c r="BH14" i="1" s="1"/>
  <c r="BI14" i="1"/>
  <c r="AW14" i="1"/>
  <c r="BB14" i="1"/>
  <c r="AS14" i="1"/>
  <c r="AT14" i="1"/>
  <c r="AO14" i="1"/>
  <c r="BJ13" i="1"/>
  <c r="BA13" i="1"/>
  <c r="BF13" i="1"/>
  <c r="BG13" i="1" s="1"/>
  <c r="BH13" i="1" s="1"/>
  <c r="BI13" i="1"/>
  <c r="AW13" i="1"/>
  <c r="BB13" i="1"/>
  <c r="AS13" i="1"/>
  <c r="AO13" i="1"/>
  <c r="AT13" i="1"/>
  <c r="BJ12" i="1"/>
  <c r="AW12" i="1"/>
  <c r="BB12" i="1"/>
  <c r="BF12" i="1"/>
  <c r="BG12" i="1" s="1"/>
  <c r="BH12" i="1" s="1"/>
  <c r="BI12" i="1"/>
  <c r="BA12" i="1"/>
  <c r="AS12" i="1"/>
  <c r="AT12" i="1"/>
  <c r="AO12" i="1"/>
  <c r="BJ11" i="1"/>
  <c r="AW11" i="1"/>
  <c r="BB11" i="1"/>
  <c r="BF11" i="1"/>
  <c r="BG11" i="1" s="1"/>
  <c r="BH11" i="1" s="1"/>
  <c r="BI11" i="1"/>
  <c r="BA11" i="1"/>
  <c r="AS11" i="1"/>
  <c r="AT11" i="1"/>
  <c r="AO11" i="1"/>
  <c r="BJ10" i="1"/>
  <c r="BA10" i="1"/>
  <c r="BF10" i="1"/>
  <c r="BG10" i="1" s="1"/>
  <c r="BH10" i="1" s="1"/>
  <c r="BI10" i="1"/>
  <c r="AW10" i="1"/>
  <c r="BB10" i="1"/>
  <c r="AT10" i="1"/>
  <c r="AS10" i="1"/>
  <c r="AO10" i="1"/>
  <c r="BJ9" i="1"/>
  <c r="BA9" i="1"/>
  <c r="BF9" i="1"/>
  <c r="BG9" i="1" s="1"/>
  <c r="BH9" i="1" s="1"/>
  <c r="BI9" i="1"/>
  <c r="AW9" i="1"/>
  <c r="BB9" i="1"/>
  <c r="AT9" i="1"/>
  <c r="AO9" i="1"/>
  <c r="AS9" i="1"/>
  <c r="BJ8" i="1"/>
  <c r="AW8" i="1"/>
  <c r="BB8" i="1"/>
  <c r="BF8" i="1"/>
  <c r="BG8" i="1" s="1"/>
  <c r="BH8" i="1" s="1"/>
  <c r="BI8" i="1"/>
  <c r="BA8" i="1"/>
  <c r="AS8" i="1"/>
  <c r="AT8" i="1"/>
  <c r="AO8" i="1"/>
  <c r="BF7" i="1"/>
  <c r="BG7" i="1" s="1"/>
  <c r="BH7" i="1" s="1"/>
  <c r="BJ7" i="1"/>
  <c r="AW7" i="1"/>
  <c r="BB7" i="1"/>
  <c r="BI7" i="1"/>
  <c r="BA7" i="1"/>
  <c r="AS7" i="1"/>
  <c r="AO7" i="1"/>
  <c r="AT7" i="1"/>
  <c r="AS6" i="1"/>
  <c r="BB6" i="1"/>
  <c r="BJ6" i="1"/>
  <c r="BA6" i="1"/>
  <c r="BI6" i="1"/>
  <c r="BK16" i="1"/>
  <c r="AU16" i="1"/>
  <c r="AI16" i="1"/>
  <c r="AJ16" i="1" s="1"/>
  <c r="AY16" i="1"/>
  <c r="AZ16" i="1" s="1"/>
  <c r="BC16" i="1" s="1"/>
  <c r="AH6" i="1"/>
  <c r="AI6" i="1" s="1"/>
  <c r="AJ6" i="1" s="1"/>
  <c r="AG15" i="1"/>
  <c r="AH15" i="1"/>
  <c r="AH14" i="1"/>
  <c r="AG14" i="1"/>
  <c r="AG13" i="1"/>
  <c r="AH13" i="1"/>
  <c r="AH12" i="1"/>
  <c r="AG12" i="1"/>
  <c r="AG11" i="1"/>
  <c r="AH11" i="1"/>
  <c r="AH4" i="1"/>
  <c r="AG4" i="1"/>
  <c r="AH5" i="1"/>
  <c r="AG5" i="1"/>
  <c r="AH8" i="1"/>
  <c r="AG8" i="1"/>
  <c r="AH7" i="1"/>
  <c r="AG7" i="1"/>
  <c r="AG10" i="1"/>
  <c r="AH10" i="1"/>
  <c r="AG9" i="1"/>
  <c r="AH9" i="1"/>
  <c r="AL999" i="1"/>
  <c r="AK999" i="1"/>
  <c r="AK998" i="1"/>
  <c r="AL998" i="1"/>
  <c r="AK997" i="1"/>
  <c r="AL997" i="1"/>
  <c r="AL996" i="1"/>
  <c r="AK996" i="1"/>
  <c r="AK995" i="1"/>
  <c r="AL995" i="1"/>
  <c r="AL994" i="1"/>
  <c r="AK994" i="1"/>
  <c r="AK993" i="1"/>
  <c r="AL993" i="1"/>
  <c r="AL992" i="1"/>
  <c r="AK992" i="1"/>
  <c r="AK991" i="1"/>
  <c r="AL991" i="1"/>
  <c r="AL990" i="1"/>
  <c r="AK990" i="1"/>
  <c r="AK989" i="1"/>
  <c r="AL989" i="1"/>
  <c r="AL988" i="1"/>
  <c r="AK988" i="1"/>
  <c r="AK987" i="1"/>
  <c r="AL987" i="1"/>
  <c r="AL986" i="1"/>
  <c r="AK986" i="1"/>
  <c r="AK985" i="1"/>
  <c r="AL985" i="1"/>
  <c r="AL984" i="1"/>
  <c r="AK984" i="1"/>
  <c r="AK983" i="1"/>
  <c r="AL983" i="1"/>
  <c r="AL982" i="1"/>
  <c r="AK982" i="1"/>
  <c r="AL981" i="1"/>
  <c r="AK981" i="1"/>
  <c r="AK980" i="1"/>
  <c r="AL980" i="1"/>
  <c r="AK979" i="1"/>
  <c r="AL979" i="1"/>
  <c r="AK978" i="1"/>
  <c r="AL978" i="1"/>
  <c r="AL977" i="1"/>
  <c r="AK977" i="1"/>
  <c r="AK976" i="1"/>
  <c r="AL976" i="1"/>
  <c r="AL975" i="1"/>
  <c r="AK975" i="1"/>
  <c r="AK974" i="1"/>
  <c r="AL974" i="1"/>
  <c r="AL973" i="1"/>
  <c r="AK973" i="1"/>
  <c r="AK972" i="1"/>
  <c r="AL972" i="1"/>
  <c r="AL971" i="1"/>
  <c r="AK971" i="1"/>
  <c r="AK970" i="1"/>
  <c r="AL970" i="1"/>
  <c r="AL969" i="1"/>
  <c r="AK969" i="1"/>
  <c r="AK968" i="1"/>
  <c r="AL968" i="1"/>
  <c r="AL967" i="1"/>
  <c r="AK967" i="1"/>
  <c r="AK966" i="1"/>
  <c r="AL966" i="1"/>
  <c r="AL965" i="1"/>
  <c r="AK965" i="1"/>
  <c r="AK964" i="1"/>
  <c r="AL964" i="1"/>
  <c r="AL963" i="1"/>
  <c r="AK963" i="1"/>
  <c r="AL962" i="1"/>
  <c r="AK962" i="1"/>
  <c r="AK961" i="1"/>
  <c r="AL961" i="1"/>
  <c r="AL960" i="1"/>
  <c r="AK960" i="1"/>
  <c r="AK959" i="1"/>
  <c r="AL959" i="1"/>
  <c r="AL958" i="1"/>
  <c r="AK958" i="1"/>
  <c r="AK957" i="1"/>
  <c r="AL957" i="1"/>
  <c r="AL956" i="1"/>
  <c r="AK956" i="1"/>
  <c r="AL955" i="1"/>
  <c r="AK955" i="1"/>
  <c r="AK954" i="1"/>
  <c r="AL954" i="1"/>
  <c r="AL953" i="1"/>
  <c r="AK953" i="1"/>
  <c r="AK952" i="1"/>
  <c r="AL952" i="1"/>
  <c r="AL951" i="1"/>
  <c r="AK951" i="1"/>
  <c r="AK950" i="1"/>
  <c r="AL950" i="1"/>
  <c r="AL949" i="1"/>
  <c r="AK949" i="1"/>
  <c r="AK948" i="1"/>
  <c r="AL948" i="1"/>
  <c r="AL947" i="1"/>
  <c r="AK947" i="1"/>
  <c r="AL946" i="1"/>
  <c r="AK946" i="1"/>
  <c r="AK945" i="1"/>
  <c r="AL945" i="1"/>
  <c r="AL944" i="1"/>
  <c r="AK944" i="1"/>
  <c r="AK943" i="1"/>
  <c r="AL943" i="1"/>
  <c r="AL942" i="1"/>
  <c r="AK942" i="1"/>
  <c r="AL941" i="1"/>
  <c r="AK941" i="1"/>
  <c r="AK940" i="1"/>
  <c r="AL940" i="1"/>
  <c r="AL939" i="1"/>
  <c r="AK939" i="1"/>
  <c r="AK938" i="1"/>
  <c r="AL938" i="1"/>
  <c r="AL937" i="1"/>
  <c r="AK937" i="1"/>
  <c r="AK936" i="1"/>
  <c r="AL936" i="1"/>
  <c r="AL935" i="1"/>
  <c r="AK935" i="1"/>
  <c r="AK934" i="1"/>
  <c r="AL934" i="1"/>
  <c r="AL933" i="1"/>
  <c r="AK933" i="1"/>
  <c r="AK932" i="1"/>
  <c r="AL932" i="1"/>
  <c r="AL931" i="1"/>
  <c r="AK931" i="1"/>
  <c r="AK930" i="1"/>
  <c r="AL930" i="1"/>
  <c r="AL929" i="1"/>
  <c r="AK929" i="1"/>
  <c r="AK928" i="1"/>
  <c r="AL928" i="1"/>
  <c r="AL927" i="1"/>
  <c r="AK927" i="1"/>
  <c r="AL926" i="1"/>
  <c r="AK926" i="1"/>
  <c r="AK925" i="1"/>
  <c r="AL925" i="1"/>
  <c r="AL924" i="1"/>
  <c r="AK924" i="1"/>
  <c r="AK923" i="1"/>
  <c r="AL923" i="1"/>
  <c r="AL922" i="1"/>
  <c r="AK922" i="1"/>
  <c r="AK921" i="1"/>
  <c r="AL921" i="1"/>
  <c r="AL920" i="1"/>
  <c r="AK920" i="1"/>
  <c r="AK919" i="1"/>
  <c r="AL919" i="1"/>
  <c r="AL918" i="1"/>
  <c r="AK918" i="1"/>
  <c r="AK917" i="1"/>
  <c r="AL917" i="1"/>
  <c r="AL916" i="1"/>
  <c r="AK916" i="1"/>
  <c r="AK915" i="1"/>
  <c r="AL915" i="1"/>
  <c r="AL914" i="1"/>
  <c r="AK914" i="1"/>
  <c r="AK913" i="1"/>
  <c r="AL913" i="1"/>
  <c r="AL912" i="1"/>
  <c r="AK912" i="1"/>
  <c r="AK911" i="1"/>
  <c r="AL911" i="1"/>
  <c r="AL910" i="1"/>
  <c r="AK910" i="1"/>
  <c r="AK909" i="1"/>
  <c r="AL909" i="1"/>
  <c r="AL908" i="1"/>
  <c r="AK908" i="1"/>
  <c r="AK907" i="1"/>
  <c r="AL907" i="1"/>
  <c r="AL906" i="1"/>
  <c r="AK906" i="1"/>
  <c r="AK905" i="1"/>
  <c r="AL905" i="1"/>
  <c r="AL904" i="1"/>
  <c r="AK904" i="1"/>
  <c r="AK903" i="1"/>
  <c r="AL903" i="1"/>
  <c r="AL902" i="1"/>
  <c r="AK902" i="1"/>
  <c r="AK901" i="1"/>
  <c r="AL901" i="1"/>
  <c r="AL900" i="1"/>
  <c r="AK900" i="1"/>
  <c r="AK899" i="1"/>
  <c r="AL899" i="1"/>
  <c r="AL898" i="1"/>
  <c r="AK898" i="1"/>
  <c r="AK897" i="1"/>
  <c r="AL897" i="1"/>
  <c r="AL896" i="1"/>
  <c r="AK896" i="1"/>
  <c r="AL895" i="1"/>
  <c r="AK895" i="1"/>
  <c r="AK894" i="1"/>
  <c r="AL894" i="1"/>
  <c r="AL893" i="1"/>
  <c r="AK893" i="1"/>
  <c r="AK892" i="1"/>
  <c r="AL892" i="1"/>
  <c r="AL891" i="1"/>
  <c r="AK891" i="1"/>
  <c r="AK890" i="1"/>
  <c r="AL890" i="1"/>
  <c r="AL889" i="1"/>
  <c r="AK889" i="1"/>
  <c r="AK888" i="1"/>
  <c r="AL888" i="1"/>
  <c r="AL887" i="1"/>
  <c r="AK887" i="1"/>
  <c r="AK886" i="1"/>
  <c r="AL886" i="1"/>
  <c r="AL885" i="1"/>
  <c r="AK885" i="1"/>
  <c r="AK884" i="1"/>
  <c r="AL884" i="1"/>
  <c r="AL883" i="1"/>
  <c r="AK883" i="1"/>
  <c r="AK882" i="1"/>
  <c r="AL882" i="1"/>
  <c r="AL881" i="1"/>
  <c r="AK881" i="1"/>
  <c r="AK880" i="1"/>
  <c r="AL880" i="1"/>
  <c r="AL879" i="1"/>
  <c r="AK879" i="1"/>
  <c r="AK878" i="1"/>
  <c r="AL878" i="1"/>
  <c r="AL877" i="1"/>
  <c r="AK877" i="1"/>
  <c r="AK876" i="1"/>
  <c r="AL876" i="1"/>
  <c r="AL875" i="1"/>
  <c r="AK875" i="1"/>
  <c r="AK874" i="1"/>
  <c r="AL874" i="1"/>
  <c r="AK873" i="1"/>
  <c r="AL873" i="1"/>
  <c r="AL872" i="1"/>
  <c r="AK872" i="1"/>
  <c r="AL871" i="1"/>
  <c r="AK871" i="1"/>
  <c r="AK870" i="1"/>
  <c r="AL870" i="1"/>
  <c r="AK869" i="1"/>
  <c r="AL869" i="1"/>
  <c r="AL868" i="1"/>
  <c r="AK868" i="1"/>
  <c r="AL867" i="1"/>
  <c r="AK867" i="1"/>
  <c r="AK866" i="1"/>
  <c r="AL866" i="1"/>
  <c r="AK865" i="1"/>
  <c r="AL865" i="1"/>
  <c r="AL864" i="1"/>
  <c r="AK864" i="1"/>
  <c r="AL863" i="1"/>
  <c r="AK863" i="1"/>
  <c r="AK862" i="1"/>
  <c r="AL862" i="1"/>
  <c r="AK861" i="1"/>
  <c r="AL861" i="1"/>
  <c r="AL860" i="1"/>
  <c r="AK860" i="1"/>
  <c r="AL859" i="1"/>
  <c r="AK859" i="1"/>
  <c r="AK858" i="1"/>
  <c r="AL858" i="1"/>
  <c r="AK857" i="1"/>
  <c r="AL857" i="1"/>
  <c r="AL856" i="1"/>
  <c r="AK856" i="1"/>
  <c r="AL855" i="1"/>
  <c r="AK855" i="1"/>
  <c r="AK854" i="1"/>
  <c r="AL854" i="1"/>
  <c r="AK853" i="1"/>
  <c r="AL853" i="1"/>
  <c r="AL852" i="1"/>
  <c r="AK852" i="1"/>
  <c r="AL851" i="1"/>
  <c r="AK851" i="1"/>
  <c r="AK850" i="1"/>
  <c r="AL850" i="1"/>
  <c r="AK849" i="1"/>
  <c r="AL849" i="1"/>
  <c r="AL848" i="1"/>
  <c r="AK848" i="1"/>
  <c r="AL847" i="1"/>
  <c r="AK847" i="1"/>
  <c r="AK846" i="1"/>
  <c r="AL846" i="1"/>
  <c r="AK845" i="1"/>
  <c r="AL845" i="1"/>
  <c r="AL844" i="1"/>
  <c r="AK844" i="1"/>
  <c r="AL843" i="1"/>
  <c r="AK843" i="1"/>
  <c r="AK842" i="1"/>
  <c r="AL842" i="1"/>
  <c r="AK841" i="1"/>
  <c r="AL841" i="1"/>
  <c r="AL840" i="1"/>
  <c r="AK840" i="1"/>
  <c r="AL839" i="1"/>
  <c r="AK839" i="1"/>
  <c r="AK838" i="1"/>
  <c r="AL838" i="1"/>
  <c r="AK837" i="1"/>
  <c r="AL837" i="1"/>
  <c r="AL836" i="1"/>
  <c r="AK836" i="1"/>
  <c r="AL835" i="1"/>
  <c r="AK835" i="1"/>
  <c r="AK834" i="1"/>
  <c r="AL834" i="1"/>
  <c r="AK833" i="1"/>
  <c r="AL833" i="1"/>
  <c r="AL832" i="1"/>
  <c r="AK832" i="1"/>
  <c r="AL831" i="1"/>
  <c r="AK831" i="1"/>
  <c r="AK830" i="1"/>
  <c r="AL830" i="1"/>
  <c r="AK829" i="1"/>
  <c r="AL829" i="1"/>
  <c r="AL828" i="1"/>
  <c r="AK828" i="1"/>
  <c r="AL827" i="1"/>
  <c r="AK827" i="1"/>
  <c r="AK826" i="1"/>
  <c r="AL826" i="1"/>
  <c r="AK825" i="1"/>
  <c r="AL825" i="1"/>
  <c r="AL824" i="1"/>
  <c r="AK824" i="1"/>
  <c r="AL823" i="1"/>
  <c r="AK823" i="1"/>
  <c r="AK822" i="1"/>
  <c r="AL822" i="1"/>
  <c r="AK821" i="1"/>
  <c r="AL821" i="1"/>
  <c r="AL820" i="1"/>
  <c r="AK820" i="1"/>
  <c r="AL819" i="1"/>
  <c r="AK819" i="1"/>
  <c r="AK818" i="1"/>
  <c r="AL818" i="1"/>
  <c r="AK817" i="1"/>
  <c r="AL817" i="1"/>
  <c r="AL816" i="1"/>
  <c r="AK816" i="1"/>
  <c r="AL815" i="1"/>
  <c r="AK815" i="1"/>
  <c r="AK814" i="1"/>
  <c r="AL814" i="1"/>
  <c r="AK813" i="1"/>
  <c r="AL813" i="1"/>
  <c r="AL812" i="1"/>
  <c r="AK812" i="1"/>
  <c r="AL811" i="1"/>
  <c r="AK811" i="1"/>
  <c r="AK810" i="1"/>
  <c r="AL810" i="1"/>
  <c r="AK809" i="1"/>
  <c r="AL809" i="1"/>
  <c r="AL808" i="1"/>
  <c r="AK808" i="1"/>
  <c r="AL807" i="1"/>
  <c r="AK807" i="1"/>
  <c r="AK806" i="1"/>
  <c r="AL806" i="1"/>
  <c r="AK805" i="1"/>
  <c r="AL805" i="1"/>
  <c r="AL804" i="1"/>
  <c r="AK804" i="1"/>
  <c r="AL803" i="1"/>
  <c r="AK803" i="1"/>
  <c r="AK802" i="1"/>
  <c r="AL802" i="1"/>
  <c r="AK801" i="1"/>
  <c r="AL801" i="1"/>
  <c r="AL800" i="1"/>
  <c r="AK800" i="1"/>
  <c r="AL799" i="1"/>
  <c r="AK799" i="1"/>
  <c r="AL798" i="1"/>
  <c r="AK798" i="1"/>
  <c r="AL797" i="1"/>
  <c r="AK797" i="1"/>
  <c r="AL796" i="1"/>
  <c r="AK796" i="1"/>
  <c r="AL795" i="1"/>
  <c r="AK795" i="1"/>
  <c r="AL794" i="1"/>
  <c r="AK794" i="1"/>
  <c r="AL793" i="1"/>
  <c r="AK793" i="1"/>
  <c r="AL792" i="1"/>
  <c r="AK792" i="1"/>
  <c r="AL791" i="1"/>
  <c r="AK791" i="1"/>
  <c r="AL790" i="1"/>
  <c r="AK790" i="1"/>
  <c r="AL789" i="1"/>
  <c r="AK789" i="1"/>
  <c r="AL788" i="1"/>
  <c r="AK788" i="1"/>
  <c r="AL787" i="1"/>
  <c r="AK787" i="1"/>
  <c r="AL786" i="1"/>
  <c r="AK786" i="1"/>
  <c r="AL785" i="1"/>
  <c r="AK785" i="1"/>
  <c r="AL784" i="1"/>
  <c r="AK784" i="1"/>
  <c r="AL783" i="1"/>
  <c r="AK783" i="1"/>
  <c r="AL782" i="1"/>
  <c r="AK782" i="1"/>
  <c r="AL781" i="1"/>
  <c r="AK781" i="1"/>
  <c r="AL780" i="1"/>
  <c r="AK780" i="1"/>
  <c r="AL779" i="1"/>
  <c r="AK779" i="1"/>
  <c r="AL778" i="1"/>
  <c r="AK778" i="1"/>
  <c r="AL777" i="1"/>
  <c r="AK777" i="1"/>
  <c r="AL776" i="1"/>
  <c r="AK776" i="1"/>
  <c r="AL775" i="1"/>
  <c r="AK775" i="1"/>
  <c r="AL774" i="1"/>
  <c r="AK774" i="1"/>
  <c r="AL773" i="1"/>
  <c r="AK773" i="1"/>
  <c r="AL772" i="1"/>
  <c r="AK772" i="1"/>
  <c r="AL771" i="1"/>
  <c r="AK771" i="1"/>
  <c r="AL770" i="1"/>
  <c r="AK770" i="1"/>
  <c r="AL769" i="1"/>
  <c r="AK769" i="1"/>
  <c r="AL768" i="1"/>
  <c r="AK768" i="1"/>
  <c r="AL767" i="1"/>
  <c r="AK767" i="1"/>
  <c r="AL766" i="1"/>
  <c r="AK766" i="1"/>
  <c r="AL765" i="1"/>
  <c r="AK765" i="1"/>
  <c r="AL764" i="1"/>
  <c r="AK764" i="1"/>
  <c r="AL763" i="1"/>
  <c r="AK763" i="1"/>
  <c r="AL762" i="1"/>
  <c r="AK762" i="1"/>
  <c r="AL761" i="1"/>
  <c r="AK761" i="1"/>
  <c r="AL760" i="1"/>
  <c r="AK760" i="1"/>
  <c r="AL759" i="1"/>
  <c r="AK759" i="1"/>
  <c r="AL758" i="1"/>
  <c r="AK758" i="1"/>
  <c r="AL757" i="1"/>
  <c r="AK757" i="1"/>
  <c r="AL756" i="1"/>
  <c r="AK756" i="1"/>
  <c r="AL755" i="1"/>
  <c r="AK755" i="1"/>
  <c r="AL754" i="1"/>
  <c r="AK754" i="1"/>
  <c r="AL753" i="1"/>
  <c r="AK753" i="1"/>
  <c r="AL752" i="1"/>
  <c r="AK752" i="1"/>
  <c r="AL751" i="1"/>
  <c r="AK751" i="1"/>
  <c r="AL750" i="1"/>
  <c r="AK750" i="1"/>
  <c r="AL749" i="1"/>
  <c r="AK749" i="1"/>
  <c r="AL748" i="1"/>
  <c r="AK748" i="1"/>
  <c r="AL747" i="1"/>
  <c r="AK747" i="1"/>
  <c r="AL746" i="1"/>
  <c r="AK746" i="1"/>
  <c r="AL745" i="1"/>
  <c r="AK745" i="1"/>
  <c r="AL744" i="1"/>
  <c r="AK744" i="1"/>
  <c r="AL743" i="1"/>
  <c r="AK743" i="1"/>
  <c r="AL742" i="1"/>
  <c r="AK742" i="1"/>
  <c r="AL741" i="1"/>
  <c r="AK741" i="1"/>
  <c r="AL740" i="1"/>
  <c r="AK740" i="1"/>
  <c r="AL739" i="1"/>
  <c r="AK739" i="1"/>
  <c r="AL738" i="1"/>
  <c r="AK738" i="1"/>
  <c r="AL737" i="1"/>
  <c r="AK737" i="1"/>
  <c r="AL736" i="1"/>
  <c r="AK736" i="1"/>
  <c r="AL735" i="1"/>
  <c r="AK735" i="1"/>
  <c r="AL734" i="1"/>
  <c r="AK734" i="1"/>
  <c r="AL733" i="1"/>
  <c r="AK733" i="1"/>
  <c r="AL732" i="1"/>
  <c r="AK732" i="1"/>
  <c r="AL731" i="1"/>
  <c r="AK731" i="1"/>
  <c r="AL730" i="1"/>
  <c r="AK730" i="1"/>
  <c r="AL729" i="1"/>
  <c r="AK729" i="1"/>
  <c r="AL728" i="1"/>
  <c r="AK728" i="1"/>
  <c r="AL727" i="1"/>
  <c r="AK727" i="1"/>
  <c r="AL726" i="1"/>
  <c r="AK726" i="1"/>
  <c r="AL725" i="1"/>
  <c r="AK725" i="1"/>
  <c r="AL724" i="1"/>
  <c r="AK724" i="1"/>
  <c r="AL723" i="1"/>
  <c r="AK723" i="1"/>
  <c r="AL722" i="1"/>
  <c r="AK722" i="1"/>
  <c r="AL721" i="1"/>
  <c r="AK721" i="1"/>
  <c r="AL720" i="1"/>
  <c r="AK720" i="1"/>
  <c r="AL719" i="1"/>
  <c r="AK719" i="1"/>
  <c r="AL718" i="1"/>
  <c r="AK718" i="1"/>
  <c r="AL717" i="1"/>
  <c r="AK717" i="1"/>
  <c r="AL716" i="1"/>
  <c r="AK716" i="1"/>
  <c r="AL715" i="1"/>
  <c r="AK715" i="1"/>
  <c r="AL714" i="1"/>
  <c r="AK714" i="1"/>
  <c r="AL713" i="1"/>
  <c r="AK713" i="1"/>
  <c r="AL712" i="1"/>
  <c r="AK712" i="1"/>
  <c r="AL711" i="1"/>
  <c r="AK711" i="1"/>
  <c r="AL710" i="1"/>
  <c r="AK710" i="1"/>
  <c r="AL709" i="1"/>
  <c r="AK709" i="1"/>
  <c r="AL708" i="1"/>
  <c r="AK708" i="1"/>
  <c r="AL707" i="1"/>
  <c r="AK707" i="1"/>
  <c r="AL706" i="1"/>
  <c r="AK706" i="1"/>
  <c r="AL705" i="1"/>
  <c r="AK705" i="1"/>
  <c r="AL704" i="1"/>
  <c r="AK704" i="1"/>
  <c r="AL703" i="1"/>
  <c r="AK703" i="1"/>
  <c r="AL702" i="1"/>
  <c r="AK702" i="1"/>
  <c r="AL701" i="1"/>
  <c r="AK701" i="1"/>
  <c r="AL700" i="1"/>
  <c r="AK700" i="1"/>
  <c r="AL699" i="1"/>
  <c r="AK699" i="1"/>
  <c r="AL698" i="1"/>
  <c r="AK698" i="1"/>
  <c r="AL697" i="1"/>
  <c r="AK697" i="1"/>
  <c r="AL696" i="1"/>
  <c r="AK696" i="1"/>
  <c r="AL695" i="1"/>
  <c r="AK695" i="1"/>
  <c r="AL694" i="1"/>
  <c r="AK694" i="1"/>
  <c r="AL693" i="1"/>
  <c r="AK693" i="1"/>
  <c r="AL692" i="1"/>
  <c r="AK692" i="1"/>
  <c r="AL691" i="1"/>
  <c r="AK691" i="1"/>
  <c r="AL690" i="1"/>
  <c r="AK690" i="1"/>
  <c r="AL689" i="1"/>
  <c r="AK689" i="1"/>
  <c r="AL688" i="1"/>
  <c r="AK688" i="1"/>
  <c r="AL687" i="1"/>
  <c r="AK687" i="1"/>
  <c r="AL686" i="1"/>
  <c r="AK686" i="1"/>
  <c r="AL685" i="1"/>
  <c r="AK685" i="1"/>
  <c r="AL684" i="1"/>
  <c r="AK684" i="1"/>
  <c r="AL683" i="1"/>
  <c r="AK683" i="1"/>
  <c r="AL682" i="1"/>
  <c r="AK682" i="1"/>
  <c r="AL681" i="1"/>
  <c r="AK681" i="1"/>
  <c r="AL680" i="1"/>
  <c r="AK680" i="1"/>
  <c r="AL679" i="1"/>
  <c r="AK679" i="1"/>
  <c r="AL678" i="1"/>
  <c r="AK678" i="1"/>
  <c r="AL677" i="1"/>
  <c r="AK677" i="1"/>
  <c r="AL676" i="1"/>
  <c r="AK676" i="1"/>
  <c r="AL675" i="1"/>
  <c r="AK675" i="1"/>
  <c r="AL674" i="1"/>
  <c r="AK674" i="1"/>
  <c r="AL673" i="1"/>
  <c r="AK673" i="1"/>
  <c r="AL672" i="1"/>
  <c r="AK672" i="1"/>
  <c r="AL671" i="1"/>
  <c r="AK671" i="1"/>
  <c r="AL670" i="1"/>
  <c r="AK670" i="1"/>
  <c r="AL669" i="1"/>
  <c r="AK669" i="1"/>
  <c r="AL668" i="1"/>
  <c r="AK668" i="1"/>
  <c r="AL667" i="1"/>
  <c r="AK667" i="1"/>
  <c r="AL666" i="1"/>
  <c r="AK666" i="1"/>
  <c r="AL665" i="1"/>
  <c r="AK665" i="1"/>
  <c r="AL664" i="1"/>
  <c r="AK664" i="1"/>
  <c r="AL663" i="1"/>
  <c r="AK663" i="1"/>
  <c r="AL662" i="1"/>
  <c r="AK662" i="1"/>
  <c r="AL661" i="1"/>
  <c r="AK661" i="1"/>
  <c r="AL660" i="1"/>
  <c r="AK660" i="1"/>
  <c r="AL659" i="1"/>
  <c r="AK659" i="1"/>
  <c r="AL658" i="1"/>
  <c r="AK658" i="1"/>
  <c r="AL657" i="1"/>
  <c r="AK657" i="1"/>
  <c r="AL656" i="1"/>
  <c r="AK656" i="1"/>
  <c r="AL655" i="1"/>
  <c r="AK655" i="1"/>
  <c r="AL654" i="1"/>
  <c r="AK654" i="1"/>
  <c r="AL653" i="1"/>
  <c r="AK653" i="1"/>
  <c r="AL652" i="1"/>
  <c r="AK652" i="1"/>
  <c r="AL651" i="1"/>
  <c r="AK651" i="1"/>
  <c r="AL650" i="1"/>
  <c r="AK650" i="1"/>
  <c r="AL649" i="1"/>
  <c r="AK649" i="1"/>
  <c r="AL648" i="1"/>
  <c r="AK648" i="1"/>
  <c r="AL647" i="1"/>
  <c r="AK647" i="1"/>
  <c r="AL646" i="1"/>
  <c r="AK646" i="1"/>
  <c r="AL645" i="1"/>
  <c r="AK645" i="1"/>
  <c r="AL644" i="1"/>
  <c r="AK644" i="1"/>
  <c r="AL643" i="1"/>
  <c r="AK643" i="1"/>
  <c r="AL642" i="1"/>
  <c r="AK642" i="1"/>
  <c r="AL641" i="1"/>
  <c r="AK641" i="1"/>
  <c r="AL640" i="1"/>
  <c r="AK640" i="1"/>
  <c r="AL639" i="1"/>
  <c r="AK639" i="1"/>
  <c r="AL638" i="1"/>
  <c r="AK638" i="1"/>
  <c r="AL637" i="1"/>
  <c r="AK637" i="1"/>
  <c r="AL636" i="1"/>
  <c r="AK636" i="1"/>
  <c r="AL635" i="1"/>
  <c r="AK635" i="1"/>
  <c r="AL634" i="1"/>
  <c r="AK634" i="1"/>
  <c r="AL633" i="1"/>
  <c r="AK633" i="1"/>
  <c r="AL632" i="1"/>
  <c r="AK632" i="1"/>
  <c r="AL631" i="1"/>
  <c r="AK631" i="1"/>
  <c r="AL630" i="1"/>
  <c r="AK630" i="1"/>
  <c r="AL629" i="1"/>
  <c r="AK629" i="1"/>
  <c r="AK628" i="1"/>
  <c r="AL628" i="1"/>
  <c r="AK627" i="1"/>
  <c r="AL627" i="1"/>
  <c r="AL626" i="1"/>
  <c r="AK626" i="1"/>
  <c r="AL625" i="1"/>
  <c r="AK625" i="1"/>
  <c r="AK624" i="1"/>
  <c r="AL624" i="1"/>
  <c r="AK623" i="1"/>
  <c r="AL623" i="1"/>
  <c r="AL622" i="1"/>
  <c r="AK622" i="1"/>
  <c r="AL621" i="1"/>
  <c r="AK621" i="1"/>
  <c r="AK620" i="1"/>
  <c r="AL620" i="1"/>
  <c r="AK619" i="1"/>
  <c r="AL619" i="1"/>
  <c r="AL618" i="1"/>
  <c r="AK618" i="1"/>
  <c r="AL617" i="1"/>
  <c r="AK617" i="1"/>
  <c r="AK616" i="1"/>
  <c r="AL616" i="1"/>
  <c r="AK615" i="1"/>
  <c r="AL615" i="1"/>
  <c r="AL614" i="1"/>
  <c r="AK614" i="1"/>
  <c r="AL613" i="1"/>
  <c r="AK613" i="1"/>
  <c r="AK612" i="1"/>
  <c r="AL612" i="1"/>
  <c r="AK611" i="1"/>
  <c r="AL611" i="1"/>
  <c r="AL610" i="1"/>
  <c r="AK610" i="1"/>
  <c r="AL609" i="1"/>
  <c r="AK609" i="1"/>
  <c r="AK608" i="1"/>
  <c r="AL608" i="1"/>
  <c r="AK607" i="1"/>
  <c r="AL607" i="1"/>
  <c r="AL606" i="1"/>
  <c r="AK606" i="1"/>
  <c r="AL605" i="1"/>
  <c r="AK605" i="1"/>
  <c r="AK604" i="1"/>
  <c r="AL604" i="1"/>
  <c r="AK603" i="1"/>
  <c r="AL603" i="1"/>
  <c r="AL602" i="1"/>
  <c r="AK602" i="1"/>
  <c r="AL601" i="1"/>
  <c r="AK601" i="1"/>
  <c r="AK600" i="1"/>
  <c r="AL600" i="1"/>
  <c r="AK599" i="1"/>
  <c r="AL599" i="1"/>
  <c r="AL598" i="1"/>
  <c r="AK598" i="1"/>
  <c r="AL597" i="1"/>
  <c r="AK597" i="1"/>
  <c r="AK596" i="1"/>
  <c r="AL596" i="1"/>
  <c r="AK595" i="1"/>
  <c r="AL595" i="1"/>
  <c r="AL594" i="1"/>
  <c r="AK594" i="1"/>
  <c r="AL593" i="1"/>
  <c r="AK593" i="1"/>
  <c r="AK592" i="1"/>
  <c r="AL592" i="1"/>
  <c r="AK591" i="1"/>
  <c r="AL591" i="1"/>
  <c r="AL590" i="1"/>
  <c r="AK590" i="1"/>
  <c r="AL589" i="1"/>
  <c r="AK589" i="1"/>
  <c r="AK588" i="1"/>
  <c r="AL588" i="1"/>
  <c r="AK587" i="1"/>
  <c r="AL587" i="1"/>
  <c r="AL586" i="1"/>
  <c r="AK586" i="1"/>
  <c r="AL585" i="1"/>
  <c r="AK585" i="1"/>
  <c r="AK584" i="1"/>
  <c r="AL584" i="1"/>
  <c r="AK583" i="1"/>
  <c r="AL583" i="1"/>
  <c r="AL582" i="1"/>
  <c r="AK582" i="1"/>
  <c r="AL581" i="1"/>
  <c r="AK581" i="1"/>
  <c r="AK580" i="1"/>
  <c r="AL580" i="1"/>
  <c r="AK579" i="1"/>
  <c r="AL579" i="1"/>
  <c r="AL578" i="1"/>
  <c r="AK578" i="1"/>
  <c r="AL577" i="1"/>
  <c r="AK577" i="1"/>
  <c r="AL576" i="1"/>
  <c r="AK576" i="1"/>
  <c r="AL575" i="1"/>
  <c r="AK575" i="1"/>
  <c r="AL574" i="1"/>
  <c r="AK574" i="1"/>
  <c r="AL573" i="1"/>
  <c r="AK573" i="1"/>
  <c r="AL572" i="1"/>
  <c r="AK572" i="1"/>
  <c r="AL571" i="1"/>
  <c r="AK571" i="1"/>
  <c r="AL570" i="1"/>
  <c r="AK570" i="1"/>
  <c r="AL569" i="1"/>
  <c r="AK569" i="1"/>
  <c r="AL568" i="1"/>
  <c r="AK568" i="1"/>
  <c r="AL567" i="1"/>
  <c r="AK567" i="1"/>
  <c r="AL566" i="1"/>
  <c r="AK566" i="1"/>
  <c r="AL565" i="1"/>
  <c r="AK565" i="1"/>
  <c r="AL564" i="1"/>
  <c r="AK564" i="1"/>
  <c r="AL563" i="1"/>
  <c r="AK563" i="1"/>
  <c r="AL562" i="1"/>
  <c r="AK562" i="1"/>
  <c r="AL561" i="1"/>
  <c r="AK561" i="1"/>
  <c r="AL560" i="1"/>
  <c r="AK560" i="1"/>
  <c r="AL559" i="1"/>
  <c r="AK559" i="1"/>
  <c r="AL558" i="1"/>
  <c r="AK558" i="1"/>
  <c r="AL557" i="1"/>
  <c r="AK557" i="1"/>
  <c r="AL556" i="1"/>
  <c r="AK556" i="1"/>
  <c r="AL555" i="1"/>
  <c r="AK555" i="1"/>
  <c r="AL554" i="1"/>
  <c r="AK554" i="1"/>
  <c r="AL553" i="1"/>
  <c r="AK553" i="1"/>
  <c r="AL552" i="1"/>
  <c r="AK552" i="1"/>
  <c r="AL551" i="1"/>
  <c r="AK551" i="1"/>
  <c r="AL550" i="1"/>
  <c r="AK550" i="1"/>
  <c r="AL549" i="1"/>
  <c r="AK549" i="1"/>
  <c r="AL548" i="1"/>
  <c r="AK548" i="1"/>
  <c r="AL547" i="1"/>
  <c r="AK547" i="1"/>
  <c r="AL546" i="1"/>
  <c r="AK546" i="1"/>
  <c r="AL545" i="1"/>
  <c r="AK545" i="1"/>
  <c r="AL544" i="1"/>
  <c r="AK544" i="1"/>
  <c r="AL543" i="1"/>
  <c r="AK543" i="1"/>
  <c r="AL542" i="1"/>
  <c r="AK542" i="1"/>
  <c r="AL541" i="1"/>
  <c r="AK541" i="1"/>
  <c r="AL540" i="1"/>
  <c r="AK540" i="1"/>
  <c r="AL539" i="1"/>
  <c r="AK539" i="1"/>
  <c r="AL538" i="1"/>
  <c r="AK538" i="1"/>
  <c r="AL537" i="1"/>
  <c r="AK537" i="1"/>
  <c r="AL536" i="1"/>
  <c r="AK536" i="1"/>
  <c r="AL535" i="1"/>
  <c r="AK535" i="1"/>
  <c r="AL534" i="1"/>
  <c r="AK534" i="1"/>
  <c r="AL533" i="1"/>
  <c r="AK533" i="1"/>
  <c r="AL532" i="1"/>
  <c r="AK532" i="1"/>
  <c r="AL531" i="1"/>
  <c r="AK531" i="1"/>
  <c r="AL530" i="1"/>
  <c r="AK530" i="1"/>
  <c r="AL529" i="1"/>
  <c r="AK529" i="1"/>
  <c r="AL528" i="1"/>
  <c r="AK528" i="1"/>
  <c r="AL527" i="1"/>
  <c r="AK527" i="1"/>
  <c r="AL526" i="1"/>
  <c r="AK526" i="1"/>
  <c r="AL525" i="1"/>
  <c r="AK525" i="1"/>
  <c r="AL524" i="1"/>
  <c r="AK524" i="1"/>
  <c r="AL523" i="1"/>
  <c r="AK523" i="1"/>
  <c r="AL522" i="1"/>
  <c r="AK522" i="1"/>
  <c r="AL521" i="1"/>
  <c r="AK521" i="1"/>
  <c r="AL520" i="1"/>
  <c r="AK520" i="1"/>
  <c r="AL519" i="1"/>
  <c r="AK519" i="1"/>
  <c r="AL518" i="1"/>
  <c r="AK518" i="1"/>
  <c r="AL517" i="1"/>
  <c r="AK517" i="1"/>
  <c r="AL516" i="1"/>
  <c r="AK516" i="1"/>
  <c r="AL515" i="1"/>
  <c r="AK515" i="1"/>
  <c r="AL514" i="1"/>
  <c r="AK514" i="1"/>
  <c r="AL513" i="1"/>
  <c r="AK513" i="1"/>
  <c r="AL512" i="1"/>
  <c r="AK512" i="1"/>
  <c r="AL511" i="1"/>
  <c r="AK511" i="1"/>
  <c r="AL510" i="1"/>
  <c r="AK510" i="1"/>
  <c r="AL509" i="1"/>
  <c r="AK509" i="1"/>
  <c r="AL508" i="1"/>
  <c r="AK508" i="1"/>
  <c r="AL507" i="1"/>
  <c r="AK507" i="1"/>
  <c r="AL506" i="1"/>
  <c r="AK506" i="1"/>
  <c r="AL505" i="1"/>
  <c r="AK505" i="1"/>
  <c r="AL504" i="1"/>
  <c r="AK504" i="1"/>
  <c r="AL503" i="1"/>
  <c r="AK503" i="1"/>
  <c r="AL502" i="1"/>
  <c r="AK502" i="1"/>
  <c r="AL501" i="1"/>
  <c r="AK501" i="1"/>
  <c r="AL500" i="1"/>
  <c r="AK500" i="1"/>
  <c r="AL499" i="1"/>
  <c r="AK499" i="1"/>
  <c r="AL498" i="1"/>
  <c r="AK498" i="1"/>
  <c r="AL497" i="1"/>
  <c r="AK497" i="1"/>
  <c r="AL496" i="1"/>
  <c r="AK496" i="1"/>
  <c r="AL495" i="1"/>
  <c r="AK495" i="1"/>
  <c r="AL494" i="1"/>
  <c r="AK494" i="1"/>
  <c r="AL493" i="1"/>
  <c r="AK493" i="1"/>
  <c r="AL492" i="1"/>
  <c r="AK492" i="1"/>
  <c r="AK491" i="1"/>
  <c r="AL491" i="1"/>
  <c r="AK490" i="1"/>
  <c r="AL490" i="1"/>
  <c r="AL489" i="1"/>
  <c r="AK489" i="1"/>
  <c r="AL488" i="1"/>
  <c r="AK488" i="1"/>
  <c r="AK487" i="1"/>
  <c r="AL487" i="1"/>
  <c r="AK486" i="1"/>
  <c r="AL486" i="1"/>
  <c r="AL485" i="1"/>
  <c r="AK485" i="1"/>
  <c r="AL484" i="1"/>
  <c r="AK484" i="1"/>
  <c r="AK483" i="1"/>
  <c r="AL483" i="1"/>
  <c r="AK482" i="1"/>
  <c r="AL482" i="1"/>
  <c r="AL481" i="1"/>
  <c r="AK481" i="1"/>
  <c r="AL480" i="1"/>
  <c r="AK480" i="1"/>
  <c r="AK479" i="1"/>
  <c r="AL479" i="1"/>
  <c r="AK478" i="1"/>
  <c r="AL478" i="1"/>
  <c r="AL477" i="1"/>
  <c r="AK477" i="1"/>
  <c r="AL476" i="1"/>
  <c r="AK476" i="1"/>
  <c r="AK475" i="1"/>
  <c r="AL475" i="1"/>
  <c r="AK474" i="1"/>
  <c r="AL474" i="1"/>
  <c r="AL473" i="1"/>
  <c r="AK473" i="1"/>
  <c r="AL472" i="1"/>
  <c r="AK472" i="1"/>
  <c r="AK471" i="1"/>
  <c r="AL471" i="1"/>
  <c r="AK470" i="1"/>
  <c r="AL470" i="1"/>
  <c r="AL469" i="1"/>
  <c r="AK469" i="1"/>
  <c r="AL468" i="1"/>
  <c r="AK468" i="1"/>
  <c r="AK467" i="1"/>
  <c r="AL467" i="1"/>
  <c r="AK466" i="1"/>
  <c r="AL466" i="1"/>
  <c r="AL465" i="1"/>
  <c r="AK465" i="1"/>
  <c r="AL464" i="1"/>
  <c r="AK464" i="1"/>
  <c r="AK463" i="1"/>
  <c r="AL463" i="1"/>
  <c r="AK462" i="1"/>
  <c r="AL462" i="1"/>
  <c r="AL461" i="1"/>
  <c r="AK461" i="1"/>
  <c r="AL460" i="1"/>
  <c r="AK460" i="1"/>
  <c r="AK459" i="1"/>
  <c r="AL459" i="1"/>
  <c r="AK458" i="1"/>
  <c r="AL458" i="1"/>
  <c r="AL457" i="1"/>
  <c r="AK457" i="1"/>
  <c r="AL456" i="1"/>
  <c r="AK456" i="1"/>
  <c r="AK455" i="1"/>
  <c r="AL455" i="1"/>
  <c r="AK454" i="1"/>
  <c r="AL454" i="1"/>
  <c r="AL453" i="1"/>
  <c r="AK453" i="1"/>
  <c r="AL452" i="1"/>
  <c r="AK452" i="1"/>
  <c r="AK451" i="1"/>
  <c r="AJ451" i="1"/>
  <c r="AL451" i="1"/>
  <c r="AK450" i="1"/>
  <c r="AL450" i="1"/>
  <c r="AL449" i="1"/>
  <c r="AK449" i="1"/>
  <c r="AL448" i="1"/>
  <c r="AJ448" i="1"/>
  <c r="AK448" i="1"/>
  <c r="AK447" i="1"/>
  <c r="AJ447" i="1"/>
  <c r="AL447" i="1"/>
  <c r="AK446" i="1"/>
  <c r="AL446" i="1"/>
  <c r="AL445" i="1"/>
  <c r="AK445" i="1"/>
  <c r="AL444" i="1"/>
  <c r="AK444" i="1"/>
  <c r="AK443" i="1"/>
  <c r="AJ443" i="1"/>
  <c r="AL443" i="1"/>
  <c r="AK442" i="1"/>
  <c r="AL442" i="1"/>
  <c r="AL441" i="1"/>
  <c r="AK441" i="1"/>
  <c r="AL440" i="1"/>
  <c r="AK440" i="1"/>
  <c r="AK439" i="1"/>
  <c r="AJ439" i="1"/>
  <c r="AL439" i="1"/>
  <c r="AK438" i="1"/>
  <c r="AL438" i="1"/>
  <c r="AL437" i="1"/>
  <c r="AK437" i="1"/>
  <c r="AL436" i="1"/>
  <c r="AJ436" i="1"/>
  <c r="AK436" i="1"/>
  <c r="AK435" i="1"/>
  <c r="AJ435" i="1"/>
  <c r="AL435" i="1"/>
  <c r="AK434" i="1"/>
  <c r="AL434" i="1"/>
  <c r="AL433" i="1"/>
  <c r="AK433" i="1"/>
  <c r="AL432" i="1"/>
  <c r="AK432" i="1"/>
  <c r="AK431" i="1"/>
  <c r="AJ431" i="1"/>
  <c r="AL431" i="1"/>
  <c r="AK430" i="1"/>
  <c r="AL430" i="1"/>
  <c r="AL429" i="1"/>
  <c r="AK429" i="1"/>
  <c r="AL428" i="1"/>
  <c r="AJ428" i="1"/>
  <c r="AK428" i="1"/>
  <c r="AK427" i="1"/>
  <c r="AJ427" i="1"/>
  <c r="AL427" i="1"/>
  <c r="AK426" i="1"/>
  <c r="AL426" i="1"/>
  <c r="AL425" i="1"/>
  <c r="AK425" i="1"/>
  <c r="AK424" i="1"/>
  <c r="AL424" i="1"/>
  <c r="AL423" i="1"/>
  <c r="AK423" i="1"/>
  <c r="AL422" i="1"/>
  <c r="AK422" i="1"/>
  <c r="AK421" i="1"/>
  <c r="AL421" i="1"/>
  <c r="AK420" i="1"/>
  <c r="AL420" i="1"/>
  <c r="AL419" i="1"/>
  <c r="AK419" i="1"/>
  <c r="AL418" i="1"/>
  <c r="AK418" i="1"/>
  <c r="AK417" i="1"/>
  <c r="AJ417" i="1"/>
  <c r="AL417" i="1"/>
  <c r="AK416" i="1"/>
  <c r="AL416" i="1"/>
  <c r="AL415" i="1"/>
  <c r="AK415" i="1"/>
  <c r="AL414" i="1"/>
  <c r="AK414" i="1"/>
  <c r="AK413" i="1"/>
  <c r="AL413" i="1"/>
  <c r="AK412" i="1"/>
  <c r="AL412" i="1"/>
  <c r="AL411" i="1"/>
  <c r="AK411" i="1"/>
  <c r="AL410" i="1"/>
  <c r="AJ410" i="1"/>
  <c r="AK410" i="1"/>
  <c r="AK409" i="1"/>
  <c r="AJ409" i="1"/>
  <c r="AL409" i="1"/>
  <c r="AK408" i="1"/>
  <c r="AL408" i="1"/>
  <c r="AL407" i="1"/>
  <c r="AK407" i="1"/>
  <c r="AL406" i="1"/>
  <c r="AK406" i="1"/>
  <c r="AK405" i="1"/>
  <c r="AL405" i="1"/>
  <c r="AK404" i="1"/>
  <c r="AL404" i="1"/>
  <c r="AL403" i="1"/>
  <c r="AK403" i="1"/>
  <c r="AL402" i="1"/>
  <c r="AK402" i="1"/>
  <c r="AK401" i="1"/>
  <c r="AJ401" i="1"/>
  <c r="AL401" i="1"/>
  <c r="AK400" i="1"/>
  <c r="AL400" i="1"/>
  <c r="AL399" i="1"/>
  <c r="AK399" i="1"/>
  <c r="AL398" i="1"/>
  <c r="AK398" i="1"/>
  <c r="AK397" i="1"/>
  <c r="AL397" i="1"/>
  <c r="AK396" i="1"/>
  <c r="AL396" i="1"/>
  <c r="AL395" i="1"/>
  <c r="AK395" i="1"/>
  <c r="AL394" i="1"/>
  <c r="AK394" i="1"/>
  <c r="AK393" i="1"/>
  <c r="AJ393" i="1"/>
  <c r="AL393" i="1"/>
  <c r="AK392" i="1"/>
  <c r="AL392" i="1"/>
  <c r="AL391" i="1"/>
  <c r="AK391" i="1"/>
  <c r="AL390" i="1"/>
  <c r="AJ390" i="1"/>
  <c r="AK390" i="1"/>
  <c r="AK389" i="1"/>
  <c r="AL389" i="1"/>
  <c r="AK388" i="1"/>
  <c r="AL388" i="1"/>
  <c r="AL387" i="1"/>
  <c r="AK387" i="1"/>
  <c r="AL386" i="1"/>
  <c r="AJ386" i="1"/>
  <c r="AK386" i="1"/>
  <c r="AK385" i="1"/>
  <c r="AJ385" i="1"/>
  <c r="AL385" i="1"/>
  <c r="AK384" i="1"/>
  <c r="AL384" i="1"/>
  <c r="AL383" i="1"/>
  <c r="AK383" i="1"/>
  <c r="AL382" i="1"/>
  <c r="AJ382" i="1"/>
  <c r="AK382" i="1"/>
  <c r="AK381" i="1"/>
  <c r="AJ381" i="1"/>
  <c r="AL381" i="1"/>
  <c r="AK380" i="1"/>
  <c r="AL380" i="1"/>
  <c r="AL379" i="1"/>
  <c r="AK379" i="1"/>
  <c r="AL378" i="1"/>
  <c r="AK378" i="1"/>
  <c r="AK377" i="1"/>
  <c r="AJ377" i="1"/>
  <c r="AL377" i="1"/>
  <c r="AK376" i="1"/>
  <c r="AL376" i="1"/>
  <c r="AL375" i="1"/>
  <c r="AK375" i="1"/>
  <c r="AL374" i="1"/>
  <c r="AK374" i="1"/>
  <c r="AK373" i="1"/>
  <c r="AL373" i="1"/>
  <c r="AK372" i="1"/>
  <c r="AL372" i="1"/>
  <c r="AL371" i="1"/>
  <c r="AK371" i="1"/>
  <c r="AL370" i="1"/>
  <c r="AK370" i="1"/>
  <c r="AK369" i="1"/>
  <c r="AJ369" i="1"/>
  <c r="AL369" i="1"/>
  <c r="AK368" i="1"/>
  <c r="AL368" i="1"/>
  <c r="AL367" i="1"/>
  <c r="AK367" i="1"/>
  <c r="AL366" i="1"/>
  <c r="AK366" i="1"/>
  <c r="AK365" i="1"/>
  <c r="AJ365" i="1"/>
  <c r="AL365" i="1"/>
  <c r="AK364" i="1"/>
  <c r="AL364" i="1"/>
  <c r="AL363" i="1"/>
  <c r="AK363" i="1"/>
  <c r="AL362" i="1"/>
  <c r="AJ362" i="1"/>
  <c r="AK362" i="1"/>
  <c r="AK361" i="1"/>
  <c r="AL361" i="1"/>
  <c r="AK360" i="1"/>
  <c r="AL360" i="1"/>
  <c r="AL359" i="1"/>
  <c r="AK359" i="1"/>
  <c r="AL358" i="1"/>
  <c r="AK358" i="1"/>
  <c r="AK357" i="1"/>
  <c r="AJ357" i="1"/>
  <c r="AL357" i="1"/>
  <c r="AK356" i="1"/>
  <c r="AL356" i="1"/>
  <c r="AL355" i="1"/>
  <c r="AK355" i="1"/>
  <c r="AL354" i="1"/>
  <c r="AJ354" i="1"/>
  <c r="AK354" i="1"/>
  <c r="AK353" i="1"/>
  <c r="AJ353" i="1"/>
  <c r="AL353" i="1"/>
  <c r="AK352" i="1"/>
  <c r="AL352" i="1"/>
  <c r="AL351" i="1"/>
  <c r="AK351" i="1"/>
  <c r="AL350" i="1"/>
  <c r="AJ350" i="1"/>
  <c r="AK350" i="1"/>
  <c r="AK349" i="1"/>
  <c r="AJ349" i="1"/>
  <c r="AL349" i="1"/>
  <c r="AK348" i="1"/>
  <c r="AL348" i="1"/>
  <c r="AL347" i="1"/>
  <c r="AK347" i="1"/>
  <c r="AL346" i="1"/>
  <c r="AJ346" i="1"/>
  <c r="AK346" i="1"/>
  <c r="AK345" i="1"/>
  <c r="AJ345" i="1"/>
  <c r="AL345" i="1"/>
  <c r="AK344" i="1"/>
  <c r="AL344" i="1"/>
  <c r="AL343" i="1"/>
  <c r="AK343" i="1"/>
  <c r="AL342" i="1"/>
  <c r="AK342" i="1"/>
  <c r="AK341" i="1"/>
  <c r="AJ341" i="1"/>
  <c r="AL341" i="1"/>
  <c r="AK340" i="1"/>
  <c r="AL340" i="1"/>
  <c r="AL339" i="1"/>
  <c r="AK339" i="1"/>
  <c r="AL338" i="1"/>
  <c r="AJ338" i="1"/>
  <c r="AK338" i="1"/>
  <c r="AK337" i="1"/>
  <c r="AJ337" i="1"/>
  <c r="AL337" i="1"/>
  <c r="AK336" i="1"/>
  <c r="AL336" i="1"/>
  <c r="AL335" i="1"/>
  <c r="AK335" i="1"/>
  <c r="AL334" i="1"/>
  <c r="AJ334" i="1"/>
  <c r="AK334" i="1"/>
  <c r="AK333" i="1"/>
  <c r="AJ333" i="1"/>
  <c r="AL333" i="1"/>
  <c r="AK332" i="1"/>
  <c r="AL332" i="1"/>
  <c r="AL331" i="1"/>
  <c r="AK331" i="1"/>
  <c r="AL330" i="1"/>
  <c r="AK330" i="1"/>
  <c r="AK329" i="1"/>
  <c r="AJ329" i="1"/>
  <c r="AL329" i="1"/>
  <c r="AK328" i="1"/>
  <c r="AL328" i="1"/>
  <c r="AL327" i="1"/>
  <c r="AK327" i="1"/>
  <c r="AL326" i="1"/>
  <c r="AJ326" i="1"/>
  <c r="AK326" i="1"/>
  <c r="AK325" i="1"/>
  <c r="AJ325" i="1"/>
  <c r="AL325" i="1"/>
  <c r="AK324" i="1"/>
  <c r="AL324" i="1"/>
  <c r="AL323" i="1"/>
  <c r="AK323" i="1"/>
  <c r="AL322" i="1"/>
  <c r="AK322" i="1"/>
  <c r="AK321" i="1"/>
  <c r="AJ321" i="1"/>
  <c r="AL321" i="1"/>
  <c r="AK320" i="1"/>
  <c r="AL320" i="1"/>
  <c r="AL319" i="1"/>
  <c r="AK319" i="1"/>
  <c r="AL318" i="1"/>
  <c r="AK318" i="1"/>
  <c r="AK317" i="1"/>
  <c r="AJ317" i="1"/>
  <c r="AL317" i="1"/>
  <c r="AK316" i="1"/>
  <c r="AL316" i="1"/>
  <c r="AL315" i="1"/>
  <c r="AK315" i="1"/>
  <c r="AL314" i="1"/>
  <c r="AK314" i="1"/>
  <c r="AK313" i="1"/>
  <c r="AJ313" i="1"/>
  <c r="AL313" i="1"/>
  <c r="AK312" i="1"/>
  <c r="AL312" i="1"/>
  <c r="AL311" i="1"/>
  <c r="AK311" i="1"/>
  <c r="AL310" i="1"/>
  <c r="AJ310" i="1"/>
  <c r="AK310" i="1"/>
  <c r="AK309" i="1"/>
  <c r="AJ309" i="1"/>
  <c r="AL309" i="1"/>
  <c r="AK308" i="1"/>
  <c r="AL308" i="1"/>
  <c r="AL307" i="1"/>
  <c r="AK307" i="1"/>
  <c r="AL306" i="1"/>
  <c r="AJ306" i="1"/>
  <c r="AK306" i="1"/>
  <c r="AK305" i="1"/>
  <c r="AJ305" i="1"/>
  <c r="AL305" i="1"/>
  <c r="AK304" i="1"/>
  <c r="AL304" i="1"/>
  <c r="AL303" i="1"/>
  <c r="AK303" i="1"/>
  <c r="AL302" i="1"/>
  <c r="AJ302" i="1"/>
  <c r="AK302" i="1"/>
  <c r="AK301" i="1"/>
  <c r="AL301" i="1"/>
  <c r="AK300" i="1"/>
  <c r="AL300" i="1"/>
  <c r="AL299" i="1"/>
  <c r="AK299" i="1"/>
  <c r="AL298" i="1"/>
  <c r="AJ298" i="1"/>
  <c r="AK298" i="1"/>
  <c r="AK297" i="1"/>
  <c r="AJ297" i="1"/>
  <c r="AL297" i="1"/>
  <c r="AK296" i="1"/>
  <c r="AL296" i="1"/>
  <c r="AL295" i="1"/>
  <c r="AK295" i="1"/>
  <c r="AL294" i="1"/>
  <c r="AK294" i="1"/>
  <c r="AK293" i="1"/>
  <c r="AJ293" i="1"/>
  <c r="AL293" i="1"/>
  <c r="AK292" i="1"/>
  <c r="AL292" i="1"/>
  <c r="AL291" i="1"/>
  <c r="AK291" i="1"/>
  <c r="AL290" i="1"/>
  <c r="AK290" i="1"/>
  <c r="AK289" i="1"/>
  <c r="AJ289" i="1"/>
  <c r="AL289" i="1"/>
  <c r="AK288" i="1"/>
  <c r="AJ288" i="1"/>
  <c r="AL288" i="1"/>
  <c r="AK287" i="1"/>
  <c r="AJ287" i="1"/>
  <c r="AL287" i="1"/>
  <c r="AK286" i="1"/>
  <c r="AL286" i="1"/>
  <c r="AK285" i="1"/>
  <c r="AJ285" i="1"/>
  <c r="AL285" i="1"/>
  <c r="AK284" i="1"/>
  <c r="AJ284" i="1"/>
  <c r="AL284" i="1"/>
  <c r="AK283" i="1"/>
  <c r="AJ283" i="1"/>
  <c r="AL283" i="1"/>
  <c r="AK282" i="1"/>
  <c r="AL282" i="1"/>
  <c r="AK281" i="1"/>
  <c r="AJ281" i="1"/>
  <c r="AL281" i="1"/>
  <c r="AK280" i="1"/>
  <c r="AJ280" i="1"/>
  <c r="AL280" i="1"/>
  <c r="AK279" i="1"/>
  <c r="AJ279" i="1"/>
  <c r="AL279" i="1"/>
  <c r="AK278" i="1"/>
  <c r="AJ278" i="1"/>
  <c r="AL278" i="1"/>
  <c r="AK277" i="1"/>
  <c r="AJ277" i="1"/>
  <c r="AL277" i="1"/>
  <c r="AK276" i="1"/>
  <c r="AL276" i="1"/>
  <c r="AK275" i="1"/>
  <c r="AJ275" i="1"/>
  <c r="AL275" i="1"/>
  <c r="AK274" i="1"/>
  <c r="AJ274" i="1"/>
  <c r="AL274" i="1"/>
  <c r="AK273" i="1"/>
  <c r="AJ273" i="1"/>
  <c r="AL273" i="1"/>
  <c r="AK272" i="1"/>
  <c r="AJ272" i="1"/>
  <c r="AL272" i="1"/>
  <c r="AK271" i="1"/>
  <c r="AL271" i="1"/>
  <c r="AL270" i="1"/>
  <c r="AK270" i="1"/>
  <c r="AK269" i="1"/>
  <c r="AL269" i="1"/>
  <c r="AL268" i="1"/>
  <c r="AJ268" i="1"/>
  <c r="AK268" i="1"/>
  <c r="AK267" i="1"/>
  <c r="AL267" i="1"/>
  <c r="AL266" i="1"/>
  <c r="AJ266" i="1"/>
  <c r="AK266" i="1"/>
  <c r="AK265" i="1"/>
  <c r="AL265" i="1"/>
  <c r="AL264" i="1"/>
  <c r="AJ264" i="1"/>
  <c r="AK264" i="1"/>
  <c r="AK263" i="1"/>
  <c r="AL263" i="1"/>
  <c r="AL262" i="1"/>
  <c r="AJ262" i="1"/>
  <c r="AK262" i="1"/>
  <c r="AK261" i="1"/>
  <c r="AL261" i="1"/>
  <c r="AL260" i="1"/>
  <c r="AJ260" i="1"/>
  <c r="AK260" i="1"/>
  <c r="AK259" i="1"/>
  <c r="AL259" i="1"/>
  <c r="AL258" i="1"/>
  <c r="AJ258" i="1"/>
  <c r="AK258" i="1"/>
  <c r="AK257" i="1"/>
  <c r="AL257" i="1"/>
  <c r="AL256" i="1"/>
  <c r="AJ256" i="1"/>
  <c r="AK256" i="1"/>
  <c r="AK255" i="1"/>
  <c r="AL255" i="1"/>
  <c r="AL254" i="1"/>
  <c r="AJ254" i="1"/>
  <c r="AK254" i="1"/>
  <c r="AK253" i="1"/>
  <c r="AL253" i="1"/>
  <c r="AL252" i="1"/>
  <c r="AJ252" i="1"/>
  <c r="AK252" i="1"/>
  <c r="AK251" i="1"/>
  <c r="AL251" i="1"/>
  <c r="AL250" i="1"/>
  <c r="AK250" i="1"/>
  <c r="AK249" i="1"/>
  <c r="AL249" i="1"/>
  <c r="AL248" i="1"/>
  <c r="AK248" i="1"/>
  <c r="AK247" i="1"/>
  <c r="AL247" i="1"/>
  <c r="AL246" i="1"/>
  <c r="AK246" i="1"/>
  <c r="AL245" i="1"/>
  <c r="AK245" i="1"/>
  <c r="AK244" i="1"/>
  <c r="AL244" i="1"/>
  <c r="AL243" i="1"/>
  <c r="AJ243" i="1"/>
  <c r="AK243" i="1"/>
  <c r="AL242" i="1"/>
  <c r="AJ242" i="1"/>
  <c r="AK242" i="1"/>
  <c r="AK241" i="1"/>
  <c r="AL241" i="1"/>
  <c r="AL240" i="1"/>
  <c r="AJ240" i="1"/>
  <c r="AK240" i="1"/>
  <c r="AK239" i="1"/>
  <c r="AL239" i="1"/>
  <c r="AL238" i="1"/>
  <c r="AK238" i="1"/>
  <c r="AK237" i="1"/>
  <c r="AL237" i="1"/>
  <c r="AL236" i="1"/>
  <c r="AK236" i="1"/>
  <c r="AK235" i="1"/>
  <c r="AL235" i="1"/>
  <c r="AL234" i="1"/>
  <c r="AK234" i="1"/>
  <c r="AL233" i="1"/>
  <c r="AJ233" i="1"/>
  <c r="AK233" i="1"/>
  <c r="AK232" i="1"/>
  <c r="AL232" i="1"/>
  <c r="AL231" i="1"/>
  <c r="AJ231" i="1"/>
  <c r="AK231" i="1"/>
  <c r="AK230" i="1"/>
  <c r="AL230" i="1"/>
  <c r="AL229" i="1"/>
  <c r="AK229" i="1"/>
  <c r="AL228" i="1"/>
  <c r="AJ228" i="1"/>
  <c r="AK228" i="1"/>
  <c r="AK227" i="1"/>
  <c r="AJ227" i="1"/>
  <c r="AL227" i="1"/>
  <c r="AK226" i="1"/>
  <c r="AL226" i="1"/>
  <c r="AL225" i="1"/>
  <c r="AK225" i="1"/>
  <c r="AL224" i="1"/>
  <c r="AJ224" i="1"/>
  <c r="AK224" i="1"/>
  <c r="AK223" i="1"/>
  <c r="AJ223" i="1"/>
  <c r="AL223" i="1"/>
  <c r="AK222" i="1"/>
  <c r="AL222" i="1"/>
  <c r="AL221" i="1"/>
  <c r="AK221" i="1"/>
  <c r="AL220" i="1"/>
  <c r="AJ220" i="1"/>
  <c r="AK220" i="1"/>
  <c r="AK219" i="1"/>
  <c r="AJ219" i="1"/>
  <c r="AL219" i="1"/>
  <c r="AK218" i="1"/>
  <c r="AL218" i="1"/>
  <c r="AL217" i="1"/>
  <c r="AK217" i="1"/>
  <c r="AL216" i="1"/>
  <c r="AJ216" i="1"/>
  <c r="AK216" i="1"/>
  <c r="AK215" i="1"/>
  <c r="AJ215" i="1"/>
  <c r="AL215" i="1"/>
  <c r="AK214" i="1"/>
  <c r="AL214" i="1"/>
  <c r="AL213" i="1"/>
  <c r="AK213" i="1"/>
  <c r="AL212" i="1"/>
  <c r="AJ212" i="1"/>
  <c r="AK212" i="1"/>
  <c r="AK211" i="1"/>
  <c r="AJ211" i="1"/>
  <c r="AL211" i="1"/>
  <c r="AK210" i="1"/>
  <c r="AL210" i="1"/>
  <c r="AL209" i="1"/>
  <c r="AK209" i="1"/>
  <c r="AL208" i="1"/>
  <c r="AK208" i="1"/>
  <c r="AK207" i="1"/>
  <c r="AL207" i="1"/>
  <c r="AK206" i="1"/>
  <c r="AL206" i="1"/>
  <c r="AL205" i="1"/>
  <c r="AK205" i="1"/>
  <c r="AL204" i="1"/>
  <c r="AJ204" i="1"/>
  <c r="AK204" i="1"/>
  <c r="AK203" i="1"/>
  <c r="AJ203" i="1"/>
  <c r="AL203" i="1"/>
  <c r="AK202" i="1"/>
  <c r="AL202" i="1"/>
  <c r="AL201" i="1"/>
  <c r="AK201" i="1"/>
  <c r="AL200" i="1"/>
  <c r="AK200" i="1"/>
  <c r="AK199" i="1"/>
  <c r="AJ199" i="1"/>
  <c r="AL199" i="1"/>
  <c r="AK198" i="1"/>
  <c r="AL198" i="1"/>
  <c r="AL197" i="1"/>
  <c r="AK197" i="1"/>
  <c r="AL196" i="1"/>
  <c r="AJ196" i="1"/>
  <c r="AK196" i="1"/>
  <c r="AK195" i="1"/>
  <c r="AJ195" i="1"/>
  <c r="AL195" i="1"/>
  <c r="AK194" i="1"/>
  <c r="AL194" i="1"/>
  <c r="AL193" i="1"/>
  <c r="AK193" i="1"/>
  <c r="AL192" i="1"/>
  <c r="AJ192" i="1"/>
  <c r="AK192" i="1"/>
  <c r="AK191" i="1"/>
  <c r="AJ191" i="1"/>
  <c r="AL191" i="1"/>
  <c r="AK190" i="1"/>
  <c r="AL190" i="1"/>
  <c r="AL189" i="1"/>
  <c r="AK189" i="1"/>
  <c r="AL188" i="1"/>
  <c r="AJ188" i="1"/>
  <c r="AK188" i="1"/>
  <c r="AK187" i="1"/>
  <c r="AJ187" i="1"/>
  <c r="AL187" i="1"/>
  <c r="AK186" i="1"/>
  <c r="AL186" i="1"/>
  <c r="AL185" i="1"/>
  <c r="AK185" i="1"/>
  <c r="AL184" i="1"/>
  <c r="AJ184" i="1"/>
  <c r="AK184" i="1"/>
  <c r="AK183" i="1"/>
  <c r="AJ183" i="1"/>
  <c r="AL183" i="1"/>
  <c r="AK182" i="1"/>
  <c r="AL182" i="1"/>
  <c r="AL181" i="1"/>
  <c r="AK181" i="1"/>
  <c r="AL180" i="1"/>
  <c r="AJ180" i="1"/>
  <c r="AK180" i="1"/>
  <c r="AK179" i="1"/>
  <c r="AJ179" i="1"/>
  <c r="AL179" i="1"/>
  <c r="AK178" i="1"/>
  <c r="AL178" i="1"/>
  <c r="AL177" i="1"/>
  <c r="AK177" i="1"/>
  <c r="AL176" i="1"/>
  <c r="AJ176" i="1"/>
  <c r="AK176" i="1"/>
  <c r="AK175" i="1"/>
  <c r="AJ175" i="1"/>
  <c r="AL175" i="1"/>
  <c r="AK174" i="1"/>
  <c r="AJ174" i="1"/>
  <c r="AL174" i="1"/>
  <c r="AK173" i="1"/>
  <c r="AJ173" i="1"/>
  <c r="AL173" i="1"/>
  <c r="AK172" i="1"/>
  <c r="AJ172" i="1"/>
  <c r="AL172" i="1"/>
  <c r="AK171" i="1"/>
  <c r="AJ171" i="1"/>
  <c r="AL171" i="1"/>
  <c r="AK170" i="1"/>
  <c r="AJ170" i="1"/>
  <c r="AL170" i="1"/>
  <c r="AK169" i="1"/>
  <c r="AJ169" i="1"/>
  <c r="AL169" i="1"/>
  <c r="AK168" i="1"/>
  <c r="AJ168" i="1"/>
  <c r="AL168" i="1"/>
  <c r="AK167" i="1"/>
  <c r="AJ167" i="1"/>
  <c r="AL167" i="1"/>
  <c r="AK166" i="1"/>
  <c r="AJ166" i="1"/>
  <c r="AL166" i="1"/>
  <c r="AK165" i="1"/>
  <c r="AJ165" i="1"/>
  <c r="AL165" i="1"/>
  <c r="AK164" i="1"/>
  <c r="AJ164" i="1"/>
  <c r="AL164" i="1"/>
  <c r="AK163" i="1"/>
  <c r="AJ163" i="1"/>
  <c r="AL163" i="1"/>
  <c r="AK162" i="1"/>
  <c r="AJ162" i="1"/>
  <c r="AL162" i="1"/>
  <c r="AK161" i="1"/>
  <c r="AJ161" i="1"/>
  <c r="AL161" i="1"/>
  <c r="AK160" i="1"/>
  <c r="AJ160" i="1"/>
  <c r="AL160" i="1"/>
  <c r="AK159" i="1"/>
  <c r="AJ159" i="1"/>
  <c r="AL159" i="1"/>
  <c r="AK158" i="1"/>
  <c r="AJ158" i="1"/>
  <c r="AL158" i="1"/>
  <c r="AK157" i="1"/>
  <c r="AJ157" i="1"/>
  <c r="AL157" i="1"/>
  <c r="AK156" i="1"/>
  <c r="AL156" i="1"/>
  <c r="AK155" i="1"/>
  <c r="AJ155" i="1"/>
  <c r="AL155" i="1"/>
  <c r="AK154" i="1"/>
  <c r="AJ154" i="1"/>
  <c r="AL154" i="1"/>
  <c r="AK153" i="1"/>
  <c r="AJ153" i="1"/>
  <c r="AL153" i="1"/>
  <c r="AK152" i="1"/>
  <c r="AJ152" i="1"/>
  <c r="AL152" i="1"/>
  <c r="AK151" i="1"/>
  <c r="AJ151" i="1"/>
  <c r="AL151" i="1"/>
  <c r="AK150" i="1"/>
  <c r="AJ150" i="1"/>
  <c r="AL150" i="1"/>
  <c r="AK149" i="1"/>
  <c r="AJ149" i="1"/>
  <c r="AL149" i="1"/>
  <c r="AK148" i="1"/>
  <c r="AJ148" i="1"/>
  <c r="AL148" i="1"/>
  <c r="AK147" i="1"/>
  <c r="AJ147" i="1"/>
  <c r="AL147" i="1"/>
  <c r="AK146" i="1"/>
  <c r="AJ146" i="1"/>
  <c r="AL146" i="1"/>
  <c r="AK145" i="1"/>
  <c r="AJ145" i="1"/>
  <c r="AL145" i="1"/>
  <c r="AK144" i="1"/>
  <c r="AJ144" i="1"/>
  <c r="AL144" i="1"/>
  <c r="AK143" i="1"/>
  <c r="AJ143" i="1"/>
  <c r="AL143" i="1"/>
  <c r="AK142" i="1"/>
  <c r="AJ142" i="1"/>
  <c r="AL142" i="1"/>
  <c r="AK141" i="1"/>
  <c r="AJ141" i="1"/>
  <c r="AL141" i="1"/>
  <c r="AK140" i="1"/>
  <c r="AJ140" i="1"/>
  <c r="AL140" i="1"/>
  <c r="AK139" i="1"/>
  <c r="AJ139" i="1"/>
  <c r="AL139" i="1"/>
  <c r="AK138" i="1"/>
  <c r="AJ138" i="1"/>
  <c r="AL138" i="1"/>
  <c r="AK137" i="1"/>
  <c r="AJ137" i="1"/>
  <c r="AL137" i="1"/>
  <c r="AK136" i="1"/>
  <c r="AJ136" i="1"/>
  <c r="AL136" i="1"/>
  <c r="AK135" i="1"/>
  <c r="AJ135" i="1"/>
  <c r="AL135" i="1"/>
  <c r="AK134" i="1"/>
  <c r="AJ134" i="1"/>
  <c r="AL134" i="1"/>
  <c r="AK133" i="1"/>
  <c r="AJ133" i="1"/>
  <c r="AL133" i="1"/>
  <c r="AK132" i="1"/>
  <c r="AJ132" i="1"/>
  <c r="AL132" i="1"/>
  <c r="AK131" i="1"/>
  <c r="AJ131" i="1"/>
  <c r="AL131" i="1"/>
  <c r="AK130" i="1"/>
  <c r="AJ130" i="1"/>
  <c r="AL130" i="1"/>
  <c r="AK129" i="1"/>
  <c r="AJ129" i="1"/>
  <c r="AL129" i="1"/>
  <c r="AK128" i="1"/>
  <c r="AJ128" i="1"/>
  <c r="AL128" i="1"/>
  <c r="AK127" i="1"/>
  <c r="AJ127" i="1"/>
  <c r="AL127" i="1"/>
  <c r="AK126" i="1"/>
  <c r="AJ126" i="1"/>
  <c r="AL126" i="1"/>
  <c r="AK125" i="1"/>
  <c r="AJ125" i="1"/>
  <c r="AL125" i="1"/>
  <c r="AK124" i="1"/>
  <c r="AJ124" i="1"/>
  <c r="AL124" i="1"/>
  <c r="AK123" i="1"/>
  <c r="AJ123" i="1"/>
  <c r="AL123" i="1"/>
  <c r="AK122" i="1"/>
  <c r="AJ122" i="1"/>
  <c r="AL122" i="1"/>
  <c r="AK121" i="1"/>
  <c r="AJ121" i="1"/>
  <c r="AL121" i="1"/>
  <c r="AK120" i="1"/>
  <c r="AJ120" i="1"/>
  <c r="AL120" i="1"/>
  <c r="AK119" i="1"/>
  <c r="AJ119" i="1"/>
  <c r="AL119" i="1"/>
  <c r="AK118" i="1"/>
  <c r="AJ118" i="1"/>
  <c r="AL118" i="1"/>
  <c r="AK117" i="1"/>
  <c r="AJ117" i="1"/>
  <c r="AL117" i="1"/>
  <c r="AK116" i="1"/>
  <c r="AJ116" i="1"/>
  <c r="AL116" i="1"/>
  <c r="AK115" i="1"/>
  <c r="AJ115" i="1"/>
  <c r="AL115" i="1"/>
  <c r="AK114" i="1"/>
  <c r="AJ114" i="1"/>
  <c r="AL114" i="1"/>
  <c r="AK113" i="1"/>
  <c r="AJ113" i="1"/>
  <c r="AL113" i="1"/>
  <c r="AK112" i="1"/>
  <c r="AJ112" i="1"/>
  <c r="AL112" i="1"/>
  <c r="AK111" i="1"/>
  <c r="AJ111" i="1"/>
  <c r="AL111" i="1"/>
  <c r="AK110" i="1"/>
  <c r="AJ110" i="1"/>
  <c r="AL110" i="1"/>
  <c r="AK109" i="1"/>
  <c r="AJ109" i="1"/>
  <c r="AL109" i="1"/>
  <c r="AK108" i="1"/>
  <c r="AJ108" i="1"/>
  <c r="AL108" i="1"/>
  <c r="AK107" i="1"/>
  <c r="AJ107" i="1"/>
  <c r="AL107" i="1"/>
  <c r="AK106" i="1"/>
  <c r="AJ106" i="1"/>
  <c r="AL106" i="1"/>
  <c r="AK105" i="1"/>
  <c r="AJ105" i="1"/>
  <c r="AL105" i="1"/>
  <c r="AK104" i="1"/>
  <c r="AJ104" i="1"/>
  <c r="AL104" i="1"/>
  <c r="AK103" i="1"/>
  <c r="AJ103" i="1"/>
  <c r="AL103" i="1"/>
  <c r="AK102" i="1"/>
  <c r="AJ102" i="1"/>
  <c r="AL102" i="1"/>
  <c r="AK101" i="1"/>
  <c r="AJ101" i="1"/>
  <c r="AL101" i="1"/>
  <c r="AK100" i="1"/>
  <c r="AJ100" i="1"/>
  <c r="AL100" i="1"/>
  <c r="AK99" i="1"/>
  <c r="AJ99" i="1"/>
  <c r="AL99" i="1"/>
  <c r="AK98" i="1"/>
  <c r="AJ98" i="1"/>
  <c r="AL98" i="1"/>
  <c r="AK97" i="1"/>
  <c r="AJ97" i="1"/>
  <c r="AL97" i="1"/>
  <c r="AK96" i="1"/>
  <c r="AJ96" i="1"/>
  <c r="AL96" i="1"/>
  <c r="AK95" i="1"/>
  <c r="AJ95" i="1"/>
  <c r="AL95" i="1"/>
  <c r="AK94" i="1"/>
  <c r="AJ94" i="1"/>
  <c r="AL94" i="1"/>
  <c r="AK93" i="1"/>
  <c r="AJ93" i="1"/>
  <c r="AL93" i="1"/>
  <c r="AK92" i="1"/>
  <c r="AJ92" i="1"/>
  <c r="AL92" i="1"/>
  <c r="AK91" i="1"/>
  <c r="AJ91" i="1"/>
  <c r="AL91" i="1"/>
  <c r="AK90" i="1"/>
  <c r="AJ90" i="1"/>
  <c r="AL90" i="1"/>
  <c r="AK89" i="1"/>
  <c r="AL89" i="1"/>
  <c r="AL88" i="1"/>
  <c r="AK88" i="1"/>
  <c r="AL87" i="1"/>
  <c r="AJ87" i="1"/>
  <c r="AK87" i="1"/>
  <c r="AK86" i="1"/>
  <c r="AJ86" i="1"/>
  <c r="AL86" i="1"/>
  <c r="AK85" i="1"/>
  <c r="AL85" i="1"/>
  <c r="AL84" i="1"/>
  <c r="AK84" i="1"/>
  <c r="AL83" i="1"/>
  <c r="AJ83" i="1"/>
  <c r="AK83" i="1"/>
  <c r="AK82" i="1"/>
  <c r="AJ82" i="1"/>
  <c r="AL82" i="1"/>
  <c r="AK81" i="1"/>
  <c r="AL81" i="1"/>
  <c r="AL80" i="1"/>
  <c r="AK80" i="1"/>
  <c r="AL79" i="1"/>
  <c r="AJ79" i="1"/>
  <c r="AK79" i="1"/>
  <c r="AK78" i="1"/>
  <c r="AJ78" i="1"/>
  <c r="AL78" i="1"/>
  <c r="AK77" i="1"/>
  <c r="AL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K29" i="1"/>
  <c r="AJ29" i="1"/>
  <c r="AL29" i="1"/>
  <c r="AK28" i="1"/>
  <c r="AJ28" i="1"/>
  <c r="AL28" i="1"/>
  <c r="AK27" i="1"/>
  <c r="AJ27" i="1"/>
  <c r="AL27" i="1"/>
  <c r="AK26" i="1"/>
  <c r="AJ26" i="1"/>
  <c r="AL26" i="1"/>
  <c r="AK25" i="1"/>
  <c r="AJ25" i="1"/>
  <c r="AL25" i="1"/>
  <c r="AK24" i="1"/>
  <c r="AJ24" i="1"/>
  <c r="AL24" i="1"/>
  <c r="AK23" i="1"/>
  <c r="AJ23" i="1"/>
  <c r="AL23" i="1"/>
  <c r="AK22" i="1"/>
  <c r="AJ22" i="1"/>
  <c r="AL22" i="1"/>
  <c r="AK21" i="1"/>
  <c r="AJ21" i="1"/>
  <c r="AL21" i="1"/>
  <c r="AK20" i="1"/>
  <c r="AJ20" i="1"/>
  <c r="AL20" i="1"/>
  <c r="AK19" i="1"/>
  <c r="AJ19" i="1"/>
  <c r="AL19" i="1"/>
  <c r="AK18" i="1"/>
  <c r="AJ18" i="1"/>
  <c r="AL18" i="1"/>
  <c r="AK17" i="1"/>
  <c r="AJ17" i="1"/>
  <c r="AL17" i="1"/>
  <c r="AK16" i="1"/>
  <c r="AL16" i="1"/>
  <c r="AK15" i="1"/>
  <c r="AL15" i="1"/>
  <c r="AK14" i="1"/>
  <c r="AL14" i="1"/>
  <c r="AK13" i="1"/>
  <c r="AL13" i="1"/>
  <c r="AK12" i="1"/>
  <c r="AL12" i="1"/>
  <c r="AK11" i="1"/>
  <c r="AL11" i="1"/>
  <c r="AK10" i="1"/>
  <c r="AL10" i="1"/>
  <c r="AK9" i="1"/>
  <c r="AL9" i="1"/>
  <c r="AL4" i="1"/>
  <c r="AK4" i="1"/>
  <c r="AL6" i="1"/>
  <c r="AK6" i="1"/>
  <c r="AK5" i="1"/>
  <c r="AL5" i="1"/>
  <c r="AK8" i="1"/>
  <c r="AL8" i="1"/>
  <c r="AK7" i="1"/>
  <c r="AL7" i="1"/>
  <c r="G7" i="1"/>
  <c r="G6" i="1"/>
  <c r="F279" i="1"/>
  <c r="F275" i="1"/>
  <c r="F271" i="1"/>
  <c r="F267" i="1"/>
  <c r="F263" i="1"/>
  <c r="F259" i="1"/>
  <c r="F255" i="1"/>
  <c r="F251" i="1"/>
  <c r="F247" i="1"/>
  <c r="F243" i="1"/>
  <c r="F239" i="1"/>
  <c r="F235" i="1"/>
  <c r="F231" i="1"/>
  <c r="F227" i="1"/>
  <c r="F223" i="1"/>
  <c r="F219" i="1"/>
  <c r="F215" i="1"/>
  <c r="F211" i="1"/>
  <c r="F207" i="1"/>
  <c r="F203" i="1"/>
  <c r="F199" i="1"/>
  <c r="F195" i="1"/>
  <c r="F191" i="1"/>
  <c r="F187" i="1"/>
  <c r="F183" i="1"/>
  <c r="F179" i="1"/>
  <c r="F175" i="1"/>
  <c r="F171" i="1"/>
  <c r="F169" i="1"/>
  <c r="F165" i="1"/>
  <c r="F159" i="1"/>
  <c r="F155" i="1"/>
  <c r="F151" i="1"/>
  <c r="F147" i="1"/>
  <c r="F143" i="1"/>
  <c r="F139" i="1"/>
  <c r="F135" i="1"/>
  <c r="F131" i="1"/>
  <c r="F127" i="1"/>
  <c r="F123" i="1"/>
  <c r="F119" i="1"/>
  <c r="F111" i="1"/>
  <c r="F280" i="1"/>
  <c r="F278" i="1"/>
  <c r="F276" i="1"/>
  <c r="F274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1" i="1"/>
  <c r="F879" i="1"/>
  <c r="F877" i="1"/>
  <c r="F875" i="1"/>
  <c r="F873" i="1"/>
  <c r="F871" i="1"/>
  <c r="F869" i="1"/>
  <c r="F867" i="1"/>
  <c r="F865" i="1"/>
  <c r="F863" i="1"/>
  <c r="F861" i="1"/>
  <c r="F859" i="1"/>
  <c r="F857" i="1"/>
  <c r="F855" i="1"/>
  <c r="F853" i="1"/>
  <c r="F851" i="1"/>
  <c r="F849" i="1"/>
  <c r="F847" i="1"/>
  <c r="F845" i="1"/>
  <c r="F843" i="1"/>
  <c r="F841" i="1"/>
  <c r="F839" i="1"/>
  <c r="F837" i="1"/>
  <c r="F835" i="1"/>
  <c r="F833" i="1"/>
  <c r="F831" i="1"/>
  <c r="F829" i="1"/>
  <c r="F827" i="1"/>
  <c r="F825" i="1"/>
  <c r="F823" i="1"/>
  <c r="F821" i="1"/>
  <c r="F819" i="1"/>
  <c r="F817" i="1"/>
  <c r="F815" i="1"/>
  <c r="F813" i="1"/>
  <c r="F811" i="1"/>
  <c r="F809" i="1"/>
  <c r="F807" i="1"/>
  <c r="F805" i="1"/>
  <c r="F803" i="1"/>
  <c r="F801" i="1"/>
  <c r="F799" i="1"/>
  <c r="F797" i="1"/>
  <c r="F795" i="1"/>
  <c r="F793" i="1"/>
  <c r="F791" i="1"/>
  <c r="F789" i="1"/>
  <c r="F787" i="1"/>
  <c r="F785" i="1"/>
  <c r="F783" i="1"/>
  <c r="F781" i="1"/>
  <c r="F779" i="1"/>
  <c r="F777" i="1"/>
  <c r="F775" i="1"/>
  <c r="F773" i="1"/>
  <c r="F771" i="1"/>
  <c r="F769" i="1"/>
  <c r="F767" i="1"/>
  <c r="F765" i="1"/>
  <c r="F763" i="1"/>
  <c r="F761" i="1"/>
  <c r="F759" i="1"/>
  <c r="F757" i="1"/>
  <c r="F755" i="1"/>
  <c r="F753" i="1"/>
  <c r="F751" i="1"/>
  <c r="F749" i="1"/>
  <c r="F747" i="1"/>
  <c r="F745" i="1"/>
  <c r="F743" i="1"/>
  <c r="F741" i="1"/>
  <c r="F739" i="1"/>
  <c r="F737" i="1"/>
  <c r="F735" i="1"/>
  <c r="F733" i="1"/>
  <c r="F731" i="1"/>
  <c r="F729" i="1"/>
  <c r="F727" i="1"/>
  <c r="F725" i="1"/>
  <c r="F723" i="1"/>
  <c r="F721" i="1"/>
  <c r="F719" i="1"/>
  <c r="F717" i="1"/>
  <c r="F715" i="1"/>
  <c r="F713" i="1"/>
  <c r="F711" i="1"/>
  <c r="F709" i="1"/>
  <c r="F707" i="1"/>
  <c r="F705" i="1"/>
  <c r="F703" i="1"/>
  <c r="F701" i="1"/>
  <c r="F699" i="1"/>
  <c r="F697" i="1"/>
  <c r="F695" i="1"/>
  <c r="F693" i="1"/>
  <c r="F691" i="1"/>
  <c r="F689" i="1"/>
  <c r="F687" i="1"/>
  <c r="F685" i="1"/>
  <c r="F683" i="1"/>
  <c r="F681" i="1"/>
  <c r="F679" i="1"/>
  <c r="F677" i="1"/>
  <c r="F675" i="1"/>
  <c r="F673" i="1"/>
  <c r="F671" i="1"/>
  <c r="F669" i="1"/>
  <c r="F667" i="1"/>
  <c r="F665" i="1"/>
  <c r="F663" i="1"/>
  <c r="F661" i="1"/>
  <c r="F659" i="1"/>
  <c r="F657" i="1"/>
  <c r="F655" i="1"/>
  <c r="F653" i="1"/>
  <c r="F651" i="1"/>
  <c r="F649" i="1"/>
  <c r="F647" i="1"/>
  <c r="F645" i="1"/>
  <c r="F643" i="1"/>
  <c r="F641" i="1"/>
  <c r="F639" i="1"/>
  <c r="F637" i="1"/>
  <c r="F635" i="1"/>
  <c r="F633" i="1"/>
  <c r="F631" i="1"/>
  <c r="F629" i="1"/>
  <c r="F627" i="1"/>
  <c r="F625" i="1"/>
  <c r="F623" i="1"/>
  <c r="F621" i="1"/>
  <c r="F619" i="1"/>
  <c r="F617" i="1"/>
  <c r="F615" i="1"/>
  <c r="F613" i="1"/>
  <c r="F611" i="1"/>
  <c r="F609" i="1"/>
  <c r="F607" i="1"/>
  <c r="F605" i="1"/>
  <c r="F603" i="1"/>
  <c r="F601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7" i="1"/>
  <c r="F163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5" i="1"/>
  <c r="F113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882" i="1"/>
  <c r="F880" i="1"/>
  <c r="F878" i="1"/>
  <c r="F876" i="1"/>
  <c r="F874" i="1"/>
  <c r="F872" i="1"/>
  <c r="F870" i="1"/>
  <c r="F868" i="1"/>
  <c r="F866" i="1"/>
  <c r="F864" i="1"/>
  <c r="F862" i="1"/>
  <c r="F860" i="1"/>
  <c r="F858" i="1"/>
  <c r="F856" i="1"/>
  <c r="F854" i="1"/>
  <c r="F852" i="1"/>
  <c r="F850" i="1"/>
  <c r="F848" i="1"/>
  <c r="F846" i="1"/>
  <c r="F844" i="1"/>
  <c r="F842" i="1"/>
  <c r="F840" i="1"/>
  <c r="F838" i="1"/>
  <c r="F836" i="1"/>
  <c r="F834" i="1"/>
  <c r="F832" i="1"/>
  <c r="F830" i="1"/>
  <c r="F828" i="1"/>
  <c r="F826" i="1"/>
  <c r="F824" i="1"/>
  <c r="F822" i="1"/>
  <c r="F820" i="1"/>
  <c r="F818" i="1"/>
  <c r="F816" i="1"/>
  <c r="F814" i="1"/>
  <c r="F812" i="1"/>
  <c r="F810" i="1"/>
  <c r="F808" i="1"/>
  <c r="F806" i="1"/>
  <c r="F804" i="1"/>
  <c r="F802" i="1"/>
  <c r="F800" i="1"/>
  <c r="F798" i="1"/>
  <c r="F796" i="1"/>
  <c r="F794" i="1"/>
  <c r="F792" i="1"/>
  <c r="F790" i="1"/>
  <c r="F788" i="1"/>
  <c r="F786" i="1"/>
  <c r="F784" i="1"/>
  <c r="F782" i="1"/>
  <c r="F780" i="1"/>
  <c r="F778" i="1"/>
  <c r="F776" i="1"/>
  <c r="F774" i="1"/>
  <c r="F772" i="1"/>
  <c r="F770" i="1"/>
  <c r="F768" i="1"/>
  <c r="F766" i="1"/>
  <c r="F764" i="1"/>
  <c r="F762" i="1"/>
  <c r="F760" i="1"/>
  <c r="F758" i="1"/>
  <c r="F756" i="1"/>
  <c r="F754" i="1"/>
  <c r="F752" i="1"/>
  <c r="F750" i="1"/>
  <c r="F748" i="1"/>
  <c r="F746" i="1"/>
  <c r="F744" i="1"/>
  <c r="F742" i="1"/>
  <c r="F740" i="1"/>
  <c r="F738" i="1"/>
  <c r="F736" i="1"/>
  <c r="F734" i="1"/>
  <c r="F732" i="1"/>
  <c r="F730" i="1"/>
  <c r="F728" i="1"/>
  <c r="F726" i="1"/>
  <c r="F724" i="1"/>
  <c r="F722" i="1"/>
  <c r="F720" i="1"/>
  <c r="F718" i="1"/>
  <c r="F716" i="1"/>
  <c r="F714" i="1"/>
  <c r="F712" i="1"/>
  <c r="F710" i="1"/>
  <c r="F708" i="1"/>
  <c r="F706" i="1"/>
  <c r="F704" i="1"/>
  <c r="F702" i="1"/>
  <c r="F700" i="1"/>
  <c r="F698" i="1"/>
  <c r="F696" i="1"/>
  <c r="F694" i="1"/>
  <c r="F692" i="1"/>
  <c r="F690" i="1"/>
  <c r="F688" i="1"/>
  <c r="F686" i="1"/>
  <c r="F684" i="1"/>
  <c r="F682" i="1"/>
  <c r="F680" i="1"/>
  <c r="F678" i="1"/>
  <c r="F676" i="1"/>
  <c r="F674" i="1"/>
  <c r="F672" i="1"/>
  <c r="F670" i="1"/>
  <c r="F668" i="1"/>
  <c r="F666" i="1"/>
  <c r="F664" i="1"/>
  <c r="F662" i="1"/>
  <c r="F660" i="1"/>
  <c r="F658" i="1"/>
  <c r="F656" i="1"/>
  <c r="F654" i="1"/>
  <c r="F652" i="1"/>
  <c r="F650" i="1"/>
  <c r="F648" i="1"/>
  <c r="F646" i="1"/>
  <c r="F644" i="1"/>
  <c r="F642" i="1"/>
  <c r="F640" i="1"/>
  <c r="F638" i="1"/>
  <c r="F636" i="1"/>
  <c r="F634" i="1"/>
  <c r="F632" i="1"/>
  <c r="F630" i="1"/>
  <c r="F628" i="1"/>
  <c r="F626" i="1"/>
  <c r="F624" i="1"/>
  <c r="F622" i="1"/>
  <c r="F620" i="1"/>
  <c r="F618" i="1"/>
  <c r="F616" i="1"/>
  <c r="F614" i="1"/>
  <c r="F612" i="1"/>
  <c r="F610" i="1"/>
  <c r="F608" i="1"/>
  <c r="F606" i="1"/>
  <c r="F604" i="1"/>
  <c r="F602" i="1"/>
  <c r="F559" i="1"/>
  <c r="F557" i="1"/>
  <c r="F555" i="1"/>
  <c r="F553" i="1"/>
  <c r="F551" i="1"/>
  <c r="F549" i="1"/>
  <c r="F547" i="1"/>
  <c r="F545" i="1"/>
  <c r="F543" i="1"/>
  <c r="F541" i="1"/>
  <c r="F539" i="1"/>
  <c r="F537" i="1"/>
  <c r="F535" i="1"/>
  <c r="F533" i="1"/>
  <c r="F531" i="1"/>
  <c r="F529" i="1"/>
  <c r="F527" i="1"/>
  <c r="F525" i="1"/>
  <c r="F523" i="1"/>
  <c r="F521" i="1"/>
  <c r="F519" i="1"/>
  <c r="F517" i="1"/>
  <c r="F515" i="1"/>
  <c r="F513" i="1"/>
  <c r="F511" i="1"/>
  <c r="F509" i="1"/>
  <c r="F507" i="1"/>
  <c r="F505" i="1"/>
  <c r="F503" i="1"/>
  <c r="F501" i="1"/>
  <c r="F499" i="1"/>
  <c r="F497" i="1"/>
  <c r="F495" i="1"/>
  <c r="F493" i="1"/>
  <c r="F491" i="1"/>
  <c r="F489" i="1"/>
  <c r="F487" i="1"/>
  <c r="F485" i="1"/>
  <c r="F483" i="1"/>
  <c r="F481" i="1"/>
  <c r="F479" i="1"/>
  <c r="F477" i="1"/>
  <c r="F475" i="1"/>
  <c r="F473" i="1"/>
  <c r="F471" i="1"/>
  <c r="F469" i="1"/>
  <c r="F467" i="1"/>
  <c r="F465" i="1"/>
  <c r="F463" i="1"/>
  <c r="F461" i="1"/>
  <c r="F459" i="1"/>
  <c r="F457" i="1"/>
  <c r="F455" i="1"/>
  <c r="F453" i="1"/>
  <c r="F451" i="1"/>
  <c r="F449" i="1"/>
  <c r="F447" i="1"/>
  <c r="F445" i="1"/>
  <c r="F443" i="1"/>
  <c r="F441" i="1"/>
  <c r="F439" i="1"/>
  <c r="F437" i="1"/>
  <c r="F435" i="1"/>
  <c r="F433" i="1"/>
  <c r="F431" i="1"/>
  <c r="F429" i="1"/>
  <c r="F427" i="1"/>
  <c r="F425" i="1"/>
  <c r="F423" i="1"/>
  <c r="F421" i="1"/>
  <c r="F419" i="1"/>
  <c r="F417" i="1"/>
  <c r="F415" i="1"/>
  <c r="F413" i="1"/>
  <c r="F411" i="1"/>
  <c r="F409" i="1"/>
  <c r="F407" i="1"/>
  <c r="F405" i="1"/>
  <c r="F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F375" i="1"/>
  <c r="F373" i="1"/>
  <c r="F371" i="1"/>
  <c r="F369" i="1"/>
  <c r="F367" i="1"/>
  <c r="F365" i="1"/>
  <c r="F363" i="1"/>
  <c r="F361" i="1"/>
  <c r="F359" i="1"/>
  <c r="F357" i="1"/>
  <c r="F355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8" i="1"/>
  <c r="F556" i="1"/>
  <c r="F554" i="1"/>
  <c r="F552" i="1"/>
  <c r="F550" i="1"/>
  <c r="F548" i="1"/>
  <c r="F546" i="1"/>
  <c r="F544" i="1"/>
  <c r="F542" i="1"/>
  <c r="F540" i="1"/>
  <c r="F538" i="1"/>
  <c r="F536" i="1"/>
  <c r="F534" i="1"/>
  <c r="F532" i="1"/>
  <c r="F530" i="1"/>
  <c r="F528" i="1"/>
  <c r="F526" i="1"/>
  <c r="F524" i="1"/>
  <c r="F522" i="1"/>
  <c r="F520" i="1"/>
  <c r="F518" i="1"/>
  <c r="F516" i="1"/>
  <c r="F514" i="1"/>
  <c r="F512" i="1"/>
  <c r="F510" i="1"/>
  <c r="F508" i="1"/>
  <c r="F506" i="1"/>
  <c r="F504" i="1"/>
  <c r="F502" i="1"/>
  <c r="F500" i="1"/>
  <c r="F498" i="1"/>
  <c r="F496" i="1"/>
  <c r="F494" i="1"/>
  <c r="F492" i="1"/>
  <c r="F490" i="1"/>
  <c r="F488" i="1"/>
  <c r="F486" i="1"/>
  <c r="F484" i="1"/>
  <c r="F482" i="1"/>
  <c r="F480" i="1"/>
  <c r="F478" i="1"/>
  <c r="F476" i="1"/>
  <c r="F474" i="1"/>
  <c r="F472" i="1"/>
  <c r="F470" i="1"/>
  <c r="F468" i="1"/>
  <c r="F466" i="1"/>
  <c r="F464" i="1"/>
  <c r="F462" i="1"/>
  <c r="F460" i="1"/>
  <c r="F458" i="1"/>
  <c r="F456" i="1"/>
  <c r="F454" i="1"/>
  <c r="F452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3" i="1"/>
  <c r="F450" i="1"/>
  <c r="F448" i="1"/>
  <c r="F446" i="1"/>
  <c r="F444" i="1"/>
  <c r="F442" i="1"/>
  <c r="F440" i="1"/>
  <c r="F438" i="1"/>
  <c r="F436" i="1"/>
  <c r="F434" i="1"/>
  <c r="F432" i="1"/>
  <c r="F430" i="1"/>
  <c r="F428" i="1"/>
  <c r="F426" i="1"/>
  <c r="F424" i="1"/>
  <c r="F422" i="1"/>
  <c r="F420" i="1"/>
  <c r="F418" i="1"/>
  <c r="F416" i="1"/>
  <c r="F414" i="1"/>
  <c r="F412" i="1"/>
  <c r="F410" i="1"/>
  <c r="F408" i="1"/>
  <c r="F406" i="1"/>
  <c r="F404" i="1"/>
  <c r="F402" i="1"/>
  <c r="F400" i="1"/>
  <c r="F398" i="1"/>
  <c r="F394" i="1"/>
  <c r="F390" i="1"/>
  <c r="F386" i="1"/>
  <c r="F382" i="1"/>
  <c r="F378" i="1"/>
  <c r="F374" i="1"/>
  <c r="F370" i="1"/>
  <c r="F366" i="1"/>
  <c r="F362" i="1"/>
  <c r="F358" i="1"/>
  <c r="F354" i="1"/>
  <c r="F350" i="1"/>
  <c r="F346" i="1"/>
  <c r="F342" i="1"/>
  <c r="F338" i="1"/>
  <c r="F334" i="1"/>
  <c r="F330" i="1"/>
  <c r="F326" i="1"/>
  <c r="F322" i="1"/>
  <c r="F318" i="1"/>
  <c r="F314" i="1"/>
  <c r="F310" i="1"/>
  <c r="F306" i="1"/>
  <c r="F302" i="1"/>
  <c r="F298" i="1"/>
  <c r="F294" i="1"/>
  <c r="F290" i="1"/>
  <c r="F286" i="1"/>
  <c r="F282" i="1"/>
  <c r="F4" i="1"/>
  <c r="BK602" i="1" l="1"/>
  <c r="BN602" i="1"/>
  <c r="BK601" i="1"/>
  <c r="AU600" i="1"/>
  <c r="BK600" i="1"/>
  <c r="AU599" i="1"/>
  <c r="AM599" i="1"/>
  <c r="AB599" i="1" s="1"/>
  <c r="E599" i="1" s="1"/>
  <c r="BK599" i="1"/>
  <c r="AU598" i="1"/>
  <c r="BK598" i="1"/>
  <c r="AM597" i="1"/>
  <c r="AB597" i="1" s="1"/>
  <c r="E597" i="1" s="1"/>
  <c r="AU597" i="1"/>
  <c r="BK597" i="1"/>
  <c r="AU596" i="1"/>
  <c r="BK596" i="1"/>
  <c r="BN596" i="1"/>
  <c r="BN595" i="1"/>
  <c r="AU595" i="1"/>
  <c r="BK595" i="1"/>
  <c r="BK594" i="1"/>
  <c r="AM593" i="1"/>
  <c r="AB593" i="1" s="1"/>
  <c r="E593" i="1" s="1"/>
  <c r="AU593" i="1"/>
  <c r="BK593" i="1"/>
  <c r="AU592" i="1"/>
  <c r="BK592" i="1"/>
  <c r="BK591" i="1"/>
  <c r="AU590" i="1"/>
  <c r="BK590" i="1"/>
  <c r="AM589" i="1"/>
  <c r="AB589" i="1" s="1"/>
  <c r="E589" i="1" s="1"/>
  <c r="AU589" i="1"/>
  <c r="BK589" i="1"/>
  <c r="AU586" i="1"/>
  <c r="BN586" i="1"/>
  <c r="BK588" i="1"/>
  <c r="BN588" i="1"/>
  <c r="BK587" i="1"/>
  <c r="BK586" i="1"/>
  <c r="AM585" i="1"/>
  <c r="AB585" i="1" s="1"/>
  <c r="E585" i="1" s="1"/>
  <c r="AU585" i="1"/>
  <c r="BK585" i="1"/>
  <c r="AC585" i="1"/>
  <c r="F7" i="1"/>
  <c r="BK4" i="1"/>
  <c r="BK156" i="1"/>
  <c r="AU158" i="1"/>
  <c r="BK158" i="1"/>
  <c r="AU160" i="1"/>
  <c r="BK160" i="1"/>
  <c r="BK162" i="1"/>
  <c r="AU164" i="1"/>
  <c r="BK164" i="1"/>
  <c r="BK165" i="1"/>
  <c r="AU166" i="1"/>
  <c r="BK166" i="1"/>
  <c r="AU168" i="1"/>
  <c r="AU170" i="1"/>
  <c r="BK171" i="1"/>
  <c r="AU172" i="1"/>
  <c r="BK173" i="1"/>
  <c r="AU176" i="1"/>
  <c r="AU178" i="1"/>
  <c r="BK179" i="1"/>
  <c r="BK181" i="1"/>
  <c r="AU182" i="1"/>
  <c r="BK183" i="1"/>
  <c r="BK184" i="1"/>
  <c r="BK186" i="1"/>
  <c r="BK187" i="1"/>
  <c r="BK188" i="1"/>
  <c r="BK189" i="1"/>
  <c r="BK190" i="1"/>
  <c r="BK191" i="1"/>
  <c r="BK193" i="1"/>
  <c r="AU194" i="1"/>
  <c r="BK196" i="1"/>
  <c r="BK198" i="1"/>
  <c r="AU200" i="1"/>
  <c r="BK200" i="1"/>
  <c r="BK202" i="1"/>
  <c r="AU204" i="1"/>
  <c r="BK204" i="1"/>
  <c r="BK206" i="1"/>
  <c r="BK210" i="1"/>
  <c r="BK211" i="1"/>
  <c r="BK213" i="1"/>
  <c r="AU216" i="1"/>
  <c r="BK216" i="1"/>
  <c r="AU218" i="1"/>
  <c r="BK218" i="1"/>
  <c r="AU222" i="1"/>
  <c r="BK222" i="1"/>
  <c r="AU224" i="1"/>
  <c r="AU226" i="1"/>
  <c r="BK226" i="1"/>
  <c r="BK228" i="1"/>
  <c r="AU230" i="1"/>
  <c r="BK231" i="1"/>
  <c r="AU232" i="1"/>
  <c r="BK233" i="1"/>
  <c r="AU234" i="1"/>
  <c r="BK234" i="1"/>
  <c r="BK238" i="1"/>
  <c r="BK239" i="1"/>
  <c r="BK240" i="1"/>
  <c r="BK241" i="1"/>
  <c r="AU242" i="1"/>
  <c r="AU244" i="1"/>
  <c r="BK244" i="1"/>
  <c r="AU246" i="1"/>
  <c r="BK247" i="1"/>
  <c r="BK248" i="1"/>
  <c r="BK249" i="1"/>
  <c r="BK250" i="1"/>
  <c r="BK252" i="1"/>
  <c r="BK253" i="1"/>
  <c r="BK254" i="1"/>
  <c r="BK255" i="1"/>
  <c r="BK256" i="1"/>
  <c r="BK257" i="1"/>
  <c r="AU258" i="1"/>
  <c r="BK258" i="1"/>
  <c r="BK259" i="1"/>
  <c r="BK260" i="1"/>
  <c r="BK262" i="1"/>
  <c r="BK263" i="1"/>
  <c r="AU264" i="1"/>
  <c r="BK266" i="1"/>
  <c r="BK268" i="1"/>
  <c r="AU270" i="1"/>
  <c r="BK271" i="1"/>
  <c r="BK272" i="1"/>
  <c r="BK273" i="1"/>
  <c r="BK274" i="1"/>
  <c r="BK275" i="1"/>
  <c r="BK276" i="1"/>
  <c r="BK278" i="1"/>
  <c r="BK279" i="1"/>
  <c r="BK280" i="1"/>
  <c r="BK281" i="1"/>
  <c r="BK282" i="1"/>
  <c r="BK284" i="1"/>
  <c r="BK285" i="1"/>
  <c r="BK286" i="1"/>
  <c r="BK287" i="1"/>
  <c r="AU288" i="1"/>
  <c r="BK289" i="1"/>
  <c r="AU394" i="1"/>
  <c r="AU398" i="1"/>
  <c r="AU399" i="1"/>
  <c r="AU402" i="1"/>
  <c r="AU407" i="1"/>
  <c r="AU410" i="1"/>
  <c r="AU411" i="1"/>
  <c r="AU414" i="1"/>
  <c r="AU418" i="1"/>
  <c r="AU419" i="1"/>
  <c r="AI682" i="1"/>
  <c r="AJ682" i="1" s="1"/>
  <c r="AI684" i="1"/>
  <c r="AJ684" i="1" s="1"/>
  <c r="AI685" i="1"/>
  <c r="AJ685" i="1" s="1"/>
  <c r="AI686" i="1"/>
  <c r="AJ686" i="1" s="1"/>
  <c r="BK292" i="1"/>
  <c r="AU296" i="1"/>
  <c r="BK297" i="1"/>
  <c r="BK300" i="1"/>
  <c r="BK301" i="1"/>
  <c r="BK302" i="1"/>
  <c r="AU304" i="1"/>
  <c r="BK306" i="1"/>
  <c r="BK308" i="1"/>
  <c r="BK310" i="1"/>
  <c r="BK312" i="1"/>
  <c r="BN213" i="1"/>
  <c r="BN217" i="1"/>
  <c r="BN218" i="1"/>
  <c r="BN222" i="1"/>
  <c r="BN228" i="1"/>
  <c r="BN230" i="1"/>
  <c r="BN236" i="1"/>
  <c r="BN255" i="1"/>
  <c r="BN303" i="1"/>
  <c r="BN304" i="1"/>
  <c r="BN306" i="1"/>
  <c r="BN308" i="1"/>
  <c r="BN310" i="1"/>
  <c r="BN312" i="1"/>
  <c r="AU319" i="1"/>
  <c r="AU323" i="1"/>
  <c r="AU325" i="1"/>
  <c r="AU327" i="1"/>
  <c r="AU331" i="1"/>
  <c r="AU335" i="1"/>
  <c r="AB335" i="1" s="1"/>
  <c r="E335" i="1" s="1"/>
  <c r="AU337" i="1"/>
  <c r="AU338" i="1"/>
  <c r="AU339" i="1"/>
  <c r="AU341" i="1"/>
  <c r="AU351" i="1"/>
  <c r="AU360" i="1"/>
  <c r="AU366" i="1"/>
  <c r="AU374" i="1"/>
  <c r="AU379" i="1"/>
  <c r="AU382" i="1"/>
  <c r="AU383" i="1"/>
  <c r="AU391" i="1"/>
  <c r="AU422" i="1"/>
  <c r="AU426" i="1"/>
  <c r="AU427" i="1"/>
  <c r="AU434" i="1"/>
  <c r="AU441" i="1"/>
  <c r="AU442" i="1"/>
  <c r="AU443" i="1"/>
  <c r="AU444" i="1"/>
  <c r="AU445" i="1"/>
  <c r="AU446" i="1"/>
  <c r="AU447" i="1"/>
  <c r="AU450" i="1"/>
  <c r="AU458" i="1"/>
  <c r="AU461" i="1"/>
  <c r="AU463" i="1"/>
  <c r="AU467" i="1"/>
  <c r="AI468" i="1"/>
  <c r="AJ468" i="1" s="1"/>
  <c r="AI474" i="1"/>
  <c r="AU475" i="1"/>
  <c r="AU479" i="1"/>
  <c r="AI480" i="1"/>
  <c r="AJ480" i="1" s="1"/>
  <c r="AI482" i="1"/>
  <c r="AI490" i="1"/>
  <c r="AU494" i="1"/>
  <c r="AI496" i="1"/>
  <c r="AJ496" i="1" s="1"/>
  <c r="AI498" i="1"/>
  <c r="AJ498" i="1" s="1"/>
  <c r="AU498" i="1"/>
  <c r="AI504" i="1"/>
  <c r="AJ504" i="1" s="1"/>
  <c r="AI506" i="1"/>
  <c r="AJ506" i="1" s="1"/>
  <c r="AI508" i="1"/>
  <c r="AJ508" i="1" s="1"/>
  <c r="AI510" i="1"/>
  <c r="AJ510" i="1" s="1"/>
  <c r="AI512" i="1"/>
  <c r="AJ512" i="1" s="1"/>
  <c r="AI514" i="1"/>
  <c r="AJ514" i="1" s="1"/>
  <c r="AI518" i="1"/>
  <c r="AJ518" i="1" s="1"/>
  <c r="AI522" i="1"/>
  <c r="AJ522" i="1" s="1"/>
  <c r="AU522" i="1"/>
  <c r="AU525" i="1"/>
  <c r="AI528" i="1"/>
  <c r="AJ528" i="1" s="1"/>
  <c r="AI529" i="1"/>
  <c r="AJ529" i="1" s="1"/>
  <c r="AU529" i="1"/>
  <c r="AI532" i="1"/>
  <c r="AJ532" i="1" s="1"/>
  <c r="AI536" i="1"/>
  <c r="AJ536" i="1" s="1"/>
  <c r="AI538" i="1"/>
  <c r="AJ538" i="1" s="1"/>
  <c r="AI540" i="1"/>
  <c r="AJ540" i="1" s="1"/>
  <c r="AI549" i="1"/>
  <c r="AJ549" i="1" s="1"/>
  <c r="AU549" i="1"/>
  <c r="AI550" i="1"/>
  <c r="AJ550" i="1" s="1"/>
  <c r="AI552" i="1"/>
  <c r="AJ552" i="1" s="1"/>
  <c r="AI553" i="1"/>
  <c r="AJ553" i="1" s="1"/>
  <c r="AU557" i="1"/>
  <c r="AI560" i="1"/>
  <c r="AJ560" i="1" s="1"/>
  <c r="AI564" i="1"/>
  <c r="AJ564" i="1" s="1"/>
  <c r="AI565" i="1"/>
  <c r="AJ565" i="1" s="1"/>
  <c r="AU565" i="1"/>
  <c r="AI566" i="1"/>
  <c r="AJ566" i="1" s="1"/>
  <c r="AU569" i="1"/>
  <c r="AU573" i="1"/>
  <c r="AU581" i="1"/>
  <c r="AI586" i="1"/>
  <c r="AJ586" i="1" s="1"/>
  <c r="AM586" i="1" s="1"/>
  <c r="AB586" i="1" s="1"/>
  <c r="E586" i="1" s="1"/>
  <c r="AI587" i="1"/>
  <c r="AJ587" i="1" s="1"/>
  <c r="AM587" i="1" s="1"/>
  <c r="AB587" i="1" s="1"/>
  <c r="E587" i="1" s="1"/>
  <c r="AI588" i="1"/>
  <c r="AJ588" i="1" s="1"/>
  <c r="AM588" i="1" s="1"/>
  <c r="AB588" i="1" s="1"/>
  <c r="E588" i="1" s="1"/>
  <c r="AI590" i="1"/>
  <c r="AJ590" i="1" s="1"/>
  <c r="AM590" i="1" s="1"/>
  <c r="AB590" i="1" s="1"/>
  <c r="E590" i="1" s="1"/>
  <c r="AI591" i="1"/>
  <c r="AJ591" i="1" s="1"/>
  <c r="AM591" i="1" s="1"/>
  <c r="AB591" i="1" s="1"/>
  <c r="E591" i="1" s="1"/>
  <c r="AI592" i="1"/>
  <c r="AJ592" i="1" s="1"/>
  <c r="AM592" i="1" s="1"/>
  <c r="AB592" i="1" s="1"/>
  <c r="E592" i="1" s="1"/>
  <c r="AI594" i="1"/>
  <c r="AJ594" i="1" s="1"/>
  <c r="AM594" i="1" s="1"/>
  <c r="AB594" i="1" s="1"/>
  <c r="E594" i="1" s="1"/>
  <c r="AI595" i="1"/>
  <c r="AJ595" i="1" s="1"/>
  <c r="AM595" i="1" s="1"/>
  <c r="AB595" i="1" s="1"/>
  <c r="E595" i="1" s="1"/>
  <c r="AI596" i="1"/>
  <c r="AJ596" i="1" s="1"/>
  <c r="AM596" i="1" s="1"/>
  <c r="AB596" i="1" s="1"/>
  <c r="E596" i="1" s="1"/>
  <c r="AI598" i="1"/>
  <c r="AJ598" i="1" s="1"/>
  <c r="AM598" i="1" s="1"/>
  <c r="AB598" i="1" s="1"/>
  <c r="E598" i="1" s="1"/>
  <c r="AI600" i="1"/>
  <c r="AJ600" i="1" s="1"/>
  <c r="AM600" i="1" s="1"/>
  <c r="AB600" i="1" s="1"/>
  <c r="E600" i="1" s="1"/>
  <c r="AI601" i="1"/>
  <c r="AJ601" i="1" s="1"/>
  <c r="AM601" i="1" s="1"/>
  <c r="AB601" i="1" s="1"/>
  <c r="E601" i="1" s="1"/>
  <c r="AI602" i="1"/>
  <c r="AJ602" i="1" s="1"/>
  <c r="AM602" i="1" s="1"/>
  <c r="AB602" i="1" s="1"/>
  <c r="E602" i="1" s="1"/>
  <c r="AI604" i="1"/>
  <c r="AJ604" i="1" s="1"/>
  <c r="AI606" i="1"/>
  <c r="AJ606" i="1" s="1"/>
  <c r="AI607" i="1"/>
  <c r="AJ607" i="1" s="1"/>
  <c r="AI608" i="1"/>
  <c r="AJ608" i="1" s="1"/>
  <c r="AI610" i="1"/>
  <c r="AJ610" i="1" s="1"/>
  <c r="AI611" i="1"/>
  <c r="AJ611" i="1" s="1"/>
  <c r="AI612" i="1"/>
  <c r="AJ612" i="1" s="1"/>
  <c r="AI614" i="1"/>
  <c r="AJ614" i="1" s="1"/>
  <c r="AI616" i="1"/>
  <c r="AJ616" i="1" s="1"/>
  <c r="AI617" i="1"/>
  <c r="AJ617" i="1" s="1"/>
  <c r="AI618" i="1"/>
  <c r="AJ618" i="1" s="1"/>
  <c r="AI620" i="1"/>
  <c r="AJ620" i="1" s="1"/>
  <c r="AI621" i="1"/>
  <c r="AJ621" i="1" s="1"/>
  <c r="AI622" i="1"/>
  <c r="AJ622" i="1" s="1"/>
  <c r="AI624" i="1"/>
  <c r="AJ624" i="1" s="1"/>
  <c r="AI625" i="1"/>
  <c r="AJ625" i="1" s="1"/>
  <c r="AI626" i="1"/>
  <c r="AJ626" i="1" s="1"/>
  <c r="AI628" i="1"/>
  <c r="AJ628" i="1" s="1"/>
  <c r="AI630" i="1"/>
  <c r="AJ630" i="1" s="1"/>
  <c r="AI631" i="1"/>
  <c r="AJ631" i="1" s="1"/>
  <c r="AI632" i="1"/>
  <c r="AJ632" i="1" s="1"/>
  <c r="AI634" i="1"/>
  <c r="AJ634" i="1" s="1"/>
  <c r="AI636" i="1"/>
  <c r="AJ636" i="1" s="1"/>
  <c r="AI637" i="1"/>
  <c r="AJ637" i="1" s="1"/>
  <c r="AI638" i="1"/>
  <c r="AJ638" i="1" s="1"/>
  <c r="AI639" i="1"/>
  <c r="AJ639" i="1" s="1"/>
  <c r="AI640" i="1"/>
  <c r="AJ640" i="1" s="1"/>
  <c r="AI642" i="1"/>
  <c r="AJ642" i="1" s="1"/>
  <c r="AI643" i="1"/>
  <c r="AJ643" i="1" s="1"/>
  <c r="AI644" i="1"/>
  <c r="AJ644" i="1" s="1"/>
  <c r="AI646" i="1"/>
  <c r="AJ646" i="1" s="1"/>
  <c r="AI648" i="1"/>
  <c r="AJ648" i="1" s="1"/>
  <c r="AI649" i="1"/>
  <c r="AJ649" i="1" s="1"/>
  <c r="AI650" i="1"/>
  <c r="AJ650" i="1" s="1"/>
  <c r="AI652" i="1"/>
  <c r="AJ652" i="1" s="1"/>
  <c r="AI654" i="1"/>
  <c r="AJ654" i="1" s="1"/>
  <c r="AI655" i="1"/>
  <c r="AJ655" i="1" s="1"/>
  <c r="AI656" i="1"/>
  <c r="AJ656" i="1" s="1"/>
  <c r="AI657" i="1"/>
  <c r="AJ657" i="1" s="1"/>
  <c r="AI658" i="1"/>
  <c r="AJ658" i="1" s="1"/>
  <c r="AI660" i="1"/>
  <c r="AJ660" i="1" s="1"/>
  <c r="AI661" i="1"/>
  <c r="AJ661" i="1" s="1"/>
  <c r="AI662" i="1"/>
  <c r="AJ662" i="1" s="1"/>
  <c r="AI664" i="1"/>
  <c r="AJ664" i="1" s="1"/>
  <c r="AI665" i="1"/>
  <c r="AJ665" i="1" s="1"/>
  <c r="AI666" i="1"/>
  <c r="AJ666" i="1" s="1"/>
  <c r="AI668" i="1"/>
  <c r="AJ668" i="1" s="1"/>
  <c r="AI669" i="1"/>
  <c r="AJ669" i="1" s="1"/>
  <c r="AI670" i="1"/>
  <c r="AJ670" i="1" s="1"/>
  <c r="AI672" i="1"/>
  <c r="AJ672" i="1" s="1"/>
  <c r="AI674" i="1"/>
  <c r="AJ674" i="1" s="1"/>
  <c r="AI675" i="1"/>
  <c r="AJ675" i="1" s="1"/>
  <c r="AI676" i="1"/>
  <c r="AJ676" i="1" s="1"/>
  <c r="AI678" i="1"/>
  <c r="AJ678" i="1" s="1"/>
  <c r="AI679" i="1"/>
  <c r="AJ679" i="1" s="1"/>
  <c r="AI680" i="1"/>
  <c r="AJ680" i="1" s="1"/>
  <c r="AI724" i="1"/>
  <c r="AJ724" i="1" s="1"/>
  <c r="AI725" i="1"/>
  <c r="AJ725" i="1" s="1"/>
  <c r="AI726" i="1"/>
  <c r="AJ726" i="1" s="1"/>
  <c r="AI728" i="1"/>
  <c r="AJ728" i="1" s="1"/>
  <c r="AI729" i="1"/>
  <c r="AJ729" i="1" s="1"/>
  <c r="AI730" i="1"/>
  <c r="AJ730" i="1" s="1"/>
  <c r="AI732" i="1"/>
  <c r="AJ732" i="1" s="1"/>
  <c r="AI734" i="1"/>
  <c r="AJ734" i="1" s="1"/>
  <c r="AI735" i="1"/>
  <c r="AJ735" i="1" s="1"/>
  <c r="AI736" i="1"/>
  <c r="AJ736" i="1" s="1"/>
  <c r="AI738" i="1"/>
  <c r="AJ738" i="1" s="1"/>
  <c r="AI739" i="1"/>
  <c r="AJ739" i="1" s="1"/>
  <c r="AI740" i="1"/>
  <c r="AJ740" i="1" s="1"/>
  <c r="AI742" i="1"/>
  <c r="AJ742" i="1" s="1"/>
  <c r="AI744" i="1"/>
  <c r="AJ744" i="1" s="1"/>
  <c r="AI745" i="1"/>
  <c r="AJ745" i="1" s="1"/>
  <c r="AI746" i="1"/>
  <c r="AJ746" i="1" s="1"/>
  <c r="AI747" i="1"/>
  <c r="AJ747" i="1" s="1"/>
  <c r="AI748" i="1"/>
  <c r="AJ748" i="1" s="1"/>
  <c r="AI750" i="1"/>
  <c r="AJ750" i="1" s="1"/>
  <c r="AI751" i="1"/>
  <c r="AJ751" i="1" s="1"/>
  <c r="AI752" i="1"/>
  <c r="AJ752" i="1" s="1"/>
  <c r="AI754" i="1"/>
  <c r="AJ754" i="1" s="1"/>
  <c r="AI755" i="1"/>
  <c r="AJ755" i="1" s="1"/>
  <c r="AI756" i="1"/>
  <c r="AJ756" i="1" s="1"/>
  <c r="AI758" i="1"/>
  <c r="AJ758" i="1" s="1"/>
  <c r="AI759" i="1"/>
  <c r="AJ759" i="1" s="1"/>
  <c r="AI760" i="1"/>
  <c r="AJ760" i="1" s="1"/>
  <c r="AI762" i="1"/>
  <c r="AJ762" i="1" s="1"/>
  <c r="AI763" i="1"/>
  <c r="AJ763" i="1" s="1"/>
  <c r="AI764" i="1"/>
  <c r="AJ764" i="1" s="1"/>
  <c r="AI766" i="1"/>
  <c r="AJ766" i="1" s="1"/>
  <c r="AI767" i="1"/>
  <c r="AJ767" i="1" s="1"/>
  <c r="AI768" i="1"/>
  <c r="AJ768" i="1" s="1"/>
  <c r="AI770" i="1"/>
  <c r="AJ770" i="1" s="1"/>
  <c r="AI772" i="1"/>
  <c r="AJ772" i="1" s="1"/>
  <c r="AI774" i="1"/>
  <c r="AJ774" i="1" s="1"/>
  <c r="AI776" i="1"/>
  <c r="AJ776" i="1" s="1"/>
  <c r="AI778" i="1"/>
  <c r="AJ778" i="1" s="1"/>
  <c r="AI780" i="1"/>
  <c r="AJ780" i="1" s="1"/>
  <c r="AI782" i="1"/>
  <c r="AJ782" i="1" s="1"/>
  <c r="AI784" i="1"/>
  <c r="AJ784" i="1" s="1"/>
  <c r="AI785" i="1"/>
  <c r="AJ785" i="1" s="1"/>
  <c r="AI786" i="1"/>
  <c r="AJ786" i="1" s="1"/>
  <c r="AI788" i="1"/>
  <c r="AJ788" i="1" s="1"/>
  <c r="AI789" i="1"/>
  <c r="AJ789" i="1" s="1"/>
  <c r="AI790" i="1"/>
  <c r="AJ790" i="1" s="1"/>
  <c r="AI792" i="1"/>
  <c r="AJ792" i="1" s="1"/>
  <c r="AI794" i="1"/>
  <c r="AJ794" i="1" s="1"/>
  <c r="AI795" i="1"/>
  <c r="AJ795" i="1" s="1"/>
  <c r="AI796" i="1"/>
  <c r="AJ796" i="1" s="1"/>
  <c r="AI798" i="1"/>
  <c r="AJ798" i="1" s="1"/>
  <c r="AI800" i="1"/>
  <c r="AJ800" i="1" s="1"/>
  <c r="AI801" i="1"/>
  <c r="AJ801" i="1" s="1"/>
  <c r="AI802" i="1"/>
  <c r="AJ802" i="1" s="1"/>
  <c r="AI804" i="1"/>
  <c r="AJ804" i="1" s="1"/>
  <c r="AI806" i="1"/>
  <c r="AJ806" i="1" s="1"/>
  <c r="AI807" i="1"/>
  <c r="AJ807" i="1" s="1"/>
  <c r="AI808" i="1"/>
  <c r="AJ808" i="1" s="1"/>
  <c r="AI810" i="1"/>
  <c r="AJ810" i="1" s="1"/>
  <c r="AI811" i="1"/>
  <c r="AJ811" i="1" s="1"/>
  <c r="AI812" i="1"/>
  <c r="AJ812" i="1" s="1"/>
  <c r="AI814" i="1"/>
  <c r="AJ814" i="1" s="1"/>
  <c r="AI815" i="1"/>
  <c r="AJ815" i="1" s="1"/>
  <c r="AI816" i="1"/>
  <c r="AJ816" i="1" s="1"/>
  <c r="AI818" i="1"/>
  <c r="AJ818" i="1" s="1"/>
  <c r="AI820" i="1"/>
  <c r="AJ820" i="1" s="1"/>
  <c r="AI821" i="1"/>
  <c r="AJ821" i="1" s="1"/>
  <c r="AI822" i="1"/>
  <c r="AJ822" i="1" s="1"/>
  <c r="AI824" i="1"/>
  <c r="AJ824" i="1" s="1"/>
  <c r="AI825" i="1"/>
  <c r="AJ825" i="1" s="1"/>
  <c r="AI826" i="1"/>
  <c r="AJ826" i="1" s="1"/>
  <c r="AI828" i="1"/>
  <c r="AJ828" i="1" s="1"/>
  <c r="AI829" i="1"/>
  <c r="AJ829" i="1" s="1"/>
  <c r="AI830" i="1"/>
  <c r="AJ830" i="1" s="1"/>
  <c r="AI832" i="1"/>
  <c r="AJ832" i="1" s="1"/>
  <c r="AI834" i="1"/>
  <c r="AJ834" i="1" s="1"/>
  <c r="AI835" i="1"/>
  <c r="AJ835" i="1" s="1"/>
  <c r="AI836" i="1"/>
  <c r="AJ836" i="1" s="1"/>
  <c r="AI838" i="1"/>
  <c r="AJ838" i="1" s="1"/>
  <c r="AI839" i="1"/>
  <c r="AJ839" i="1" s="1"/>
  <c r="AI840" i="1"/>
  <c r="AJ840" i="1" s="1"/>
  <c r="AI842" i="1"/>
  <c r="AJ842" i="1" s="1"/>
  <c r="AI844" i="1"/>
  <c r="AJ844" i="1" s="1"/>
  <c r="AI845" i="1"/>
  <c r="AJ845" i="1" s="1"/>
  <c r="AU584" i="1"/>
  <c r="BK584" i="1"/>
  <c r="AI584" i="1"/>
  <c r="AJ584" i="1" s="1"/>
  <c r="AM584" i="1" s="1"/>
  <c r="AB584" i="1" s="1"/>
  <c r="E584" i="1" s="1"/>
  <c r="BN584" i="1"/>
  <c r="AI583" i="1"/>
  <c r="AJ583" i="1" s="1"/>
  <c r="AU583" i="1"/>
  <c r="AM583" i="1"/>
  <c r="AB583" i="1" s="1"/>
  <c r="E583" i="1" s="1"/>
  <c r="BK583" i="1"/>
  <c r="AU582" i="1"/>
  <c r="BK582" i="1"/>
  <c r="AI582" i="1"/>
  <c r="AJ582" i="1" s="1"/>
  <c r="AM582" i="1" s="1"/>
  <c r="AB582" i="1" s="1"/>
  <c r="E582" i="1" s="1"/>
  <c r="AM581" i="1"/>
  <c r="AB581" i="1" s="1"/>
  <c r="E581" i="1" s="1"/>
  <c r="BK581" i="1"/>
  <c r="BK580" i="1"/>
  <c r="AI580" i="1"/>
  <c r="AJ580" i="1" s="1"/>
  <c r="AM580" i="1" s="1"/>
  <c r="AB580" i="1" s="1"/>
  <c r="E580" i="1" s="1"/>
  <c r="AU579" i="1"/>
  <c r="BK579" i="1"/>
  <c r="AI579" i="1"/>
  <c r="AJ579" i="1" s="1"/>
  <c r="AM579" i="1" s="1"/>
  <c r="AB579" i="1" s="1"/>
  <c r="E579" i="1" s="1"/>
  <c r="AU578" i="1"/>
  <c r="BN578" i="1"/>
  <c r="BK578" i="1"/>
  <c r="AU577" i="1"/>
  <c r="AI578" i="1"/>
  <c r="AJ578" i="1" s="1"/>
  <c r="AM578" i="1" s="1"/>
  <c r="AB578" i="1" s="1"/>
  <c r="E578" i="1" s="1"/>
  <c r="AM577" i="1"/>
  <c r="AB577" i="1" s="1"/>
  <c r="E577" i="1" s="1"/>
  <c r="BK577" i="1"/>
  <c r="BN575" i="1"/>
  <c r="AU576" i="1"/>
  <c r="BK576" i="1"/>
  <c r="AI576" i="1"/>
  <c r="AJ576" i="1" s="1"/>
  <c r="AM576" i="1" s="1"/>
  <c r="AB576" i="1" s="1"/>
  <c r="E576" i="1" s="1"/>
  <c r="AU575" i="1"/>
  <c r="BK575" i="1"/>
  <c r="AI575" i="1"/>
  <c r="AJ575" i="1" s="1"/>
  <c r="AM575" i="1" s="1"/>
  <c r="AB575" i="1" s="1"/>
  <c r="E575" i="1" s="1"/>
  <c r="AU574" i="1"/>
  <c r="BK574" i="1"/>
  <c r="AI574" i="1"/>
  <c r="AJ574" i="1" s="1"/>
  <c r="AM574" i="1" s="1"/>
  <c r="AB574" i="1" s="1"/>
  <c r="E574" i="1" s="1"/>
  <c r="AM573" i="1"/>
  <c r="AB573" i="1" s="1"/>
  <c r="E573" i="1" s="1"/>
  <c r="BK573" i="1"/>
  <c r="BK572" i="1"/>
  <c r="AI572" i="1"/>
  <c r="AJ572" i="1" s="1"/>
  <c r="AM572" i="1" s="1"/>
  <c r="AB572" i="1" s="1"/>
  <c r="E572" i="1" s="1"/>
  <c r="BN571" i="1"/>
  <c r="AU571" i="1"/>
  <c r="BK571" i="1"/>
  <c r="AI571" i="1"/>
  <c r="AJ571" i="1" s="1"/>
  <c r="AM571" i="1" s="1"/>
  <c r="AB571" i="1" s="1"/>
  <c r="E571" i="1" s="1"/>
  <c r="BK570" i="1"/>
  <c r="AU570" i="1"/>
  <c r="AI570" i="1"/>
  <c r="AJ570" i="1" s="1"/>
  <c r="AM570" i="1" s="1"/>
  <c r="AB570" i="1" s="1"/>
  <c r="E570" i="1" s="1"/>
  <c r="AM569" i="1"/>
  <c r="AB569" i="1" s="1"/>
  <c r="E569" i="1" s="1"/>
  <c r="BK569" i="1"/>
  <c r="AI568" i="1"/>
  <c r="AJ568" i="1" s="1"/>
  <c r="AU568" i="1"/>
  <c r="AM568" i="1"/>
  <c r="AB568" i="1" s="1"/>
  <c r="E568" i="1" s="1"/>
  <c r="BK568" i="1"/>
  <c r="AM567" i="1"/>
  <c r="AB567" i="1" s="1"/>
  <c r="E567" i="1" s="1"/>
  <c r="BK567" i="1"/>
  <c r="AU566" i="1"/>
  <c r="AM566" i="1"/>
  <c r="AB566" i="1" s="1"/>
  <c r="E566" i="1" s="1"/>
  <c r="BK566" i="1"/>
  <c r="AM565" i="1"/>
  <c r="AB565" i="1" s="1"/>
  <c r="E565" i="1" s="1"/>
  <c r="BK565" i="1"/>
  <c r="AU564" i="1"/>
  <c r="AM564" i="1"/>
  <c r="AB564" i="1" s="1"/>
  <c r="E564" i="1" s="1"/>
  <c r="BK564" i="1"/>
  <c r="AU563" i="1"/>
  <c r="AM563" i="1"/>
  <c r="AB563" i="1" s="1"/>
  <c r="E563" i="1" s="1"/>
  <c r="BK563" i="1"/>
  <c r="AU561" i="1"/>
  <c r="BK561" i="1"/>
  <c r="BK562" i="1"/>
  <c r="AI562" i="1"/>
  <c r="AJ562" i="1" s="1"/>
  <c r="AM562" i="1" s="1"/>
  <c r="AB562" i="1" s="1"/>
  <c r="E562" i="1" s="1"/>
  <c r="AI561" i="1"/>
  <c r="AJ561" i="1" s="1"/>
  <c r="AM561" i="1" s="1"/>
  <c r="AB561" i="1" s="1"/>
  <c r="E561" i="1" s="1"/>
  <c r="AU560" i="1"/>
  <c r="AM560" i="1"/>
  <c r="AB560" i="1" s="1"/>
  <c r="E560" i="1" s="1"/>
  <c r="BK560" i="1"/>
  <c r="AU559" i="1"/>
  <c r="AM559" i="1"/>
  <c r="AB559" i="1" s="1"/>
  <c r="E559" i="1" s="1"/>
  <c r="BK559" i="1"/>
  <c r="AU558" i="1"/>
  <c r="BK558" i="1"/>
  <c r="AI558" i="1"/>
  <c r="AJ558" i="1" s="1"/>
  <c r="AM558" i="1" s="1"/>
  <c r="AB558" i="1" s="1"/>
  <c r="E558" i="1" s="1"/>
  <c r="BK557" i="1"/>
  <c r="AI557" i="1"/>
  <c r="AJ557" i="1" s="1"/>
  <c r="AM557" i="1" s="1"/>
  <c r="AB557" i="1" s="1"/>
  <c r="E557" i="1" s="1"/>
  <c r="BK556" i="1"/>
  <c r="AI556" i="1"/>
  <c r="AJ556" i="1" s="1"/>
  <c r="AM556" i="1" s="1"/>
  <c r="AB556" i="1" s="1"/>
  <c r="E556" i="1" s="1"/>
  <c r="BN556" i="1"/>
  <c r="AM555" i="1"/>
  <c r="AB555" i="1" s="1"/>
  <c r="E555" i="1" s="1"/>
  <c r="BK555" i="1"/>
  <c r="AI554" i="1"/>
  <c r="AJ554" i="1" s="1"/>
  <c r="AM554" i="1" s="1"/>
  <c r="AB554" i="1" s="1"/>
  <c r="E554" i="1" s="1"/>
  <c r="BK554" i="1"/>
  <c r="AM553" i="1"/>
  <c r="AB553" i="1" s="1"/>
  <c r="E553" i="1" s="1"/>
  <c r="AU553" i="1"/>
  <c r="BK553" i="1"/>
  <c r="AU552" i="1"/>
  <c r="AM552" i="1"/>
  <c r="AB552" i="1" s="1"/>
  <c r="E552" i="1" s="1"/>
  <c r="BK552" i="1"/>
  <c r="AU551" i="1"/>
  <c r="AM551" i="1"/>
  <c r="AB551" i="1" s="1"/>
  <c r="E551" i="1" s="1"/>
  <c r="BK551" i="1"/>
  <c r="AU550" i="1"/>
  <c r="AM550" i="1"/>
  <c r="AB550" i="1" s="1"/>
  <c r="E550" i="1" s="1"/>
  <c r="BK550" i="1"/>
  <c r="AM549" i="1"/>
  <c r="AB549" i="1" s="1"/>
  <c r="E549" i="1" s="1"/>
  <c r="BK549" i="1"/>
  <c r="AI548" i="1"/>
  <c r="AJ548" i="1" s="1"/>
  <c r="AM548" i="1" s="1"/>
  <c r="AB548" i="1" s="1"/>
  <c r="E548" i="1" s="1"/>
  <c r="BK548" i="1"/>
  <c r="BN546" i="1"/>
  <c r="AI545" i="1"/>
  <c r="AJ545" i="1" s="1"/>
  <c r="AU545" i="1"/>
  <c r="AM545" i="1"/>
  <c r="AB545" i="1" s="1"/>
  <c r="E545" i="1" s="1"/>
  <c r="BK545" i="1"/>
  <c r="AU546" i="1"/>
  <c r="BK546" i="1"/>
  <c r="AU547" i="1"/>
  <c r="AM547" i="1"/>
  <c r="AB547" i="1" s="1"/>
  <c r="E547" i="1" s="1"/>
  <c r="BK547" i="1"/>
  <c r="AI546" i="1"/>
  <c r="AJ546" i="1" s="1"/>
  <c r="AM546" i="1" s="1"/>
  <c r="AB546" i="1" s="1"/>
  <c r="E546" i="1" s="1"/>
  <c r="AU544" i="1"/>
  <c r="BK544" i="1"/>
  <c r="AI544" i="1"/>
  <c r="AJ544" i="1" s="1"/>
  <c r="AM544" i="1" s="1"/>
  <c r="AB544" i="1" s="1"/>
  <c r="E544" i="1" s="1"/>
  <c r="BK542" i="1"/>
  <c r="AM543" i="1"/>
  <c r="AB543" i="1" s="1"/>
  <c r="E543" i="1" s="1"/>
  <c r="BK543" i="1"/>
  <c r="AI541" i="1"/>
  <c r="AJ541" i="1" s="1"/>
  <c r="AM541" i="1" s="1"/>
  <c r="AB541" i="1" s="1"/>
  <c r="E541" i="1" s="1"/>
  <c r="AU541" i="1"/>
  <c r="BK541" i="1"/>
  <c r="AI542" i="1"/>
  <c r="AJ542" i="1" s="1"/>
  <c r="AM542" i="1" s="1"/>
  <c r="AB542" i="1" s="1"/>
  <c r="E542" i="1" s="1"/>
  <c r="AU540" i="1"/>
  <c r="AM540" i="1"/>
  <c r="AB540" i="1" s="1"/>
  <c r="E540" i="1" s="1"/>
  <c r="BK540" i="1"/>
  <c r="AU539" i="1"/>
  <c r="AM539" i="1"/>
  <c r="AB539" i="1" s="1"/>
  <c r="E539" i="1" s="1"/>
  <c r="BK539" i="1"/>
  <c r="AU538" i="1"/>
  <c r="AM538" i="1"/>
  <c r="AB538" i="1" s="1"/>
  <c r="E538" i="1" s="1"/>
  <c r="BK538" i="1"/>
  <c r="AU534" i="1"/>
  <c r="BK534" i="1"/>
  <c r="AU532" i="1"/>
  <c r="AM532" i="1"/>
  <c r="AB532" i="1" s="1"/>
  <c r="E532" i="1" s="1"/>
  <c r="BK532" i="1"/>
  <c r="AI537" i="1"/>
  <c r="AJ537" i="1" s="1"/>
  <c r="AM537" i="1" s="1"/>
  <c r="AB537" i="1" s="1"/>
  <c r="E537" i="1" s="1"/>
  <c r="AU537" i="1"/>
  <c r="BK537" i="1"/>
  <c r="AU536" i="1"/>
  <c r="AM536" i="1"/>
  <c r="AB536" i="1" s="1"/>
  <c r="E536" i="1" s="1"/>
  <c r="BK536" i="1"/>
  <c r="AU533" i="1"/>
  <c r="BK533" i="1"/>
  <c r="AU535" i="1"/>
  <c r="AM535" i="1"/>
  <c r="AB535" i="1" s="1"/>
  <c r="E535" i="1" s="1"/>
  <c r="BK535" i="1"/>
  <c r="AI534" i="1"/>
  <c r="AJ534" i="1" s="1"/>
  <c r="AM534" i="1" s="1"/>
  <c r="AB534" i="1" s="1"/>
  <c r="E534" i="1" s="1"/>
  <c r="AI533" i="1"/>
  <c r="AJ533" i="1" s="1"/>
  <c r="AM533" i="1" s="1"/>
  <c r="AB533" i="1" s="1"/>
  <c r="E533" i="1" s="1"/>
  <c r="AM529" i="1"/>
  <c r="AB529" i="1" s="1"/>
  <c r="E529" i="1" s="1"/>
  <c r="BK529" i="1"/>
  <c r="AU530" i="1"/>
  <c r="BK530" i="1"/>
  <c r="AU531" i="1"/>
  <c r="AM531" i="1"/>
  <c r="AB531" i="1" s="1"/>
  <c r="E531" i="1" s="1"/>
  <c r="BK531" i="1"/>
  <c r="AU528" i="1"/>
  <c r="AM528" i="1"/>
  <c r="AB528" i="1" s="1"/>
  <c r="E528" i="1" s="1"/>
  <c r="BK528" i="1"/>
  <c r="AI530" i="1"/>
  <c r="AJ530" i="1" s="1"/>
  <c r="AM530" i="1" s="1"/>
  <c r="AB530" i="1" s="1"/>
  <c r="E530" i="1" s="1"/>
  <c r="BN530" i="1"/>
  <c r="BK526" i="1"/>
  <c r="AU527" i="1"/>
  <c r="AM527" i="1"/>
  <c r="AB527" i="1" s="1"/>
  <c r="E527" i="1" s="1"/>
  <c r="BK527" i="1"/>
  <c r="AI526" i="1"/>
  <c r="AJ526" i="1" s="1"/>
  <c r="AM526" i="1" s="1"/>
  <c r="AB526" i="1" s="1"/>
  <c r="E526" i="1" s="1"/>
  <c r="BK525" i="1"/>
  <c r="AI525" i="1"/>
  <c r="AJ525" i="1" s="1"/>
  <c r="AM525" i="1" s="1"/>
  <c r="AB525" i="1" s="1"/>
  <c r="E525" i="1" s="1"/>
  <c r="BN525" i="1"/>
  <c r="AU524" i="1"/>
  <c r="BK524" i="1"/>
  <c r="AM522" i="1"/>
  <c r="AB522" i="1" s="1"/>
  <c r="E522" i="1" s="1"/>
  <c r="BK522" i="1"/>
  <c r="AU523" i="1"/>
  <c r="BK523" i="1"/>
  <c r="AI524" i="1"/>
  <c r="AJ524" i="1" s="1"/>
  <c r="AM524" i="1" s="1"/>
  <c r="AB524" i="1" s="1"/>
  <c r="E524" i="1" s="1"/>
  <c r="BN4" i="1"/>
  <c r="AU17" i="1"/>
  <c r="AU18" i="1"/>
  <c r="AU19" i="1"/>
  <c r="AU20" i="1"/>
  <c r="AU21" i="1"/>
  <c r="AU22" i="1"/>
  <c r="AU23" i="1"/>
  <c r="AU24" i="1"/>
  <c r="AB24" i="1" s="1"/>
  <c r="E24" i="1" s="1"/>
  <c r="AU25" i="1"/>
  <c r="AB25" i="1" s="1"/>
  <c r="E25" i="1" s="1"/>
  <c r="AU26" i="1"/>
  <c r="AB26" i="1" s="1"/>
  <c r="E26" i="1" s="1"/>
  <c r="AU27" i="1"/>
  <c r="AU28" i="1"/>
  <c r="AB28" i="1" s="1"/>
  <c r="E28" i="1" s="1"/>
  <c r="AU29" i="1"/>
  <c r="AB29" i="1" s="1"/>
  <c r="E29" i="1" s="1"/>
  <c r="AU30" i="1"/>
  <c r="AB30" i="1" s="1"/>
  <c r="E30" i="1" s="1"/>
  <c r="AU31" i="1"/>
  <c r="AU32" i="1"/>
  <c r="AU33" i="1"/>
  <c r="AU34" i="1"/>
  <c r="AU35" i="1"/>
  <c r="AU36" i="1"/>
  <c r="AU37" i="1"/>
  <c r="AB37" i="1" s="1"/>
  <c r="E37" i="1" s="1"/>
  <c r="AU38" i="1"/>
  <c r="AB38" i="1" s="1"/>
  <c r="E38" i="1" s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B62" i="1" s="1"/>
  <c r="E62" i="1" s="1"/>
  <c r="AU63" i="1"/>
  <c r="AB63" i="1" s="1"/>
  <c r="E63" i="1" s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B92" i="1" s="1"/>
  <c r="E92" i="1" s="1"/>
  <c r="AU93" i="1"/>
  <c r="AB93" i="1" s="1"/>
  <c r="E93" i="1" s="1"/>
  <c r="AU94" i="1"/>
  <c r="AB94" i="1" s="1"/>
  <c r="E94" i="1" s="1"/>
  <c r="AU95" i="1"/>
  <c r="AU96" i="1"/>
  <c r="AU97" i="1"/>
  <c r="AU98" i="1"/>
  <c r="AU99" i="1"/>
  <c r="AB99" i="1" s="1"/>
  <c r="E99" i="1" s="1"/>
  <c r="AU100" i="1"/>
  <c r="AB100" i="1" s="1"/>
  <c r="E100" i="1" s="1"/>
  <c r="AU101" i="1"/>
  <c r="AU102" i="1"/>
  <c r="AB102" i="1" s="1"/>
  <c r="E102" i="1" s="1"/>
  <c r="AU103" i="1"/>
  <c r="AB103" i="1" s="1"/>
  <c r="E103" i="1" s="1"/>
  <c r="AU104" i="1"/>
  <c r="AU105" i="1"/>
  <c r="AU106" i="1"/>
  <c r="AU107" i="1"/>
  <c r="AB107" i="1" s="1"/>
  <c r="E107" i="1" s="1"/>
  <c r="AU108" i="1"/>
  <c r="AB108" i="1" s="1"/>
  <c r="E108" i="1" s="1"/>
  <c r="AU109" i="1"/>
  <c r="AB109" i="1" s="1"/>
  <c r="E109" i="1" s="1"/>
  <c r="AU110" i="1"/>
  <c r="AU112" i="1"/>
  <c r="AU114" i="1"/>
  <c r="AU116" i="1"/>
  <c r="AB116" i="1" s="1"/>
  <c r="E116" i="1" s="1"/>
  <c r="AU118" i="1"/>
  <c r="AB118" i="1" s="1"/>
  <c r="E118" i="1" s="1"/>
  <c r="AU120" i="1"/>
  <c r="AU122" i="1"/>
  <c r="AU124" i="1"/>
  <c r="AU126" i="1"/>
  <c r="AU128" i="1"/>
  <c r="AB128" i="1" s="1"/>
  <c r="E128" i="1" s="1"/>
  <c r="AU130" i="1"/>
  <c r="AB130" i="1" s="1"/>
  <c r="E130" i="1" s="1"/>
  <c r="AU132" i="1"/>
  <c r="AB132" i="1" s="1"/>
  <c r="E132" i="1" s="1"/>
  <c r="AU134" i="1"/>
  <c r="AB134" i="1" s="1"/>
  <c r="E134" i="1" s="1"/>
  <c r="AU136" i="1"/>
  <c r="AU138" i="1"/>
  <c r="AU140" i="1"/>
  <c r="AU142" i="1"/>
  <c r="AU144" i="1"/>
  <c r="AU146" i="1"/>
  <c r="AU148" i="1"/>
  <c r="AU150" i="1"/>
  <c r="AU152" i="1"/>
  <c r="BK154" i="1"/>
  <c r="AU165" i="1"/>
  <c r="AU175" i="1"/>
  <c r="AU177" i="1"/>
  <c r="BK192" i="1"/>
  <c r="AU193" i="1"/>
  <c r="BK215" i="1"/>
  <c r="BK227" i="1"/>
  <c r="BK235" i="1"/>
  <c r="BK243" i="1"/>
  <c r="BK251" i="1"/>
  <c r="BK267" i="1"/>
  <c r="AU273" i="1"/>
  <c r="AU278" i="1"/>
  <c r="BK283" i="1"/>
  <c r="AU286" i="1"/>
  <c r="BK291" i="1"/>
  <c r="AU302" i="1"/>
  <c r="AU306" i="1"/>
  <c r="BK307" i="1"/>
  <c r="AU310" i="1"/>
  <c r="BN243" i="1"/>
  <c r="BN254" i="1"/>
  <c r="BN264" i="1"/>
  <c r="BN292" i="1"/>
  <c r="BN302" i="1"/>
  <c r="BN305" i="1"/>
  <c r="BN307" i="1"/>
  <c r="BN309" i="1"/>
  <c r="BN311" i="1"/>
  <c r="AU314" i="1"/>
  <c r="AU316" i="1"/>
  <c r="AU324" i="1"/>
  <c r="BK390" i="1"/>
  <c r="AU400" i="1"/>
  <c r="AI458" i="1"/>
  <c r="AU464" i="1"/>
  <c r="AI465" i="1"/>
  <c r="AI467" i="1"/>
  <c r="AJ467" i="1" s="1"/>
  <c r="AU470" i="1"/>
  <c r="AU472" i="1"/>
  <c r="AI473" i="1"/>
  <c r="AU474" i="1"/>
  <c r="AB474" i="1" s="1"/>
  <c r="E474" i="1" s="1"/>
  <c r="AI481" i="1"/>
  <c r="AU482" i="1"/>
  <c r="AI483" i="1"/>
  <c r="AJ483" i="1" s="1"/>
  <c r="AU484" i="1"/>
  <c r="AI485" i="1"/>
  <c r="AU486" i="1"/>
  <c r="AI487" i="1"/>
  <c r="AJ487" i="1" s="1"/>
  <c r="AU488" i="1"/>
  <c r="AI489" i="1"/>
  <c r="AU491" i="1"/>
  <c r="AU495" i="1"/>
  <c r="AU496" i="1"/>
  <c r="AI497" i="1"/>
  <c r="AJ497" i="1" s="1"/>
  <c r="AU500" i="1"/>
  <c r="AI501" i="1"/>
  <c r="AJ501" i="1" s="1"/>
  <c r="AI503" i="1"/>
  <c r="AJ503" i="1" s="1"/>
  <c r="AI509" i="1"/>
  <c r="AJ509" i="1" s="1"/>
  <c r="AU510" i="1"/>
  <c r="AU512" i="1"/>
  <c r="AI521" i="1"/>
  <c r="AJ521" i="1" s="1"/>
  <c r="AI523" i="1"/>
  <c r="AJ523" i="1" s="1"/>
  <c r="AM523" i="1" s="1"/>
  <c r="AB523" i="1" s="1"/>
  <c r="E523" i="1" s="1"/>
  <c r="AI761" i="1"/>
  <c r="AJ761" i="1" s="1"/>
  <c r="AY761" i="1"/>
  <c r="AZ761" i="1" s="1"/>
  <c r="BC761" i="1"/>
  <c r="AI765" i="1"/>
  <c r="AJ765" i="1" s="1"/>
  <c r="AY765" i="1"/>
  <c r="AZ765" i="1" s="1"/>
  <c r="BC765" i="1"/>
  <c r="AI769" i="1"/>
  <c r="AJ769" i="1" s="1"/>
  <c r="AY769" i="1"/>
  <c r="AZ769" i="1" s="1"/>
  <c r="BC769" i="1"/>
  <c r="AY773" i="1"/>
  <c r="AZ773" i="1" s="1"/>
  <c r="BC773" i="1"/>
  <c r="AY777" i="1"/>
  <c r="AZ777" i="1" s="1"/>
  <c r="BC777" i="1"/>
  <c r="AY781" i="1"/>
  <c r="AZ781" i="1" s="1"/>
  <c r="BC781" i="1"/>
  <c r="AY711" i="1"/>
  <c r="AZ711" i="1" s="1"/>
  <c r="BN839" i="1"/>
  <c r="BN847" i="1"/>
  <c r="BN849" i="1"/>
  <c r="BN853" i="1"/>
  <c r="BN855" i="1"/>
  <c r="BN857" i="1"/>
  <c r="BN859" i="1"/>
  <c r="BN861" i="1"/>
  <c r="BN867" i="1"/>
  <c r="BN871" i="1"/>
  <c r="BN873" i="1"/>
  <c r="BN875" i="1"/>
  <c r="BN877" i="1"/>
  <c r="BN879" i="1"/>
  <c r="BN885" i="1"/>
  <c r="BN889" i="1"/>
  <c r="BN891" i="1"/>
  <c r="BN893" i="1"/>
  <c r="BN895" i="1"/>
  <c r="BN897" i="1"/>
  <c r="BN901" i="1"/>
  <c r="BN903" i="1"/>
  <c r="BN907" i="1"/>
  <c r="BN909" i="1"/>
  <c r="BN911" i="1"/>
  <c r="BN913" i="1"/>
  <c r="BN915" i="1"/>
  <c r="BN917" i="1"/>
  <c r="BN919" i="1"/>
  <c r="BN921" i="1"/>
  <c r="BN931" i="1"/>
  <c r="BN937" i="1"/>
  <c r="BN939" i="1"/>
  <c r="BN941" i="1"/>
  <c r="BN945" i="1"/>
  <c r="BN949" i="1"/>
  <c r="BN955" i="1"/>
  <c r="BN957" i="1"/>
  <c r="BN963" i="1"/>
  <c r="BN967" i="1"/>
  <c r="BN969" i="1"/>
  <c r="BN975" i="1"/>
  <c r="BN979" i="1"/>
  <c r="BN981" i="1"/>
  <c r="BN987" i="1"/>
  <c r="BN989" i="1"/>
  <c r="BN993" i="1"/>
  <c r="BN997" i="1"/>
  <c r="BN999" i="1"/>
  <c r="AU183" i="1"/>
  <c r="AU322" i="1"/>
  <c r="AU326" i="1"/>
  <c r="AU397" i="1"/>
  <c r="AU425" i="1"/>
  <c r="AY524" i="1"/>
  <c r="AZ524" i="1" s="1"/>
  <c r="BC524" i="1" s="1"/>
  <c r="AY525" i="1"/>
  <c r="AZ525" i="1" s="1"/>
  <c r="BC525" i="1" s="1"/>
  <c r="AY526" i="1"/>
  <c r="AZ526" i="1" s="1"/>
  <c r="BC526" i="1" s="1"/>
  <c r="AY527" i="1"/>
  <c r="AZ527" i="1" s="1"/>
  <c r="BC527" i="1" s="1"/>
  <c r="AY528" i="1"/>
  <c r="AZ528" i="1" s="1"/>
  <c r="BC528" i="1" s="1"/>
  <c r="AY529" i="1"/>
  <c r="AZ529" i="1" s="1"/>
  <c r="BC529" i="1" s="1"/>
  <c r="AY530" i="1"/>
  <c r="AZ530" i="1" s="1"/>
  <c r="BC530" i="1" s="1"/>
  <c r="AY531" i="1"/>
  <c r="AZ531" i="1" s="1"/>
  <c r="BC531" i="1" s="1"/>
  <c r="AY532" i="1"/>
  <c r="AZ532" i="1" s="1"/>
  <c r="BC532" i="1" s="1"/>
  <c r="AY533" i="1"/>
  <c r="AZ533" i="1" s="1"/>
  <c r="BC533" i="1" s="1"/>
  <c r="AY534" i="1"/>
  <c r="AZ534" i="1" s="1"/>
  <c r="BC534" i="1" s="1"/>
  <c r="AY535" i="1"/>
  <c r="AZ535" i="1" s="1"/>
  <c r="BC535" i="1" s="1"/>
  <c r="AY536" i="1"/>
  <c r="AZ536" i="1" s="1"/>
  <c r="BC536" i="1" s="1"/>
  <c r="AY537" i="1"/>
  <c r="AZ537" i="1" s="1"/>
  <c r="BC537" i="1" s="1"/>
  <c r="AY538" i="1"/>
  <c r="AZ538" i="1" s="1"/>
  <c r="BC538" i="1"/>
  <c r="AY539" i="1"/>
  <c r="AZ539" i="1" s="1"/>
  <c r="BC539" i="1" s="1"/>
  <c r="AY540" i="1"/>
  <c r="AZ540" i="1" s="1"/>
  <c r="BC540" i="1" s="1"/>
  <c r="AY541" i="1"/>
  <c r="AZ541" i="1" s="1"/>
  <c r="BC541" i="1" s="1"/>
  <c r="AY542" i="1"/>
  <c r="AZ542" i="1" s="1"/>
  <c r="BC542" i="1" s="1"/>
  <c r="AY543" i="1"/>
  <c r="AZ543" i="1" s="1"/>
  <c r="BC543" i="1"/>
  <c r="AY544" i="1"/>
  <c r="AZ544" i="1" s="1"/>
  <c r="BC544" i="1"/>
  <c r="AY545" i="1"/>
  <c r="AZ545" i="1" s="1"/>
  <c r="BC545" i="1" s="1"/>
  <c r="AY546" i="1"/>
  <c r="AZ546" i="1" s="1"/>
  <c r="BC546" i="1" s="1"/>
  <c r="AY547" i="1"/>
  <c r="AZ547" i="1" s="1"/>
  <c r="BC547" i="1" s="1"/>
  <c r="AY548" i="1"/>
  <c r="AZ548" i="1" s="1"/>
  <c r="BC548" i="1" s="1"/>
  <c r="AY549" i="1"/>
  <c r="AZ549" i="1" s="1"/>
  <c r="BC549" i="1" s="1"/>
  <c r="AY550" i="1"/>
  <c r="AZ550" i="1" s="1"/>
  <c r="BC550" i="1" s="1"/>
  <c r="AY551" i="1"/>
  <c r="AZ551" i="1" s="1"/>
  <c r="BC551" i="1"/>
  <c r="AY552" i="1"/>
  <c r="AZ552" i="1" s="1"/>
  <c r="BC552" i="1"/>
  <c r="AY553" i="1"/>
  <c r="AZ553" i="1" s="1"/>
  <c r="BC553" i="1" s="1"/>
  <c r="AY554" i="1"/>
  <c r="AZ554" i="1" s="1"/>
  <c r="BC554" i="1" s="1"/>
  <c r="AY555" i="1"/>
  <c r="AZ555" i="1" s="1"/>
  <c r="BC555" i="1" s="1"/>
  <c r="AY556" i="1"/>
  <c r="AZ556" i="1" s="1"/>
  <c r="BC556" i="1" s="1"/>
  <c r="AY557" i="1"/>
  <c r="AZ557" i="1" s="1"/>
  <c r="BC557" i="1" s="1"/>
  <c r="AY558" i="1"/>
  <c r="AZ558" i="1" s="1"/>
  <c r="BC558" i="1" s="1"/>
  <c r="AY559" i="1"/>
  <c r="AZ559" i="1" s="1"/>
  <c r="BC559" i="1" s="1"/>
  <c r="AY560" i="1"/>
  <c r="AZ560" i="1" s="1"/>
  <c r="BC560" i="1" s="1"/>
  <c r="AY561" i="1"/>
  <c r="AZ561" i="1" s="1"/>
  <c r="BC561" i="1" s="1"/>
  <c r="AY562" i="1"/>
  <c r="AZ562" i="1" s="1"/>
  <c r="BC562" i="1" s="1"/>
  <c r="AY563" i="1"/>
  <c r="AZ563" i="1" s="1"/>
  <c r="BC563" i="1" s="1"/>
  <c r="AY564" i="1"/>
  <c r="AZ564" i="1" s="1"/>
  <c r="BC564" i="1" s="1"/>
  <c r="AY565" i="1"/>
  <c r="AZ565" i="1" s="1"/>
  <c r="BC565" i="1" s="1"/>
  <c r="AY566" i="1"/>
  <c r="AZ566" i="1" s="1"/>
  <c r="BC566" i="1" s="1"/>
  <c r="AY567" i="1"/>
  <c r="AZ567" i="1" s="1"/>
  <c r="BC567" i="1" s="1"/>
  <c r="AY568" i="1"/>
  <c r="AZ568" i="1" s="1"/>
  <c r="BC568" i="1" s="1"/>
  <c r="AY569" i="1"/>
  <c r="AZ569" i="1" s="1"/>
  <c r="BC569" i="1" s="1"/>
  <c r="AY570" i="1"/>
  <c r="AZ570" i="1" s="1"/>
  <c r="BC570" i="1" s="1"/>
  <c r="AY571" i="1"/>
  <c r="AZ571" i="1" s="1"/>
  <c r="BC571" i="1" s="1"/>
  <c r="AY572" i="1"/>
  <c r="AZ572" i="1" s="1"/>
  <c r="BC572" i="1" s="1"/>
  <c r="AY573" i="1"/>
  <c r="AZ573" i="1" s="1"/>
  <c r="BC573" i="1"/>
  <c r="AY574" i="1"/>
  <c r="AZ574" i="1" s="1"/>
  <c r="BC574" i="1" s="1"/>
  <c r="AY575" i="1"/>
  <c r="AZ575" i="1" s="1"/>
  <c r="BC575" i="1" s="1"/>
  <c r="AY576" i="1"/>
  <c r="AZ576" i="1" s="1"/>
  <c r="BC576" i="1"/>
  <c r="AY577" i="1"/>
  <c r="AZ577" i="1" s="1"/>
  <c r="BC577" i="1"/>
  <c r="AY578" i="1"/>
  <c r="AZ578" i="1" s="1"/>
  <c r="BC578" i="1" s="1"/>
  <c r="AY579" i="1"/>
  <c r="AZ579" i="1" s="1"/>
  <c r="BC579" i="1" s="1"/>
  <c r="AY580" i="1"/>
  <c r="AZ580" i="1" s="1"/>
  <c r="BC580" i="1" s="1"/>
  <c r="AY581" i="1"/>
  <c r="AZ581" i="1" s="1"/>
  <c r="BC581" i="1" s="1"/>
  <c r="AY582" i="1"/>
  <c r="AZ582" i="1" s="1"/>
  <c r="BC582" i="1" s="1"/>
  <c r="AY583" i="1"/>
  <c r="AZ583" i="1" s="1"/>
  <c r="BC583" i="1" s="1"/>
  <c r="AY584" i="1"/>
  <c r="AZ584" i="1" s="1"/>
  <c r="BC584" i="1" s="1"/>
  <c r="AY585" i="1"/>
  <c r="AZ585" i="1" s="1"/>
  <c r="BC585" i="1"/>
  <c r="AY586" i="1"/>
  <c r="AZ586" i="1" s="1"/>
  <c r="BC586" i="1" s="1"/>
  <c r="AY587" i="1"/>
  <c r="AZ587" i="1" s="1"/>
  <c r="BC587" i="1" s="1"/>
  <c r="AY588" i="1"/>
  <c r="AZ588" i="1" s="1"/>
  <c r="BC588" i="1"/>
  <c r="AY589" i="1"/>
  <c r="AZ589" i="1" s="1"/>
  <c r="BC589" i="1" s="1"/>
  <c r="AY590" i="1"/>
  <c r="AZ590" i="1" s="1"/>
  <c r="BC590" i="1" s="1"/>
  <c r="AY591" i="1"/>
  <c r="AZ591" i="1" s="1"/>
  <c r="BC591" i="1" s="1"/>
  <c r="AY592" i="1"/>
  <c r="AZ592" i="1" s="1"/>
  <c r="BC592" i="1" s="1"/>
  <c r="AY593" i="1"/>
  <c r="AZ593" i="1" s="1"/>
  <c r="BC593" i="1"/>
  <c r="AY594" i="1"/>
  <c r="AZ594" i="1" s="1"/>
  <c r="BC594" i="1" s="1"/>
  <c r="AY595" i="1"/>
  <c r="AZ595" i="1" s="1"/>
  <c r="BC595" i="1" s="1"/>
  <c r="AY596" i="1"/>
  <c r="AZ596" i="1" s="1"/>
  <c r="BC596" i="1" s="1"/>
  <c r="AY597" i="1"/>
  <c r="AZ597" i="1" s="1"/>
  <c r="BC597" i="1" s="1"/>
  <c r="AY598" i="1"/>
  <c r="AZ598" i="1" s="1"/>
  <c r="BC598" i="1" s="1"/>
  <c r="AY599" i="1"/>
  <c r="AZ599" i="1" s="1"/>
  <c r="BC599" i="1" s="1"/>
  <c r="AY600" i="1"/>
  <c r="AZ600" i="1" s="1"/>
  <c r="BC600" i="1" s="1"/>
  <c r="AY601" i="1"/>
  <c r="AZ601" i="1" s="1"/>
  <c r="BC601" i="1" s="1"/>
  <c r="AY602" i="1"/>
  <c r="AZ602" i="1" s="1"/>
  <c r="BC602" i="1"/>
  <c r="AY603" i="1"/>
  <c r="AZ603" i="1" s="1"/>
  <c r="BC603" i="1"/>
  <c r="AY604" i="1"/>
  <c r="AZ604" i="1" s="1"/>
  <c r="BC604" i="1"/>
  <c r="AY605" i="1"/>
  <c r="AZ605" i="1" s="1"/>
  <c r="BC605" i="1"/>
  <c r="AY606" i="1"/>
  <c r="AZ606" i="1" s="1"/>
  <c r="BC606" i="1"/>
  <c r="AY607" i="1"/>
  <c r="AZ607" i="1" s="1"/>
  <c r="BC607" i="1"/>
  <c r="AY608" i="1"/>
  <c r="AZ608" i="1" s="1"/>
  <c r="BC608" i="1"/>
  <c r="AY609" i="1"/>
  <c r="AZ609" i="1" s="1"/>
  <c r="BC609" i="1"/>
  <c r="AY610" i="1"/>
  <c r="AZ610" i="1" s="1"/>
  <c r="BC610" i="1"/>
  <c r="AY611" i="1"/>
  <c r="AZ611" i="1" s="1"/>
  <c r="BC611" i="1"/>
  <c r="AY612" i="1"/>
  <c r="AZ612" i="1" s="1"/>
  <c r="BC612" i="1"/>
  <c r="AY613" i="1"/>
  <c r="AZ613" i="1" s="1"/>
  <c r="BC613" i="1"/>
  <c r="AY614" i="1"/>
  <c r="AZ614" i="1" s="1"/>
  <c r="BC614" i="1"/>
  <c r="AY615" i="1"/>
  <c r="AZ615" i="1" s="1"/>
  <c r="BC615" i="1"/>
  <c r="AY616" i="1"/>
  <c r="AZ616" i="1" s="1"/>
  <c r="BC616" i="1"/>
  <c r="AY617" i="1"/>
  <c r="AZ617" i="1" s="1"/>
  <c r="BC617" i="1"/>
  <c r="AY618" i="1"/>
  <c r="AZ618" i="1" s="1"/>
  <c r="BC618" i="1"/>
  <c r="AY619" i="1"/>
  <c r="AZ619" i="1" s="1"/>
  <c r="BC619" i="1"/>
  <c r="AY620" i="1"/>
  <c r="AZ620" i="1" s="1"/>
  <c r="BC620" i="1"/>
  <c r="AY621" i="1"/>
  <c r="AZ621" i="1" s="1"/>
  <c r="BC621" i="1"/>
  <c r="AY622" i="1"/>
  <c r="AZ622" i="1" s="1"/>
  <c r="BC622" i="1"/>
  <c r="AY623" i="1"/>
  <c r="AZ623" i="1" s="1"/>
  <c r="BC623" i="1"/>
  <c r="AY624" i="1"/>
  <c r="AZ624" i="1" s="1"/>
  <c r="BC624" i="1"/>
  <c r="AY625" i="1"/>
  <c r="AZ625" i="1" s="1"/>
  <c r="BC625" i="1"/>
  <c r="AY626" i="1"/>
  <c r="AZ626" i="1" s="1"/>
  <c r="BC626" i="1"/>
  <c r="AY627" i="1"/>
  <c r="AZ627" i="1" s="1"/>
  <c r="BC627" i="1"/>
  <c r="AY628" i="1"/>
  <c r="AZ628" i="1" s="1"/>
  <c r="BC628" i="1"/>
  <c r="AY629" i="1"/>
  <c r="AZ629" i="1" s="1"/>
  <c r="BC629" i="1"/>
  <c r="AY630" i="1"/>
  <c r="AZ630" i="1" s="1"/>
  <c r="BC630" i="1"/>
  <c r="AY631" i="1"/>
  <c r="AZ631" i="1" s="1"/>
  <c r="BC631" i="1"/>
  <c r="AY632" i="1"/>
  <c r="AZ632" i="1" s="1"/>
  <c r="BC632" i="1"/>
  <c r="AY633" i="1"/>
  <c r="AZ633" i="1" s="1"/>
  <c r="BC633" i="1"/>
  <c r="AY634" i="1"/>
  <c r="AZ634" i="1" s="1"/>
  <c r="BC634" i="1"/>
  <c r="AY635" i="1"/>
  <c r="AZ635" i="1" s="1"/>
  <c r="BC635" i="1"/>
  <c r="AY636" i="1"/>
  <c r="AZ636" i="1" s="1"/>
  <c r="BC636" i="1"/>
  <c r="AY637" i="1"/>
  <c r="AZ637" i="1" s="1"/>
  <c r="BC637" i="1"/>
  <c r="AY638" i="1"/>
  <c r="AZ638" i="1" s="1"/>
  <c r="BC638" i="1"/>
  <c r="AY639" i="1"/>
  <c r="AZ639" i="1" s="1"/>
  <c r="BC639" i="1"/>
  <c r="AY640" i="1"/>
  <c r="AZ640" i="1" s="1"/>
  <c r="BC640" i="1"/>
  <c r="AY641" i="1"/>
  <c r="AZ641" i="1" s="1"/>
  <c r="BC641" i="1"/>
  <c r="AY642" i="1"/>
  <c r="AZ642" i="1" s="1"/>
  <c r="BC642" i="1"/>
  <c r="AY643" i="1"/>
  <c r="AZ643" i="1" s="1"/>
  <c r="BC643" i="1"/>
  <c r="AY644" i="1"/>
  <c r="AZ644" i="1" s="1"/>
  <c r="BC644" i="1"/>
  <c r="AY645" i="1"/>
  <c r="AZ645" i="1" s="1"/>
  <c r="BC645" i="1"/>
  <c r="AY646" i="1"/>
  <c r="AZ646" i="1" s="1"/>
  <c r="BC646" i="1"/>
  <c r="AY647" i="1"/>
  <c r="AZ647" i="1" s="1"/>
  <c r="BC647" i="1"/>
  <c r="AY648" i="1"/>
  <c r="AZ648" i="1" s="1"/>
  <c r="BC648" i="1"/>
  <c r="AY649" i="1"/>
  <c r="AZ649" i="1" s="1"/>
  <c r="BC649" i="1"/>
  <c r="AY650" i="1"/>
  <c r="AZ650" i="1" s="1"/>
  <c r="BC650" i="1"/>
  <c r="AY651" i="1"/>
  <c r="AZ651" i="1" s="1"/>
  <c r="BC651" i="1"/>
  <c r="AY652" i="1"/>
  <c r="AZ652" i="1" s="1"/>
  <c r="BC652" i="1"/>
  <c r="AY653" i="1"/>
  <c r="AZ653" i="1" s="1"/>
  <c r="BC653" i="1"/>
  <c r="AY654" i="1"/>
  <c r="AZ654" i="1" s="1"/>
  <c r="BC654" i="1"/>
  <c r="AY655" i="1"/>
  <c r="AZ655" i="1" s="1"/>
  <c r="BC655" i="1"/>
  <c r="AY656" i="1"/>
  <c r="AZ656" i="1" s="1"/>
  <c r="BC656" i="1"/>
  <c r="AY657" i="1"/>
  <c r="AZ657" i="1" s="1"/>
  <c r="BC657" i="1"/>
  <c r="AY658" i="1"/>
  <c r="AZ658" i="1" s="1"/>
  <c r="BC658" i="1"/>
  <c r="AY659" i="1"/>
  <c r="AZ659" i="1" s="1"/>
  <c r="BC659" i="1"/>
  <c r="AY660" i="1"/>
  <c r="AZ660" i="1" s="1"/>
  <c r="BC660" i="1"/>
  <c r="AY661" i="1"/>
  <c r="AZ661" i="1" s="1"/>
  <c r="BC661" i="1"/>
  <c r="AY662" i="1"/>
  <c r="AZ662" i="1" s="1"/>
  <c r="BC662" i="1"/>
  <c r="AY663" i="1"/>
  <c r="AZ663" i="1" s="1"/>
  <c r="BC663" i="1"/>
  <c r="AY664" i="1"/>
  <c r="AZ664" i="1" s="1"/>
  <c r="BC664" i="1"/>
  <c r="AY665" i="1"/>
  <c r="AZ665" i="1" s="1"/>
  <c r="BC665" i="1"/>
  <c r="AY666" i="1"/>
  <c r="AZ666" i="1" s="1"/>
  <c r="BC666" i="1"/>
  <c r="AY667" i="1"/>
  <c r="AZ667" i="1" s="1"/>
  <c r="BC667" i="1"/>
  <c r="AY668" i="1"/>
  <c r="AZ668" i="1" s="1"/>
  <c r="BC668" i="1"/>
  <c r="AY669" i="1"/>
  <c r="AZ669" i="1" s="1"/>
  <c r="BC669" i="1"/>
  <c r="AY670" i="1"/>
  <c r="AZ670" i="1" s="1"/>
  <c r="BC670" i="1"/>
  <c r="AY671" i="1"/>
  <c r="AZ671" i="1" s="1"/>
  <c r="BC671" i="1"/>
  <c r="AY672" i="1"/>
  <c r="AZ672" i="1" s="1"/>
  <c r="BC672" i="1"/>
  <c r="AY673" i="1"/>
  <c r="AZ673" i="1" s="1"/>
  <c r="BC673" i="1"/>
  <c r="AY674" i="1"/>
  <c r="AZ674" i="1" s="1"/>
  <c r="BC674" i="1"/>
  <c r="AY675" i="1"/>
  <c r="AZ675" i="1" s="1"/>
  <c r="BC675" i="1"/>
  <c r="AY676" i="1"/>
  <c r="AZ676" i="1" s="1"/>
  <c r="BC676" i="1"/>
  <c r="AY677" i="1"/>
  <c r="AZ677" i="1" s="1"/>
  <c r="BC677" i="1"/>
  <c r="AY678" i="1"/>
  <c r="AZ678" i="1" s="1"/>
  <c r="BC678" i="1"/>
  <c r="AY679" i="1"/>
  <c r="AZ679" i="1" s="1"/>
  <c r="BC679" i="1"/>
  <c r="AY680" i="1"/>
  <c r="AZ680" i="1" s="1"/>
  <c r="BC680" i="1"/>
  <c r="AY681" i="1"/>
  <c r="AZ681" i="1" s="1"/>
  <c r="BC681" i="1"/>
  <c r="AY682" i="1"/>
  <c r="AZ682" i="1" s="1"/>
  <c r="BC682" i="1"/>
  <c r="AY683" i="1"/>
  <c r="AZ683" i="1" s="1"/>
  <c r="BC683" i="1"/>
  <c r="AY684" i="1"/>
  <c r="AZ684" i="1" s="1"/>
  <c r="BC684" i="1"/>
  <c r="AY685" i="1"/>
  <c r="AZ685" i="1" s="1"/>
  <c r="BC685" i="1"/>
  <c r="AY686" i="1"/>
  <c r="AZ686" i="1" s="1"/>
  <c r="BC686" i="1"/>
  <c r="AY687" i="1"/>
  <c r="AZ687" i="1" s="1"/>
  <c r="BC687" i="1"/>
  <c r="AY688" i="1"/>
  <c r="AZ688" i="1" s="1"/>
  <c r="BC688" i="1"/>
  <c r="AY689" i="1"/>
  <c r="AZ689" i="1" s="1"/>
  <c r="BC689" i="1"/>
  <c r="AY690" i="1"/>
  <c r="AZ690" i="1" s="1"/>
  <c r="BC690" i="1"/>
  <c r="AY691" i="1"/>
  <c r="AZ691" i="1" s="1"/>
  <c r="BC691" i="1"/>
  <c r="AY692" i="1"/>
  <c r="AZ692" i="1" s="1"/>
  <c r="BC692" i="1"/>
  <c r="AY693" i="1"/>
  <c r="AZ693" i="1" s="1"/>
  <c r="BC693" i="1"/>
  <c r="AY694" i="1"/>
  <c r="AZ694" i="1" s="1"/>
  <c r="BC694" i="1"/>
  <c r="AY695" i="1"/>
  <c r="AZ695" i="1" s="1"/>
  <c r="BC695" i="1"/>
  <c r="AY696" i="1"/>
  <c r="AZ696" i="1" s="1"/>
  <c r="BC696" i="1"/>
  <c r="AY697" i="1"/>
  <c r="AZ697" i="1" s="1"/>
  <c r="BC697" i="1"/>
  <c r="AY698" i="1"/>
  <c r="AZ698" i="1" s="1"/>
  <c r="BC698" i="1"/>
  <c r="AY699" i="1"/>
  <c r="AZ699" i="1" s="1"/>
  <c r="BC699" i="1"/>
  <c r="AY700" i="1"/>
  <c r="AZ700" i="1" s="1"/>
  <c r="BC700" i="1"/>
  <c r="AY701" i="1"/>
  <c r="AZ701" i="1" s="1"/>
  <c r="BC701" i="1"/>
  <c r="AY702" i="1"/>
  <c r="AZ702" i="1" s="1"/>
  <c r="BC702" i="1"/>
  <c r="AY703" i="1"/>
  <c r="AZ703" i="1" s="1"/>
  <c r="BC703" i="1"/>
  <c r="AY704" i="1"/>
  <c r="AZ704" i="1" s="1"/>
  <c r="BC704" i="1"/>
  <c r="AY705" i="1"/>
  <c r="AZ705" i="1" s="1"/>
  <c r="BC705" i="1"/>
  <c r="AY706" i="1"/>
  <c r="AZ706" i="1" s="1"/>
  <c r="BC706" i="1"/>
  <c r="AY707" i="1"/>
  <c r="AZ707" i="1" s="1"/>
  <c r="BC707" i="1"/>
  <c r="AY708" i="1"/>
  <c r="AZ708" i="1" s="1"/>
  <c r="BC708" i="1"/>
  <c r="AY709" i="1"/>
  <c r="AZ709" i="1" s="1"/>
  <c r="BC709" i="1"/>
  <c r="AY710" i="1"/>
  <c r="AZ710" i="1" s="1"/>
  <c r="BC710" i="1"/>
  <c r="BC712" i="1"/>
  <c r="AY712" i="1"/>
  <c r="AZ712" i="1" s="1"/>
  <c r="BC713" i="1"/>
  <c r="AY713" i="1"/>
  <c r="AZ713" i="1" s="1"/>
  <c r="AY714" i="1"/>
  <c r="AZ714" i="1" s="1"/>
  <c r="BC714" i="1"/>
  <c r="AY715" i="1"/>
  <c r="AZ715" i="1" s="1"/>
  <c r="BC715" i="1"/>
  <c r="AY716" i="1"/>
  <c r="AZ716" i="1" s="1"/>
  <c r="BC716" i="1"/>
  <c r="AY717" i="1"/>
  <c r="AZ717" i="1" s="1"/>
  <c r="BC717" i="1"/>
  <c r="AY718" i="1"/>
  <c r="AZ718" i="1" s="1"/>
  <c r="BC718" i="1"/>
  <c r="AY719" i="1"/>
  <c r="AZ719" i="1" s="1"/>
  <c r="BC719" i="1"/>
  <c r="AY720" i="1"/>
  <c r="AZ720" i="1" s="1"/>
  <c r="BC720" i="1"/>
  <c r="AY721" i="1"/>
  <c r="AZ721" i="1" s="1"/>
  <c r="BC721" i="1"/>
  <c r="AY722" i="1"/>
  <c r="AZ722" i="1" s="1"/>
  <c r="BC722" i="1"/>
  <c r="AY723" i="1"/>
  <c r="AZ723" i="1" s="1"/>
  <c r="BC723" i="1"/>
  <c r="AY724" i="1"/>
  <c r="AZ724" i="1" s="1"/>
  <c r="BC724" i="1"/>
  <c r="AY725" i="1"/>
  <c r="AZ725" i="1" s="1"/>
  <c r="BC725" i="1"/>
  <c r="AY726" i="1"/>
  <c r="AZ726" i="1" s="1"/>
  <c r="BC726" i="1"/>
  <c r="AY727" i="1"/>
  <c r="AZ727" i="1" s="1"/>
  <c r="BC727" i="1"/>
  <c r="AY728" i="1"/>
  <c r="AZ728" i="1" s="1"/>
  <c r="BC728" i="1"/>
  <c r="AY729" i="1"/>
  <c r="AZ729" i="1" s="1"/>
  <c r="BC729" i="1"/>
  <c r="AY730" i="1"/>
  <c r="AZ730" i="1" s="1"/>
  <c r="BC730" i="1"/>
  <c r="AY731" i="1"/>
  <c r="AZ731" i="1" s="1"/>
  <c r="BC731" i="1"/>
  <c r="AY732" i="1"/>
  <c r="AZ732" i="1" s="1"/>
  <c r="BC732" i="1"/>
  <c r="AY733" i="1"/>
  <c r="AZ733" i="1" s="1"/>
  <c r="BC733" i="1"/>
  <c r="AY734" i="1"/>
  <c r="AZ734" i="1" s="1"/>
  <c r="BC734" i="1"/>
  <c r="AY735" i="1"/>
  <c r="AZ735" i="1" s="1"/>
  <c r="BC735" i="1"/>
  <c r="AY736" i="1"/>
  <c r="AZ736" i="1" s="1"/>
  <c r="BC736" i="1"/>
  <c r="AY737" i="1"/>
  <c r="AZ737" i="1" s="1"/>
  <c r="BC737" i="1"/>
  <c r="AY738" i="1"/>
  <c r="AZ738" i="1" s="1"/>
  <c r="BC738" i="1"/>
  <c r="AY739" i="1"/>
  <c r="AZ739" i="1" s="1"/>
  <c r="BC739" i="1"/>
  <c r="AY740" i="1"/>
  <c r="AZ740" i="1" s="1"/>
  <c r="BC740" i="1"/>
  <c r="AY741" i="1"/>
  <c r="AZ741" i="1" s="1"/>
  <c r="BC741" i="1"/>
  <c r="AY742" i="1"/>
  <c r="AZ742" i="1" s="1"/>
  <c r="BC742" i="1"/>
  <c r="AY743" i="1"/>
  <c r="AZ743" i="1" s="1"/>
  <c r="BC743" i="1"/>
  <c r="AY744" i="1"/>
  <c r="AZ744" i="1" s="1"/>
  <c r="BC744" i="1"/>
  <c r="AY745" i="1"/>
  <c r="AZ745" i="1" s="1"/>
  <c r="BC745" i="1"/>
  <c r="AY746" i="1"/>
  <c r="AZ746" i="1" s="1"/>
  <c r="BC746" i="1"/>
  <c r="AY747" i="1"/>
  <c r="AZ747" i="1" s="1"/>
  <c r="BC747" i="1"/>
  <c r="AY748" i="1"/>
  <c r="AZ748" i="1" s="1"/>
  <c r="BC748" i="1"/>
  <c r="AY749" i="1"/>
  <c r="AZ749" i="1" s="1"/>
  <c r="BC749" i="1"/>
  <c r="AY750" i="1"/>
  <c r="AZ750" i="1" s="1"/>
  <c r="BC750" i="1"/>
  <c r="AY751" i="1"/>
  <c r="AZ751" i="1" s="1"/>
  <c r="BC751" i="1"/>
  <c r="AY752" i="1"/>
  <c r="AZ752" i="1" s="1"/>
  <c r="BC752" i="1"/>
  <c r="AY753" i="1"/>
  <c r="AZ753" i="1" s="1"/>
  <c r="BC753" i="1"/>
  <c r="AY754" i="1"/>
  <c r="AZ754" i="1" s="1"/>
  <c r="BC754" i="1"/>
  <c r="AY755" i="1"/>
  <c r="AZ755" i="1" s="1"/>
  <c r="BC755" i="1"/>
  <c r="AY756" i="1"/>
  <c r="AZ756" i="1" s="1"/>
  <c r="BC756" i="1"/>
  <c r="AY757" i="1"/>
  <c r="AZ757" i="1" s="1"/>
  <c r="BC757" i="1"/>
  <c r="AY758" i="1"/>
  <c r="AZ758" i="1" s="1"/>
  <c r="BC758" i="1"/>
  <c r="AY759" i="1"/>
  <c r="AZ759" i="1" s="1"/>
  <c r="BC759" i="1"/>
  <c r="AY760" i="1"/>
  <c r="AZ760" i="1" s="1"/>
  <c r="BC760" i="1"/>
  <c r="AY762" i="1"/>
  <c r="AZ762" i="1" s="1"/>
  <c r="BC762" i="1"/>
  <c r="AY763" i="1"/>
  <c r="AZ763" i="1" s="1"/>
  <c r="BC763" i="1"/>
  <c r="AY764" i="1"/>
  <c r="AZ764" i="1" s="1"/>
  <c r="BC764" i="1"/>
  <c r="AY766" i="1"/>
  <c r="AZ766" i="1" s="1"/>
  <c r="BC766" i="1"/>
  <c r="AY767" i="1"/>
  <c r="AZ767" i="1" s="1"/>
  <c r="BC767" i="1"/>
  <c r="AY768" i="1"/>
  <c r="AZ768" i="1" s="1"/>
  <c r="BC768" i="1"/>
  <c r="AY770" i="1"/>
  <c r="AZ770" i="1" s="1"/>
  <c r="BC770" i="1"/>
  <c r="AY771" i="1"/>
  <c r="AZ771" i="1" s="1"/>
  <c r="BC771" i="1"/>
  <c r="AY772" i="1"/>
  <c r="AZ772" i="1" s="1"/>
  <c r="BC772" i="1"/>
  <c r="AY774" i="1"/>
  <c r="AZ774" i="1" s="1"/>
  <c r="BC774" i="1"/>
  <c r="AY775" i="1"/>
  <c r="AZ775" i="1" s="1"/>
  <c r="BC775" i="1"/>
  <c r="AY776" i="1"/>
  <c r="AZ776" i="1" s="1"/>
  <c r="BC776" i="1"/>
  <c r="AY778" i="1"/>
  <c r="AZ778" i="1" s="1"/>
  <c r="BC778" i="1"/>
  <c r="AY779" i="1"/>
  <c r="AZ779" i="1" s="1"/>
  <c r="BC779" i="1"/>
  <c r="AY780" i="1"/>
  <c r="AZ780" i="1" s="1"/>
  <c r="BC780" i="1"/>
  <c r="AY782" i="1"/>
  <c r="AZ782" i="1" s="1"/>
  <c r="BC782" i="1"/>
  <c r="AY783" i="1"/>
  <c r="AZ783" i="1" s="1"/>
  <c r="BC783" i="1"/>
  <c r="AY784" i="1"/>
  <c r="AZ784" i="1" s="1"/>
  <c r="BC784" i="1"/>
  <c r="AY785" i="1"/>
  <c r="AZ785" i="1" s="1"/>
  <c r="BC785" i="1"/>
  <c r="AY786" i="1"/>
  <c r="AZ786" i="1" s="1"/>
  <c r="BC786" i="1"/>
  <c r="AY787" i="1"/>
  <c r="AZ787" i="1" s="1"/>
  <c r="BC787" i="1"/>
  <c r="AY788" i="1"/>
  <c r="AZ788" i="1" s="1"/>
  <c r="BC788" i="1"/>
  <c r="AY789" i="1"/>
  <c r="AZ789" i="1" s="1"/>
  <c r="BC789" i="1"/>
  <c r="AY790" i="1"/>
  <c r="AZ790" i="1" s="1"/>
  <c r="BC790" i="1"/>
  <c r="AY791" i="1"/>
  <c r="AZ791" i="1" s="1"/>
  <c r="BC791" i="1"/>
  <c r="AY792" i="1"/>
  <c r="AZ792" i="1" s="1"/>
  <c r="BC792" i="1"/>
  <c r="AY793" i="1"/>
  <c r="AZ793" i="1" s="1"/>
  <c r="BC793" i="1"/>
  <c r="AY794" i="1"/>
  <c r="AZ794" i="1" s="1"/>
  <c r="BC794" i="1"/>
  <c r="AY795" i="1"/>
  <c r="AZ795" i="1" s="1"/>
  <c r="BC795" i="1"/>
  <c r="AY796" i="1"/>
  <c r="AZ796" i="1" s="1"/>
  <c r="BC796" i="1"/>
  <c r="AY797" i="1"/>
  <c r="AZ797" i="1" s="1"/>
  <c r="BC797" i="1"/>
  <c r="AY798" i="1"/>
  <c r="AZ798" i="1" s="1"/>
  <c r="BC798" i="1"/>
  <c r="AY799" i="1"/>
  <c r="AZ799" i="1" s="1"/>
  <c r="BC799" i="1"/>
  <c r="AY800" i="1"/>
  <c r="AZ800" i="1" s="1"/>
  <c r="BC800" i="1"/>
  <c r="AY801" i="1"/>
  <c r="AZ801" i="1" s="1"/>
  <c r="BC801" i="1"/>
  <c r="AY802" i="1"/>
  <c r="AZ802" i="1" s="1"/>
  <c r="BC802" i="1"/>
  <c r="AY803" i="1"/>
  <c r="AZ803" i="1" s="1"/>
  <c r="BC803" i="1"/>
  <c r="AY804" i="1"/>
  <c r="AZ804" i="1" s="1"/>
  <c r="BC804" i="1"/>
  <c r="AY805" i="1"/>
  <c r="AZ805" i="1" s="1"/>
  <c r="BC805" i="1"/>
  <c r="AY806" i="1"/>
  <c r="AZ806" i="1" s="1"/>
  <c r="BC806" i="1"/>
  <c r="AY807" i="1"/>
  <c r="AZ807" i="1" s="1"/>
  <c r="BC807" i="1"/>
  <c r="AY808" i="1"/>
  <c r="AZ808" i="1" s="1"/>
  <c r="BC808" i="1"/>
  <c r="AY809" i="1"/>
  <c r="AZ809" i="1" s="1"/>
  <c r="BC809" i="1"/>
  <c r="AY810" i="1"/>
  <c r="AZ810" i="1" s="1"/>
  <c r="BC810" i="1"/>
  <c r="AY811" i="1"/>
  <c r="AZ811" i="1" s="1"/>
  <c r="BC811" i="1"/>
  <c r="AY812" i="1"/>
  <c r="AZ812" i="1" s="1"/>
  <c r="BC812" i="1"/>
  <c r="AY813" i="1"/>
  <c r="AZ813" i="1" s="1"/>
  <c r="BC813" i="1"/>
  <c r="AY814" i="1"/>
  <c r="AZ814" i="1" s="1"/>
  <c r="BC814" i="1"/>
  <c r="AY815" i="1"/>
  <c r="AZ815" i="1" s="1"/>
  <c r="BC815" i="1"/>
  <c r="AY816" i="1"/>
  <c r="AZ816" i="1" s="1"/>
  <c r="BC816" i="1"/>
  <c r="AY817" i="1"/>
  <c r="AZ817" i="1" s="1"/>
  <c r="BC817" i="1"/>
  <c r="AY818" i="1"/>
  <c r="AZ818" i="1" s="1"/>
  <c r="BC818" i="1"/>
  <c r="AY819" i="1"/>
  <c r="AZ819" i="1" s="1"/>
  <c r="BC819" i="1"/>
  <c r="AY820" i="1"/>
  <c r="AZ820" i="1" s="1"/>
  <c r="BC820" i="1"/>
  <c r="AY821" i="1"/>
  <c r="AZ821" i="1" s="1"/>
  <c r="BC821" i="1"/>
  <c r="AY822" i="1"/>
  <c r="AZ822" i="1" s="1"/>
  <c r="BC822" i="1"/>
  <c r="AY823" i="1"/>
  <c r="AZ823" i="1" s="1"/>
  <c r="BC823" i="1"/>
  <c r="AY824" i="1"/>
  <c r="AZ824" i="1" s="1"/>
  <c r="BC824" i="1"/>
  <c r="AY825" i="1"/>
  <c r="AZ825" i="1" s="1"/>
  <c r="BC825" i="1"/>
  <c r="BC826" i="1"/>
  <c r="AY826" i="1"/>
  <c r="AZ826" i="1" s="1"/>
  <c r="BC827" i="1"/>
  <c r="AY827" i="1"/>
  <c r="AZ827" i="1" s="1"/>
  <c r="BC828" i="1"/>
  <c r="AY828" i="1"/>
  <c r="AZ828" i="1" s="1"/>
  <c r="BC829" i="1"/>
  <c r="AY829" i="1"/>
  <c r="AZ829" i="1" s="1"/>
  <c r="BC830" i="1"/>
  <c r="AY830" i="1"/>
  <c r="AZ830" i="1" s="1"/>
  <c r="BC831" i="1"/>
  <c r="AY831" i="1"/>
  <c r="AZ831" i="1" s="1"/>
  <c r="BC832" i="1"/>
  <c r="AY832" i="1"/>
  <c r="AZ832" i="1" s="1"/>
  <c r="BC833" i="1"/>
  <c r="AY833" i="1"/>
  <c r="AZ833" i="1" s="1"/>
  <c r="BC834" i="1"/>
  <c r="AY834" i="1"/>
  <c r="AZ834" i="1" s="1"/>
  <c r="BC835" i="1"/>
  <c r="AY835" i="1"/>
  <c r="AZ835" i="1" s="1"/>
  <c r="BC836" i="1"/>
  <c r="AY836" i="1"/>
  <c r="AZ836" i="1" s="1"/>
  <c r="BC837" i="1"/>
  <c r="AY837" i="1"/>
  <c r="AZ837" i="1" s="1"/>
  <c r="BC838" i="1"/>
  <c r="AY838" i="1"/>
  <c r="AZ838" i="1" s="1"/>
  <c r="BC839" i="1"/>
  <c r="AY839" i="1"/>
  <c r="AZ839" i="1" s="1"/>
  <c r="BC840" i="1"/>
  <c r="AY840" i="1"/>
  <c r="AZ840" i="1" s="1"/>
  <c r="BC841" i="1"/>
  <c r="AY841" i="1"/>
  <c r="AZ841" i="1" s="1"/>
  <c r="BC842" i="1"/>
  <c r="AY842" i="1"/>
  <c r="AZ842" i="1" s="1"/>
  <c r="BC843" i="1"/>
  <c r="AY843" i="1"/>
  <c r="AZ843" i="1" s="1"/>
  <c r="BC844" i="1"/>
  <c r="AY844" i="1"/>
  <c r="AZ844" i="1" s="1"/>
  <c r="BC845" i="1"/>
  <c r="AY845" i="1"/>
  <c r="AZ845" i="1" s="1"/>
  <c r="BC846" i="1"/>
  <c r="AY846" i="1"/>
  <c r="AZ846" i="1" s="1"/>
  <c r="BC847" i="1"/>
  <c r="AY847" i="1"/>
  <c r="AZ847" i="1" s="1"/>
  <c r="BC848" i="1"/>
  <c r="AY848" i="1"/>
  <c r="AZ848" i="1" s="1"/>
  <c r="BC849" i="1"/>
  <c r="AY849" i="1"/>
  <c r="AZ849" i="1" s="1"/>
  <c r="BC850" i="1"/>
  <c r="AY850" i="1"/>
  <c r="AZ850" i="1" s="1"/>
  <c r="BC851" i="1"/>
  <c r="AY851" i="1"/>
  <c r="AZ851" i="1" s="1"/>
  <c r="BC852" i="1"/>
  <c r="AY852" i="1"/>
  <c r="AZ852" i="1" s="1"/>
  <c r="BC853" i="1"/>
  <c r="AY853" i="1"/>
  <c r="AZ853" i="1" s="1"/>
  <c r="BC854" i="1"/>
  <c r="AY854" i="1"/>
  <c r="AZ854" i="1" s="1"/>
  <c r="BC855" i="1"/>
  <c r="AY855" i="1"/>
  <c r="AZ855" i="1" s="1"/>
  <c r="BC856" i="1"/>
  <c r="AY856" i="1"/>
  <c r="AZ856" i="1" s="1"/>
  <c r="BC857" i="1"/>
  <c r="AY857" i="1"/>
  <c r="AZ857" i="1" s="1"/>
  <c r="BC858" i="1"/>
  <c r="AY858" i="1"/>
  <c r="AZ858" i="1" s="1"/>
  <c r="BC859" i="1"/>
  <c r="AY859" i="1"/>
  <c r="AZ859" i="1" s="1"/>
  <c r="BC860" i="1"/>
  <c r="AY860" i="1"/>
  <c r="AZ860" i="1" s="1"/>
  <c r="BC861" i="1"/>
  <c r="AY861" i="1"/>
  <c r="AZ861" i="1" s="1"/>
  <c r="BC862" i="1"/>
  <c r="AY862" i="1"/>
  <c r="AZ862" i="1" s="1"/>
  <c r="BC863" i="1"/>
  <c r="AY863" i="1"/>
  <c r="AZ863" i="1" s="1"/>
  <c r="BC864" i="1"/>
  <c r="AY864" i="1"/>
  <c r="AZ864" i="1" s="1"/>
  <c r="BC865" i="1"/>
  <c r="AY865" i="1"/>
  <c r="AZ865" i="1" s="1"/>
  <c r="BC866" i="1"/>
  <c r="AY866" i="1"/>
  <c r="AZ866" i="1" s="1"/>
  <c r="BC867" i="1"/>
  <c r="AY867" i="1"/>
  <c r="AZ867" i="1" s="1"/>
  <c r="BC868" i="1"/>
  <c r="AY868" i="1"/>
  <c r="AZ868" i="1" s="1"/>
  <c r="BC869" i="1"/>
  <c r="AY869" i="1"/>
  <c r="AZ869" i="1" s="1"/>
  <c r="BC870" i="1"/>
  <c r="AY870" i="1"/>
  <c r="AZ870" i="1" s="1"/>
  <c r="BC871" i="1"/>
  <c r="AY871" i="1"/>
  <c r="AZ871" i="1" s="1"/>
  <c r="BC872" i="1"/>
  <c r="AY872" i="1"/>
  <c r="AZ872" i="1" s="1"/>
  <c r="BC873" i="1"/>
  <c r="AY873" i="1"/>
  <c r="AZ873" i="1" s="1"/>
  <c r="BC874" i="1"/>
  <c r="AY874" i="1"/>
  <c r="AZ874" i="1" s="1"/>
  <c r="BC875" i="1"/>
  <c r="AY875" i="1"/>
  <c r="AZ875" i="1" s="1"/>
  <c r="BC876" i="1"/>
  <c r="AY876" i="1"/>
  <c r="AZ876" i="1" s="1"/>
  <c r="BC877" i="1"/>
  <c r="AY877" i="1"/>
  <c r="AZ877" i="1" s="1"/>
  <c r="BC878" i="1"/>
  <c r="AY878" i="1"/>
  <c r="AZ878" i="1" s="1"/>
  <c r="BC879" i="1"/>
  <c r="AY879" i="1"/>
  <c r="AZ879" i="1" s="1"/>
  <c r="BC880" i="1"/>
  <c r="AY880" i="1"/>
  <c r="AZ880" i="1" s="1"/>
  <c r="BC881" i="1"/>
  <c r="AY881" i="1"/>
  <c r="AZ881" i="1" s="1"/>
  <c r="BC882" i="1"/>
  <c r="AY882" i="1"/>
  <c r="AZ882" i="1" s="1"/>
  <c r="AY883" i="1"/>
  <c r="AZ883" i="1" s="1"/>
  <c r="BC883" i="1"/>
  <c r="AY884" i="1"/>
  <c r="AZ884" i="1" s="1"/>
  <c r="BC884" i="1"/>
  <c r="AY885" i="1"/>
  <c r="AZ885" i="1" s="1"/>
  <c r="BC885" i="1"/>
  <c r="AY886" i="1"/>
  <c r="AZ886" i="1" s="1"/>
  <c r="BC886" i="1"/>
  <c r="AY887" i="1"/>
  <c r="AZ887" i="1" s="1"/>
  <c r="BC887" i="1"/>
  <c r="AY888" i="1"/>
  <c r="AZ888" i="1" s="1"/>
  <c r="BC888" i="1"/>
  <c r="AY889" i="1"/>
  <c r="AZ889" i="1" s="1"/>
  <c r="BC889" i="1"/>
  <c r="AY890" i="1"/>
  <c r="AZ890" i="1" s="1"/>
  <c r="BC890" i="1"/>
  <c r="AY891" i="1"/>
  <c r="AZ891" i="1" s="1"/>
  <c r="BC891" i="1"/>
  <c r="AY892" i="1"/>
  <c r="AZ892" i="1" s="1"/>
  <c r="BC892" i="1"/>
  <c r="AY893" i="1"/>
  <c r="AZ893" i="1" s="1"/>
  <c r="BC893" i="1"/>
  <c r="AY894" i="1"/>
  <c r="AZ894" i="1" s="1"/>
  <c r="BC894" i="1"/>
  <c r="AY895" i="1"/>
  <c r="AZ895" i="1" s="1"/>
  <c r="BC895" i="1"/>
  <c r="AY896" i="1"/>
  <c r="AZ896" i="1" s="1"/>
  <c r="BC896" i="1"/>
  <c r="AY897" i="1"/>
  <c r="AZ897" i="1" s="1"/>
  <c r="BC897" i="1"/>
  <c r="AY898" i="1"/>
  <c r="AZ898" i="1" s="1"/>
  <c r="BC898" i="1"/>
  <c r="AY899" i="1"/>
  <c r="AZ899" i="1" s="1"/>
  <c r="BC899" i="1"/>
  <c r="AY900" i="1"/>
  <c r="AZ900" i="1" s="1"/>
  <c r="BC900" i="1"/>
  <c r="AY901" i="1"/>
  <c r="AZ901" i="1" s="1"/>
  <c r="BC901" i="1"/>
  <c r="AY902" i="1"/>
  <c r="AZ902" i="1" s="1"/>
  <c r="BC902" i="1"/>
  <c r="AY903" i="1"/>
  <c r="AZ903" i="1" s="1"/>
  <c r="BC903" i="1"/>
  <c r="AY904" i="1"/>
  <c r="AZ904" i="1" s="1"/>
  <c r="BC904" i="1"/>
  <c r="AY905" i="1"/>
  <c r="AZ905" i="1" s="1"/>
  <c r="BC905" i="1"/>
  <c r="AY906" i="1"/>
  <c r="AZ906" i="1" s="1"/>
  <c r="BC906" i="1"/>
  <c r="AY907" i="1"/>
  <c r="AZ907" i="1" s="1"/>
  <c r="BC907" i="1"/>
  <c r="AY908" i="1"/>
  <c r="AZ908" i="1" s="1"/>
  <c r="BC908" i="1"/>
  <c r="AY909" i="1"/>
  <c r="AZ909" i="1" s="1"/>
  <c r="BC909" i="1"/>
  <c r="AY910" i="1"/>
  <c r="AZ910" i="1" s="1"/>
  <c r="BC910" i="1"/>
  <c r="AY911" i="1"/>
  <c r="AZ911" i="1" s="1"/>
  <c r="BC911" i="1"/>
  <c r="AY912" i="1"/>
  <c r="AZ912" i="1" s="1"/>
  <c r="BC912" i="1"/>
  <c r="AY913" i="1"/>
  <c r="AZ913" i="1" s="1"/>
  <c r="BC913" i="1"/>
  <c r="AY914" i="1"/>
  <c r="AZ914" i="1" s="1"/>
  <c r="BC914" i="1"/>
  <c r="AY915" i="1"/>
  <c r="AZ915" i="1" s="1"/>
  <c r="BC915" i="1"/>
  <c r="AY916" i="1"/>
  <c r="AZ916" i="1" s="1"/>
  <c r="BC916" i="1"/>
  <c r="AY917" i="1"/>
  <c r="AZ917" i="1" s="1"/>
  <c r="BC917" i="1"/>
  <c r="AY918" i="1"/>
  <c r="AZ918" i="1" s="1"/>
  <c r="BC918" i="1"/>
  <c r="AY919" i="1"/>
  <c r="AZ919" i="1" s="1"/>
  <c r="BC919" i="1"/>
  <c r="AY920" i="1"/>
  <c r="AZ920" i="1" s="1"/>
  <c r="BC920" i="1"/>
  <c r="AY921" i="1"/>
  <c r="AZ921" i="1" s="1"/>
  <c r="BC921" i="1"/>
  <c r="AY922" i="1"/>
  <c r="AZ922" i="1" s="1"/>
  <c r="BC922" i="1"/>
  <c r="AY923" i="1"/>
  <c r="AZ923" i="1" s="1"/>
  <c r="BC923" i="1"/>
  <c r="AY924" i="1"/>
  <c r="AZ924" i="1" s="1"/>
  <c r="BC924" i="1"/>
  <c r="AY925" i="1"/>
  <c r="AZ925" i="1" s="1"/>
  <c r="BC925" i="1"/>
  <c r="AY926" i="1"/>
  <c r="AZ926" i="1" s="1"/>
  <c r="BC926" i="1"/>
  <c r="AY927" i="1"/>
  <c r="AZ927" i="1" s="1"/>
  <c r="BC927" i="1"/>
  <c r="AY928" i="1"/>
  <c r="AZ928" i="1" s="1"/>
  <c r="BC928" i="1"/>
  <c r="AY929" i="1"/>
  <c r="AZ929" i="1" s="1"/>
  <c r="BC929" i="1"/>
  <c r="AY930" i="1"/>
  <c r="AZ930" i="1" s="1"/>
  <c r="BC930" i="1"/>
  <c r="AY931" i="1"/>
  <c r="AZ931" i="1" s="1"/>
  <c r="BC931" i="1"/>
  <c r="AY932" i="1"/>
  <c r="AZ932" i="1" s="1"/>
  <c r="BC932" i="1"/>
  <c r="AY933" i="1"/>
  <c r="AZ933" i="1" s="1"/>
  <c r="BC933" i="1"/>
  <c r="AY934" i="1"/>
  <c r="AZ934" i="1" s="1"/>
  <c r="BC934" i="1"/>
  <c r="AY935" i="1"/>
  <c r="AZ935" i="1" s="1"/>
  <c r="BC935" i="1"/>
  <c r="AY936" i="1"/>
  <c r="AZ936" i="1" s="1"/>
  <c r="BC936" i="1"/>
  <c r="AY937" i="1"/>
  <c r="AZ937" i="1" s="1"/>
  <c r="BC937" i="1"/>
  <c r="AY938" i="1"/>
  <c r="AZ938" i="1" s="1"/>
  <c r="BC938" i="1"/>
  <c r="AY939" i="1"/>
  <c r="AZ939" i="1" s="1"/>
  <c r="BC939" i="1"/>
  <c r="AY940" i="1"/>
  <c r="AZ940" i="1" s="1"/>
  <c r="BC940" i="1"/>
  <c r="AY941" i="1"/>
  <c r="AZ941" i="1" s="1"/>
  <c r="BC941" i="1"/>
  <c r="AY942" i="1"/>
  <c r="AZ942" i="1" s="1"/>
  <c r="BC942" i="1"/>
  <c r="AY943" i="1"/>
  <c r="AZ943" i="1" s="1"/>
  <c r="BC943" i="1"/>
  <c r="AY944" i="1"/>
  <c r="AZ944" i="1" s="1"/>
  <c r="BC944" i="1"/>
  <c r="AY945" i="1"/>
  <c r="AZ945" i="1" s="1"/>
  <c r="BC945" i="1"/>
  <c r="AY946" i="1"/>
  <c r="AZ946" i="1" s="1"/>
  <c r="BC946" i="1"/>
  <c r="AY947" i="1"/>
  <c r="AZ947" i="1" s="1"/>
  <c r="BC947" i="1"/>
  <c r="AY948" i="1"/>
  <c r="AZ948" i="1" s="1"/>
  <c r="BC948" i="1"/>
  <c r="AY949" i="1"/>
  <c r="AZ949" i="1" s="1"/>
  <c r="BC949" i="1"/>
  <c r="AY950" i="1"/>
  <c r="AZ950" i="1" s="1"/>
  <c r="BC950" i="1"/>
  <c r="AY951" i="1"/>
  <c r="AZ951" i="1" s="1"/>
  <c r="BC951" i="1"/>
  <c r="AY952" i="1"/>
  <c r="AZ952" i="1" s="1"/>
  <c r="BC952" i="1"/>
  <c r="AY953" i="1"/>
  <c r="AZ953" i="1" s="1"/>
  <c r="BC953" i="1"/>
  <c r="AY954" i="1"/>
  <c r="AZ954" i="1" s="1"/>
  <c r="BC954" i="1"/>
  <c r="AY955" i="1"/>
  <c r="AZ955" i="1" s="1"/>
  <c r="BC955" i="1"/>
  <c r="AY956" i="1"/>
  <c r="AZ956" i="1" s="1"/>
  <c r="BC956" i="1"/>
  <c r="AY957" i="1"/>
  <c r="AZ957" i="1" s="1"/>
  <c r="BC957" i="1"/>
  <c r="AY958" i="1"/>
  <c r="AZ958" i="1" s="1"/>
  <c r="BC958" i="1"/>
  <c r="AY959" i="1"/>
  <c r="AZ959" i="1" s="1"/>
  <c r="BC959" i="1"/>
  <c r="AY960" i="1"/>
  <c r="AZ960" i="1" s="1"/>
  <c r="BC960" i="1"/>
  <c r="AY961" i="1"/>
  <c r="AZ961" i="1" s="1"/>
  <c r="BC961" i="1"/>
  <c r="AY962" i="1"/>
  <c r="AZ962" i="1" s="1"/>
  <c r="BC962" i="1"/>
  <c r="AY963" i="1"/>
  <c r="AZ963" i="1" s="1"/>
  <c r="BC963" i="1"/>
  <c r="AY964" i="1"/>
  <c r="AZ964" i="1" s="1"/>
  <c r="BC964" i="1"/>
  <c r="AY965" i="1"/>
  <c r="AZ965" i="1" s="1"/>
  <c r="BC965" i="1"/>
  <c r="AY966" i="1"/>
  <c r="AZ966" i="1" s="1"/>
  <c r="BC966" i="1"/>
  <c r="AY967" i="1"/>
  <c r="AZ967" i="1" s="1"/>
  <c r="BC967" i="1"/>
  <c r="AY968" i="1"/>
  <c r="AZ968" i="1" s="1"/>
  <c r="BC968" i="1"/>
  <c r="AY969" i="1"/>
  <c r="AZ969" i="1" s="1"/>
  <c r="BC969" i="1"/>
  <c r="AY970" i="1"/>
  <c r="AZ970" i="1" s="1"/>
  <c r="BC970" i="1"/>
  <c r="AY971" i="1"/>
  <c r="AZ971" i="1" s="1"/>
  <c r="BC971" i="1"/>
  <c r="AY972" i="1"/>
  <c r="AZ972" i="1" s="1"/>
  <c r="BC972" i="1"/>
  <c r="AY973" i="1"/>
  <c r="AZ973" i="1" s="1"/>
  <c r="BC973" i="1"/>
  <c r="AY974" i="1"/>
  <c r="AZ974" i="1" s="1"/>
  <c r="BC974" i="1"/>
  <c r="AY975" i="1"/>
  <c r="AZ975" i="1" s="1"/>
  <c r="BC975" i="1"/>
  <c r="AY976" i="1"/>
  <c r="AZ976" i="1" s="1"/>
  <c r="BC976" i="1"/>
  <c r="AY977" i="1"/>
  <c r="AZ977" i="1" s="1"/>
  <c r="BC977" i="1"/>
  <c r="AY978" i="1"/>
  <c r="AZ978" i="1" s="1"/>
  <c r="BC978" i="1"/>
  <c r="AY979" i="1"/>
  <c r="AZ979" i="1" s="1"/>
  <c r="BC979" i="1"/>
  <c r="AY980" i="1"/>
  <c r="AZ980" i="1" s="1"/>
  <c r="BC980" i="1"/>
  <c r="AY981" i="1"/>
  <c r="AZ981" i="1" s="1"/>
  <c r="BC981" i="1"/>
  <c r="AY982" i="1"/>
  <c r="AZ982" i="1" s="1"/>
  <c r="BC982" i="1"/>
  <c r="AY983" i="1"/>
  <c r="AZ983" i="1" s="1"/>
  <c r="BC983" i="1"/>
  <c r="AY984" i="1"/>
  <c r="AZ984" i="1" s="1"/>
  <c r="BC984" i="1"/>
  <c r="AY985" i="1"/>
  <c r="AZ985" i="1" s="1"/>
  <c r="BC985" i="1"/>
  <c r="AY986" i="1"/>
  <c r="AZ986" i="1" s="1"/>
  <c r="BC986" i="1"/>
  <c r="AY987" i="1"/>
  <c r="AZ987" i="1" s="1"/>
  <c r="BC987" i="1"/>
  <c r="AY988" i="1"/>
  <c r="AZ988" i="1" s="1"/>
  <c r="BC988" i="1"/>
  <c r="AY989" i="1"/>
  <c r="AZ989" i="1" s="1"/>
  <c r="BC989" i="1"/>
  <c r="AY990" i="1"/>
  <c r="AZ990" i="1" s="1"/>
  <c r="BC990" i="1"/>
  <c r="AY991" i="1"/>
  <c r="AZ991" i="1" s="1"/>
  <c r="BC991" i="1"/>
  <c r="AY992" i="1"/>
  <c r="AZ992" i="1" s="1"/>
  <c r="BC992" i="1"/>
  <c r="AY993" i="1"/>
  <c r="AZ993" i="1" s="1"/>
  <c r="BC993" i="1"/>
  <c r="AY994" i="1"/>
  <c r="AZ994" i="1" s="1"/>
  <c r="BC994" i="1"/>
  <c r="AY995" i="1"/>
  <c r="AZ995" i="1" s="1"/>
  <c r="BC995" i="1"/>
  <c r="AY996" i="1"/>
  <c r="AZ996" i="1" s="1"/>
  <c r="BC996" i="1"/>
  <c r="AY997" i="1"/>
  <c r="AZ997" i="1" s="1"/>
  <c r="BC997" i="1"/>
  <c r="AY998" i="1"/>
  <c r="AZ998" i="1" s="1"/>
  <c r="BC998" i="1"/>
  <c r="AY999" i="1"/>
  <c r="AZ999" i="1" s="1"/>
  <c r="BC999" i="1"/>
  <c r="AY523" i="1"/>
  <c r="AZ523" i="1" s="1"/>
  <c r="BC523" i="1" s="1"/>
  <c r="AY522" i="1"/>
  <c r="AZ522" i="1" s="1"/>
  <c r="BC522" i="1" s="1"/>
  <c r="AU521" i="1"/>
  <c r="BK521" i="1"/>
  <c r="AM521" i="1"/>
  <c r="AB521" i="1" s="1"/>
  <c r="E521" i="1" s="1"/>
  <c r="AY521" i="1"/>
  <c r="AZ521" i="1" s="1"/>
  <c r="BC521" i="1" s="1"/>
  <c r="AU513" i="1"/>
  <c r="BK513" i="1"/>
  <c r="AU517" i="1"/>
  <c r="BK517" i="1"/>
  <c r="AU515" i="1"/>
  <c r="BK515" i="1"/>
  <c r="AU519" i="1"/>
  <c r="AM519" i="1"/>
  <c r="AB519" i="1" s="1"/>
  <c r="E519" i="1" s="1"/>
  <c r="BK519" i="1"/>
  <c r="AM518" i="1"/>
  <c r="AB518" i="1" s="1"/>
  <c r="E518" i="1" s="1"/>
  <c r="BK518" i="1"/>
  <c r="AU518" i="1"/>
  <c r="AM510" i="1"/>
  <c r="AB510" i="1" s="1"/>
  <c r="E510" i="1" s="1"/>
  <c r="BK510" i="1"/>
  <c r="AI513" i="1"/>
  <c r="AJ513" i="1" s="1"/>
  <c r="AM513" i="1" s="1"/>
  <c r="AB513" i="1" s="1"/>
  <c r="E513" i="1" s="1"/>
  <c r="BK520" i="1"/>
  <c r="AU520" i="1"/>
  <c r="AI520" i="1"/>
  <c r="AJ520" i="1" s="1"/>
  <c r="AM520" i="1" s="1"/>
  <c r="AB520" i="1" s="1"/>
  <c r="E520" i="1" s="1"/>
  <c r="AY520" i="1"/>
  <c r="AZ520" i="1" s="1"/>
  <c r="BC520" i="1" s="1"/>
  <c r="AY519" i="1"/>
  <c r="AZ519" i="1" s="1"/>
  <c r="BC519" i="1" s="1"/>
  <c r="AM512" i="1"/>
  <c r="AB512" i="1" s="1"/>
  <c r="E512" i="1" s="1"/>
  <c r="BK512" i="1"/>
  <c r="AM514" i="1"/>
  <c r="AB514" i="1" s="1"/>
  <c r="E514" i="1" s="1"/>
  <c r="BK514" i="1"/>
  <c r="AU514" i="1"/>
  <c r="BK516" i="1"/>
  <c r="AU516" i="1"/>
  <c r="AU511" i="1"/>
  <c r="BK511" i="1"/>
  <c r="AU508" i="1"/>
  <c r="AM508" i="1"/>
  <c r="AB508" i="1" s="1"/>
  <c r="E508" i="1" s="1"/>
  <c r="BK508" i="1"/>
  <c r="AU509" i="1"/>
  <c r="BK509" i="1"/>
  <c r="AM509" i="1"/>
  <c r="AB509" i="1" s="1"/>
  <c r="E509" i="1" s="1"/>
  <c r="AY518" i="1"/>
  <c r="AZ518" i="1" s="1"/>
  <c r="BC518" i="1" s="1"/>
  <c r="AI517" i="1"/>
  <c r="AJ517" i="1" s="1"/>
  <c r="AM517" i="1" s="1"/>
  <c r="AB517" i="1" s="1"/>
  <c r="E517" i="1" s="1"/>
  <c r="AY517" i="1"/>
  <c r="AZ517" i="1" s="1"/>
  <c r="BC517" i="1" s="1"/>
  <c r="AI516" i="1"/>
  <c r="AJ516" i="1" s="1"/>
  <c r="AM516" i="1" s="1"/>
  <c r="AB516" i="1" s="1"/>
  <c r="E516" i="1" s="1"/>
  <c r="AY516" i="1"/>
  <c r="AZ516" i="1" s="1"/>
  <c r="BC516" i="1" s="1"/>
  <c r="AI515" i="1"/>
  <c r="AJ515" i="1" s="1"/>
  <c r="AM515" i="1" s="1"/>
  <c r="AB515" i="1" s="1"/>
  <c r="E515" i="1" s="1"/>
  <c r="AY515" i="1"/>
  <c r="AZ515" i="1" s="1"/>
  <c r="BC515" i="1" s="1"/>
  <c r="AY514" i="1"/>
  <c r="AZ514" i="1" s="1"/>
  <c r="BC514" i="1" s="1"/>
  <c r="AY513" i="1"/>
  <c r="AZ513" i="1" s="1"/>
  <c r="BC513" i="1" s="1"/>
  <c r="AY512" i="1"/>
  <c r="AZ512" i="1" s="1"/>
  <c r="BC512" i="1" s="1"/>
  <c r="AI511" i="1"/>
  <c r="AJ511" i="1" s="1"/>
  <c r="AM511" i="1" s="1"/>
  <c r="AB511" i="1" s="1"/>
  <c r="E511" i="1" s="1"/>
  <c r="AY511" i="1"/>
  <c r="AZ511" i="1" s="1"/>
  <c r="BC511" i="1" s="1"/>
  <c r="AY510" i="1"/>
  <c r="AZ510" i="1" s="1"/>
  <c r="BC510" i="1" s="1"/>
  <c r="AY509" i="1"/>
  <c r="AZ509" i="1" s="1"/>
  <c r="BC509" i="1" s="1"/>
  <c r="AY508" i="1"/>
  <c r="AZ508" i="1" s="1"/>
  <c r="BC508" i="1" s="1"/>
  <c r="AU506" i="1"/>
  <c r="AM506" i="1"/>
  <c r="AB506" i="1" s="1"/>
  <c r="E506" i="1" s="1"/>
  <c r="BK506" i="1"/>
  <c r="AU507" i="1"/>
  <c r="BK507" i="1"/>
  <c r="AM507" i="1"/>
  <c r="AB507" i="1" s="1"/>
  <c r="E507" i="1" s="1"/>
  <c r="AY507" i="1"/>
  <c r="AZ507" i="1" s="1"/>
  <c r="BC507" i="1" s="1"/>
  <c r="AY506" i="1"/>
  <c r="AZ506" i="1" s="1"/>
  <c r="BC506" i="1" s="1"/>
  <c r="AU505" i="1"/>
  <c r="BK505" i="1"/>
  <c r="AI505" i="1"/>
  <c r="AJ505" i="1" s="1"/>
  <c r="AM505" i="1" s="1"/>
  <c r="AB505" i="1" s="1"/>
  <c r="E505" i="1" s="1"/>
  <c r="AY505" i="1"/>
  <c r="AZ505" i="1" s="1"/>
  <c r="BC505" i="1" s="1"/>
  <c r="AU504" i="1"/>
  <c r="AM504" i="1"/>
  <c r="AB504" i="1" s="1"/>
  <c r="E504" i="1" s="1"/>
  <c r="BK504" i="1"/>
  <c r="AY504" i="1"/>
  <c r="AZ504" i="1" s="1"/>
  <c r="BC504" i="1" s="1"/>
  <c r="AU503" i="1"/>
  <c r="BK503" i="1"/>
  <c r="AM503" i="1"/>
  <c r="AB503" i="1" s="1"/>
  <c r="E503" i="1" s="1"/>
  <c r="AY503" i="1"/>
  <c r="AZ503" i="1" s="1"/>
  <c r="BC503" i="1" s="1"/>
  <c r="AU502" i="1"/>
  <c r="BK502" i="1"/>
  <c r="AI502" i="1"/>
  <c r="AJ502" i="1" s="1"/>
  <c r="AM502" i="1" s="1"/>
  <c r="AB502" i="1" s="1"/>
  <c r="E502" i="1" s="1"/>
  <c r="AY502" i="1"/>
  <c r="AZ502" i="1" s="1"/>
  <c r="BC502" i="1" s="1"/>
  <c r="BK500" i="1"/>
  <c r="AI500" i="1"/>
  <c r="AJ500" i="1" s="1"/>
  <c r="AM500" i="1" s="1"/>
  <c r="AB500" i="1" s="1"/>
  <c r="E500" i="1" s="1"/>
  <c r="AU501" i="1"/>
  <c r="BK501" i="1"/>
  <c r="AM501" i="1"/>
  <c r="AB501" i="1" s="1"/>
  <c r="E501" i="1" s="1"/>
  <c r="AI499" i="1"/>
  <c r="AJ499" i="1" s="1"/>
  <c r="AM499" i="1" s="1"/>
  <c r="AB499" i="1" s="1"/>
  <c r="E499" i="1" s="1"/>
  <c r="AU499" i="1"/>
  <c r="BK499" i="1"/>
  <c r="AY501" i="1"/>
  <c r="AZ501" i="1" s="1"/>
  <c r="BC501" i="1" s="1"/>
  <c r="AY500" i="1"/>
  <c r="AZ500" i="1" s="1"/>
  <c r="BC500" i="1" s="1"/>
  <c r="AY499" i="1"/>
  <c r="AZ499" i="1" s="1"/>
  <c r="BC499" i="1" s="1"/>
  <c r="BK498" i="1"/>
  <c r="AY498" i="1"/>
  <c r="AU497" i="1"/>
  <c r="BK497" i="1"/>
  <c r="AY497" i="1"/>
  <c r="BK496" i="1"/>
  <c r="AY496" i="1"/>
  <c r="BK495" i="1"/>
  <c r="AI495" i="1"/>
  <c r="AJ495" i="1" s="1"/>
  <c r="AY495" i="1"/>
  <c r="BK494" i="1"/>
  <c r="AY494" i="1"/>
  <c r="AU493" i="1"/>
  <c r="BK493" i="1"/>
  <c r="AI493" i="1"/>
  <c r="AJ493" i="1" s="1"/>
  <c r="AY493" i="1"/>
  <c r="AU492" i="1"/>
  <c r="BK492" i="1"/>
  <c r="AI492" i="1"/>
  <c r="AJ492" i="1" s="1"/>
  <c r="AM492" i="1" s="1"/>
  <c r="AB492" i="1" s="1"/>
  <c r="E492" i="1" s="1"/>
  <c r="AY492" i="1"/>
  <c r="AZ492" i="1" s="1"/>
  <c r="BC492" i="1" s="1"/>
  <c r="BK491" i="1"/>
  <c r="AI491" i="1"/>
  <c r="AJ491" i="1" s="1"/>
  <c r="AM491" i="1" s="1"/>
  <c r="AB491" i="1" s="1"/>
  <c r="E491" i="1" s="1"/>
  <c r="AY491" i="1"/>
  <c r="AZ491" i="1" s="1"/>
  <c r="BC491" i="1" s="1"/>
  <c r="BK488" i="1"/>
  <c r="AI488" i="1"/>
  <c r="AJ488" i="1" s="1"/>
  <c r="AM488" i="1" s="1"/>
  <c r="AB488" i="1" s="1"/>
  <c r="E488" i="1" s="1"/>
  <c r="BK490" i="1"/>
  <c r="AU490" i="1"/>
  <c r="AU489" i="1"/>
  <c r="BK489" i="1"/>
  <c r="AY490" i="1"/>
  <c r="AZ490" i="1" s="1"/>
  <c r="BC490" i="1" s="1"/>
  <c r="AY489" i="1"/>
  <c r="AZ489" i="1" s="1"/>
  <c r="BC489" i="1" s="1"/>
  <c r="AU487" i="1"/>
  <c r="AM487" i="1"/>
  <c r="AB487" i="1" s="1"/>
  <c r="E487" i="1" s="1"/>
  <c r="BK487" i="1"/>
  <c r="AY488" i="1"/>
  <c r="AZ488" i="1" s="1"/>
  <c r="BC488" i="1" s="1"/>
  <c r="BK486" i="1"/>
  <c r="AY487" i="1"/>
  <c r="AZ487" i="1" s="1"/>
  <c r="BC487" i="1" s="1"/>
  <c r="AI486" i="1"/>
  <c r="AY486" i="1"/>
  <c r="AZ486" i="1" s="1"/>
  <c r="BC486" i="1" s="1"/>
  <c r="AU485" i="1"/>
  <c r="BK485" i="1"/>
  <c r="AY485" i="1"/>
  <c r="AZ485" i="1" s="1"/>
  <c r="BC485" i="1" s="1"/>
  <c r="BK484" i="1"/>
  <c r="AI484" i="1"/>
  <c r="AJ484" i="1" s="1"/>
  <c r="AM484" i="1" s="1"/>
  <c r="AB484" i="1" s="1"/>
  <c r="E484" i="1" s="1"/>
  <c r="AY484" i="1"/>
  <c r="AZ484" i="1" s="1"/>
  <c r="BC484" i="1"/>
  <c r="AU483" i="1"/>
  <c r="AM483" i="1"/>
  <c r="AB483" i="1" s="1"/>
  <c r="E483" i="1" s="1"/>
  <c r="BK483" i="1"/>
  <c r="AY483" i="1"/>
  <c r="AZ483" i="1" s="1"/>
  <c r="BC483" i="1" s="1"/>
  <c r="BK482" i="1"/>
  <c r="AY482" i="1"/>
  <c r="AZ482" i="1" s="1"/>
  <c r="BC482" i="1" s="1"/>
  <c r="AU481" i="1"/>
  <c r="BK481" i="1"/>
  <c r="AY481" i="1"/>
  <c r="AZ481" i="1" s="1"/>
  <c r="BC481" i="1" s="1"/>
  <c r="AU480" i="1"/>
  <c r="AM480" i="1"/>
  <c r="AB480" i="1" s="1"/>
  <c r="E480" i="1" s="1"/>
  <c r="BK480" i="1"/>
  <c r="AY480" i="1"/>
  <c r="AZ480" i="1" s="1"/>
  <c r="BC480" i="1" s="1"/>
  <c r="BK479" i="1"/>
  <c r="AI479" i="1"/>
  <c r="AJ479" i="1" s="1"/>
  <c r="AM479" i="1" s="1"/>
  <c r="AB479" i="1" s="1"/>
  <c r="E479" i="1" s="1"/>
  <c r="AY479" i="1"/>
  <c r="AZ479" i="1" s="1"/>
  <c r="BC479" i="1" s="1"/>
  <c r="AU476" i="1"/>
  <c r="AU478" i="1"/>
  <c r="AI478" i="1"/>
  <c r="AI477" i="1"/>
  <c r="AJ477" i="1" s="1"/>
  <c r="AM477" i="1" s="1"/>
  <c r="AB477" i="1" s="1"/>
  <c r="E477" i="1" s="1"/>
  <c r="BK478" i="1"/>
  <c r="AY478" i="1"/>
  <c r="AZ478" i="1" s="1"/>
  <c r="BC478" i="1" s="1"/>
  <c r="AU477" i="1"/>
  <c r="BK477" i="1"/>
  <c r="AY477" i="1"/>
  <c r="AZ477" i="1" s="1"/>
  <c r="BC477" i="1" s="1"/>
  <c r="BK476" i="1"/>
  <c r="AI476" i="1"/>
  <c r="AJ476" i="1" s="1"/>
  <c r="AM476" i="1" s="1"/>
  <c r="AB476" i="1" s="1"/>
  <c r="E476" i="1" s="1"/>
  <c r="AY476" i="1"/>
  <c r="AZ476" i="1" s="1"/>
  <c r="BC476" i="1" s="1"/>
  <c r="BK475" i="1"/>
  <c r="AI475" i="1"/>
  <c r="AJ475" i="1" s="1"/>
  <c r="AM475" i="1" s="1"/>
  <c r="AB475" i="1" s="1"/>
  <c r="E475" i="1" s="1"/>
  <c r="AY475" i="1"/>
  <c r="AZ475" i="1" s="1"/>
  <c r="BC475" i="1" s="1"/>
  <c r="BK474" i="1"/>
  <c r="AY474" i="1"/>
  <c r="AZ474" i="1" s="1"/>
  <c r="BC474" i="1" s="1"/>
  <c r="AU473" i="1"/>
  <c r="BK473" i="1"/>
  <c r="AY473" i="1"/>
  <c r="AZ473" i="1" s="1"/>
  <c r="BC473" i="1" s="1"/>
  <c r="BK472" i="1"/>
  <c r="AI472" i="1"/>
  <c r="AJ472" i="1" s="1"/>
  <c r="AM472" i="1" s="1"/>
  <c r="AB472" i="1" s="1"/>
  <c r="E472" i="1" s="1"/>
  <c r="AY472" i="1"/>
  <c r="AZ472" i="1" s="1"/>
  <c r="BC472" i="1" s="1"/>
  <c r="AI471" i="1"/>
  <c r="AJ471" i="1" s="1"/>
  <c r="AU471" i="1"/>
  <c r="AM471" i="1"/>
  <c r="AB471" i="1" s="1"/>
  <c r="E471" i="1" s="1"/>
  <c r="BK471" i="1"/>
  <c r="AY471" i="1"/>
  <c r="AZ471" i="1" s="1"/>
  <c r="BC471" i="1" s="1"/>
  <c r="AI470" i="1"/>
  <c r="BK470" i="1"/>
  <c r="AY470" i="1"/>
  <c r="AZ470" i="1" s="1"/>
  <c r="BC470" i="1" s="1"/>
  <c r="AI469" i="1"/>
  <c r="AU469" i="1"/>
  <c r="BK469" i="1"/>
  <c r="AY469" i="1"/>
  <c r="AZ469" i="1" s="1"/>
  <c r="BC469" i="1" s="1"/>
  <c r="AU468" i="1"/>
  <c r="AM468" i="1"/>
  <c r="AB468" i="1" s="1"/>
  <c r="E468" i="1" s="1"/>
  <c r="BK468" i="1"/>
  <c r="AY468" i="1"/>
  <c r="AZ468" i="1" s="1"/>
  <c r="BC468" i="1" s="1"/>
  <c r="AM467" i="1"/>
  <c r="AB467" i="1" s="1"/>
  <c r="E467" i="1" s="1"/>
  <c r="BK467" i="1"/>
  <c r="AY467" i="1"/>
  <c r="AZ467" i="1" s="1"/>
  <c r="BC467" i="1" s="1"/>
  <c r="AI466" i="1"/>
  <c r="BK466" i="1"/>
  <c r="AU466" i="1"/>
  <c r="AY466" i="1"/>
  <c r="AZ466" i="1" s="1"/>
  <c r="BC466" i="1" s="1"/>
  <c r="AU465" i="1"/>
  <c r="BK465" i="1"/>
  <c r="AY465" i="1"/>
  <c r="AZ465" i="1" s="1"/>
  <c r="BC465" i="1" s="1"/>
  <c r="BK464" i="1"/>
  <c r="AI464" i="1"/>
  <c r="AJ464" i="1" s="1"/>
  <c r="AM464" i="1" s="1"/>
  <c r="AB464" i="1" s="1"/>
  <c r="E464" i="1" s="1"/>
  <c r="AY464" i="1"/>
  <c r="AZ464" i="1" s="1"/>
  <c r="BC464" i="1" s="1"/>
  <c r="BK463" i="1"/>
  <c r="AI463" i="1"/>
  <c r="AJ463" i="1" s="1"/>
  <c r="AM463" i="1" s="1"/>
  <c r="AB463" i="1" s="1"/>
  <c r="E463" i="1" s="1"/>
  <c r="AY463" i="1"/>
  <c r="AZ463" i="1" s="1"/>
  <c r="BC463" i="1" s="1"/>
  <c r="BK462" i="1"/>
  <c r="AU462" i="1"/>
  <c r="AU460" i="1"/>
  <c r="AY462" i="1"/>
  <c r="AZ462" i="1" s="1"/>
  <c r="BC462" i="1" s="1"/>
  <c r="AI461" i="1"/>
  <c r="BK461" i="1"/>
  <c r="AY461" i="1"/>
  <c r="AZ461" i="1" s="1"/>
  <c r="BC461" i="1" s="1"/>
  <c r="AI460" i="1"/>
  <c r="AJ460" i="1" s="1"/>
  <c r="AM460" i="1" s="1"/>
  <c r="AB460" i="1" s="1"/>
  <c r="E460" i="1" s="1"/>
  <c r="BK460" i="1"/>
  <c r="AY460" i="1"/>
  <c r="AZ460" i="1" s="1"/>
  <c r="BC460" i="1" s="1"/>
  <c r="AU459" i="1"/>
  <c r="BK459" i="1"/>
  <c r="AI459" i="1"/>
  <c r="AJ459" i="1" s="1"/>
  <c r="AM459" i="1" s="1"/>
  <c r="AB459" i="1" s="1"/>
  <c r="E459" i="1" s="1"/>
  <c r="AY459" i="1"/>
  <c r="AZ459" i="1" s="1"/>
  <c r="BC459" i="1" s="1"/>
  <c r="BK458" i="1"/>
  <c r="AY458" i="1"/>
  <c r="AZ458" i="1" s="1"/>
  <c r="BC458" i="1" s="1"/>
  <c r="AU449" i="1"/>
  <c r="AU457" i="1"/>
  <c r="BK457" i="1"/>
  <c r="AI457" i="1"/>
  <c r="AY457" i="1"/>
  <c r="AZ457" i="1" s="1"/>
  <c r="BC457" i="1" s="1"/>
  <c r="AU456" i="1"/>
  <c r="BK456" i="1"/>
  <c r="AI456" i="1"/>
  <c r="AJ456" i="1" s="1"/>
  <c r="AM456" i="1" s="1"/>
  <c r="AB456" i="1" s="1"/>
  <c r="E456" i="1" s="1"/>
  <c r="AY456" i="1"/>
  <c r="AZ456" i="1" s="1"/>
  <c r="BC456" i="1" s="1"/>
  <c r="AI454" i="1"/>
  <c r="AU455" i="1"/>
  <c r="BK455" i="1"/>
  <c r="AI455" i="1"/>
  <c r="AJ455" i="1" s="1"/>
  <c r="AM455" i="1" s="1"/>
  <c r="AB455" i="1" s="1"/>
  <c r="E455" i="1" s="1"/>
  <c r="AY455" i="1"/>
  <c r="AZ455" i="1" s="1"/>
  <c r="BC455" i="1" s="1"/>
  <c r="AU454" i="1"/>
  <c r="BK454" i="1"/>
  <c r="AY454" i="1"/>
  <c r="AZ454" i="1" s="1"/>
  <c r="BC454" i="1" s="1"/>
  <c r="AU453" i="1"/>
  <c r="BK453" i="1"/>
  <c r="AY453" i="1"/>
  <c r="AZ453" i="1" s="1"/>
  <c r="BC453" i="1" s="1"/>
  <c r="AU452" i="1"/>
  <c r="BK452" i="1"/>
  <c r="AI452" i="1"/>
  <c r="AJ452" i="1" s="1"/>
  <c r="AM452" i="1" s="1"/>
  <c r="AB452" i="1" s="1"/>
  <c r="E452" i="1" s="1"/>
  <c r="AY452" i="1"/>
  <c r="AZ452" i="1" s="1"/>
  <c r="BC452" i="1" s="1"/>
  <c r="AU451" i="1"/>
  <c r="AM451" i="1"/>
  <c r="AB451" i="1" s="1"/>
  <c r="E451" i="1" s="1"/>
  <c r="BK451" i="1"/>
  <c r="AY451" i="1"/>
  <c r="AZ451" i="1" s="1"/>
  <c r="BC451" i="1" s="1"/>
  <c r="BK450" i="1"/>
  <c r="AY450" i="1"/>
  <c r="AZ450" i="1" s="1"/>
  <c r="BC450" i="1" s="1"/>
  <c r="AI450" i="1"/>
  <c r="BK449" i="1"/>
  <c r="AY449" i="1"/>
  <c r="AZ449" i="1" s="1"/>
  <c r="BC449" i="1" s="1"/>
  <c r="AU448" i="1"/>
  <c r="AM448" i="1"/>
  <c r="AB448" i="1" s="1"/>
  <c r="E448" i="1" s="1"/>
  <c r="BK448" i="1"/>
  <c r="AY448" i="1"/>
  <c r="AZ448" i="1" s="1"/>
  <c r="BC448" i="1" s="1"/>
  <c r="AM447" i="1"/>
  <c r="AB447" i="1" s="1"/>
  <c r="E447" i="1" s="1"/>
  <c r="BK447" i="1"/>
  <c r="AY447" i="1"/>
  <c r="AZ447" i="1" s="1"/>
  <c r="BC447" i="1" s="1"/>
  <c r="BK446" i="1"/>
  <c r="AY446" i="1"/>
  <c r="AZ446" i="1" s="1"/>
  <c r="BC446" i="1" s="1"/>
  <c r="BK445" i="1"/>
  <c r="AY445" i="1"/>
  <c r="AZ445" i="1" s="1"/>
  <c r="BC445" i="1" s="1"/>
  <c r="AM444" i="1"/>
  <c r="AB444" i="1" s="1"/>
  <c r="E444" i="1" s="1"/>
  <c r="AI444" i="1"/>
  <c r="AJ444" i="1" s="1"/>
  <c r="BK444" i="1"/>
  <c r="AY444" i="1"/>
  <c r="AZ444" i="1" s="1"/>
  <c r="BC444" i="1" s="1"/>
  <c r="AM443" i="1"/>
  <c r="AB443" i="1" s="1"/>
  <c r="E443" i="1" s="1"/>
  <c r="BK443" i="1"/>
  <c r="AY443" i="1"/>
  <c r="AZ443" i="1" s="1"/>
  <c r="BC443" i="1" s="1"/>
  <c r="BK442" i="1"/>
  <c r="AI442" i="1"/>
  <c r="AY442" i="1"/>
  <c r="AZ442" i="1" s="1"/>
  <c r="BC442" i="1" s="1"/>
  <c r="BK441" i="1"/>
  <c r="AY441" i="1"/>
  <c r="AZ441" i="1" s="1"/>
  <c r="BC441" i="1" s="1"/>
  <c r="AI440" i="1"/>
  <c r="AJ440" i="1" s="1"/>
  <c r="AU440" i="1"/>
  <c r="AM440" i="1"/>
  <c r="AB440" i="1" s="1"/>
  <c r="E440" i="1" s="1"/>
  <c r="BK440" i="1"/>
  <c r="AY440" i="1"/>
  <c r="AZ440" i="1" s="1"/>
  <c r="BC440" i="1" s="1"/>
  <c r="AU439" i="1"/>
  <c r="AM439" i="1"/>
  <c r="AB439" i="1" s="1"/>
  <c r="E439" i="1" s="1"/>
  <c r="BK439" i="1"/>
  <c r="AY439" i="1"/>
  <c r="AZ439" i="1" s="1"/>
  <c r="BC439" i="1" s="1"/>
  <c r="AU438" i="1"/>
  <c r="BK438" i="1"/>
  <c r="AI438" i="1"/>
  <c r="AY438" i="1"/>
  <c r="AZ438" i="1" s="1"/>
  <c r="BC438" i="1" s="1"/>
  <c r="AU437" i="1"/>
  <c r="BN437" i="1"/>
  <c r="BK437" i="1"/>
  <c r="AY437" i="1"/>
  <c r="AZ437" i="1" s="1"/>
  <c r="BC437" i="1" s="1"/>
  <c r="AU436" i="1"/>
  <c r="AM436" i="1"/>
  <c r="AB436" i="1" s="1"/>
  <c r="E436" i="1" s="1"/>
  <c r="BK436" i="1"/>
  <c r="AY436" i="1"/>
  <c r="AZ436" i="1" s="1"/>
  <c r="BC436" i="1" s="1"/>
  <c r="AU435" i="1"/>
  <c r="AM435" i="1"/>
  <c r="AB435" i="1" s="1"/>
  <c r="E435" i="1" s="1"/>
  <c r="BK435" i="1"/>
  <c r="AY435" i="1"/>
  <c r="AZ435" i="1" s="1"/>
  <c r="BC435" i="1" s="1"/>
  <c r="BK434" i="1"/>
  <c r="AI434" i="1"/>
  <c r="BK433" i="1"/>
  <c r="BC434" i="1"/>
  <c r="AY434" i="1"/>
  <c r="AZ434" i="1" s="1"/>
  <c r="AU433" i="1"/>
  <c r="AY433" i="1"/>
  <c r="AZ433" i="1" s="1"/>
  <c r="BC433" i="1" s="1"/>
  <c r="AU432" i="1"/>
  <c r="BK432" i="1"/>
  <c r="AI432" i="1"/>
  <c r="AJ432" i="1" s="1"/>
  <c r="AM432" i="1" s="1"/>
  <c r="AB432" i="1" s="1"/>
  <c r="E432" i="1" s="1"/>
  <c r="AY432" i="1"/>
  <c r="AZ432" i="1" s="1"/>
  <c r="BC432" i="1" s="1"/>
  <c r="AU431" i="1"/>
  <c r="AM431" i="1"/>
  <c r="AB431" i="1" s="1"/>
  <c r="E431" i="1" s="1"/>
  <c r="BK431" i="1"/>
  <c r="AY431" i="1"/>
  <c r="AZ431" i="1" s="1"/>
  <c r="BC431" i="1" s="1"/>
  <c r="AU430" i="1"/>
  <c r="BK430" i="1"/>
  <c r="AY430" i="1"/>
  <c r="AZ430" i="1" s="1"/>
  <c r="BC430" i="1" s="1"/>
  <c r="AI430" i="1"/>
  <c r="AJ430" i="1" s="1"/>
  <c r="AM430" i="1" s="1"/>
  <c r="AB430" i="1" s="1"/>
  <c r="E430" i="1" s="1"/>
  <c r="AU429" i="1"/>
  <c r="BK429" i="1"/>
  <c r="AY429" i="1"/>
  <c r="AZ429" i="1" s="1"/>
  <c r="BC429" i="1" s="1"/>
  <c r="AU428" i="1"/>
  <c r="AM428" i="1"/>
  <c r="AB428" i="1" s="1"/>
  <c r="E428" i="1" s="1"/>
  <c r="BK428" i="1"/>
  <c r="AY428" i="1"/>
  <c r="AZ428" i="1" s="1"/>
  <c r="BC428" i="1" s="1"/>
  <c r="AM427" i="1"/>
  <c r="AB427" i="1" s="1"/>
  <c r="E427" i="1" s="1"/>
  <c r="BK427" i="1"/>
  <c r="AY427" i="1"/>
  <c r="AZ427" i="1" s="1"/>
  <c r="BC427" i="1" s="1"/>
  <c r="BK426" i="1"/>
  <c r="AY426" i="1"/>
  <c r="AZ426" i="1" s="1"/>
  <c r="BC426" i="1" s="1"/>
  <c r="AI426" i="1"/>
  <c r="BK425" i="1"/>
  <c r="AY425" i="1"/>
  <c r="AZ425" i="1" s="1"/>
  <c r="BC425" i="1" s="1"/>
  <c r="BK424" i="1"/>
  <c r="AU424" i="1"/>
  <c r="AY424" i="1"/>
  <c r="AZ424" i="1" s="1"/>
  <c r="BC424" i="1" s="1"/>
  <c r="AI424" i="1"/>
  <c r="AU423" i="1"/>
  <c r="BK423" i="1"/>
  <c r="AY423" i="1"/>
  <c r="AZ423" i="1" s="1"/>
  <c r="BC423" i="1" s="1"/>
  <c r="BK422" i="1"/>
  <c r="AI422" i="1"/>
  <c r="AY422" i="1"/>
  <c r="AZ422" i="1" s="1"/>
  <c r="BC422" i="1" s="1"/>
  <c r="BK421" i="1"/>
  <c r="AU421" i="1"/>
  <c r="AY421" i="1"/>
  <c r="AZ421" i="1" s="1"/>
  <c r="BC421" i="1" s="1"/>
  <c r="BK420" i="1"/>
  <c r="AU420" i="1"/>
  <c r="AY420" i="1"/>
  <c r="AZ420" i="1" s="1"/>
  <c r="BC420" i="1" s="1"/>
  <c r="AI420" i="1"/>
  <c r="AJ420" i="1" s="1"/>
  <c r="AM420" i="1" s="1"/>
  <c r="AB420" i="1" s="1"/>
  <c r="E420" i="1" s="1"/>
  <c r="BK419" i="1"/>
  <c r="AY419" i="1"/>
  <c r="AZ419" i="1" s="1"/>
  <c r="BC419" i="1" s="1"/>
  <c r="AI416" i="1"/>
  <c r="AU416" i="1"/>
  <c r="BK418" i="1"/>
  <c r="AI418" i="1"/>
  <c r="AJ418" i="1" s="1"/>
  <c r="AM418" i="1" s="1"/>
  <c r="AB418" i="1" s="1"/>
  <c r="E418" i="1" s="1"/>
  <c r="AY418" i="1"/>
  <c r="AZ418" i="1" s="1"/>
  <c r="BC418" i="1" s="1"/>
  <c r="AM417" i="1"/>
  <c r="AB417" i="1" s="1"/>
  <c r="E417" i="1" s="1"/>
  <c r="BK417" i="1"/>
  <c r="AU417" i="1"/>
  <c r="AY417" i="1"/>
  <c r="AZ417" i="1" s="1"/>
  <c r="BC417" i="1" s="1"/>
  <c r="BK416" i="1"/>
  <c r="AY416" i="1"/>
  <c r="AZ416" i="1" s="1"/>
  <c r="BC416" i="1" s="1"/>
  <c r="AU415" i="1"/>
  <c r="BK415" i="1"/>
  <c r="AY415" i="1"/>
  <c r="AZ415" i="1" s="1"/>
  <c r="BC415" i="1" s="1"/>
  <c r="BK414" i="1"/>
  <c r="AI414" i="1"/>
  <c r="BC414" i="1"/>
  <c r="AY414" i="1"/>
  <c r="AZ414" i="1" s="1"/>
  <c r="BK413" i="1"/>
  <c r="AU413" i="1"/>
  <c r="AY413" i="1"/>
  <c r="AZ413" i="1" s="1"/>
  <c r="BC413" i="1" s="1"/>
  <c r="BK412" i="1"/>
  <c r="AU412" i="1"/>
  <c r="AY412" i="1"/>
  <c r="AZ412" i="1" s="1"/>
  <c r="BC412" i="1" s="1"/>
  <c r="AI412" i="1"/>
  <c r="BK411" i="1"/>
  <c r="AY411" i="1"/>
  <c r="AZ411" i="1" s="1"/>
  <c r="BC411" i="1" s="1"/>
  <c r="AM410" i="1"/>
  <c r="AB410" i="1" s="1"/>
  <c r="E410" i="1" s="1"/>
  <c r="BK410" i="1"/>
  <c r="AY410" i="1"/>
  <c r="AZ410" i="1" s="1"/>
  <c r="BC410" i="1" s="1"/>
  <c r="AM409" i="1"/>
  <c r="AB409" i="1" s="1"/>
  <c r="E409" i="1" s="1"/>
  <c r="BK409" i="1"/>
  <c r="AU409" i="1"/>
  <c r="AY409" i="1"/>
  <c r="AZ409" i="1" s="1"/>
  <c r="BC409" i="1"/>
  <c r="BK408" i="1"/>
  <c r="AU408" i="1"/>
  <c r="AY408" i="1"/>
  <c r="AZ408" i="1" s="1"/>
  <c r="BC408" i="1" s="1"/>
  <c r="AI408" i="1"/>
  <c r="BK407" i="1"/>
  <c r="AY407" i="1"/>
  <c r="AZ407" i="1" s="1"/>
  <c r="BC407" i="1" s="1"/>
  <c r="AU406" i="1"/>
  <c r="BK406" i="1"/>
  <c r="AY406" i="1"/>
  <c r="AZ406" i="1" s="1"/>
  <c r="BC406" i="1" s="1"/>
  <c r="BK405" i="1"/>
  <c r="AU405" i="1"/>
  <c r="AY405" i="1"/>
  <c r="AZ405" i="1" s="1"/>
  <c r="BC405" i="1" s="1"/>
  <c r="BK404" i="1"/>
  <c r="AU404" i="1"/>
  <c r="AY404" i="1"/>
  <c r="AZ404" i="1" s="1"/>
  <c r="BC404" i="1" s="1"/>
  <c r="AU403" i="1"/>
  <c r="BK403" i="1"/>
  <c r="AY403" i="1"/>
  <c r="AZ403" i="1" s="1"/>
  <c r="BC403" i="1" s="1"/>
  <c r="BK402" i="1"/>
  <c r="AI402" i="1"/>
  <c r="AJ402" i="1" s="1"/>
  <c r="AM402" i="1" s="1"/>
  <c r="AB402" i="1" s="1"/>
  <c r="E402" i="1" s="1"/>
  <c r="AY402" i="1"/>
  <c r="AZ402" i="1" s="1"/>
  <c r="BC402" i="1" s="1"/>
  <c r="AM401" i="1"/>
  <c r="AB401" i="1" s="1"/>
  <c r="E401" i="1" s="1"/>
  <c r="BK401" i="1"/>
  <c r="AU401" i="1"/>
  <c r="AY401" i="1"/>
  <c r="AZ401" i="1" s="1"/>
  <c r="BC401" i="1" s="1"/>
  <c r="BK400" i="1"/>
  <c r="AI400" i="1"/>
  <c r="BC400" i="1"/>
  <c r="AY400" i="1"/>
  <c r="AZ400" i="1" s="1"/>
  <c r="BK399" i="1"/>
  <c r="AY399" i="1"/>
  <c r="AZ399" i="1" s="1"/>
  <c r="BC399" i="1"/>
  <c r="BK398" i="1"/>
  <c r="AI398" i="1"/>
  <c r="AY398" i="1"/>
  <c r="AZ398" i="1" s="1"/>
  <c r="BC398" i="1" s="1"/>
  <c r="BK397" i="1"/>
  <c r="AY397" i="1"/>
  <c r="AZ397" i="1" s="1"/>
  <c r="BC397" i="1" s="1"/>
  <c r="BK396" i="1"/>
  <c r="AU396" i="1"/>
  <c r="BC396" i="1"/>
  <c r="AY396" i="1"/>
  <c r="AZ396" i="1" s="1"/>
  <c r="AU395" i="1"/>
  <c r="BK395" i="1"/>
  <c r="AY395" i="1"/>
  <c r="AZ395" i="1" s="1"/>
  <c r="BC395" i="1" s="1"/>
  <c r="BK394" i="1"/>
  <c r="AI394" i="1"/>
  <c r="AJ394" i="1" s="1"/>
  <c r="AM394" i="1" s="1"/>
  <c r="AB394" i="1" s="1"/>
  <c r="E394" i="1" s="1"/>
  <c r="AY394" i="1"/>
  <c r="AZ394" i="1" s="1"/>
  <c r="BC394" i="1" s="1"/>
  <c r="AM393" i="1"/>
  <c r="AB393" i="1" s="1"/>
  <c r="E393" i="1" s="1"/>
  <c r="BK393" i="1"/>
  <c r="AU393" i="1"/>
  <c r="AY393" i="1"/>
  <c r="AZ393" i="1" s="1"/>
  <c r="BC393" i="1" s="1"/>
  <c r="BK392" i="1"/>
  <c r="AU392" i="1"/>
  <c r="AI392" i="1"/>
  <c r="AY392" i="1"/>
  <c r="AZ392" i="1" s="1"/>
  <c r="BC392" i="1" s="1"/>
  <c r="BK391" i="1"/>
  <c r="AY391" i="1"/>
  <c r="AZ391" i="1" s="1"/>
  <c r="BC391" i="1" s="1"/>
  <c r="AM390" i="1"/>
  <c r="AB390" i="1" s="1"/>
  <c r="E390" i="1" s="1"/>
  <c r="AU390" i="1"/>
  <c r="BK389" i="1"/>
  <c r="AU389" i="1"/>
  <c r="AI389" i="1"/>
  <c r="AJ389" i="1" s="1"/>
  <c r="AM389" i="1" s="1"/>
  <c r="AB389" i="1" s="1"/>
  <c r="E389" i="1" s="1"/>
  <c r="AY389" i="1"/>
  <c r="AZ389" i="1" s="1"/>
  <c r="BC389" i="1" s="1"/>
  <c r="BK388" i="1"/>
  <c r="AU388" i="1"/>
  <c r="AY388" i="1"/>
  <c r="AZ388" i="1" s="1"/>
  <c r="BC388" i="1" s="1"/>
  <c r="AU387" i="1"/>
  <c r="BK387" i="1"/>
  <c r="AI387" i="1"/>
  <c r="AY387" i="1"/>
  <c r="AZ387" i="1" s="1"/>
  <c r="BC387" i="1" s="1"/>
  <c r="BK386" i="1"/>
  <c r="AM386" i="1"/>
  <c r="AB386" i="1" s="1"/>
  <c r="E386" i="1" s="1"/>
  <c r="AU386" i="1"/>
  <c r="AY386" i="1"/>
  <c r="AZ386" i="1" s="1"/>
  <c r="BC386" i="1" s="1"/>
  <c r="AM385" i="1"/>
  <c r="AB385" i="1" s="1"/>
  <c r="E385" i="1" s="1"/>
  <c r="BK385" i="1"/>
  <c r="AU385" i="1"/>
  <c r="AY385" i="1"/>
  <c r="AZ385" i="1" s="1"/>
  <c r="BC385" i="1" s="1"/>
  <c r="AY390" i="1"/>
  <c r="AZ390" i="1" s="1"/>
  <c r="BC390" i="1" s="1"/>
  <c r="BK384" i="1"/>
  <c r="AU384" i="1"/>
  <c r="AY384" i="1"/>
  <c r="AZ384" i="1" s="1"/>
  <c r="BC384" i="1" s="1"/>
  <c r="AI384" i="1"/>
  <c r="AJ384" i="1" s="1"/>
  <c r="AM384" i="1" s="1"/>
  <c r="AB384" i="1" s="1"/>
  <c r="E384" i="1" s="1"/>
  <c r="BK383" i="1"/>
  <c r="AY383" i="1"/>
  <c r="AZ383" i="1" s="1"/>
  <c r="BC383" i="1" s="1"/>
  <c r="AM382" i="1"/>
  <c r="AB382" i="1" s="1"/>
  <c r="E382" i="1" s="1"/>
  <c r="BK382" i="1"/>
  <c r="AY382" i="1"/>
  <c r="AZ382" i="1" s="1"/>
  <c r="BC382" i="1" s="1"/>
  <c r="AM381" i="1"/>
  <c r="AB381" i="1" s="1"/>
  <c r="E381" i="1" s="1"/>
  <c r="BK381" i="1"/>
  <c r="AU381" i="1"/>
  <c r="AY381" i="1"/>
  <c r="AZ381" i="1" s="1"/>
  <c r="BC381" i="1" s="1"/>
  <c r="BK380" i="1"/>
  <c r="AU380" i="1"/>
  <c r="AY380" i="1"/>
  <c r="AZ380" i="1" s="1"/>
  <c r="BC380" i="1" s="1"/>
  <c r="BK379" i="1"/>
  <c r="AY379" i="1"/>
  <c r="AZ379" i="1" s="1"/>
  <c r="BC379" i="1" s="1"/>
  <c r="AU378" i="1"/>
  <c r="BK378" i="1"/>
  <c r="AI378" i="1"/>
  <c r="AJ378" i="1" s="1"/>
  <c r="AM378" i="1" s="1"/>
  <c r="AB378" i="1" s="1"/>
  <c r="E378" i="1" s="1"/>
  <c r="AY378" i="1"/>
  <c r="AZ378" i="1" s="1"/>
  <c r="BC378" i="1" s="1"/>
  <c r="AM377" i="1"/>
  <c r="AB377" i="1" s="1"/>
  <c r="E377" i="1" s="1"/>
  <c r="BK377" i="1"/>
  <c r="AU377" i="1"/>
  <c r="AY377" i="1"/>
  <c r="AZ377" i="1" s="1"/>
  <c r="BC377" i="1" s="1"/>
  <c r="BK376" i="1"/>
  <c r="AU376" i="1"/>
  <c r="AI376" i="1"/>
  <c r="AY376" i="1"/>
  <c r="AZ376" i="1" s="1"/>
  <c r="BC376" i="1" s="1"/>
  <c r="AU375" i="1"/>
  <c r="BK375" i="1"/>
  <c r="AY375" i="1"/>
  <c r="AZ375" i="1" s="1"/>
  <c r="BC375" i="1" s="1"/>
  <c r="BK374" i="1"/>
  <c r="AI374" i="1"/>
  <c r="AJ374" i="1" s="1"/>
  <c r="AM374" i="1" s="1"/>
  <c r="AB374" i="1" s="1"/>
  <c r="E374" i="1" s="1"/>
  <c r="AY374" i="1"/>
  <c r="AZ374" i="1" s="1"/>
  <c r="BC374" i="1" s="1"/>
  <c r="BK373" i="1"/>
  <c r="AU373" i="1"/>
  <c r="AI373" i="1"/>
  <c r="AJ373" i="1" s="1"/>
  <c r="AM373" i="1" s="1"/>
  <c r="AB373" i="1" s="1"/>
  <c r="E373" i="1" s="1"/>
  <c r="AY373" i="1"/>
  <c r="AZ373" i="1" s="1"/>
  <c r="BC373" i="1" s="1"/>
  <c r="AI372" i="1"/>
  <c r="AU372" i="1"/>
  <c r="BK372" i="1"/>
  <c r="AY372" i="1"/>
  <c r="AZ372" i="1" s="1"/>
  <c r="BC372" i="1" s="1"/>
  <c r="AU371" i="1"/>
  <c r="BK371" i="1"/>
  <c r="AY371" i="1"/>
  <c r="AZ371" i="1" s="1"/>
  <c r="BC371" i="1" s="1"/>
  <c r="AI370" i="1"/>
  <c r="AJ370" i="1" s="1"/>
  <c r="AU370" i="1"/>
  <c r="AM370" i="1"/>
  <c r="AB370" i="1" s="1"/>
  <c r="E370" i="1" s="1"/>
  <c r="BK370" i="1"/>
  <c r="AY370" i="1"/>
  <c r="AZ370" i="1" s="1"/>
  <c r="BC370" i="1" s="1"/>
  <c r="AM369" i="1"/>
  <c r="AB369" i="1" s="1"/>
  <c r="E369" i="1" s="1"/>
  <c r="BK369" i="1"/>
  <c r="AU369" i="1"/>
  <c r="AY369" i="1"/>
  <c r="AZ369" i="1" s="1"/>
  <c r="BC369" i="1" s="1"/>
  <c r="BK368" i="1"/>
  <c r="AI368" i="1"/>
  <c r="AU368" i="1"/>
  <c r="AY368" i="1"/>
  <c r="AZ368" i="1" s="1"/>
  <c r="BC368" i="1" s="1"/>
  <c r="AU367" i="1"/>
  <c r="BK367" i="1"/>
  <c r="AY367" i="1"/>
  <c r="AZ367" i="1" s="1"/>
  <c r="BC367" i="1" s="1"/>
  <c r="BK366" i="1"/>
  <c r="AI366" i="1"/>
  <c r="AJ366" i="1" s="1"/>
  <c r="AM366" i="1" s="1"/>
  <c r="AB366" i="1" s="1"/>
  <c r="E366" i="1" s="1"/>
  <c r="AY366" i="1"/>
  <c r="AZ366" i="1" s="1"/>
  <c r="BC366" i="1" s="1"/>
  <c r="AM365" i="1"/>
  <c r="AB365" i="1" s="1"/>
  <c r="E365" i="1" s="1"/>
  <c r="BK365" i="1"/>
  <c r="AU365" i="1"/>
  <c r="AY365" i="1"/>
  <c r="AZ365" i="1" s="1"/>
  <c r="BC365" i="1" s="1"/>
  <c r="BK364" i="1"/>
  <c r="AU364" i="1"/>
  <c r="AY364" i="1"/>
  <c r="AZ364" i="1" s="1"/>
  <c r="BC364" i="1" s="1"/>
  <c r="AI364" i="1"/>
  <c r="AU363" i="1"/>
  <c r="BK363" i="1"/>
  <c r="AY363" i="1"/>
  <c r="AZ363" i="1" s="1"/>
  <c r="BC363" i="1" s="1"/>
  <c r="AU362" i="1"/>
  <c r="AM362" i="1"/>
  <c r="BK362" i="1"/>
  <c r="AY362" i="1"/>
  <c r="AZ362" i="1" s="1"/>
  <c r="BC362" i="1" s="1"/>
  <c r="AM361" i="1"/>
  <c r="BK361" i="1"/>
  <c r="AU361" i="1"/>
  <c r="AY361" i="1"/>
  <c r="AZ361" i="1" s="1"/>
  <c r="BC361" i="1" s="1"/>
  <c r="BK360" i="1"/>
  <c r="AY360" i="1"/>
  <c r="AZ360" i="1" s="1"/>
  <c r="BC360" i="1" s="1"/>
  <c r="AU359" i="1"/>
  <c r="BK359" i="1"/>
  <c r="AY359" i="1"/>
  <c r="AZ359" i="1" s="1"/>
  <c r="BC359" i="1" s="1"/>
  <c r="AU358" i="1"/>
  <c r="BK358" i="1"/>
  <c r="AI358" i="1"/>
  <c r="AJ358" i="1" s="1"/>
  <c r="AM358" i="1" s="1"/>
  <c r="AY358" i="1"/>
  <c r="AZ358" i="1" s="1"/>
  <c r="BC358" i="1" s="1"/>
  <c r="AU357" i="1"/>
  <c r="AM357" i="1"/>
  <c r="BK357" i="1"/>
  <c r="AY357" i="1"/>
  <c r="AZ357" i="1" s="1"/>
  <c r="BC357" i="1" s="1"/>
  <c r="AU356" i="1"/>
  <c r="BK356" i="1"/>
  <c r="AY356" i="1"/>
  <c r="AZ356" i="1" s="1"/>
  <c r="BC356" i="1" s="1"/>
  <c r="AU355" i="1"/>
  <c r="BK355" i="1"/>
  <c r="AY355" i="1"/>
  <c r="AZ355" i="1" s="1"/>
  <c r="BC355" i="1" s="1"/>
  <c r="AU354" i="1"/>
  <c r="AM354" i="1"/>
  <c r="BK354" i="1"/>
  <c r="AY354" i="1"/>
  <c r="AZ354" i="1" s="1"/>
  <c r="BC354" i="1" s="1"/>
  <c r="AM353" i="1"/>
  <c r="BK353" i="1"/>
  <c r="AU353" i="1"/>
  <c r="AY353" i="1"/>
  <c r="AZ353" i="1" s="1"/>
  <c r="BC353" i="1" s="1"/>
  <c r="AU352" i="1"/>
  <c r="BK352" i="1"/>
  <c r="AY352" i="1"/>
  <c r="AZ352" i="1" s="1"/>
  <c r="BC352" i="1" s="1"/>
  <c r="BK351" i="1"/>
  <c r="AY351" i="1"/>
  <c r="AZ351" i="1" s="1"/>
  <c r="BC351" i="1" s="1"/>
  <c r="AU350" i="1"/>
  <c r="AM350" i="1"/>
  <c r="BK350" i="1"/>
  <c r="AY350" i="1"/>
  <c r="AZ350" i="1" s="1"/>
  <c r="BC350" i="1" s="1"/>
  <c r="AM349" i="1"/>
  <c r="BK349" i="1"/>
  <c r="AU349" i="1"/>
  <c r="AY349" i="1"/>
  <c r="AZ349" i="1" s="1"/>
  <c r="BC349" i="1" s="1"/>
  <c r="AU348" i="1"/>
  <c r="BK348" i="1"/>
  <c r="AY348" i="1"/>
  <c r="AZ348" i="1" s="1"/>
  <c r="BC348" i="1" s="1"/>
  <c r="AU347" i="1"/>
  <c r="BK347" i="1"/>
  <c r="AY347" i="1"/>
  <c r="AZ347" i="1" s="1"/>
  <c r="BC347" i="1" s="1"/>
  <c r="AU346" i="1"/>
  <c r="AM346" i="1"/>
  <c r="BK346" i="1"/>
  <c r="AY346" i="1"/>
  <c r="AZ346" i="1" s="1"/>
  <c r="BC346" i="1" s="1"/>
  <c r="AM345" i="1"/>
  <c r="BK345" i="1"/>
  <c r="AU345" i="1"/>
  <c r="AY345" i="1"/>
  <c r="AZ345" i="1" s="1"/>
  <c r="BC345" i="1" s="1"/>
  <c r="AU344" i="1"/>
  <c r="BK344" i="1"/>
  <c r="AI344" i="1"/>
  <c r="AY344" i="1"/>
  <c r="AZ344" i="1" s="1"/>
  <c r="BC344" i="1" s="1"/>
  <c r="AU343" i="1"/>
  <c r="BK343" i="1"/>
  <c r="AY343" i="1"/>
  <c r="AZ343" i="1" s="1"/>
  <c r="BC343" i="1" s="1"/>
  <c r="AU342" i="1"/>
  <c r="BK342" i="1"/>
  <c r="AI342" i="1"/>
  <c r="AJ342" i="1" s="1"/>
  <c r="AM342" i="1" s="1"/>
  <c r="AB342" i="1" s="1"/>
  <c r="E342" i="1" s="1"/>
  <c r="AY342" i="1"/>
  <c r="AZ342" i="1" s="1"/>
  <c r="BC342" i="1" s="1"/>
  <c r="AU340" i="1"/>
  <c r="AM341" i="1"/>
  <c r="AB341" i="1" s="1"/>
  <c r="E341" i="1" s="1"/>
  <c r="BK341" i="1"/>
  <c r="AY341" i="1"/>
  <c r="AZ341" i="1" s="1"/>
  <c r="BC341" i="1" s="1"/>
  <c r="BK340" i="1"/>
  <c r="AI340" i="1"/>
  <c r="AY340" i="1"/>
  <c r="AZ340" i="1" s="1"/>
  <c r="BC340" i="1" s="1"/>
  <c r="BK339" i="1"/>
  <c r="AY339" i="1"/>
  <c r="AZ339" i="1" s="1"/>
  <c r="BC339" i="1" s="1"/>
  <c r="AM338" i="1"/>
  <c r="AB338" i="1" s="1"/>
  <c r="E338" i="1" s="1"/>
  <c r="BK338" i="1"/>
  <c r="AY338" i="1"/>
  <c r="AZ338" i="1" s="1"/>
  <c r="BC338" i="1" s="1"/>
  <c r="AM337" i="1"/>
  <c r="AB337" i="1" s="1"/>
  <c r="E337" i="1" s="1"/>
  <c r="BK337" i="1"/>
  <c r="AY337" i="1"/>
  <c r="AZ337" i="1" s="1"/>
  <c r="BC337" i="1" s="1"/>
  <c r="AU336" i="1"/>
  <c r="BK336" i="1"/>
  <c r="AI336" i="1"/>
  <c r="AY336" i="1"/>
  <c r="AZ336" i="1" s="1"/>
  <c r="BC336" i="1" s="1"/>
  <c r="BK335" i="1"/>
  <c r="AY335" i="1"/>
  <c r="AZ335" i="1" s="1"/>
  <c r="BC335" i="1" s="1"/>
  <c r="AU334" i="1"/>
  <c r="AM334" i="1"/>
  <c r="AB334" i="1" s="1"/>
  <c r="E334" i="1" s="1"/>
  <c r="BK334" i="1"/>
  <c r="AY334" i="1"/>
  <c r="AZ334" i="1" s="1"/>
  <c r="BC334" i="1" s="1"/>
  <c r="AU333" i="1"/>
  <c r="AM333" i="1"/>
  <c r="AB333" i="1" s="1"/>
  <c r="E333" i="1" s="1"/>
  <c r="BK333" i="1"/>
  <c r="AY333" i="1"/>
  <c r="AZ333" i="1" s="1"/>
  <c r="BC333" i="1" s="1"/>
  <c r="BK332" i="1"/>
  <c r="AU332" i="1"/>
  <c r="AY332" i="1"/>
  <c r="AZ332" i="1" s="1"/>
  <c r="BC332" i="1" s="1"/>
  <c r="BK331" i="1"/>
  <c r="AY331" i="1"/>
  <c r="AZ331" i="1" s="1"/>
  <c r="BC331" i="1" s="1"/>
  <c r="AU330" i="1"/>
  <c r="BK330" i="1"/>
  <c r="AI330" i="1"/>
  <c r="AJ330" i="1" s="1"/>
  <c r="AM330" i="1" s="1"/>
  <c r="AB330" i="1" s="1"/>
  <c r="E330" i="1" s="1"/>
  <c r="AY330" i="1"/>
  <c r="AZ330" i="1" s="1"/>
  <c r="BC330" i="1" s="1"/>
  <c r="AU329" i="1"/>
  <c r="AM329" i="1"/>
  <c r="AB329" i="1" s="1"/>
  <c r="E329" i="1" s="1"/>
  <c r="BK329" i="1"/>
  <c r="AY329" i="1"/>
  <c r="AZ329" i="1" s="1"/>
  <c r="BC329" i="1" s="1"/>
  <c r="BK328" i="1"/>
  <c r="AU328" i="1"/>
  <c r="AI328" i="1"/>
  <c r="AY328" i="1"/>
  <c r="AZ328" i="1" s="1"/>
  <c r="BC328" i="1" s="1"/>
  <c r="BK327" i="1"/>
  <c r="AY327" i="1"/>
  <c r="AZ327" i="1" s="1"/>
  <c r="BC327" i="1"/>
  <c r="AM326" i="1"/>
  <c r="AB326" i="1" s="1"/>
  <c r="E326" i="1" s="1"/>
  <c r="BK326" i="1"/>
  <c r="AY326" i="1"/>
  <c r="AZ326" i="1" s="1"/>
  <c r="BC326" i="1" s="1"/>
  <c r="AM325" i="1"/>
  <c r="AB325" i="1" s="1"/>
  <c r="E325" i="1" s="1"/>
  <c r="BK325" i="1"/>
  <c r="AY325" i="1"/>
  <c r="AZ325" i="1" s="1"/>
  <c r="BC325" i="1" s="1"/>
  <c r="BK324" i="1"/>
  <c r="AY324" i="1"/>
  <c r="AZ324" i="1" s="1"/>
  <c r="BC324" i="1" s="1"/>
  <c r="BK323" i="1"/>
  <c r="AY323" i="1"/>
  <c r="AZ323" i="1" s="1"/>
  <c r="BC323" i="1" s="1"/>
  <c r="BK322" i="1"/>
  <c r="AI322" i="1"/>
  <c r="AJ322" i="1" s="1"/>
  <c r="AM322" i="1" s="1"/>
  <c r="AB322" i="1" s="1"/>
  <c r="E322" i="1" s="1"/>
  <c r="AY322" i="1"/>
  <c r="AZ322" i="1" s="1"/>
  <c r="BC322" i="1" s="1"/>
  <c r="AU321" i="1"/>
  <c r="AM321" i="1"/>
  <c r="AB321" i="1" s="1"/>
  <c r="E321" i="1" s="1"/>
  <c r="BK321" i="1"/>
  <c r="AY321" i="1"/>
  <c r="AZ321" i="1" s="1"/>
  <c r="BC321" i="1" s="1"/>
  <c r="AU317" i="1"/>
  <c r="AM317" i="1"/>
  <c r="AB317" i="1" s="1"/>
  <c r="E317" i="1" s="1"/>
  <c r="BK317" i="1"/>
  <c r="BK320" i="1"/>
  <c r="AU320" i="1"/>
  <c r="BK318" i="1"/>
  <c r="BK319" i="1"/>
  <c r="AY320" i="1"/>
  <c r="AZ320" i="1" s="1"/>
  <c r="BC320" i="1" s="1"/>
  <c r="AI318" i="1"/>
  <c r="AJ318" i="1" s="1"/>
  <c r="AM318" i="1" s="1"/>
  <c r="AB318" i="1" s="1"/>
  <c r="E318" i="1" s="1"/>
  <c r="AU318" i="1"/>
  <c r="AY319" i="1"/>
  <c r="AZ319" i="1" s="1"/>
  <c r="BC319" i="1" s="1"/>
  <c r="AY318" i="1"/>
  <c r="AZ318" i="1" s="1"/>
  <c r="BC318" i="1" s="1"/>
  <c r="BK305" i="1"/>
  <c r="AM306" i="1"/>
  <c r="AB306" i="1" s="1"/>
  <c r="E306" i="1" s="1"/>
  <c r="AU307" i="1"/>
  <c r="AU308" i="1"/>
  <c r="BK309" i="1"/>
  <c r="AM310" i="1"/>
  <c r="AB310" i="1" s="1"/>
  <c r="E310" i="1" s="1"/>
  <c r="BK311" i="1"/>
  <c r="AU312" i="1"/>
  <c r="AU313" i="1"/>
  <c r="BK316" i="1"/>
  <c r="AM305" i="1"/>
  <c r="AB305" i="1" s="1"/>
  <c r="E305" i="1" s="1"/>
  <c r="AU305" i="1"/>
  <c r="AM309" i="1"/>
  <c r="AB309" i="1" s="1"/>
  <c r="E309" i="1" s="1"/>
  <c r="AU309" i="1"/>
  <c r="AU311" i="1"/>
  <c r="AM313" i="1"/>
  <c r="AB313" i="1" s="1"/>
  <c r="E313" i="1" s="1"/>
  <c r="AU315" i="1"/>
  <c r="BK313" i="1"/>
  <c r="BK314" i="1"/>
  <c r="BK315" i="1"/>
  <c r="BK304" i="1"/>
  <c r="AY313" i="1"/>
  <c r="AZ313" i="1" s="1"/>
  <c r="BC313" i="1" s="1"/>
  <c r="AY315" i="1"/>
  <c r="AZ315" i="1" s="1"/>
  <c r="BC315" i="1" s="1"/>
  <c r="AY316" i="1"/>
  <c r="AZ316" i="1" s="1"/>
  <c r="BC316" i="1" s="1"/>
  <c r="AY317" i="1"/>
  <c r="AZ317" i="1" s="1"/>
  <c r="BC317" i="1" s="1"/>
  <c r="AI314" i="1"/>
  <c r="AJ314" i="1" s="1"/>
  <c r="AM314" i="1" s="1"/>
  <c r="AB314" i="1" s="1"/>
  <c r="E314" i="1" s="1"/>
  <c r="AY314" i="1"/>
  <c r="AZ314" i="1" s="1"/>
  <c r="BC314" i="1" s="1"/>
  <c r="AI316" i="1"/>
  <c r="BK303" i="1"/>
  <c r="AU303" i="1"/>
  <c r="BK299" i="1"/>
  <c r="AM302" i="1"/>
  <c r="AB302" i="1" s="1"/>
  <c r="E302" i="1" s="1"/>
  <c r="AU281" i="1"/>
  <c r="AU300" i="1"/>
  <c r="BN300" i="1"/>
  <c r="AU301" i="1"/>
  <c r="AI301" i="1"/>
  <c r="AJ301" i="1" s="1"/>
  <c r="AM301" i="1" s="1"/>
  <c r="AB301" i="1" s="1"/>
  <c r="E301" i="1" s="1"/>
  <c r="AI299" i="1"/>
  <c r="AU299" i="1"/>
  <c r="BK296" i="1"/>
  <c r="AU297" i="1"/>
  <c r="AU298" i="1"/>
  <c r="BK298" i="1"/>
  <c r="BN298" i="1"/>
  <c r="AM298" i="1"/>
  <c r="AB298" i="1" s="1"/>
  <c r="E298" i="1" s="1"/>
  <c r="AM297" i="1"/>
  <c r="AB297" i="1" s="1"/>
  <c r="E297" i="1" s="1"/>
  <c r="BK293" i="1"/>
  <c r="AM293" i="1"/>
  <c r="AB293" i="1" s="1"/>
  <c r="E293" i="1" s="1"/>
  <c r="AU293" i="1"/>
  <c r="AU292" i="1"/>
  <c r="BK295" i="1"/>
  <c r="BK290" i="1"/>
  <c r="AU289" i="1"/>
  <c r="AU295" i="1"/>
  <c r="AI294" i="1"/>
  <c r="AJ294" i="1" s="1"/>
  <c r="AM294" i="1" s="1"/>
  <c r="AB294" i="1" s="1"/>
  <c r="E294" i="1" s="1"/>
  <c r="BK294" i="1"/>
  <c r="AU294" i="1"/>
  <c r="AU291" i="1"/>
  <c r="AI290" i="1"/>
  <c r="AJ290" i="1" s="1"/>
  <c r="AM290" i="1" s="1"/>
  <c r="AB290" i="1" s="1"/>
  <c r="E290" i="1" s="1"/>
  <c r="AU290" i="1"/>
  <c r="AM289" i="1"/>
  <c r="AB289" i="1" s="1"/>
  <c r="E289" i="1" s="1"/>
  <c r="AM288" i="1"/>
  <c r="AB288" i="1" s="1"/>
  <c r="E288" i="1" s="1"/>
  <c r="BK288" i="1"/>
  <c r="AM287" i="1"/>
  <c r="AB287" i="1" s="1"/>
  <c r="E287" i="1" s="1"/>
  <c r="AU287" i="1"/>
  <c r="AI286" i="1"/>
  <c r="AJ286" i="1" s="1"/>
  <c r="AM286" i="1" s="1"/>
  <c r="AB286" i="1" s="1"/>
  <c r="E286" i="1" s="1"/>
  <c r="BN285" i="1"/>
  <c r="AM285" i="1"/>
  <c r="AB285" i="1" s="1"/>
  <c r="E285" i="1" s="1"/>
  <c r="AU285" i="1"/>
  <c r="AM284" i="1"/>
  <c r="AB284" i="1" s="1"/>
  <c r="E284" i="1" s="1"/>
  <c r="AU284" i="1"/>
  <c r="AM280" i="1"/>
  <c r="AB280" i="1" s="1"/>
  <c r="E280" i="1" s="1"/>
  <c r="AU280" i="1"/>
  <c r="AM283" i="1"/>
  <c r="AB283" i="1" s="1"/>
  <c r="E283" i="1" s="1"/>
  <c r="AU283" i="1"/>
  <c r="AI282" i="1"/>
  <c r="AJ282" i="1" s="1"/>
  <c r="AM282" i="1" s="1"/>
  <c r="AB282" i="1" s="1"/>
  <c r="E282" i="1" s="1"/>
  <c r="AU282" i="1"/>
  <c r="AM281" i="1"/>
  <c r="AB281" i="1" s="1"/>
  <c r="E281" i="1" s="1"/>
  <c r="AM278" i="1"/>
  <c r="AB278" i="1" s="1"/>
  <c r="E278" i="1" s="1"/>
  <c r="AU279" i="1"/>
  <c r="AM279" i="1"/>
  <c r="AB279" i="1" s="1"/>
  <c r="E279" i="1" s="1"/>
  <c r="BN278" i="1"/>
  <c r="AU276" i="1"/>
  <c r="BK236" i="1"/>
  <c r="AM256" i="1"/>
  <c r="AB256" i="1" s="1"/>
  <c r="E256" i="1" s="1"/>
  <c r="AM274" i="1"/>
  <c r="AB274" i="1" s="1"/>
  <c r="E274" i="1" s="1"/>
  <c r="AU274" i="1"/>
  <c r="AU237" i="1"/>
  <c r="BK237" i="1"/>
  <c r="BK225" i="1"/>
  <c r="BN225" i="1"/>
  <c r="AU225" i="1"/>
  <c r="AU271" i="1"/>
  <c r="BK277" i="1"/>
  <c r="AM277" i="1"/>
  <c r="AB277" i="1" s="1"/>
  <c r="E277" i="1" s="1"/>
  <c r="AU277" i="1"/>
  <c r="AM272" i="1"/>
  <c r="AB272" i="1" s="1"/>
  <c r="E272" i="1" s="1"/>
  <c r="AU272" i="1"/>
  <c r="BK270" i="1"/>
  <c r="AU275" i="1"/>
  <c r="AM275" i="1"/>
  <c r="AB275" i="1" s="1"/>
  <c r="E275" i="1" s="1"/>
  <c r="AM262" i="1"/>
  <c r="AB262" i="1" s="1"/>
  <c r="E262" i="1" s="1"/>
  <c r="AU262" i="1"/>
  <c r="BK261" i="1"/>
  <c r="AU261" i="1"/>
  <c r="AM254" i="1"/>
  <c r="AB254" i="1" s="1"/>
  <c r="E254" i="1" s="1"/>
  <c r="AU254" i="1"/>
  <c r="AM233" i="1"/>
  <c r="AB233" i="1" s="1"/>
  <c r="E233" i="1" s="1"/>
  <c r="AU233" i="1"/>
  <c r="AM260" i="1"/>
  <c r="AB260" i="1" s="1"/>
  <c r="E260" i="1" s="1"/>
  <c r="AU260" i="1"/>
  <c r="AU248" i="1"/>
  <c r="AM268" i="1"/>
  <c r="AB268" i="1" s="1"/>
  <c r="E268" i="1" s="1"/>
  <c r="AU268" i="1"/>
  <c r="AI276" i="1"/>
  <c r="AJ276" i="1" s="1"/>
  <c r="AM276" i="1" s="1"/>
  <c r="AB276" i="1" s="1"/>
  <c r="E276" i="1" s="1"/>
  <c r="BK245" i="1"/>
  <c r="AU245" i="1"/>
  <c r="AU250" i="1"/>
  <c r="BK221" i="1"/>
  <c r="AU221" i="1"/>
  <c r="AM273" i="1"/>
  <c r="AB273" i="1" s="1"/>
  <c r="E273" i="1" s="1"/>
  <c r="AM223" i="1"/>
  <c r="AB223" i="1" s="1"/>
  <c r="E223" i="1" s="1"/>
  <c r="BK223" i="1"/>
  <c r="AM228" i="1"/>
  <c r="AB228" i="1" s="1"/>
  <c r="E228" i="1" s="1"/>
  <c r="AU269" i="1"/>
  <c r="BK269" i="1"/>
  <c r="BN272" i="1"/>
  <c r="AM252" i="1"/>
  <c r="AB252" i="1" s="1"/>
  <c r="E252" i="1" s="1"/>
  <c r="AU252" i="1"/>
  <c r="BK232" i="1"/>
  <c r="AM231" i="1"/>
  <c r="AB231" i="1" s="1"/>
  <c r="E231" i="1" s="1"/>
  <c r="AM266" i="1"/>
  <c r="AB266" i="1" s="1"/>
  <c r="E266" i="1" s="1"/>
  <c r="AU266" i="1"/>
  <c r="AU257" i="1"/>
  <c r="BN257" i="1"/>
  <c r="BK229" i="1"/>
  <c r="AU229" i="1"/>
  <c r="AM243" i="1"/>
  <c r="AB243" i="1" s="1"/>
  <c r="E243" i="1" s="1"/>
  <c r="AM258" i="1"/>
  <c r="AB258" i="1" s="1"/>
  <c r="E258" i="1" s="1"/>
  <c r="AU249" i="1"/>
  <c r="BK246" i="1"/>
  <c r="AU267" i="1"/>
  <c r="BK264" i="1"/>
  <c r="AM264" i="1"/>
  <c r="AB264" i="1" s="1"/>
  <c r="E264" i="1" s="1"/>
  <c r="AU227" i="1"/>
  <c r="AM227" i="1"/>
  <c r="AB227" i="1" s="1"/>
  <c r="E227" i="1" s="1"/>
  <c r="BK265" i="1"/>
  <c r="AU265" i="1"/>
  <c r="AU259" i="1"/>
  <c r="AU263" i="1"/>
  <c r="BK219" i="1"/>
  <c r="AM219" i="1"/>
  <c r="AB219" i="1" s="1"/>
  <c r="E219" i="1" s="1"/>
  <c r="AU219" i="1"/>
  <c r="AU253" i="1"/>
  <c r="AU256" i="1"/>
  <c r="BK230" i="1"/>
  <c r="AU247" i="1"/>
  <c r="AU255" i="1"/>
  <c r="AU241" i="1"/>
  <c r="AU220" i="1"/>
  <c r="AU235" i="1"/>
  <c r="AU238" i="1"/>
  <c r="AU251" i="1"/>
  <c r="AI248" i="1"/>
  <c r="AJ248" i="1" s="1"/>
  <c r="AM248" i="1" s="1"/>
  <c r="AB248" i="1" s="1"/>
  <c r="E248" i="1" s="1"/>
  <c r="AM242" i="1"/>
  <c r="AB242" i="1" s="1"/>
  <c r="E242" i="1" s="1"/>
  <c r="BK242" i="1"/>
  <c r="AU243" i="1"/>
  <c r="BK224" i="1"/>
  <c r="AM224" i="1"/>
  <c r="AB224" i="1" s="1"/>
  <c r="E224" i="1" s="1"/>
  <c r="AI235" i="1"/>
  <c r="AM236" i="1"/>
  <c r="AB236" i="1" s="1"/>
  <c r="E236" i="1" s="1"/>
  <c r="AU236" i="1"/>
  <c r="AI237" i="1"/>
  <c r="AM238" i="1"/>
  <c r="AB238" i="1" s="1"/>
  <c r="E238" i="1" s="1"/>
  <c r="AI239" i="1"/>
  <c r="AU239" i="1"/>
  <c r="AM240" i="1"/>
  <c r="AB240" i="1" s="1"/>
  <c r="E240" i="1" s="1"/>
  <c r="AU240" i="1"/>
  <c r="AU231" i="1"/>
  <c r="AY231" i="1"/>
  <c r="AZ231" i="1" s="1"/>
  <c r="BC231" i="1" s="1"/>
  <c r="AU228" i="1"/>
  <c r="AM220" i="1"/>
  <c r="AB220" i="1" s="1"/>
  <c r="E220" i="1" s="1"/>
  <c r="AU223" i="1"/>
  <c r="BK220" i="1"/>
  <c r="BN220" i="1"/>
  <c r="AY230" i="1"/>
  <c r="AZ230" i="1" s="1"/>
  <c r="BC230" i="1" s="1"/>
  <c r="AU217" i="1"/>
  <c r="BK217" i="1"/>
  <c r="AM216" i="1"/>
  <c r="AB216" i="1" s="1"/>
  <c r="E216" i="1" s="1"/>
  <c r="BN215" i="1"/>
  <c r="AM215" i="1"/>
  <c r="AB215" i="1" s="1"/>
  <c r="E215" i="1" s="1"/>
  <c r="AU215" i="1"/>
  <c r="BK214" i="1"/>
  <c r="AU214" i="1"/>
  <c r="AU213" i="1"/>
  <c r="AI213" i="1"/>
  <c r="AM212" i="1"/>
  <c r="AB212" i="1" s="1"/>
  <c r="E212" i="1" s="1"/>
  <c r="AU212" i="1"/>
  <c r="BK212" i="1"/>
  <c r="BN212" i="1"/>
  <c r="AM211" i="1"/>
  <c r="AB211" i="1" s="1"/>
  <c r="E211" i="1" s="1"/>
  <c r="AU211" i="1"/>
  <c r="AU210" i="1"/>
  <c r="BN210" i="1"/>
  <c r="AU209" i="1"/>
  <c r="BK209" i="1"/>
  <c r="BN208" i="1"/>
  <c r="BK208" i="1"/>
  <c r="AU208" i="1"/>
  <c r="AM208" i="1"/>
  <c r="AB208" i="1" s="1"/>
  <c r="E208" i="1" s="1"/>
  <c r="AI207" i="1"/>
  <c r="AJ207" i="1" s="1"/>
  <c r="AM207" i="1" s="1"/>
  <c r="AB207" i="1" s="1"/>
  <c r="E207" i="1" s="1"/>
  <c r="AU207" i="1"/>
  <c r="BK207" i="1"/>
  <c r="AU206" i="1"/>
  <c r="BN205" i="1"/>
  <c r="AU205" i="1"/>
  <c r="BK205" i="1"/>
  <c r="AM204" i="1"/>
  <c r="AB204" i="1" s="1"/>
  <c r="E204" i="1" s="1"/>
  <c r="BK203" i="1"/>
  <c r="BN203" i="1"/>
  <c r="AM203" i="1"/>
  <c r="AB203" i="1" s="1"/>
  <c r="E203" i="1" s="1"/>
  <c r="AU203" i="1"/>
  <c r="AU202" i="1"/>
  <c r="BN201" i="1"/>
  <c r="AU201" i="1"/>
  <c r="BK201" i="1"/>
  <c r="AM200" i="1"/>
  <c r="AB200" i="1" s="1"/>
  <c r="E200" i="1" s="1"/>
  <c r="AI200" i="1"/>
  <c r="AJ200" i="1" s="1"/>
  <c r="BK199" i="1"/>
  <c r="BN199" i="1"/>
  <c r="AM199" i="1"/>
  <c r="AB199" i="1" s="1"/>
  <c r="E199" i="1" s="1"/>
  <c r="AU199" i="1"/>
  <c r="AU198" i="1"/>
  <c r="AU197" i="1"/>
  <c r="BK197" i="1"/>
  <c r="AM196" i="1"/>
  <c r="AB196" i="1" s="1"/>
  <c r="E196" i="1" s="1"/>
  <c r="AU196" i="1"/>
  <c r="AU195" i="1"/>
  <c r="AM195" i="1"/>
  <c r="AB195" i="1" s="1"/>
  <c r="E195" i="1" s="1"/>
  <c r="BK195" i="1"/>
  <c r="BK194" i="1"/>
  <c r="AM192" i="1"/>
  <c r="AB192" i="1" s="1"/>
  <c r="E192" i="1" s="1"/>
  <c r="AU192" i="1"/>
  <c r="AM191" i="1"/>
  <c r="AB191" i="1" s="1"/>
  <c r="E191" i="1" s="1"/>
  <c r="AU191" i="1"/>
  <c r="AU190" i="1"/>
  <c r="AU189" i="1"/>
  <c r="AU188" i="1"/>
  <c r="AM188" i="1"/>
  <c r="AB188" i="1" s="1"/>
  <c r="E188" i="1" s="1"/>
  <c r="AM187" i="1"/>
  <c r="AB187" i="1" s="1"/>
  <c r="E187" i="1" s="1"/>
  <c r="AU187" i="1"/>
  <c r="AU186" i="1"/>
  <c r="BK185" i="1"/>
  <c r="AU185" i="1"/>
  <c r="AM184" i="1"/>
  <c r="AB184" i="1" s="1"/>
  <c r="E184" i="1" s="1"/>
  <c r="AU184" i="1"/>
  <c r="AM183" i="1"/>
  <c r="AB183" i="1" s="1"/>
  <c r="E183" i="1" s="1"/>
  <c r="BK182" i="1"/>
  <c r="AU181" i="1"/>
  <c r="AU180" i="1"/>
  <c r="BK180" i="1"/>
  <c r="AM180" i="1"/>
  <c r="AB180" i="1" s="1"/>
  <c r="E180" i="1" s="1"/>
  <c r="AM179" i="1"/>
  <c r="AB179" i="1" s="1"/>
  <c r="E179" i="1" s="1"/>
  <c r="AU179" i="1"/>
  <c r="BK178" i="1"/>
  <c r="BK177" i="1"/>
  <c r="BK176" i="1"/>
  <c r="AM176" i="1"/>
  <c r="AB176" i="1" s="1"/>
  <c r="E176" i="1" s="1"/>
  <c r="AM175" i="1"/>
  <c r="AB175" i="1" s="1"/>
  <c r="E175" i="1" s="1"/>
  <c r="BK175" i="1"/>
  <c r="BK174" i="1"/>
  <c r="AM174" i="1"/>
  <c r="AB174" i="1" s="1"/>
  <c r="E174" i="1" s="1"/>
  <c r="AU174" i="1"/>
  <c r="AU173" i="1"/>
  <c r="AM173" i="1"/>
  <c r="AB173" i="1" s="1"/>
  <c r="E173" i="1" s="1"/>
  <c r="BK172" i="1"/>
  <c r="AM172" i="1"/>
  <c r="AB172" i="1" s="1"/>
  <c r="E172" i="1" s="1"/>
  <c r="AM171" i="1"/>
  <c r="AB171" i="1" s="1"/>
  <c r="E171" i="1" s="1"/>
  <c r="AU171" i="1"/>
  <c r="BK170" i="1"/>
  <c r="AM170" i="1"/>
  <c r="AB170" i="1" s="1"/>
  <c r="E170" i="1" s="1"/>
  <c r="BK169" i="1"/>
  <c r="AM169" i="1"/>
  <c r="AB169" i="1" s="1"/>
  <c r="E169" i="1" s="1"/>
  <c r="AU169" i="1"/>
  <c r="BK168" i="1"/>
  <c r="AM168" i="1"/>
  <c r="AB168" i="1" s="1"/>
  <c r="E168" i="1" s="1"/>
  <c r="AM167" i="1"/>
  <c r="AB167" i="1" s="1"/>
  <c r="E167" i="1" s="1"/>
  <c r="BK167" i="1"/>
  <c r="AU167" i="1"/>
  <c r="AM166" i="1"/>
  <c r="AB166" i="1" s="1"/>
  <c r="E166" i="1" s="1"/>
  <c r="AM165" i="1"/>
  <c r="AB165" i="1" s="1"/>
  <c r="E165" i="1" s="1"/>
  <c r="AM164" i="1"/>
  <c r="AB164" i="1" s="1"/>
  <c r="E164" i="1" s="1"/>
  <c r="AM163" i="1"/>
  <c r="AB163" i="1" s="1"/>
  <c r="E163" i="1" s="1"/>
  <c r="AU163" i="1"/>
  <c r="BK163" i="1"/>
  <c r="AU162" i="1"/>
  <c r="AB162" i="1" s="1"/>
  <c r="E162" i="1" s="1"/>
  <c r="AM162" i="1"/>
  <c r="AU161" i="1"/>
  <c r="BK161" i="1"/>
  <c r="AM161" i="1"/>
  <c r="AB161" i="1" s="1"/>
  <c r="E161" i="1" s="1"/>
  <c r="AM160" i="1"/>
  <c r="AB160" i="1" s="1"/>
  <c r="E160" i="1" s="1"/>
  <c r="BK159" i="1"/>
  <c r="AM159" i="1"/>
  <c r="AB159" i="1" s="1"/>
  <c r="E159" i="1" s="1"/>
  <c r="AU159" i="1"/>
  <c r="AM158" i="1"/>
  <c r="AB158" i="1" s="1"/>
  <c r="E158" i="1" s="1"/>
  <c r="BK157" i="1"/>
  <c r="AU157" i="1"/>
  <c r="AM157" i="1"/>
  <c r="AB157" i="1" s="1"/>
  <c r="E157" i="1" s="1"/>
  <c r="AM156" i="1"/>
  <c r="AB156" i="1" s="1"/>
  <c r="E156" i="1" s="1"/>
  <c r="AU156" i="1"/>
  <c r="BK155" i="1"/>
  <c r="AM155" i="1"/>
  <c r="AB155" i="1" s="1"/>
  <c r="E155" i="1" s="1"/>
  <c r="AU155" i="1"/>
  <c r="AU154" i="1"/>
  <c r="AM154" i="1"/>
  <c r="AB154" i="1" s="1"/>
  <c r="E154" i="1" s="1"/>
  <c r="AY192" i="1"/>
  <c r="AZ192" i="1" s="1"/>
  <c r="BC192" i="1" s="1"/>
  <c r="AY193" i="1"/>
  <c r="AZ193" i="1" s="1"/>
  <c r="BC193" i="1" s="1"/>
  <c r="AY195" i="1"/>
  <c r="AZ195" i="1" s="1"/>
  <c r="BC195" i="1" s="1"/>
  <c r="AY196" i="1"/>
  <c r="AZ196" i="1" s="1"/>
  <c r="BC196" i="1" s="1"/>
  <c r="AY197" i="1"/>
  <c r="AZ197" i="1" s="1"/>
  <c r="BC197" i="1" s="1"/>
  <c r="AY200" i="1"/>
  <c r="AZ200" i="1" s="1"/>
  <c r="BC200" i="1" s="1"/>
  <c r="AY201" i="1"/>
  <c r="AZ201" i="1" s="1"/>
  <c r="BC201" i="1" s="1"/>
  <c r="AY203" i="1"/>
  <c r="AZ203" i="1" s="1"/>
  <c r="BC203" i="1" s="1"/>
  <c r="AY204" i="1"/>
  <c r="AZ204" i="1" s="1"/>
  <c r="BC204" i="1" s="1"/>
  <c r="AY205" i="1"/>
  <c r="AZ205" i="1" s="1"/>
  <c r="BC205" i="1" s="1"/>
  <c r="AY208" i="1"/>
  <c r="AZ208" i="1" s="1"/>
  <c r="BC208" i="1" s="1"/>
  <c r="AY209" i="1"/>
  <c r="AZ209" i="1" s="1"/>
  <c r="BC209" i="1" s="1"/>
  <c r="AY211" i="1"/>
  <c r="AZ211" i="1" s="1"/>
  <c r="BC211" i="1" s="1"/>
  <c r="AY212" i="1"/>
  <c r="AZ212" i="1" s="1"/>
  <c r="BC212" i="1" s="1"/>
  <c r="AY213" i="1"/>
  <c r="AZ213" i="1" s="1"/>
  <c r="BC213" i="1" s="1"/>
  <c r="AY217" i="1"/>
  <c r="AZ217" i="1" s="1"/>
  <c r="BC217" i="1" s="1"/>
  <c r="AY219" i="1"/>
  <c r="AZ219" i="1" s="1"/>
  <c r="BC219" i="1"/>
  <c r="AY221" i="1"/>
  <c r="AZ221" i="1" s="1"/>
  <c r="BC221" i="1" s="1"/>
  <c r="AY225" i="1"/>
  <c r="AZ225" i="1" s="1"/>
  <c r="BC225" i="1" s="1"/>
  <c r="AY229" i="1"/>
  <c r="AZ229" i="1" s="1"/>
  <c r="BC229" i="1" s="1"/>
  <c r="AY233" i="1"/>
  <c r="AZ233" i="1" s="1"/>
  <c r="BC233" i="1" s="1"/>
  <c r="AY236" i="1"/>
  <c r="AZ236" i="1" s="1"/>
  <c r="BC236" i="1" s="1"/>
  <c r="AY237" i="1"/>
  <c r="AZ237" i="1" s="1"/>
  <c r="BC237" i="1" s="1"/>
  <c r="AY240" i="1"/>
  <c r="AZ240" i="1" s="1"/>
  <c r="BC240" i="1"/>
  <c r="AY241" i="1"/>
  <c r="AZ241" i="1" s="1"/>
  <c r="BC241" i="1" s="1"/>
  <c r="AY244" i="1"/>
  <c r="AZ244" i="1" s="1"/>
  <c r="BC244" i="1" s="1"/>
  <c r="AY245" i="1"/>
  <c r="AZ245" i="1" s="1"/>
  <c r="BC245" i="1"/>
  <c r="AY248" i="1"/>
  <c r="AZ248" i="1" s="1"/>
  <c r="BC248" i="1" s="1"/>
  <c r="AY249" i="1"/>
  <c r="AZ249" i="1" s="1"/>
  <c r="BC249" i="1" s="1"/>
  <c r="AY252" i="1"/>
  <c r="AZ252" i="1" s="1"/>
  <c r="BC252" i="1" s="1"/>
  <c r="AY253" i="1"/>
  <c r="AZ253" i="1" s="1"/>
  <c r="BC253" i="1" s="1"/>
  <c r="AY256" i="1"/>
  <c r="AZ256" i="1" s="1"/>
  <c r="BC256" i="1" s="1"/>
  <c r="AY257" i="1"/>
  <c r="AZ257" i="1" s="1"/>
  <c r="BC257" i="1" s="1"/>
  <c r="AY261" i="1"/>
  <c r="AZ261" i="1" s="1"/>
  <c r="BC261" i="1" s="1"/>
  <c r="AY265" i="1"/>
  <c r="AZ265" i="1" s="1"/>
  <c r="BC265" i="1" s="1"/>
  <c r="AY269" i="1"/>
  <c r="AZ269" i="1" s="1"/>
  <c r="BC269" i="1" s="1"/>
  <c r="AY272" i="1"/>
  <c r="AZ272" i="1" s="1"/>
  <c r="BC272" i="1" s="1"/>
  <c r="AY273" i="1"/>
  <c r="AZ273" i="1" s="1"/>
  <c r="BC273" i="1" s="1"/>
  <c r="AY279" i="1"/>
  <c r="AZ279" i="1" s="1"/>
  <c r="BC279" i="1" s="1"/>
  <c r="AY280" i="1"/>
  <c r="AZ280" i="1" s="1"/>
  <c r="BC280" i="1" s="1"/>
  <c r="AY281" i="1"/>
  <c r="AZ281" i="1" s="1"/>
  <c r="BC281" i="1" s="1"/>
  <c r="AY285" i="1"/>
  <c r="AZ285" i="1" s="1"/>
  <c r="BC285" i="1" s="1"/>
  <c r="AY289" i="1"/>
  <c r="AZ289" i="1" s="1"/>
  <c r="BC289" i="1" s="1"/>
  <c r="AY293" i="1"/>
  <c r="AZ293" i="1" s="1"/>
  <c r="BC293" i="1" s="1"/>
  <c r="AY297" i="1"/>
  <c r="AZ297" i="1" s="1"/>
  <c r="BC297" i="1" s="1"/>
  <c r="AY301" i="1"/>
  <c r="AZ301" i="1" s="1"/>
  <c r="BC301" i="1" s="1"/>
  <c r="AY305" i="1"/>
  <c r="AZ305" i="1" s="1"/>
  <c r="BC305" i="1" s="1"/>
  <c r="AY309" i="1"/>
  <c r="AZ309" i="1" s="1"/>
  <c r="BC309" i="1" s="1"/>
  <c r="BK10" i="1"/>
  <c r="BK14" i="1"/>
  <c r="AY194" i="1"/>
  <c r="AZ194" i="1" s="1"/>
  <c r="BC194" i="1" s="1"/>
  <c r="AY198" i="1"/>
  <c r="AZ198" i="1" s="1"/>
  <c r="BC198" i="1" s="1"/>
  <c r="AY199" i="1"/>
  <c r="AZ199" i="1" s="1"/>
  <c r="BC199" i="1" s="1"/>
  <c r="AY202" i="1"/>
  <c r="AZ202" i="1" s="1"/>
  <c r="BC202" i="1" s="1"/>
  <c r="AY206" i="1"/>
  <c r="AZ206" i="1" s="1"/>
  <c r="BC206" i="1" s="1"/>
  <c r="AY207" i="1"/>
  <c r="AZ207" i="1" s="1"/>
  <c r="BC207" i="1" s="1"/>
  <c r="AY210" i="1"/>
  <c r="AZ210" i="1" s="1"/>
  <c r="BC210" i="1" s="1"/>
  <c r="AY214" i="1"/>
  <c r="AZ214" i="1" s="1"/>
  <c r="BC214" i="1" s="1"/>
  <c r="AY215" i="1"/>
  <c r="AZ215" i="1" s="1"/>
  <c r="BC215" i="1" s="1"/>
  <c r="AY216" i="1"/>
  <c r="AZ216" i="1" s="1"/>
  <c r="BC216" i="1" s="1"/>
  <c r="AY218" i="1"/>
  <c r="AZ218" i="1" s="1"/>
  <c r="BC218" i="1" s="1"/>
  <c r="AY220" i="1"/>
  <c r="AZ220" i="1" s="1"/>
  <c r="BC220" i="1" s="1"/>
  <c r="AY222" i="1"/>
  <c r="AZ222" i="1" s="1"/>
  <c r="BC222" i="1" s="1"/>
  <c r="AY223" i="1"/>
  <c r="AZ223" i="1" s="1"/>
  <c r="BC223" i="1" s="1"/>
  <c r="AY224" i="1"/>
  <c r="AZ224" i="1" s="1"/>
  <c r="BC224" i="1" s="1"/>
  <c r="AY226" i="1"/>
  <c r="AZ226" i="1" s="1"/>
  <c r="BC226" i="1" s="1"/>
  <c r="AY227" i="1"/>
  <c r="AZ227" i="1" s="1"/>
  <c r="BC227" i="1" s="1"/>
  <c r="AY228" i="1"/>
  <c r="AZ228" i="1" s="1"/>
  <c r="BC228" i="1" s="1"/>
  <c r="AY232" i="1"/>
  <c r="AZ232" i="1" s="1"/>
  <c r="BC232" i="1" s="1"/>
  <c r="AY234" i="1"/>
  <c r="AZ234" i="1" s="1"/>
  <c r="BC234" i="1" s="1"/>
  <c r="AY235" i="1"/>
  <c r="AZ235" i="1" s="1"/>
  <c r="BC235" i="1" s="1"/>
  <c r="AY238" i="1"/>
  <c r="AZ238" i="1" s="1"/>
  <c r="BC238" i="1" s="1"/>
  <c r="AY239" i="1"/>
  <c r="AZ239" i="1" s="1"/>
  <c r="BC239" i="1" s="1"/>
  <c r="AY242" i="1"/>
  <c r="AZ242" i="1" s="1"/>
  <c r="BC242" i="1" s="1"/>
  <c r="AY243" i="1"/>
  <c r="AZ243" i="1" s="1"/>
  <c r="BC243" i="1" s="1"/>
  <c r="AY246" i="1"/>
  <c r="AZ246" i="1" s="1"/>
  <c r="BC246" i="1" s="1"/>
  <c r="AY247" i="1"/>
  <c r="AZ247" i="1" s="1"/>
  <c r="BC247" i="1" s="1"/>
  <c r="AY250" i="1"/>
  <c r="AZ250" i="1" s="1"/>
  <c r="BC250" i="1" s="1"/>
  <c r="AY251" i="1"/>
  <c r="AZ251" i="1" s="1"/>
  <c r="BC251" i="1" s="1"/>
  <c r="AY254" i="1"/>
  <c r="AZ254" i="1" s="1"/>
  <c r="BC254" i="1" s="1"/>
  <c r="AY255" i="1"/>
  <c r="AZ255" i="1" s="1"/>
  <c r="BC255" i="1" s="1"/>
  <c r="AY258" i="1"/>
  <c r="AZ258" i="1" s="1"/>
  <c r="BC258" i="1" s="1"/>
  <c r="AY259" i="1"/>
  <c r="AZ259" i="1" s="1"/>
  <c r="BC259" i="1" s="1"/>
  <c r="AY260" i="1"/>
  <c r="AZ260" i="1" s="1"/>
  <c r="BC260" i="1" s="1"/>
  <c r="AY262" i="1"/>
  <c r="AZ262" i="1" s="1"/>
  <c r="BC262" i="1" s="1"/>
  <c r="AY263" i="1"/>
  <c r="AZ263" i="1" s="1"/>
  <c r="BC263" i="1" s="1"/>
  <c r="AY264" i="1"/>
  <c r="AZ264" i="1" s="1"/>
  <c r="BC264" i="1" s="1"/>
  <c r="AY266" i="1"/>
  <c r="AZ266" i="1" s="1"/>
  <c r="BC266" i="1" s="1"/>
  <c r="AY267" i="1"/>
  <c r="AZ267" i="1" s="1"/>
  <c r="BC267" i="1" s="1"/>
  <c r="AY268" i="1"/>
  <c r="AZ268" i="1" s="1"/>
  <c r="BC268" i="1" s="1"/>
  <c r="AY270" i="1"/>
  <c r="AZ270" i="1" s="1"/>
  <c r="BC270" i="1" s="1"/>
  <c r="AY271" i="1"/>
  <c r="AZ271" i="1" s="1"/>
  <c r="BC271" i="1" s="1"/>
  <c r="AY274" i="1"/>
  <c r="AZ274" i="1" s="1"/>
  <c r="BC274" i="1" s="1"/>
  <c r="AY275" i="1"/>
  <c r="AZ275" i="1" s="1"/>
  <c r="BC275" i="1" s="1"/>
  <c r="AY276" i="1"/>
  <c r="AZ276" i="1" s="1"/>
  <c r="BC276" i="1" s="1"/>
  <c r="AY277" i="1"/>
  <c r="AZ277" i="1" s="1"/>
  <c r="BC277" i="1" s="1"/>
  <c r="AY278" i="1"/>
  <c r="AZ278" i="1" s="1"/>
  <c r="BC278" i="1" s="1"/>
  <c r="AY282" i="1"/>
  <c r="AZ282" i="1" s="1"/>
  <c r="BC282" i="1" s="1"/>
  <c r="AY283" i="1"/>
  <c r="AZ283" i="1" s="1"/>
  <c r="BC283" i="1" s="1"/>
  <c r="AY284" i="1"/>
  <c r="AZ284" i="1" s="1"/>
  <c r="BC284" i="1" s="1"/>
  <c r="AY286" i="1"/>
  <c r="AZ286" i="1" s="1"/>
  <c r="BC286" i="1" s="1"/>
  <c r="AY287" i="1"/>
  <c r="AZ287" i="1" s="1"/>
  <c r="BC287" i="1" s="1"/>
  <c r="AY288" i="1"/>
  <c r="AZ288" i="1" s="1"/>
  <c r="BC288" i="1" s="1"/>
  <c r="AY290" i="1"/>
  <c r="AZ290" i="1" s="1"/>
  <c r="BC290" i="1" s="1"/>
  <c r="AY291" i="1"/>
  <c r="AZ291" i="1" s="1"/>
  <c r="BC291" i="1" s="1"/>
  <c r="AY292" i="1"/>
  <c r="AZ292" i="1" s="1"/>
  <c r="BC292" i="1" s="1"/>
  <c r="AY294" i="1"/>
  <c r="AZ294" i="1" s="1"/>
  <c r="BC294" i="1" s="1"/>
  <c r="AY295" i="1"/>
  <c r="AZ295" i="1" s="1"/>
  <c r="BC295" i="1" s="1"/>
  <c r="AY296" i="1"/>
  <c r="AZ296" i="1" s="1"/>
  <c r="BC296" i="1" s="1"/>
  <c r="AY298" i="1"/>
  <c r="AZ298" i="1" s="1"/>
  <c r="BC298" i="1" s="1"/>
  <c r="AY299" i="1"/>
  <c r="AZ299" i="1" s="1"/>
  <c r="BC299" i="1" s="1"/>
  <c r="AY300" i="1"/>
  <c r="AZ300" i="1" s="1"/>
  <c r="BC300" i="1" s="1"/>
  <c r="AY302" i="1"/>
  <c r="AZ302" i="1" s="1"/>
  <c r="BC302" i="1" s="1"/>
  <c r="AY303" i="1"/>
  <c r="AZ303" i="1" s="1"/>
  <c r="BC303" i="1" s="1"/>
  <c r="AY304" i="1"/>
  <c r="AZ304" i="1" s="1"/>
  <c r="BC304" i="1" s="1"/>
  <c r="AY306" i="1"/>
  <c r="AZ306" i="1" s="1"/>
  <c r="BC306" i="1" s="1"/>
  <c r="AY307" i="1"/>
  <c r="AZ307" i="1" s="1"/>
  <c r="BC307" i="1" s="1"/>
  <c r="AY308" i="1"/>
  <c r="AZ308" i="1" s="1"/>
  <c r="BC308" i="1" s="1"/>
  <c r="AY310" i="1"/>
  <c r="AZ310" i="1" s="1"/>
  <c r="BC310" i="1" s="1"/>
  <c r="AY311" i="1"/>
  <c r="AZ311" i="1" s="1"/>
  <c r="BC311" i="1" s="1"/>
  <c r="AY312" i="1"/>
  <c r="AZ312" i="1" s="1"/>
  <c r="BC312" i="1" s="1"/>
  <c r="AI9" i="1"/>
  <c r="AJ9" i="1" s="1"/>
  <c r="AM6" i="1"/>
  <c r="AB6" i="1" s="1"/>
  <c r="E6" i="1" s="1"/>
  <c r="BC9" i="1"/>
  <c r="BK9" i="1"/>
  <c r="BK11" i="1"/>
  <c r="BC13" i="1"/>
  <c r="BK13" i="1"/>
  <c r="BK15" i="1"/>
  <c r="AY6" i="1"/>
  <c r="AZ6" i="1" s="1"/>
  <c r="BC6" i="1" s="1"/>
  <c r="BK5" i="1"/>
  <c r="AU6" i="1"/>
  <c r="BK7" i="1"/>
  <c r="AM9" i="1"/>
  <c r="AB9" i="1" s="1"/>
  <c r="E9" i="1" s="1"/>
  <c r="AM17" i="1"/>
  <c r="AB17" i="1" s="1"/>
  <c r="E17" i="1" s="1"/>
  <c r="AM19" i="1"/>
  <c r="AB19" i="1" s="1"/>
  <c r="E19" i="1" s="1"/>
  <c r="AM21" i="1"/>
  <c r="AB21" i="1" s="1"/>
  <c r="E21" i="1" s="1"/>
  <c r="AM23" i="1"/>
  <c r="AB23" i="1" s="1"/>
  <c r="E23" i="1" s="1"/>
  <c r="AM25" i="1"/>
  <c r="AM27" i="1"/>
  <c r="AB27" i="1" s="1"/>
  <c r="E27" i="1" s="1"/>
  <c r="AM29" i="1"/>
  <c r="AM18" i="1"/>
  <c r="AB18" i="1" s="1"/>
  <c r="E18" i="1" s="1"/>
  <c r="AM20" i="1"/>
  <c r="AB20" i="1" s="1"/>
  <c r="E20" i="1" s="1"/>
  <c r="AM22" i="1"/>
  <c r="AB22" i="1" s="1"/>
  <c r="E22" i="1" s="1"/>
  <c r="AM24" i="1"/>
  <c r="AM26" i="1"/>
  <c r="AM28" i="1"/>
  <c r="AM78" i="1"/>
  <c r="AB78" i="1" s="1"/>
  <c r="E78" i="1" s="1"/>
  <c r="AM82" i="1"/>
  <c r="AB82" i="1" s="1"/>
  <c r="E82" i="1" s="1"/>
  <c r="AM86" i="1"/>
  <c r="AB86" i="1" s="1"/>
  <c r="E86" i="1" s="1"/>
  <c r="AM90" i="1"/>
  <c r="AB90" i="1" s="1"/>
  <c r="E90" i="1" s="1"/>
  <c r="AM92" i="1"/>
  <c r="AM94" i="1"/>
  <c r="AM96" i="1"/>
  <c r="AB96" i="1" s="1"/>
  <c r="E96" i="1" s="1"/>
  <c r="AM98" i="1"/>
  <c r="AB98" i="1" s="1"/>
  <c r="E98" i="1" s="1"/>
  <c r="AM100" i="1"/>
  <c r="AM102" i="1"/>
  <c r="AM104" i="1"/>
  <c r="AB104" i="1" s="1"/>
  <c r="E104" i="1" s="1"/>
  <c r="AM106" i="1"/>
  <c r="AB106" i="1" s="1"/>
  <c r="E106" i="1" s="1"/>
  <c r="AM108" i="1"/>
  <c r="AM110" i="1"/>
  <c r="AB110" i="1" s="1"/>
  <c r="E110" i="1" s="1"/>
  <c r="AM111" i="1"/>
  <c r="AB111" i="1" s="1"/>
  <c r="E111" i="1" s="1"/>
  <c r="AU111" i="1"/>
  <c r="AM113" i="1"/>
  <c r="AB113" i="1" s="1"/>
  <c r="E113" i="1" s="1"/>
  <c r="AU113" i="1"/>
  <c r="AM115" i="1"/>
  <c r="AU115" i="1"/>
  <c r="AB115" i="1" s="1"/>
  <c r="E115" i="1" s="1"/>
  <c r="AM117" i="1"/>
  <c r="AU117" i="1"/>
  <c r="AB117" i="1" s="1"/>
  <c r="E117" i="1" s="1"/>
  <c r="AM119" i="1"/>
  <c r="AB119" i="1" s="1"/>
  <c r="E119" i="1" s="1"/>
  <c r="AU119" i="1"/>
  <c r="AM121" i="1"/>
  <c r="AB121" i="1" s="1"/>
  <c r="E121" i="1" s="1"/>
  <c r="AU121" i="1"/>
  <c r="AM123" i="1"/>
  <c r="AB123" i="1" s="1"/>
  <c r="E123" i="1" s="1"/>
  <c r="AU123" i="1"/>
  <c r="AM125" i="1"/>
  <c r="AB125" i="1" s="1"/>
  <c r="E125" i="1" s="1"/>
  <c r="AU125" i="1"/>
  <c r="AM127" i="1"/>
  <c r="AB127" i="1" s="1"/>
  <c r="E127" i="1" s="1"/>
  <c r="AU127" i="1"/>
  <c r="AM129" i="1"/>
  <c r="AU129" i="1"/>
  <c r="AB129" i="1" s="1"/>
  <c r="E129" i="1" s="1"/>
  <c r="AM131" i="1"/>
  <c r="AB131" i="1" s="1"/>
  <c r="E131" i="1" s="1"/>
  <c r="AU131" i="1"/>
  <c r="AM133" i="1"/>
  <c r="AU133" i="1"/>
  <c r="AB133" i="1" s="1"/>
  <c r="E133" i="1" s="1"/>
  <c r="AM135" i="1"/>
  <c r="AU135" i="1"/>
  <c r="AB135" i="1" s="1"/>
  <c r="E135" i="1" s="1"/>
  <c r="AM137" i="1"/>
  <c r="AB137" i="1" s="1"/>
  <c r="E137" i="1" s="1"/>
  <c r="AU137" i="1"/>
  <c r="AM139" i="1"/>
  <c r="AB139" i="1" s="1"/>
  <c r="E139" i="1" s="1"/>
  <c r="AU139" i="1"/>
  <c r="AM141" i="1"/>
  <c r="AB141" i="1" s="1"/>
  <c r="E141" i="1" s="1"/>
  <c r="AU141" i="1"/>
  <c r="AM143" i="1"/>
  <c r="AB143" i="1" s="1"/>
  <c r="E143" i="1" s="1"/>
  <c r="AU143" i="1"/>
  <c r="AM145" i="1"/>
  <c r="AU145" i="1"/>
  <c r="AB145" i="1" s="1"/>
  <c r="E145" i="1" s="1"/>
  <c r="AM147" i="1"/>
  <c r="AB147" i="1" s="1"/>
  <c r="E147" i="1" s="1"/>
  <c r="AU147" i="1"/>
  <c r="AM149" i="1"/>
  <c r="AB149" i="1" s="1"/>
  <c r="E149" i="1" s="1"/>
  <c r="AU149" i="1"/>
  <c r="AM151" i="1"/>
  <c r="AB151" i="1" s="1"/>
  <c r="E151" i="1" s="1"/>
  <c r="AU151" i="1"/>
  <c r="AM153" i="1"/>
  <c r="AB153" i="1" s="1"/>
  <c r="E153" i="1" s="1"/>
  <c r="AU153" i="1"/>
  <c r="BK17" i="1"/>
  <c r="BK18" i="1"/>
  <c r="BK19" i="1"/>
  <c r="BK20" i="1"/>
  <c r="BK21" i="1"/>
  <c r="BK22" i="1"/>
  <c r="BK24" i="1"/>
  <c r="BK26" i="1"/>
  <c r="BK28" i="1"/>
  <c r="BK30" i="1"/>
  <c r="BK32" i="1"/>
  <c r="BK34" i="1"/>
  <c r="BK36" i="1"/>
  <c r="BK38" i="1"/>
  <c r="BK40" i="1"/>
  <c r="BK42" i="1"/>
  <c r="BK44" i="1"/>
  <c r="BK46" i="1"/>
  <c r="BK48" i="1"/>
  <c r="BK50" i="1"/>
  <c r="BK52" i="1"/>
  <c r="BK54" i="1"/>
  <c r="BK56" i="1"/>
  <c r="BK58" i="1"/>
  <c r="BK60" i="1"/>
  <c r="BK62" i="1"/>
  <c r="BK64" i="1"/>
  <c r="BK66" i="1"/>
  <c r="BK68" i="1"/>
  <c r="BK70" i="1"/>
  <c r="BK72" i="1"/>
  <c r="BK74" i="1"/>
  <c r="BK76" i="1"/>
  <c r="BK78" i="1"/>
  <c r="BK80" i="1"/>
  <c r="BK82" i="1"/>
  <c r="BK84" i="1"/>
  <c r="BK86" i="1"/>
  <c r="BK88" i="1"/>
  <c r="BK90" i="1"/>
  <c r="BK92" i="1"/>
  <c r="BK94" i="1"/>
  <c r="BK96" i="1"/>
  <c r="BK98" i="1"/>
  <c r="BK100" i="1"/>
  <c r="BK102" i="1"/>
  <c r="BK104" i="1"/>
  <c r="BK106" i="1"/>
  <c r="BK108" i="1"/>
  <c r="BK110" i="1"/>
  <c r="BK112" i="1"/>
  <c r="BK114" i="1"/>
  <c r="BK116" i="1"/>
  <c r="BK118" i="1"/>
  <c r="BK120" i="1"/>
  <c r="BK122" i="1"/>
  <c r="BK124" i="1"/>
  <c r="BK126" i="1"/>
  <c r="BK128" i="1"/>
  <c r="BK130" i="1"/>
  <c r="BK132" i="1"/>
  <c r="BK134" i="1"/>
  <c r="BK136" i="1"/>
  <c r="BK138" i="1"/>
  <c r="BK140" i="1"/>
  <c r="BK142" i="1"/>
  <c r="BK144" i="1"/>
  <c r="BK146" i="1"/>
  <c r="BK148" i="1"/>
  <c r="BK150" i="1"/>
  <c r="BK152" i="1"/>
  <c r="AY156" i="1"/>
  <c r="AZ156" i="1" s="1"/>
  <c r="BC156" i="1" s="1"/>
  <c r="AY159" i="1"/>
  <c r="AZ159" i="1" s="1"/>
  <c r="BC159" i="1" s="1"/>
  <c r="AY160" i="1"/>
  <c r="AZ160" i="1" s="1"/>
  <c r="BC160" i="1" s="1"/>
  <c r="AY164" i="1"/>
  <c r="AZ164" i="1" s="1"/>
  <c r="BC164" i="1" s="1"/>
  <c r="AY167" i="1"/>
  <c r="AZ167" i="1" s="1"/>
  <c r="BC167" i="1" s="1"/>
  <c r="AY168" i="1"/>
  <c r="AZ168" i="1" s="1"/>
  <c r="BC168" i="1" s="1"/>
  <c r="AY169" i="1"/>
  <c r="AZ169" i="1" s="1"/>
  <c r="BC169" i="1" s="1"/>
  <c r="AY170" i="1"/>
  <c r="AZ170" i="1" s="1"/>
  <c r="BC170" i="1" s="1"/>
  <c r="AY172" i="1"/>
  <c r="AZ172" i="1" s="1"/>
  <c r="BC172" i="1" s="1"/>
  <c r="AY173" i="1"/>
  <c r="AZ173" i="1" s="1"/>
  <c r="BC173" i="1" s="1"/>
  <c r="AY174" i="1"/>
  <c r="AZ174" i="1" s="1"/>
  <c r="BC174" i="1" s="1"/>
  <c r="AY175" i="1"/>
  <c r="AZ175" i="1" s="1"/>
  <c r="BC175" i="1" s="1"/>
  <c r="AY177" i="1"/>
  <c r="AZ177" i="1" s="1"/>
  <c r="BC177" i="1" s="1"/>
  <c r="AY178" i="1"/>
  <c r="AZ178" i="1" s="1"/>
  <c r="BC178" i="1" s="1"/>
  <c r="AY179" i="1"/>
  <c r="AZ179" i="1" s="1"/>
  <c r="BC179" i="1" s="1"/>
  <c r="AY180" i="1"/>
  <c r="AZ180" i="1" s="1"/>
  <c r="BC180" i="1" s="1"/>
  <c r="AY182" i="1"/>
  <c r="AZ182" i="1" s="1"/>
  <c r="BC182" i="1" s="1"/>
  <c r="AY184" i="1"/>
  <c r="AZ184" i="1" s="1"/>
  <c r="BC184" i="1" s="1"/>
  <c r="AY185" i="1"/>
  <c r="AZ185" i="1" s="1"/>
  <c r="BC185" i="1" s="1"/>
  <c r="AY186" i="1"/>
  <c r="AZ186" i="1" s="1"/>
  <c r="BC186" i="1" s="1"/>
  <c r="AY188" i="1"/>
  <c r="AZ188" i="1" s="1"/>
  <c r="BC188" i="1" s="1"/>
  <c r="AY190" i="1"/>
  <c r="AZ190" i="1" s="1"/>
  <c r="BC190" i="1" s="1"/>
  <c r="AY191" i="1"/>
  <c r="AZ191" i="1" s="1"/>
  <c r="BC191" i="1" s="1"/>
  <c r="AM79" i="1"/>
  <c r="AB79" i="1" s="1"/>
  <c r="E79" i="1" s="1"/>
  <c r="AM83" i="1"/>
  <c r="AB83" i="1" s="1"/>
  <c r="E83" i="1" s="1"/>
  <c r="AM87" i="1"/>
  <c r="AB87" i="1" s="1"/>
  <c r="E87" i="1" s="1"/>
  <c r="AM91" i="1"/>
  <c r="AB91" i="1" s="1"/>
  <c r="E91" i="1" s="1"/>
  <c r="AM93" i="1"/>
  <c r="AM95" i="1"/>
  <c r="AB95" i="1" s="1"/>
  <c r="E95" i="1" s="1"/>
  <c r="AM97" i="1"/>
  <c r="AB97" i="1" s="1"/>
  <c r="E97" i="1" s="1"/>
  <c r="AM99" i="1"/>
  <c r="AM101" i="1"/>
  <c r="AB101" i="1" s="1"/>
  <c r="E101" i="1" s="1"/>
  <c r="AM103" i="1"/>
  <c r="AM105" i="1"/>
  <c r="AB105" i="1" s="1"/>
  <c r="E105" i="1" s="1"/>
  <c r="AM107" i="1"/>
  <c r="AM109" i="1"/>
  <c r="AM112" i="1"/>
  <c r="AB112" i="1" s="1"/>
  <c r="E112" i="1" s="1"/>
  <c r="AM114" i="1"/>
  <c r="AB114" i="1" s="1"/>
  <c r="E114" i="1" s="1"/>
  <c r="AM116" i="1"/>
  <c r="AM118" i="1"/>
  <c r="AM120" i="1"/>
  <c r="AB120" i="1" s="1"/>
  <c r="E120" i="1" s="1"/>
  <c r="AM122" i="1"/>
  <c r="AB122" i="1" s="1"/>
  <c r="E122" i="1" s="1"/>
  <c r="AM124" i="1"/>
  <c r="AB124" i="1" s="1"/>
  <c r="E124" i="1" s="1"/>
  <c r="AM126" i="1"/>
  <c r="AB126" i="1" s="1"/>
  <c r="E126" i="1" s="1"/>
  <c r="AM128" i="1"/>
  <c r="AM130" i="1"/>
  <c r="AM132" i="1"/>
  <c r="AM134" i="1"/>
  <c r="AM136" i="1"/>
  <c r="AB136" i="1" s="1"/>
  <c r="E136" i="1" s="1"/>
  <c r="AM138" i="1"/>
  <c r="AB138" i="1" s="1"/>
  <c r="E138" i="1" s="1"/>
  <c r="AM140" i="1"/>
  <c r="AB140" i="1" s="1"/>
  <c r="E140" i="1" s="1"/>
  <c r="AM142" i="1"/>
  <c r="AB142" i="1" s="1"/>
  <c r="E142" i="1" s="1"/>
  <c r="AM144" i="1"/>
  <c r="AB144" i="1" s="1"/>
  <c r="E144" i="1" s="1"/>
  <c r="AM146" i="1"/>
  <c r="AB146" i="1" s="1"/>
  <c r="E146" i="1" s="1"/>
  <c r="AM148" i="1"/>
  <c r="AB148" i="1" s="1"/>
  <c r="E148" i="1" s="1"/>
  <c r="AM150" i="1"/>
  <c r="AB150" i="1" s="1"/>
  <c r="E150" i="1" s="1"/>
  <c r="AM152" i="1"/>
  <c r="AB152" i="1" s="1"/>
  <c r="E152" i="1" s="1"/>
  <c r="BK23" i="1"/>
  <c r="BK25" i="1"/>
  <c r="BK27" i="1"/>
  <c r="BK29" i="1"/>
  <c r="BK31" i="1"/>
  <c r="BK33" i="1"/>
  <c r="BK35" i="1"/>
  <c r="BK37" i="1"/>
  <c r="BK39" i="1"/>
  <c r="BK41" i="1"/>
  <c r="BK43" i="1"/>
  <c r="BK45" i="1"/>
  <c r="BK47" i="1"/>
  <c r="BK49" i="1"/>
  <c r="BK51" i="1"/>
  <c r="BK53" i="1"/>
  <c r="BK55" i="1"/>
  <c r="BK57" i="1"/>
  <c r="BK59" i="1"/>
  <c r="BK61" i="1"/>
  <c r="BK63" i="1"/>
  <c r="BK65" i="1"/>
  <c r="BK67" i="1"/>
  <c r="BK69" i="1"/>
  <c r="BK71" i="1"/>
  <c r="BK73" i="1"/>
  <c r="BK75" i="1"/>
  <c r="BK77" i="1"/>
  <c r="BK79" i="1"/>
  <c r="BK81" i="1"/>
  <c r="BK83" i="1"/>
  <c r="BK85" i="1"/>
  <c r="BK87" i="1"/>
  <c r="BK89" i="1"/>
  <c r="BK91" i="1"/>
  <c r="BK93" i="1"/>
  <c r="BK95" i="1"/>
  <c r="BK97" i="1"/>
  <c r="BK99" i="1"/>
  <c r="BK101" i="1"/>
  <c r="BK103" i="1"/>
  <c r="BK105" i="1"/>
  <c r="BK107" i="1"/>
  <c r="BK109" i="1"/>
  <c r="BK111" i="1"/>
  <c r="BK113" i="1"/>
  <c r="BK115" i="1"/>
  <c r="BK117" i="1"/>
  <c r="BK119" i="1"/>
  <c r="BK121" i="1"/>
  <c r="BK123" i="1"/>
  <c r="BK125" i="1"/>
  <c r="BK127" i="1"/>
  <c r="BK129" i="1"/>
  <c r="BK131" i="1"/>
  <c r="BK133" i="1"/>
  <c r="BK135" i="1"/>
  <c r="BK137" i="1"/>
  <c r="BK139" i="1"/>
  <c r="BK141" i="1"/>
  <c r="BK143" i="1"/>
  <c r="BK145" i="1"/>
  <c r="BK147" i="1"/>
  <c r="BK149" i="1"/>
  <c r="BK151" i="1"/>
  <c r="BK153" i="1"/>
  <c r="AY154" i="1"/>
  <c r="AZ154" i="1" s="1"/>
  <c r="BC154" i="1" s="1"/>
  <c r="AY155" i="1"/>
  <c r="AZ155" i="1" s="1"/>
  <c r="BC155" i="1" s="1"/>
  <c r="AY157" i="1"/>
  <c r="AZ157" i="1" s="1"/>
  <c r="BC157" i="1" s="1"/>
  <c r="AY158" i="1"/>
  <c r="AZ158" i="1" s="1"/>
  <c r="BC158" i="1" s="1"/>
  <c r="AY161" i="1"/>
  <c r="AZ161" i="1" s="1"/>
  <c r="BC161" i="1" s="1"/>
  <c r="AY162" i="1"/>
  <c r="AZ162" i="1" s="1"/>
  <c r="BC162" i="1" s="1"/>
  <c r="AY163" i="1"/>
  <c r="AZ163" i="1" s="1"/>
  <c r="BC163" i="1" s="1"/>
  <c r="AY165" i="1"/>
  <c r="AZ165" i="1" s="1"/>
  <c r="BC165" i="1" s="1"/>
  <c r="AY166" i="1"/>
  <c r="AZ166" i="1" s="1"/>
  <c r="BC166" i="1" s="1"/>
  <c r="AY171" i="1"/>
  <c r="AZ171" i="1" s="1"/>
  <c r="BC171" i="1" s="1"/>
  <c r="AY176" i="1"/>
  <c r="AZ176" i="1" s="1"/>
  <c r="BC176" i="1" s="1"/>
  <c r="AY181" i="1"/>
  <c r="AZ181" i="1" s="1"/>
  <c r="BC181" i="1" s="1"/>
  <c r="AY183" i="1"/>
  <c r="AZ183" i="1" s="1"/>
  <c r="BC183" i="1" s="1"/>
  <c r="AY187" i="1"/>
  <c r="AZ187" i="1" s="1"/>
  <c r="BC187" i="1" s="1"/>
  <c r="AY189" i="1"/>
  <c r="AZ189" i="1" s="1"/>
  <c r="BC189" i="1" s="1"/>
  <c r="AY17" i="1"/>
  <c r="AZ17" i="1" s="1"/>
  <c r="BC17" i="1" s="1"/>
  <c r="AY19" i="1"/>
  <c r="AZ19" i="1" s="1"/>
  <c r="BC19" i="1" s="1"/>
  <c r="AY21" i="1"/>
  <c r="AZ21" i="1" s="1"/>
  <c r="BC21" i="1" s="1"/>
  <c r="AY22" i="1"/>
  <c r="AZ22" i="1" s="1"/>
  <c r="BC22" i="1" s="1"/>
  <c r="AY23" i="1"/>
  <c r="AZ23" i="1" s="1"/>
  <c r="BC23" i="1" s="1"/>
  <c r="AY25" i="1"/>
  <c r="AZ25" i="1" s="1"/>
  <c r="BC25" i="1" s="1"/>
  <c r="AY27" i="1"/>
  <c r="AZ27" i="1" s="1"/>
  <c r="BC27" i="1" s="1"/>
  <c r="AY29" i="1"/>
  <c r="AZ29" i="1" s="1"/>
  <c r="BC29" i="1" s="1"/>
  <c r="AY31" i="1"/>
  <c r="AZ31" i="1" s="1"/>
  <c r="BC31" i="1" s="1"/>
  <c r="AY33" i="1"/>
  <c r="AZ33" i="1" s="1"/>
  <c r="BC33" i="1" s="1"/>
  <c r="AY35" i="1"/>
  <c r="AZ35" i="1" s="1"/>
  <c r="BC35" i="1" s="1"/>
  <c r="AY37" i="1"/>
  <c r="AZ37" i="1" s="1"/>
  <c r="BC37" i="1" s="1"/>
  <c r="AY39" i="1"/>
  <c r="AZ39" i="1" s="1"/>
  <c r="BC39" i="1" s="1"/>
  <c r="AY41" i="1"/>
  <c r="AZ41" i="1" s="1"/>
  <c r="BC41" i="1" s="1"/>
  <c r="AY43" i="1"/>
  <c r="AZ43" i="1" s="1"/>
  <c r="BC43" i="1" s="1"/>
  <c r="AY45" i="1"/>
  <c r="AZ45" i="1" s="1"/>
  <c r="BC45" i="1" s="1"/>
  <c r="AY47" i="1"/>
  <c r="AZ47" i="1" s="1"/>
  <c r="BC47" i="1" s="1"/>
  <c r="AY49" i="1"/>
  <c r="AZ49" i="1" s="1"/>
  <c r="BC49" i="1" s="1"/>
  <c r="AY51" i="1"/>
  <c r="AZ51" i="1" s="1"/>
  <c r="BC51" i="1" s="1"/>
  <c r="AY53" i="1"/>
  <c r="AZ53" i="1" s="1"/>
  <c r="BC53" i="1" s="1"/>
  <c r="AY55" i="1"/>
  <c r="AZ55" i="1" s="1"/>
  <c r="BC55" i="1" s="1"/>
  <c r="AY57" i="1"/>
  <c r="AZ57" i="1" s="1"/>
  <c r="BC57" i="1" s="1"/>
  <c r="AY59" i="1"/>
  <c r="AZ59" i="1" s="1"/>
  <c r="BC59" i="1" s="1"/>
  <c r="AY61" i="1"/>
  <c r="AZ61" i="1" s="1"/>
  <c r="BC61" i="1" s="1"/>
  <c r="AY63" i="1"/>
  <c r="AZ63" i="1" s="1"/>
  <c r="BC63" i="1" s="1"/>
  <c r="AY65" i="1"/>
  <c r="AZ65" i="1" s="1"/>
  <c r="BC65" i="1" s="1"/>
  <c r="AY67" i="1"/>
  <c r="AZ67" i="1" s="1"/>
  <c r="BC67" i="1" s="1"/>
  <c r="AY69" i="1"/>
  <c r="AZ69" i="1" s="1"/>
  <c r="BC69" i="1" s="1"/>
  <c r="AY71" i="1"/>
  <c r="AZ71" i="1" s="1"/>
  <c r="BC71" i="1" s="1"/>
  <c r="AY73" i="1"/>
  <c r="AZ73" i="1" s="1"/>
  <c r="BC73" i="1" s="1"/>
  <c r="AY75" i="1"/>
  <c r="AZ75" i="1" s="1"/>
  <c r="BC75" i="1" s="1"/>
  <c r="AY77" i="1"/>
  <c r="AZ77" i="1" s="1"/>
  <c r="BC77" i="1" s="1"/>
  <c r="AY79" i="1"/>
  <c r="AZ79" i="1" s="1"/>
  <c r="BC79" i="1" s="1"/>
  <c r="AY81" i="1"/>
  <c r="AZ81" i="1" s="1"/>
  <c r="BC81" i="1" s="1"/>
  <c r="AY83" i="1"/>
  <c r="AZ83" i="1" s="1"/>
  <c r="BC83" i="1" s="1"/>
  <c r="AY85" i="1"/>
  <c r="AZ85" i="1" s="1"/>
  <c r="BC85" i="1" s="1"/>
  <c r="AY87" i="1"/>
  <c r="AZ87" i="1" s="1"/>
  <c r="BC87" i="1" s="1"/>
  <c r="AY89" i="1"/>
  <c r="AZ89" i="1" s="1"/>
  <c r="BC89" i="1" s="1"/>
  <c r="AY91" i="1"/>
  <c r="AZ91" i="1" s="1"/>
  <c r="BC91" i="1" s="1"/>
  <c r="AY93" i="1"/>
  <c r="AZ93" i="1" s="1"/>
  <c r="BC93" i="1" s="1"/>
  <c r="AY95" i="1"/>
  <c r="AZ95" i="1" s="1"/>
  <c r="BC95" i="1" s="1"/>
  <c r="AY97" i="1"/>
  <c r="AZ97" i="1" s="1"/>
  <c r="BC97" i="1" s="1"/>
  <c r="AY99" i="1"/>
  <c r="AZ99" i="1" s="1"/>
  <c r="BC99" i="1" s="1"/>
  <c r="AY101" i="1"/>
  <c r="AZ101" i="1" s="1"/>
  <c r="BC101" i="1" s="1"/>
  <c r="AY103" i="1"/>
  <c r="AZ103" i="1" s="1"/>
  <c r="BC103" i="1" s="1"/>
  <c r="AY105" i="1"/>
  <c r="AZ105" i="1" s="1"/>
  <c r="BC105" i="1" s="1"/>
  <c r="AY107" i="1"/>
  <c r="AZ107" i="1" s="1"/>
  <c r="BC107" i="1" s="1"/>
  <c r="AY109" i="1"/>
  <c r="AZ109" i="1" s="1"/>
  <c r="BC109" i="1" s="1"/>
  <c r="AY152" i="1"/>
  <c r="AZ152" i="1" s="1"/>
  <c r="BC152" i="1" s="1"/>
  <c r="AY18" i="1"/>
  <c r="AZ18" i="1" s="1"/>
  <c r="BC18" i="1" s="1"/>
  <c r="AY20" i="1"/>
  <c r="AZ20" i="1" s="1"/>
  <c r="BC20" i="1" s="1"/>
  <c r="AY24" i="1"/>
  <c r="AZ24" i="1" s="1"/>
  <c r="BC24" i="1" s="1"/>
  <c r="AY26" i="1"/>
  <c r="AZ26" i="1" s="1"/>
  <c r="BC26" i="1" s="1"/>
  <c r="AY28" i="1"/>
  <c r="AZ28" i="1" s="1"/>
  <c r="BC28" i="1" s="1"/>
  <c r="AY30" i="1"/>
  <c r="AZ30" i="1" s="1"/>
  <c r="BC30" i="1" s="1"/>
  <c r="AY32" i="1"/>
  <c r="AZ32" i="1" s="1"/>
  <c r="BC32" i="1" s="1"/>
  <c r="AY34" i="1"/>
  <c r="AZ34" i="1" s="1"/>
  <c r="BC34" i="1" s="1"/>
  <c r="AY36" i="1"/>
  <c r="AZ36" i="1" s="1"/>
  <c r="BC36" i="1" s="1"/>
  <c r="AY38" i="1"/>
  <c r="AZ38" i="1" s="1"/>
  <c r="BC38" i="1" s="1"/>
  <c r="AY40" i="1"/>
  <c r="AZ40" i="1" s="1"/>
  <c r="BC40" i="1" s="1"/>
  <c r="AY42" i="1"/>
  <c r="AZ42" i="1" s="1"/>
  <c r="BC42" i="1" s="1"/>
  <c r="AY44" i="1"/>
  <c r="AZ44" i="1" s="1"/>
  <c r="BC44" i="1" s="1"/>
  <c r="AY46" i="1"/>
  <c r="AZ46" i="1" s="1"/>
  <c r="BC46" i="1" s="1"/>
  <c r="AY48" i="1"/>
  <c r="AZ48" i="1" s="1"/>
  <c r="BC48" i="1" s="1"/>
  <c r="AY50" i="1"/>
  <c r="AZ50" i="1" s="1"/>
  <c r="BC50" i="1" s="1"/>
  <c r="AY52" i="1"/>
  <c r="AZ52" i="1" s="1"/>
  <c r="BC52" i="1" s="1"/>
  <c r="AY54" i="1"/>
  <c r="AZ54" i="1" s="1"/>
  <c r="BC54" i="1" s="1"/>
  <c r="AY56" i="1"/>
  <c r="AZ56" i="1" s="1"/>
  <c r="BC56" i="1" s="1"/>
  <c r="AY58" i="1"/>
  <c r="AZ58" i="1" s="1"/>
  <c r="BC58" i="1" s="1"/>
  <c r="AY60" i="1"/>
  <c r="AZ60" i="1" s="1"/>
  <c r="BC60" i="1" s="1"/>
  <c r="AY62" i="1"/>
  <c r="AZ62" i="1" s="1"/>
  <c r="BC62" i="1" s="1"/>
  <c r="AY64" i="1"/>
  <c r="AZ64" i="1" s="1"/>
  <c r="BC64" i="1" s="1"/>
  <c r="AY66" i="1"/>
  <c r="AZ66" i="1" s="1"/>
  <c r="BC66" i="1" s="1"/>
  <c r="AY68" i="1"/>
  <c r="AZ68" i="1" s="1"/>
  <c r="BC68" i="1" s="1"/>
  <c r="AY70" i="1"/>
  <c r="AZ70" i="1" s="1"/>
  <c r="BC70" i="1" s="1"/>
  <c r="AY72" i="1"/>
  <c r="AZ72" i="1" s="1"/>
  <c r="BC72" i="1" s="1"/>
  <c r="AY74" i="1"/>
  <c r="AZ74" i="1" s="1"/>
  <c r="BC74" i="1" s="1"/>
  <c r="AY76" i="1"/>
  <c r="AZ76" i="1" s="1"/>
  <c r="BC76" i="1" s="1"/>
  <c r="AY78" i="1"/>
  <c r="AZ78" i="1" s="1"/>
  <c r="BC78" i="1" s="1"/>
  <c r="AY80" i="1"/>
  <c r="AZ80" i="1" s="1"/>
  <c r="BC80" i="1" s="1"/>
  <c r="AY82" i="1"/>
  <c r="AZ82" i="1" s="1"/>
  <c r="BC82" i="1" s="1"/>
  <c r="AY84" i="1"/>
  <c r="AZ84" i="1" s="1"/>
  <c r="BC84" i="1" s="1"/>
  <c r="AY86" i="1"/>
  <c r="AZ86" i="1" s="1"/>
  <c r="BC86" i="1" s="1"/>
  <c r="AY88" i="1"/>
  <c r="AZ88" i="1" s="1"/>
  <c r="BC88" i="1" s="1"/>
  <c r="AY90" i="1"/>
  <c r="AZ90" i="1" s="1"/>
  <c r="BC90" i="1" s="1"/>
  <c r="AY92" i="1"/>
  <c r="AZ92" i="1" s="1"/>
  <c r="BC92" i="1" s="1"/>
  <c r="AY94" i="1"/>
  <c r="AZ94" i="1" s="1"/>
  <c r="BC94" i="1" s="1"/>
  <c r="AY96" i="1"/>
  <c r="AZ96" i="1" s="1"/>
  <c r="BC96" i="1" s="1"/>
  <c r="AY98" i="1"/>
  <c r="AZ98" i="1" s="1"/>
  <c r="BC98" i="1" s="1"/>
  <c r="AY100" i="1"/>
  <c r="AZ100" i="1" s="1"/>
  <c r="BC100" i="1" s="1"/>
  <c r="AY102" i="1"/>
  <c r="AZ102" i="1" s="1"/>
  <c r="BC102" i="1" s="1"/>
  <c r="AY104" i="1"/>
  <c r="AZ104" i="1" s="1"/>
  <c r="BC104" i="1" s="1"/>
  <c r="AY106" i="1"/>
  <c r="AZ106" i="1" s="1"/>
  <c r="BC106" i="1" s="1"/>
  <c r="AY108" i="1"/>
  <c r="AZ108" i="1" s="1"/>
  <c r="BC108" i="1" s="1"/>
  <c r="AY110" i="1"/>
  <c r="AZ110" i="1" s="1"/>
  <c r="BC110" i="1" s="1"/>
  <c r="AY111" i="1"/>
  <c r="AZ111" i="1" s="1"/>
  <c r="BC111" i="1" s="1"/>
  <c r="AY112" i="1"/>
  <c r="AZ112" i="1" s="1"/>
  <c r="BC112" i="1" s="1"/>
  <c r="AY113" i="1"/>
  <c r="AZ113" i="1" s="1"/>
  <c r="BC113" i="1" s="1"/>
  <c r="AY114" i="1"/>
  <c r="AZ114" i="1" s="1"/>
  <c r="BC114" i="1" s="1"/>
  <c r="AY115" i="1"/>
  <c r="AZ115" i="1" s="1"/>
  <c r="BC115" i="1" s="1"/>
  <c r="AY116" i="1"/>
  <c r="AZ116" i="1" s="1"/>
  <c r="BC116" i="1" s="1"/>
  <c r="AY117" i="1"/>
  <c r="AZ117" i="1" s="1"/>
  <c r="BC117" i="1" s="1"/>
  <c r="AY118" i="1"/>
  <c r="AZ118" i="1" s="1"/>
  <c r="BC118" i="1" s="1"/>
  <c r="AY119" i="1"/>
  <c r="AZ119" i="1" s="1"/>
  <c r="BC119" i="1" s="1"/>
  <c r="AY120" i="1"/>
  <c r="AZ120" i="1" s="1"/>
  <c r="BC120" i="1" s="1"/>
  <c r="AY121" i="1"/>
  <c r="AZ121" i="1" s="1"/>
  <c r="BC121" i="1" s="1"/>
  <c r="AY122" i="1"/>
  <c r="AZ122" i="1" s="1"/>
  <c r="BC122" i="1" s="1"/>
  <c r="AY123" i="1"/>
  <c r="AZ123" i="1" s="1"/>
  <c r="BC123" i="1" s="1"/>
  <c r="AY124" i="1"/>
  <c r="AZ124" i="1" s="1"/>
  <c r="BC124" i="1" s="1"/>
  <c r="AY125" i="1"/>
  <c r="AZ125" i="1" s="1"/>
  <c r="BC125" i="1" s="1"/>
  <c r="AY126" i="1"/>
  <c r="AZ126" i="1" s="1"/>
  <c r="BC126" i="1" s="1"/>
  <c r="AY127" i="1"/>
  <c r="AZ127" i="1" s="1"/>
  <c r="BC127" i="1" s="1"/>
  <c r="AY128" i="1"/>
  <c r="AZ128" i="1" s="1"/>
  <c r="BC128" i="1" s="1"/>
  <c r="AY129" i="1"/>
  <c r="AZ129" i="1" s="1"/>
  <c r="BC129" i="1" s="1"/>
  <c r="AY130" i="1"/>
  <c r="AZ130" i="1" s="1"/>
  <c r="BC130" i="1" s="1"/>
  <c r="AY131" i="1"/>
  <c r="AZ131" i="1" s="1"/>
  <c r="BC131" i="1" s="1"/>
  <c r="AY132" i="1"/>
  <c r="AZ132" i="1" s="1"/>
  <c r="BC132" i="1" s="1"/>
  <c r="AY133" i="1"/>
  <c r="AZ133" i="1" s="1"/>
  <c r="BC133" i="1" s="1"/>
  <c r="AY134" i="1"/>
  <c r="AZ134" i="1" s="1"/>
  <c r="BC134" i="1" s="1"/>
  <c r="AY135" i="1"/>
  <c r="AZ135" i="1" s="1"/>
  <c r="BC135" i="1" s="1"/>
  <c r="AY136" i="1"/>
  <c r="AZ136" i="1" s="1"/>
  <c r="BC136" i="1" s="1"/>
  <c r="AY137" i="1"/>
  <c r="AZ137" i="1" s="1"/>
  <c r="BC137" i="1" s="1"/>
  <c r="AY138" i="1"/>
  <c r="AZ138" i="1" s="1"/>
  <c r="BC138" i="1" s="1"/>
  <c r="AY139" i="1"/>
  <c r="AZ139" i="1" s="1"/>
  <c r="BC139" i="1" s="1"/>
  <c r="AY140" i="1"/>
  <c r="AZ140" i="1" s="1"/>
  <c r="BC140" i="1" s="1"/>
  <c r="AY141" i="1"/>
  <c r="AZ141" i="1" s="1"/>
  <c r="BC141" i="1" s="1"/>
  <c r="AY142" i="1"/>
  <c r="AZ142" i="1" s="1"/>
  <c r="BC142" i="1" s="1"/>
  <c r="AY143" i="1"/>
  <c r="AZ143" i="1" s="1"/>
  <c r="BC143" i="1" s="1"/>
  <c r="AY144" i="1"/>
  <c r="AZ144" i="1" s="1"/>
  <c r="BC144" i="1" s="1"/>
  <c r="AY145" i="1"/>
  <c r="AZ145" i="1" s="1"/>
  <c r="BC145" i="1" s="1"/>
  <c r="AY146" i="1"/>
  <c r="AZ146" i="1" s="1"/>
  <c r="BC146" i="1" s="1"/>
  <c r="AY147" i="1"/>
  <c r="AZ147" i="1" s="1"/>
  <c r="BC147" i="1" s="1"/>
  <c r="AY148" i="1"/>
  <c r="AZ148" i="1" s="1"/>
  <c r="BC148" i="1" s="1"/>
  <c r="AY149" i="1"/>
  <c r="AZ149" i="1" s="1"/>
  <c r="BC149" i="1" s="1"/>
  <c r="AY150" i="1"/>
  <c r="AZ150" i="1" s="1"/>
  <c r="BC150" i="1" s="1"/>
  <c r="AY151" i="1"/>
  <c r="AZ151" i="1" s="1"/>
  <c r="BC151" i="1" s="1"/>
  <c r="AY153" i="1"/>
  <c r="AZ153" i="1" s="1"/>
  <c r="BC153" i="1" s="1"/>
  <c r="BK6" i="1"/>
  <c r="BC11" i="1"/>
  <c r="BC15" i="1"/>
  <c r="BC7" i="1"/>
  <c r="AU8" i="1"/>
  <c r="AY8" i="1"/>
  <c r="AZ8" i="1" s="1"/>
  <c r="BC8" i="1" s="1"/>
  <c r="BK8" i="1"/>
  <c r="AU10" i="1"/>
  <c r="AY10" i="1"/>
  <c r="AZ10" i="1" s="1"/>
  <c r="BC10" i="1" s="1"/>
  <c r="AU12" i="1"/>
  <c r="AY12" i="1"/>
  <c r="AZ12" i="1" s="1"/>
  <c r="BC12" i="1" s="1"/>
  <c r="BK12" i="1"/>
  <c r="AU14" i="1"/>
  <c r="AY14" i="1"/>
  <c r="AZ14" i="1" s="1"/>
  <c r="BC14" i="1" s="1"/>
  <c r="AU7" i="1"/>
  <c r="AU9" i="1"/>
  <c r="AU11" i="1"/>
  <c r="AU13" i="1"/>
  <c r="AU15" i="1"/>
  <c r="AY5" i="1"/>
  <c r="AZ5" i="1" s="1"/>
  <c r="BC5" i="1" s="1"/>
  <c r="AU5" i="1"/>
  <c r="AU4" i="1"/>
  <c r="AY4" i="1"/>
  <c r="AZ4" i="1" s="1"/>
  <c r="BC4" i="1" s="1"/>
  <c r="AM16" i="1"/>
  <c r="AB16" i="1" s="1"/>
  <c r="E16" i="1" s="1"/>
  <c r="AI4" i="1"/>
  <c r="AI15" i="1"/>
  <c r="AJ15" i="1" s="1"/>
  <c r="AI14" i="1"/>
  <c r="AJ14" i="1" s="1"/>
  <c r="AI13" i="1"/>
  <c r="AJ13" i="1" s="1"/>
  <c r="AI12" i="1"/>
  <c r="AJ12" i="1" s="1"/>
  <c r="AI11" i="1"/>
  <c r="AJ11" i="1" s="1"/>
  <c r="AI7" i="1"/>
  <c r="AJ7" i="1" s="1"/>
  <c r="AI8" i="1"/>
  <c r="AJ8" i="1" s="1"/>
  <c r="AI5" i="1"/>
  <c r="AJ5" i="1" s="1"/>
  <c r="AM5" i="1" s="1"/>
  <c r="AB5" i="1" s="1"/>
  <c r="E5" i="1" s="1"/>
  <c r="AI10" i="1"/>
  <c r="AJ10" i="1" s="1"/>
  <c r="AJ36" i="1"/>
  <c r="AM36" i="1" s="1"/>
  <c r="AB36" i="1" s="1"/>
  <c r="E36" i="1" s="1"/>
  <c r="AJ245" i="1"/>
  <c r="AM245" i="1" s="1"/>
  <c r="AB245" i="1" s="1"/>
  <c r="E245" i="1" s="1"/>
  <c r="AJ251" i="1"/>
  <c r="AM251" i="1" s="1"/>
  <c r="AB251" i="1" s="1"/>
  <c r="E251" i="1" s="1"/>
  <c r="AJ399" i="1"/>
  <c r="AM399" i="1" s="1"/>
  <c r="AB399" i="1" s="1"/>
  <c r="E399" i="1" s="1"/>
  <c r="AJ407" i="1"/>
  <c r="AM407" i="1" s="1"/>
  <c r="AB407" i="1" s="1"/>
  <c r="E407" i="1" s="1"/>
  <c r="AJ415" i="1"/>
  <c r="AM415" i="1" s="1"/>
  <c r="AB415" i="1" s="1"/>
  <c r="E415" i="1" s="1"/>
  <c r="AJ423" i="1"/>
  <c r="AM423" i="1" s="1"/>
  <c r="AB423" i="1" s="1"/>
  <c r="E423" i="1" s="1"/>
  <c r="AJ244" i="1"/>
  <c r="AM244" i="1" s="1"/>
  <c r="AB244" i="1" s="1"/>
  <c r="E244" i="1" s="1"/>
  <c r="AJ246" i="1"/>
  <c r="AM246" i="1" s="1"/>
  <c r="AB246" i="1" s="1"/>
  <c r="E246" i="1" s="1"/>
  <c r="AJ250" i="1"/>
  <c r="AM250" i="1" s="1"/>
  <c r="AB250" i="1" s="1"/>
  <c r="E250" i="1" s="1"/>
  <c r="AJ270" i="1"/>
  <c r="AM270" i="1" s="1"/>
  <c r="AB270" i="1" s="1"/>
  <c r="E270" i="1" s="1"/>
  <c r="AJ397" i="1"/>
  <c r="AM397" i="1" s="1"/>
  <c r="AB397" i="1" s="1"/>
  <c r="E397" i="1" s="1"/>
  <c r="AJ398" i="1"/>
  <c r="AM398" i="1" s="1"/>
  <c r="AB398" i="1" s="1"/>
  <c r="E398" i="1" s="1"/>
  <c r="AJ405" i="1"/>
  <c r="AM405" i="1" s="1"/>
  <c r="AB405" i="1" s="1"/>
  <c r="E405" i="1" s="1"/>
  <c r="AJ406" i="1"/>
  <c r="AM406" i="1" s="1"/>
  <c r="AB406" i="1" s="1"/>
  <c r="E406" i="1" s="1"/>
  <c r="AJ413" i="1"/>
  <c r="AM413" i="1" s="1"/>
  <c r="AB413" i="1" s="1"/>
  <c r="E413" i="1" s="1"/>
  <c r="AJ414" i="1"/>
  <c r="AM414" i="1" s="1"/>
  <c r="AB414" i="1" s="1"/>
  <c r="E414" i="1" s="1"/>
  <c r="AJ421" i="1"/>
  <c r="AM421" i="1" s="1"/>
  <c r="AB421" i="1" s="1"/>
  <c r="E421" i="1" s="1"/>
  <c r="AJ422" i="1"/>
  <c r="AM422" i="1" s="1"/>
  <c r="AB422" i="1" s="1"/>
  <c r="E422" i="1" s="1"/>
  <c r="AJ425" i="1"/>
  <c r="AM425" i="1" s="1"/>
  <c r="AB425" i="1" s="1"/>
  <c r="E425" i="1" s="1"/>
  <c r="AJ70" i="1"/>
  <c r="AM70" i="1" s="1"/>
  <c r="AB70" i="1" s="1"/>
  <c r="E70" i="1" s="1"/>
  <c r="AJ71" i="1"/>
  <c r="AM71" i="1" s="1"/>
  <c r="AB71" i="1" s="1"/>
  <c r="E71" i="1" s="1"/>
  <c r="AJ72" i="1"/>
  <c r="AM72" i="1" s="1"/>
  <c r="AB72" i="1" s="1"/>
  <c r="E72" i="1" s="1"/>
  <c r="AJ73" i="1"/>
  <c r="AM73" i="1" s="1"/>
  <c r="AB73" i="1" s="1"/>
  <c r="E73" i="1" s="1"/>
  <c r="AJ74" i="1"/>
  <c r="AM74" i="1" s="1"/>
  <c r="AB74" i="1" s="1"/>
  <c r="E74" i="1" s="1"/>
  <c r="AJ75" i="1"/>
  <c r="AM75" i="1" s="1"/>
  <c r="AB75" i="1" s="1"/>
  <c r="E75" i="1" s="1"/>
  <c r="AJ76" i="1"/>
  <c r="AM76" i="1" s="1"/>
  <c r="AB76" i="1" s="1"/>
  <c r="E76" i="1" s="1"/>
  <c r="AJ77" i="1"/>
  <c r="AM77" i="1" s="1"/>
  <c r="AB77" i="1" s="1"/>
  <c r="E77" i="1" s="1"/>
  <c r="AJ80" i="1"/>
  <c r="AM80" i="1" s="1"/>
  <c r="AB80" i="1" s="1"/>
  <c r="E80" i="1" s="1"/>
  <c r="AJ81" i="1"/>
  <c r="AM81" i="1" s="1"/>
  <c r="AB81" i="1" s="1"/>
  <c r="E81" i="1" s="1"/>
  <c r="AJ84" i="1"/>
  <c r="AM84" i="1" s="1"/>
  <c r="AB84" i="1" s="1"/>
  <c r="E84" i="1" s="1"/>
  <c r="AJ85" i="1"/>
  <c r="AM85" i="1" s="1"/>
  <c r="AB85" i="1" s="1"/>
  <c r="E85" i="1" s="1"/>
  <c r="AJ88" i="1"/>
  <c r="AM88" i="1" s="1"/>
  <c r="AB88" i="1" s="1"/>
  <c r="E88" i="1" s="1"/>
  <c r="AJ89" i="1"/>
  <c r="AM89" i="1" s="1"/>
  <c r="AB89" i="1" s="1"/>
  <c r="E89" i="1" s="1"/>
  <c r="AJ177" i="1"/>
  <c r="AM177" i="1" s="1"/>
  <c r="AB177" i="1" s="1"/>
  <c r="E177" i="1" s="1"/>
  <c r="AJ178" i="1"/>
  <c r="AM178" i="1" s="1"/>
  <c r="AB178" i="1" s="1"/>
  <c r="E178" i="1" s="1"/>
  <c r="AJ181" i="1"/>
  <c r="AM181" i="1" s="1"/>
  <c r="AB181" i="1" s="1"/>
  <c r="E181" i="1" s="1"/>
  <c r="AJ182" i="1"/>
  <c r="AM182" i="1" s="1"/>
  <c r="AB182" i="1" s="1"/>
  <c r="E182" i="1" s="1"/>
  <c r="AJ185" i="1"/>
  <c r="AM185" i="1" s="1"/>
  <c r="AB185" i="1" s="1"/>
  <c r="E185" i="1" s="1"/>
  <c r="AJ186" i="1"/>
  <c r="AM186" i="1" s="1"/>
  <c r="AB186" i="1" s="1"/>
  <c r="E186" i="1" s="1"/>
  <c r="AJ189" i="1"/>
  <c r="AM189" i="1" s="1"/>
  <c r="AB189" i="1" s="1"/>
  <c r="E189" i="1" s="1"/>
  <c r="AJ190" i="1"/>
  <c r="AM190" i="1" s="1"/>
  <c r="AB190" i="1" s="1"/>
  <c r="E190" i="1" s="1"/>
  <c r="AJ193" i="1"/>
  <c r="AM193" i="1" s="1"/>
  <c r="AB193" i="1" s="1"/>
  <c r="E193" i="1" s="1"/>
  <c r="AJ194" i="1"/>
  <c r="AM194" i="1" s="1"/>
  <c r="AB194" i="1" s="1"/>
  <c r="E194" i="1" s="1"/>
  <c r="AJ197" i="1"/>
  <c r="AM197" i="1" s="1"/>
  <c r="AB197" i="1" s="1"/>
  <c r="E197" i="1" s="1"/>
  <c r="AJ198" i="1"/>
  <c r="AM198" i="1" s="1"/>
  <c r="AB198" i="1" s="1"/>
  <c r="E198" i="1" s="1"/>
  <c r="AJ201" i="1"/>
  <c r="AM201" i="1" s="1"/>
  <c r="AB201" i="1" s="1"/>
  <c r="E201" i="1" s="1"/>
  <c r="AJ202" i="1"/>
  <c r="AM202" i="1" s="1"/>
  <c r="AB202" i="1" s="1"/>
  <c r="E202" i="1" s="1"/>
  <c r="AJ205" i="1"/>
  <c r="AM205" i="1" s="1"/>
  <c r="AB205" i="1" s="1"/>
  <c r="E205" i="1" s="1"/>
  <c r="AJ206" i="1"/>
  <c r="AM206" i="1" s="1"/>
  <c r="AB206" i="1" s="1"/>
  <c r="E206" i="1" s="1"/>
  <c r="AJ209" i="1"/>
  <c r="AM209" i="1" s="1"/>
  <c r="AB209" i="1" s="1"/>
  <c r="E209" i="1" s="1"/>
  <c r="AJ210" i="1"/>
  <c r="AM210" i="1" s="1"/>
  <c r="AB210" i="1" s="1"/>
  <c r="E210" i="1" s="1"/>
  <c r="AJ213" i="1"/>
  <c r="AM213" i="1" s="1"/>
  <c r="AB213" i="1" s="1"/>
  <c r="E213" i="1" s="1"/>
  <c r="AJ214" i="1"/>
  <c r="AM214" i="1" s="1"/>
  <c r="AB214" i="1" s="1"/>
  <c r="E214" i="1" s="1"/>
  <c r="AJ217" i="1"/>
  <c r="AM217" i="1" s="1"/>
  <c r="AB217" i="1" s="1"/>
  <c r="E217" i="1" s="1"/>
  <c r="AJ218" i="1"/>
  <c r="AM218" i="1" s="1"/>
  <c r="AB218" i="1" s="1"/>
  <c r="E218" i="1" s="1"/>
  <c r="AJ221" i="1"/>
  <c r="AM221" i="1" s="1"/>
  <c r="AB221" i="1" s="1"/>
  <c r="E221" i="1" s="1"/>
  <c r="AJ222" i="1"/>
  <c r="AM222" i="1" s="1"/>
  <c r="AB222" i="1" s="1"/>
  <c r="E222" i="1" s="1"/>
  <c r="AJ225" i="1"/>
  <c r="AM225" i="1" s="1"/>
  <c r="AB225" i="1" s="1"/>
  <c r="E225" i="1" s="1"/>
  <c r="AJ226" i="1"/>
  <c r="AM226" i="1" s="1"/>
  <c r="AB226" i="1" s="1"/>
  <c r="E226" i="1" s="1"/>
  <c r="AJ229" i="1"/>
  <c r="AM229" i="1" s="1"/>
  <c r="AB229" i="1" s="1"/>
  <c r="E229" i="1" s="1"/>
  <c r="AJ230" i="1"/>
  <c r="AM230" i="1" s="1"/>
  <c r="AB230" i="1" s="1"/>
  <c r="E230" i="1" s="1"/>
  <c r="AJ232" i="1"/>
  <c r="AM232" i="1" s="1"/>
  <c r="AB232" i="1" s="1"/>
  <c r="E232" i="1" s="1"/>
  <c r="AJ234" i="1"/>
  <c r="AM234" i="1" s="1"/>
  <c r="AB234" i="1" s="1"/>
  <c r="E234" i="1" s="1"/>
  <c r="AJ235" i="1"/>
  <c r="AM235" i="1" s="1"/>
  <c r="AB235" i="1" s="1"/>
  <c r="E235" i="1" s="1"/>
  <c r="AJ237" i="1"/>
  <c r="AM237" i="1" s="1"/>
  <c r="AB237" i="1" s="1"/>
  <c r="E237" i="1" s="1"/>
  <c r="AJ239" i="1"/>
  <c r="AM239" i="1" s="1"/>
  <c r="AB239" i="1" s="1"/>
  <c r="E239" i="1" s="1"/>
  <c r="AJ241" i="1"/>
  <c r="AM241" i="1" s="1"/>
  <c r="AB241" i="1" s="1"/>
  <c r="E241" i="1" s="1"/>
  <c r="AJ247" i="1"/>
  <c r="AM247" i="1" s="1"/>
  <c r="AB247" i="1" s="1"/>
  <c r="E247" i="1" s="1"/>
  <c r="AJ249" i="1"/>
  <c r="AM249" i="1" s="1"/>
  <c r="AB249" i="1" s="1"/>
  <c r="E249" i="1" s="1"/>
  <c r="AJ253" i="1"/>
  <c r="AM253" i="1" s="1"/>
  <c r="AB253" i="1" s="1"/>
  <c r="E253" i="1" s="1"/>
  <c r="AJ255" i="1"/>
  <c r="AM255" i="1" s="1"/>
  <c r="AB255" i="1" s="1"/>
  <c r="E255" i="1" s="1"/>
  <c r="AJ257" i="1"/>
  <c r="AM257" i="1" s="1"/>
  <c r="AB257" i="1" s="1"/>
  <c r="E257" i="1" s="1"/>
  <c r="AJ259" i="1"/>
  <c r="AM259" i="1" s="1"/>
  <c r="AB259" i="1" s="1"/>
  <c r="E259" i="1" s="1"/>
  <c r="AJ261" i="1"/>
  <c r="AM261" i="1" s="1"/>
  <c r="AB261" i="1" s="1"/>
  <c r="E261" i="1" s="1"/>
  <c r="AJ263" i="1"/>
  <c r="AM263" i="1" s="1"/>
  <c r="AB263" i="1" s="1"/>
  <c r="E263" i="1" s="1"/>
  <c r="AJ265" i="1"/>
  <c r="AM265" i="1" s="1"/>
  <c r="AB265" i="1" s="1"/>
  <c r="E265" i="1" s="1"/>
  <c r="AJ267" i="1"/>
  <c r="AM267" i="1" s="1"/>
  <c r="AB267" i="1" s="1"/>
  <c r="E267" i="1" s="1"/>
  <c r="AJ269" i="1"/>
  <c r="AM269" i="1" s="1"/>
  <c r="AB269" i="1" s="1"/>
  <c r="E269" i="1" s="1"/>
  <c r="AJ271" i="1"/>
  <c r="AM271" i="1" s="1"/>
  <c r="AB271" i="1" s="1"/>
  <c r="E271" i="1" s="1"/>
  <c r="AJ291" i="1"/>
  <c r="AM291" i="1" s="1"/>
  <c r="AB291" i="1" s="1"/>
  <c r="E291" i="1" s="1"/>
  <c r="AJ292" i="1"/>
  <c r="AM292" i="1" s="1"/>
  <c r="AB292" i="1" s="1"/>
  <c r="E292" i="1" s="1"/>
  <c r="AJ295" i="1"/>
  <c r="AM295" i="1" s="1"/>
  <c r="AB295" i="1" s="1"/>
  <c r="E295" i="1" s="1"/>
  <c r="AJ296" i="1"/>
  <c r="AM296" i="1" s="1"/>
  <c r="AB296" i="1" s="1"/>
  <c r="E296" i="1" s="1"/>
  <c r="AJ299" i="1"/>
  <c r="AM299" i="1" s="1"/>
  <c r="AB299" i="1" s="1"/>
  <c r="E299" i="1" s="1"/>
  <c r="AJ300" i="1"/>
  <c r="AM300" i="1" s="1"/>
  <c r="AB300" i="1" s="1"/>
  <c r="E300" i="1" s="1"/>
  <c r="AJ303" i="1"/>
  <c r="AM303" i="1" s="1"/>
  <c r="AB303" i="1" s="1"/>
  <c r="E303" i="1" s="1"/>
  <c r="AJ304" i="1"/>
  <c r="AM304" i="1" s="1"/>
  <c r="AB304" i="1" s="1"/>
  <c r="E304" i="1" s="1"/>
  <c r="AJ307" i="1"/>
  <c r="AM307" i="1" s="1"/>
  <c r="AB307" i="1" s="1"/>
  <c r="E307" i="1" s="1"/>
  <c r="AJ308" i="1"/>
  <c r="AM308" i="1" s="1"/>
  <c r="AB308" i="1" s="1"/>
  <c r="E308" i="1" s="1"/>
  <c r="AJ311" i="1"/>
  <c r="AM311" i="1" s="1"/>
  <c r="AB311" i="1" s="1"/>
  <c r="E311" i="1" s="1"/>
  <c r="AJ312" i="1"/>
  <c r="AM312" i="1" s="1"/>
  <c r="AB312" i="1" s="1"/>
  <c r="E312" i="1" s="1"/>
  <c r="AJ315" i="1"/>
  <c r="AM315" i="1" s="1"/>
  <c r="AB315" i="1" s="1"/>
  <c r="E315" i="1" s="1"/>
  <c r="AJ316" i="1"/>
  <c r="AM316" i="1" s="1"/>
  <c r="AB316" i="1" s="1"/>
  <c r="E316" i="1" s="1"/>
  <c r="AJ319" i="1"/>
  <c r="AM319" i="1" s="1"/>
  <c r="AB319" i="1" s="1"/>
  <c r="E319" i="1" s="1"/>
  <c r="AJ320" i="1"/>
  <c r="AM320" i="1" s="1"/>
  <c r="AB320" i="1" s="1"/>
  <c r="E320" i="1" s="1"/>
  <c r="AJ323" i="1"/>
  <c r="AM323" i="1" s="1"/>
  <c r="AB323" i="1" s="1"/>
  <c r="E323" i="1" s="1"/>
  <c r="AJ324" i="1"/>
  <c r="AM324" i="1" s="1"/>
  <c r="AB324" i="1" s="1"/>
  <c r="E324" i="1" s="1"/>
  <c r="AJ327" i="1"/>
  <c r="AM327" i="1" s="1"/>
  <c r="AB327" i="1" s="1"/>
  <c r="E327" i="1" s="1"/>
  <c r="AJ328" i="1"/>
  <c r="AM328" i="1" s="1"/>
  <c r="AB328" i="1" s="1"/>
  <c r="E328" i="1" s="1"/>
  <c r="AJ331" i="1"/>
  <c r="AM331" i="1" s="1"/>
  <c r="AB331" i="1" s="1"/>
  <c r="E331" i="1" s="1"/>
  <c r="AJ332" i="1"/>
  <c r="AM332" i="1" s="1"/>
  <c r="AB332" i="1" s="1"/>
  <c r="E332" i="1" s="1"/>
  <c r="AJ335" i="1"/>
  <c r="AM335" i="1" s="1"/>
  <c r="AJ336" i="1"/>
  <c r="AM336" i="1" s="1"/>
  <c r="AB336" i="1" s="1"/>
  <c r="E336" i="1" s="1"/>
  <c r="AJ339" i="1"/>
  <c r="AM339" i="1" s="1"/>
  <c r="AB339" i="1" s="1"/>
  <c r="E339" i="1" s="1"/>
  <c r="AJ340" i="1"/>
  <c r="AM340" i="1" s="1"/>
  <c r="AB340" i="1" s="1"/>
  <c r="E340" i="1" s="1"/>
  <c r="AJ343" i="1"/>
  <c r="AM343" i="1" s="1"/>
  <c r="AB343" i="1" s="1"/>
  <c r="E343" i="1" s="1"/>
  <c r="AJ344" i="1"/>
  <c r="AM344" i="1" s="1"/>
  <c r="AJ347" i="1"/>
  <c r="AM347" i="1" s="1"/>
  <c r="AB347" i="1" s="1"/>
  <c r="E347" i="1" s="1"/>
  <c r="AJ348" i="1"/>
  <c r="AM348" i="1" s="1"/>
  <c r="AJ351" i="1"/>
  <c r="AM351" i="1" s="1"/>
  <c r="AJ352" i="1"/>
  <c r="AM352" i="1" s="1"/>
  <c r="AJ355" i="1"/>
  <c r="AM355" i="1" s="1"/>
  <c r="AJ356" i="1"/>
  <c r="AM356" i="1" s="1"/>
  <c r="AJ359" i="1"/>
  <c r="AM359" i="1" s="1"/>
  <c r="AJ360" i="1"/>
  <c r="AM360" i="1" s="1"/>
  <c r="AJ363" i="1"/>
  <c r="AM363" i="1" s="1"/>
  <c r="AB363" i="1" s="1"/>
  <c r="E363" i="1" s="1"/>
  <c r="AJ364" i="1"/>
  <c r="AM364" i="1" s="1"/>
  <c r="AB364" i="1" s="1"/>
  <c r="E364" i="1" s="1"/>
  <c r="AJ367" i="1"/>
  <c r="AM367" i="1" s="1"/>
  <c r="AB367" i="1" s="1"/>
  <c r="E367" i="1" s="1"/>
  <c r="AJ368" i="1"/>
  <c r="AM368" i="1" s="1"/>
  <c r="AB368" i="1" s="1"/>
  <c r="E368" i="1" s="1"/>
  <c r="AJ371" i="1"/>
  <c r="AM371" i="1" s="1"/>
  <c r="AB371" i="1" s="1"/>
  <c r="E371" i="1" s="1"/>
  <c r="AJ372" i="1"/>
  <c r="AM372" i="1" s="1"/>
  <c r="AB372" i="1" s="1"/>
  <c r="E372" i="1" s="1"/>
  <c r="AJ375" i="1"/>
  <c r="AM375" i="1" s="1"/>
  <c r="AB375" i="1" s="1"/>
  <c r="E375" i="1" s="1"/>
  <c r="AJ376" i="1"/>
  <c r="AM376" i="1" s="1"/>
  <c r="AB376" i="1" s="1"/>
  <c r="E376" i="1" s="1"/>
  <c r="AJ379" i="1"/>
  <c r="AM379" i="1" s="1"/>
  <c r="AB379" i="1" s="1"/>
  <c r="E379" i="1" s="1"/>
  <c r="AJ380" i="1"/>
  <c r="AM380" i="1" s="1"/>
  <c r="AB380" i="1" s="1"/>
  <c r="E380" i="1" s="1"/>
  <c r="AJ383" i="1"/>
  <c r="AM383" i="1" s="1"/>
  <c r="AB383" i="1" s="1"/>
  <c r="E383" i="1" s="1"/>
  <c r="AJ387" i="1"/>
  <c r="AM387" i="1" s="1"/>
  <c r="AB387" i="1" s="1"/>
  <c r="E387" i="1" s="1"/>
  <c r="AJ388" i="1"/>
  <c r="AM388" i="1" s="1"/>
  <c r="AB388" i="1" s="1"/>
  <c r="E388" i="1" s="1"/>
  <c r="AJ391" i="1"/>
  <c r="AM391" i="1" s="1"/>
  <c r="AB391" i="1" s="1"/>
  <c r="E391" i="1" s="1"/>
  <c r="AJ392" i="1"/>
  <c r="AM392" i="1" s="1"/>
  <c r="AB392" i="1" s="1"/>
  <c r="E392" i="1" s="1"/>
  <c r="AJ395" i="1"/>
  <c r="AM395" i="1" s="1"/>
  <c r="AB395" i="1" s="1"/>
  <c r="E395" i="1" s="1"/>
  <c r="AJ396" i="1"/>
  <c r="AM396" i="1" s="1"/>
  <c r="AB396" i="1" s="1"/>
  <c r="E396" i="1" s="1"/>
  <c r="AJ400" i="1"/>
  <c r="AM400" i="1" s="1"/>
  <c r="AB400" i="1" s="1"/>
  <c r="E400" i="1" s="1"/>
  <c r="AJ403" i="1"/>
  <c r="AM403" i="1" s="1"/>
  <c r="AB403" i="1" s="1"/>
  <c r="E403" i="1" s="1"/>
  <c r="AJ404" i="1"/>
  <c r="AM404" i="1" s="1"/>
  <c r="AB404" i="1" s="1"/>
  <c r="E404" i="1" s="1"/>
  <c r="AJ408" i="1"/>
  <c r="AM408" i="1" s="1"/>
  <c r="AB408" i="1" s="1"/>
  <c r="E408" i="1" s="1"/>
  <c r="AJ411" i="1"/>
  <c r="AM411" i="1" s="1"/>
  <c r="AB411" i="1" s="1"/>
  <c r="E411" i="1" s="1"/>
  <c r="AJ412" i="1"/>
  <c r="AM412" i="1" s="1"/>
  <c r="AB412" i="1" s="1"/>
  <c r="E412" i="1" s="1"/>
  <c r="AJ416" i="1"/>
  <c r="AM416" i="1" s="1"/>
  <c r="AB416" i="1" s="1"/>
  <c r="E416" i="1" s="1"/>
  <c r="AJ419" i="1"/>
  <c r="AM419" i="1" s="1"/>
  <c r="AB419" i="1" s="1"/>
  <c r="E419" i="1" s="1"/>
  <c r="AJ424" i="1"/>
  <c r="AM424" i="1" s="1"/>
  <c r="AB424" i="1" s="1"/>
  <c r="E424" i="1" s="1"/>
  <c r="AJ426" i="1"/>
  <c r="AM426" i="1" s="1"/>
  <c r="AB426" i="1" s="1"/>
  <c r="E426" i="1" s="1"/>
  <c r="AJ429" i="1"/>
  <c r="AM429" i="1" s="1"/>
  <c r="AB429" i="1" s="1"/>
  <c r="E429" i="1" s="1"/>
  <c r="AJ433" i="1"/>
  <c r="AM433" i="1" s="1"/>
  <c r="AB433" i="1" s="1"/>
  <c r="E433" i="1" s="1"/>
  <c r="AJ434" i="1"/>
  <c r="AM434" i="1" s="1"/>
  <c r="AB434" i="1" s="1"/>
  <c r="E434" i="1" s="1"/>
  <c r="AJ437" i="1"/>
  <c r="AM437" i="1" s="1"/>
  <c r="AB437" i="1" s="1"/>
  <c r="E437" i="1" s="1"/>
  <c r="AJ438" i="1"/>
  <c r="AM438" i="1" s="1"/>
  <c r="AB438" i="1" s="1"/>
  <c r="E438" i="1" s="1"/>
  <c r="AJ441" i="1"/>
  <c r="AM441" i="1" s="1"/>
  <c r="AB441" i="1" s="1"/>
  <c r="E441" i="1" s="1"/>
  <c r="AJ442" i="1"/>
  <c r="AM442" i="1" s="1"/>
  <c r="AB442" i="1" s="1"/>
  <c r="E442" i="1" s="1"/>
  <c r="AJ445" i="1"/>
  <c r="AM445" i="1" s="1"/>
  <c r="AB445" i="1" s="1"/>
  <c r="E445" i="1" s="1"/>
  <c r="AJ446" i="1"/>
  <c r="AM446" i="1" s="1"/>
  <c r="AB446" i="1" s="1"/>
  <c r="E446" i="1" s="1"/>
  <c r="AJ449" i="1"/>
  <c r="AM449" i="1" s="1"/>
  <c r="AB449" i="1" s="1"/>
  <c r="E449" i="1" s="1"/>
  <c r="AJ450" i="1"/>
  <c r="AM450" i="1" s="1"/>
  <c r="AB450" i="1" s="1"/>
  <c r="E450" i="1" s="1"/>
  <c r="AJ453" i="1"/>
  <c r="AM453" i="1" s="1"/>
  <c r="AB453" i="1" s="1"/>
  <c r="E453" i="1" s="1"/>
  <c r="AJ454" i="1"/>
  <c r="AM454" i="1" s="1"/>
  <c r="AB454" i="1" s="1"/>
  <c r="E454" i="1" s="1"/>
  <c r="AJ457" i="1"/>
  <c r="AM457" i="1" s="1"/>
  <c r="AB457" i="1" s="1"/>
  <c r="E457" i="1" s="1"/>
  <c r="AJ458" i="1"/>
  <c r="AM458" i="1" s="1"/>
  <c r="AB458" i="1" s="1"/>
  <c r="E458" i="1" s="1"/>
  <c r="AJ461" i="1"/>
  <c r="AM461" i="1" s="1"/>
  <c r="AB461" i="1" s="1"/>
  <c r="E461" i="1" s="1"/>
  <c r="AJ462" i="1"/>
  <c r="AM462" i="1" s="1"/>
  <c r="AB462" i="1" s="1"/>
  <c r="E462" i="1" s="1"/>
  <c r="AJ465" i="1"/>
  <c r="AM465" i="1" s="1"/>
  <c r="AB465" i="1" s="1"/>
  <c r="E465" i="1" s="1"/>
  <c r="AJ466" i="1"/>
  <c r="AM466" i="1" s="1"/>
  <c r="AB466" i="1" s="1"/>
  <c r="E466" i="1" s="1"/>
  <c r="AJ469" i="1"/>
  <c r="AM469" i="1" s="1"/>
  <c r="AB469" i="1" s="1"/>
  <c r="E469" i="1" s="1"/>
  <c r="AJ470" i="1"/>
  <c r="AM470" i="1" s="1"/>
  <c r="AB470" i="1" s="1"/>
  <c r="E470" i="1" s="1"/>
  <c r="AJ473" i="1"/>
  <c r="AM473" i="1" s="1"/>
  <c r="AB473" i="1" s="1"/>
  <c r="E473" i="1" s="1"/>
  <c r="AJ474" i="1"/>
  <c r="AM474" i="1" s="1"/>
  <c r="AJ478" i="1"/>
  <c r="AM478" i="1" s="1"/>
  <c r="AB478" i="1" s="1"/>
  <c r="E478" i="1" s="1"/>
  <c r="AJ481" i="1"/>
  <c r="AM481" i="1" s="1"/>
  <c r="AB481" i="1" s="1"/>
  <c r="E481" i="1" s="1"/>
  <c r="AJ482" i="1"/>
  <c r="AM482" i="1" s="1"/>
  <c r="AB482" i="1" s="1"/>
  <c r="E482" i="1" s="1"/>
  <c r="AJ485" i="1"/>
  <c r="AM485" i="1" s="1"/>
  <c r="AB485" i="1" s="1"/>
  <c r="E485" i="1" s="1"/>
  <c r="AJ486" i="1"/>
  <c r="AM486" i="1" s="1"/>
  <c r="AB486" i="1" s="1"/>
  <c r="E486" i="1" s="1"/>
  <c r="AJ489" i="1"/>
  <c r="AM489" i="1" s="1"/>
  <c r="AB489" i="1" s="1"/>
  <c r="E489" i="1" s="1"/>
  <c r="AJ490" i="1"/>
  <c r="AM490" i="1" s="1"/>
  <c r="AB490" i="1" s="1"/>
  <c r="E490" i="1" s="1"/>
  <c r="AM493" i="1"/>
  <c r="AB493" i="1" s="1"/>
  <c r="E493" i="1" s="1"/>
  <c r="AM494" i="1"/>
  <c r="AB494" i="1" s="1"/>
  <c r="E494" i="1" s="1"/>
  <c r="AM495" i="1"/>
  <c r="AB495" i="1" s="1"/>
  <c r="E495" i="1" s="1"/>
  <c r="AM496" i="1"/>
  <c r="AB496" i="1" s="1"/>
  <c r="E496" i="1" s="1"/>
  <c r="AM497" i="1"/>
  <c r="AB497" i="1" s="1"/>
  <c r="E497" i="1" s="1"/>
  <c r="AM498" i="1"/>
  <c r="AB498" i="1" s="1"/>
  <c r="E498" i="1" s="1"/>
  <c r="F6" i="1"/>
  <c r="AJ30" i="1"/>
  <c r="AM30" i="1" s="1"/>
  <c r="AJ31" i="1"/>
  <c r="AM31" i="1" s="1"/>
  <c r="AB31" i="1" s="1"/>
  <c r="E31" i="1" s="1"/>
  <c r="AJ32" i="1"/>
  <c r="AM32" i="1" s="1"/>
  <c r="AB32" i="1" s="1"/>
  <c r="E32" i="1" s="1"/>
  <c r="AJ33" i="1"/>
  <c r="AM33" i="1" s="1"/>
  <c r="AB33" i="1" s="1"/>
  <c r="E33" i="1" s="1"/>
  <c r="AJ34" i="1"/>
  <c r="AM34" i="1" s="1"/>
  <c r="AB34" i="1" s="1"/>
  <c r="E34" i="1" s="1"/>
  <c r="AJ35" i="1"/>
  <c r="AM35" i="1" s="1"/>
  <c r="AB35" i="1" s="1"/>
  <c r="E35" i="1" s="1"/>
  <c r="AJ37" i="1"/>
  <c r="AM37" i="1" s="1"/>
  <c r="AJ38" i="1"/>
  <c r="AM38" i="1" s="1"/>
  <c r="AJ39" i="1"/>
  <c r="AM39" i="1" s="1"/>
  <c r="AB39" i="1" s="1"/>
  <c r="E39" i="1" s="1"/>
  <c r="AJ40" i="1"/>
  <c r="AM40" i="1" s="1"/>
  <c r="AB40" i="1" s="1"/>
  <c r="E40" i="1" s="1"/>
  <c r="AJ41" i="1"/>
  <c r="AM41" i="1" s="1"/>
  <c r="AB41" i="1" s="1"/>
  <c r="E41" i="1" s="1"/>
  <c r="AJ42" i="1"/>
  <c r="AM42" i="1" s="1"/>
  <c r="AB42" i="1" s="1"/>
  <c r="E42" i="1" s="1"/>
  <c r="AJ43" i="1"/>
  <c r="AM43" i="1" s="1"/>
  <c r="AB43" i="1" s="1"/>
  <c r="E43" i="1" s="1"/>
  <c r="AJ44" i="1"/>
  <c r="AM44" i="1" s="1"/>
  <c r="AB44" i="1" s="1"/>
  <c r="E44" i="1" s="1"/>
  <c r="AJ45" i="1"/>
  <c r="AM45" i="1" s="1"/>
  <c r="AB45" i="1" s="1"/>
  <c r="E45" i="1" s="1"/>
  <c r="AJ46" i="1"/>
  <c r="AM46" i="1" s="1"/>
  <c r="AB46" i="1" s="1"/>
  <c r="E46" i="1" s="1"/>
  <c r="AJ47" i="1"/>
  <c r="AM47" i="1" s="1"/>
  <c r="AB47" i="1" s="1"/>
  <c r="E47" i="1" s="1"/>
  <c r="AJ48" i="1"/>
  <c r="AM48" i="1" s="1"/>
  <c r="AB48" i="1" s="1"/>
  <c r="E48" i="1" s="1"/>
  <c r="AJ49" i="1"/>
  <c r="AM49" i="1" s="1"/>
  <c r="AB49" i="1" s="1"/>
  <c r="E49" i="1" s="1"/>
  <c r="AJ50" i="1"/>
  <c r="AM50" i="1" s="1"/>
  <c r="AB50" i="1" s="1"/>
  <c r="E50" i="1" s="1"/>
  <c r="AJ51" i="1"/>
  <c r="AM51" i="1" s="1"/>
  <c r="AB51" i="1" s="1"/>
  <c r="E51" i="1" s="1"/>
  <c r="AJ52" i="1"/>
  <c r="AM52" i="1" s="1"/>
  <c r="AB52" i="1" s="1"/>
  <c r="E52" i="1" s="1"/>
  <c r="AJ53" i="1"/>
  <c r="AM53" i="1" s="1"/>
  <c r="AB53" i="1" s="1"/>
  <c r="E53" i="1" s="1"/>
  <c r="AJ54" i="1"/>
  <c r="AM54" i="1" s="1"/>
  <c r="AB54" i="1" s="1"/>
  <c r="E54" i="1" s="1"/>
  <c r="AJ55" i="1"/>
  <c r="AM55" i="1" s="1"/>
  <c r="AB55" i="1" s="1"/>
  <c r="E55" i="1" s="1"/>
  <c r="AJ56" i="1"/>
  <c r="AM56" i="1" s="1"/>
  <c r="AB56" i="1" s="1"/>
  <c r="E56" i="1" s="1"/>
  <c r="AJ57" i="1"/>
  <c r="AM57" i="1" s="1"/>
  <c r="AB57" i="1" s="1"/>
  <c r="E57" i="1" s="1"/>
  <c r="AJ58" i="1"/>
  <c r="AM58" i="1" s="1"/>
  <c r="AB58" i="1" s="1"/>
  <c r="E58" i="1" s="1"/>
  <c r="AJ59" i="1"/>
  <c r="AM59" i="1" s="1"/>
  <c r="AB59" i="1" s="1"/>
  <c r="E59" i="1" s="1"/>
  <c r="AJ60" i="1"/>
  <c r="AM60" i="1" s="1"/>
  <c r="AB60" i="1" s="1"/>
  <c r="E60" i="1" s="1"/>
  <c r="AJ61" i="1"/>
  <c r="AM61" i="1" s="1"/>
  <c r="AB61" i="1" s="1"/>
  <c r="E61" i="1" s="1"/>
  <c r="AJ62" i="1"/>
  <c r="AM62" i="1" s="1"/>
  <c r="AJ63" i="1"/>
  <c r="AM63" i="1" s="1"/>
  <c r="AJ64" i="1"/>
  <c r="AM64" i="1" s="1"/>
  <c r="AB64" i="1" s="1"/>
  <c r="E64" i="1" s="1"/>
  <c r="AJ65" i="1"/>
  <c r="AM65" i="1" s="1"/>
  <c r="AB65" i="1" s="1"/>
  <c r="E65" i="1" s="1"/>
  <c r="AJ66" i="1"/>
  <c r="AM66" i="1" s="1"/>
  <c r="AB66" i="1" s="1"/>
  <c r="E66" i="1" s="1"/>
  <c r="AJ67" i="1"/>
  <c r="AM67" i="1" s="1"/>
  <c r="AB67" i="1" s="1"/>
  <c r="E67" i="1" s="1"/>
  <c r="AJ68" i="1"/>
  <c r="AM68" i="1" s="1"/>
  <c r="AB68" i="1" s="1"/>
  <c r="E68" i="1" s="1"/>
  <c r="AJ69" i="1"/>
  <c r="AM69" i="1" s="1"/>
  <c r="AB69" i="1" s="1"/>
  <c r="E69" i="1" s="1"/>
  <c r="AJ4" i="1"/>
  <c r="AC591" i="1" l="1"/>
  <c r="AC599" i="1"/>
  <c r="AC607" i="1"/>
  <c r="AC615" i="1"/>
  <c r="AC623" i="1"/>
  <c r="AC631" i="1"/>
  <c r="AC639" i="1"/>
  <c r="AC647" i="1"/>
  <c r="AC655" i="1"/>
  <c r="AC663" i="1"/>
  <c r="AC671" i="1"/>
  <c r="AC679" i="1"/>
  <c r="AC687" i="1"/>
  <c r="AC695" i="1"/>
  <c r="AC703" i="1"/>
  <c r="AC711" i="1"/>
  <c r="AC719" i="1"/>
  <c r="AC727" i="1"/>
  <c r="AC735" i="1"/>
  <c r="AC743" i="1"/>
  <c r="AC751" i="1"/>
  <c r="AC590" i="1"/>
  <c r="AC598" i="1"/>
  <c r="AC606" i="1"/>
  <c r="AC614" i="1"/>
  <c r="AC622" i="1"/>
  <c r="AC630" i="1"/>
  <c r="AC638" i="1"/>
  <c r="AC646" i="1"/>
  <c r="AC654" i="1"/>
  <c r="AC662" i="1"/>
  <c r="AC670" i="1"/>
  <c r="AC678" i="1"/>
  <c r="AC686" i="1"/>
  <c r="AC694" i="1"/>
  <c r="AC702" i="1"/>
  <c r="AC710" i="1"/>
  <c r="AC718" i="1"/>
  <c r="AC726" i="1"/>
  <c r="AC734" i="1"/>
  <c r="AC742" i="1"/>
  <c r="AC750" i="1"/>
  <c r="AC589" i="1"/>
  <c r="AC597" i="1"/>
  <c r="AC605" i="1"/>
  <c r="AC613" i="1"/>
  <c r="AC621" i="1"/>
  <c r="AC629" i="1"/>
  <c r="AC637" i="1"/>
  <c r="AC645" i="1"/>
  <c r="AC653" i="1"/>
  <c r="AC661" i="1"/>
  <c r="AC669" i="1"/>
  <c r="AC677" i="1"/>
  <c r="AC685" i="1"/>
  <c r="AC693" i="1"/>
  <c r="AC701" i="1"/>
  <c r="AC709" i="1"/>
  <c r="AC717" i="1"/>
  <c r="AC725" i="1"/>
  <c r="AC733" i="1"/>
  <c r="AC741" i="1"/>
  <c r="AC749" i="1"/>
  <c r="AC588" i="1"/>
  <c r="AC596" i="1"/>
  <c r="AC604" i="1"/>
  <c r="AC612" i="1"/>
  <c r="AC620" i="1"/>
  <c r="AC628" i="1"/>
  <c r="AC636" i="1"/>
  <c r="AC644" i="1"/>
  <c r="AC652" i="1"/>
  <c r="AC660" i="1"/>
  <c r="AC668" i="1"/>
  <c r="AC676" i="1"/>
  <c r="AC684" i="1"/>
  <c r="AC692" i="1"/>
  <c r="AC700" i="1"/>
  <c r="AC708" i="1"/>
  <c r="AC716" i="1"/>
  <c r="AC724" i="1"/>
  <c r="AC732" i="1"/>
  <c r="AC740" i="1"/>
  <c r="AC748" i="1"/>
  <c r="AC587" i="1"/>
  <c r="AC595" i="1"/>
  <c r="AC603" i="1"/>
  <c r="AC611" i="1"/>
  <c r="AC619" i="1"/>
  <c r="AC627" i="1"/>
  <c r="AC635" i="1"/>
  <c r="AC643" i="1"/>
  <c r="AC651" i="1"/>
  <c r="AC659" i="1"/>
  <c r="AC667" i="1"/>
  <c r="AC675" i="1"/>
  <c r="AC683" i="1"/>
  <c r="AC691" i="1"/>
  <c r="AC699" i="1"/>
  <c r="AC707" i="1"/>
  <c r="AC715" i="1"/>
  <c r="AC723" i="1"/>
  <c r="AC731" i="1"/>
  <c r="AC739" i="1"/>
  <c r="AC747" i="1"/>
  <c r="AC586" i="1"/>
  <c r="AC594" i="1"/>
  <c r="AC602" i="1"/>
  <c r="AC610" i="1"/>
  <c r="AC618" i="1"/>
  <c r="AC626" i="1"/>
  <c r="AC634" i="1"/>
  <c r="AC642" i="1"/>
  <c r="AC650" i="1"/>
  <c r="AC658" i="1"/>
  <c r="AC666" i="1"/>
  <c r="AC674" i="1"/>
  <c r="AC682" i="1"/>
  <c r="AC690" i="1"/>
  <c r="AC698" i="1"/>
  <c r="AC706" i="1"/>
  <c r="AC714" i="1"/>
  <c r="AC722" i="1"/>
  <c r="AC730" i="1"/>
  <c r="AC738" i="1"/>
  <c r="AC746" i="1"/>
  <c r="AC593" i="1"/>
  <c r="AC601" i="1"/>
  <c r="AC609" i="1"/>
  <c r="AC617" i="1"/>
  <c r="AC625" i="1"/>
  <c r="AC633" i="1"/>
  <c r="AC641" i="1"/>
  <c r="AC649" i="1"/>
  <c r="AC657" i="1"/>
  <c r="AC665" i="1"/>
  <c r="AC673" i="1"/>
  <c r="AC681" i="1"/>
  <c r="AC689" i="1"/>
  <c r="AC697" i="1"/>
  <c r="AC705" i="1"/>
  <c r="AC713" i="1"/>
  <c r="AC721" i="1"/>
  <c r="AC729" i="1"/>
  <c r="AC737" i="1"/>
  <c r="AC745" i="1"/>
  <c r="AC753" i="1"/>
  <c r="AC592" i="1"/>
  <c r="AC600" i="1"/>
  <c r="AC608" i="1"/>
  <c r="AC616" i="1"/>
  <c r="AC624" i="1"/>
  <c r="AC632" i="1"/>
  <c r="AC640" i="1"/>
  <c r="AC648" i="1"/>
  <c r="AC656" i="1"/>
  <c r="AC664" i="1"/>
  <c r="AC672" i="1"/>
  <c r="AC680" i="1"/>
  <c r="AC688" i="1"/>
  <c r="AC696" i="1"/>
  <c r="AC712" i="1"/>
  <c r="AC728" i="1"/>
  <c r="AC744" i="1"/>
  <c r="AC754" i="1"/>
  <c r="AC761" i="1"/>
  <c r="AC769" i="1"/>
  <c r="AC777" i="1"/>
  <c r="AC785" i="1"/>
  <c r="AC793" i="1"/>
  <c r="AC801" i="1"/>
  <c r="AC809" i="1"/>
  <c r="AC817" i="1"/>
  <c r="AC825" i="1"/>
  <c r="AC833" i="1"/>
  <c r="AC841" i="1"/>
  <c r="AC849" i="1"/>
  <c r="AC857" i="1"/>
  <c r="AC865" i="1"/>
  <c r="AC873" i="1"/>
  <c r="AC881" i="1"/>
  <c r="AC889" i="1"/>
  <c r="AC897" i="1"/>
  <c r="AC905" i="1"/>
  <c r="AC913" i="1"/>
  <c r="AC921" i="1"/>
  <c r="AC760" i="1"/>
  <c r="AC768" i="1"/>
  <c r="AC776" i="1"/>
  <c r="AC784" i="1"/>
  <c r="AC792" i="1"/>
  <c r="AC800" i="1"/>
  <c r="AC808" i="1"/>
  <c r="AC816" i="1"/>
  <c r="AC824" i="1"/>
  <c r="AC832" i="1"/>
  <c r="AC840" i="1"/>
  <c r="AC848" i="1"/>
  <c r="AC856" i="1"/>
  <c r="AC864" i="1"/>
  <c r="AC872" i="1"/>
  <c r="AC880" i="1"/>
  <c r="AC888" i="1"/>
  <c r="AC896" i="1"/>
  <c r="AC904" i="1"/>
  <c r="AC912" i="1"/>
  <c r="AC920" i="1"/>
  <c r="AC759" i="1"/>
  <c r="AC767" i="1"/>
  <c r="AC775" i="1"/>
  <c r="AC783" i="1"/>
  <c r="AC791" i="1"/>
  <c r="AC799" i="1"/>
  <c r="AC807" i="1"/>
  <c r="AC815" i="1"/>
  <c r="AC823" i="1"/>
  <c r="AC831" i="1"/>
  <c r="AC839" i="1"/>
  <c r="AC847" i="1"/>
  <c r="AC855" i="1"/>
  <c r="AC863" i="1"/>
  <c r="AC871" i="1"/>
  <c r="AC879" i="1"/>
  <c r="AC887" i="1"/>
  <c r="AC895" i="1"/>
  <c r="AC903" i="1"/>
  <c r="AC911" i="1"/>
  <c r="AC919" i="1"/>
  <c r="AC758" i="1"/>
  <c r="AC766" i="1"/>
  <c r="AC774" i="1"/>
  <c r="AC782" i="1"/>
  <c r="AC790" i="1"/>
  <c r="AC798" i="1"/>
  <c r="AC806" i="1"/>
  <c r="AC814" i="1"/>
  <c r="AC822" i="1"/>
  <c r="AC830" i="1"/>
  <c r="AC838" i="1"/>
  <c r="AC846" i="1"/>
  <c r="AC854" i="1"/>
  <c r="AC862" i="1"/>
  <c r="AC870" i="1"/>
  <c r="AC878" i="1"/>
  <c r="AC886" i="1"/>
  <c r="AC998" i="1"/>
  <c r="AC990" i="1"/>
  <c r="AC704" i="1"/>
  <c r="AC720" i="1"/>
  <c r="AC736" i="1"/>
  <c r="AC752" i="1"/>
  <c r="AC757" i="1"/>
  <c r="AC765" i="1"/>
  <c r="AC773" i="1"/>
  <c r="AC781" i="1"/>
  <c r="AC789" i="1"/>
  <c r="AC797" i="1"/>
  <c r="AC805" i="1"/>
  <c r="AC813" i="1"/>
  <c r="AC821" i="1"/>
  <c r="AC829" i="1"/>
  <c r="AC837" i="1"/>
  <c r="AC845" i="1"/>
  <c r="AC853" i="1"/>
  <c r="AC861" i="1"/>
  <c r="AC869" i="1"/>
  <c r="AC877" i="1"/>
  <c r="AC885" i="1"/>
  <c r="AC893" i="1"/>
  <c r="AC901" i="1"/>
  <c r="AC909" i="1"/>
  <c r="AC917" i="1"/>
  <c r="AC756" i="1"/>
  <c r="AC764" i="1"/>
  <c r="AC772" i="1"/>
  <c r="AC780" i="1"/>
  <c r="AC788" i="1"/>
  <c r="AC796" i="1"/>
  <c r="AC804" i="1"/>
  <c r="AC812" i="1"/>
  <c r="AC820" i="1"/>
  <c r="AC828" i="1"/>
  <c r="AC836" i="1"/>
  <c r="AC844" i="1"/>
  <c r="AC852" i="1"/>
  <c r="AC860" i="1"/>
  <c r="AC868" i="1"/>
  <c r="AC876" i="1"/>
  <c r="AC884" i="1"/>
  <c r="AC892" i="1"/>
  <c r="AC900" i="1"/>
  <c r="AC908" i="1"/>
  <c r="AC916" i="1"/>
  <c r="AC755" i="1"/>
  <c r="AC763" i="1"/>
  <c r="AC771" i="1"/>
  <c r="AC779" i="1"/>
  <c r="AC787" i="1"/>
  <c r="AC795" i="1"/>
  <c r="AC803" i="1"/>
  <c r="AC811" i="1"/>
  <c r="AC819" i="1"/>
  <c r="AC827" i="1"/>
  <c r="AC835" i="1"/>
  <c r="AC843" i="1"/>
  <c r="AC851" i="1"/>
  <c r="AC859" i="1"/>
  <c r="AC867" i="1"/>
  <c r="AC875" i="1"/>
  <c r="AC883" i="1"/>
  <c r="AC891" i="1"/>
  <c r="AC899" i="1"/>
  <c r="AC907" i="1"/>
  <c r="AC915" i="1"/>
  <c r="AC923" i="1"/>
  <c r="AC762" i="1"/>
  <c r="AC770" i="1"/>
  <c r="AC778" i="1"/>
  <c r="AC786" i="1"/>
  <c r="AC794" i="1"/>
  <c r="AC802" i="1"/>
  <c r="AC810" i="1"/>
  <c r="AC818" i="1"/>
  <c r="AC826" i="1"/>
  <c r="AC834" i="1"/>
  <c r="AC842" i="1"/>
  <c r="AC850" i="1"/>
  <c r="AC858" i="1"/>
  <c r="AC866" i="1"/>
  <c r="AC874" i="1"/>
  <c r="AC882" i="1"/>
  <c r="AC890" i="1"/>
  <c r="AC902" i="1"/>
  <c r="AC918" i="1"/>
  <c r="AC927" i="1"/>
  <c r="AC935" i="1"/>
  <c r="AC943" i="1"/>
  <c r="AC951" i="1"/>
  <c r="AC959" i="1"/>
  <c r="AC967" i="1"/>
  <c r="AC975" i="1"/>
  <c r="AC983" i="1"/>
  <c r="AC991" i="1"/>
  <c r="AC999" i="1"/>
  <c r="AC932" i="1"/>
  <c r="AC940" i="1"/>
  <c r="AC948" i="1"/>
  <c r="AC956" i="1"/>
  <c r="AC964" i="1"/>
  <c r="AC972" i="1"/>
  <c r="AC980" i="1"/>
  <c r="AC988" i="1"/>
  <c r="AC996" i="1"/>
  <c r="AC906" i="1"/>
  <c r="AC922" i="1"/>
  <c r="AC929" i="1"/>
  <c r="AC937" i="1"/>
  <c r="AC945" i="1"/>
  <c r="AC953" i="1"/>
  <c r="AC961" i="1"/>
  <c r="AC969" i="1"/>
  <c r="AC977" i="1"/>
  <c r="AC985" i="1"/>
  <c r="AC993" i="1"/>
  <c r="AC926" i="1"/>
  <c r="AC934" i="1"/>
  <c r="AC942" i="1"/>
  <c r="AC950" i="1"/>
  <c r="AC958" i="1"/>
  <c r="AC966" i="1"/>
  <c r="AC974" i="1"/>
  <c r="AC982" i="1"/>
  <c r="AC994" i="1"/>
  <c r="AC894" i="1"/>
  <c r="AC910" i="1"/>
  <c r="AC924" i="1"/>
  <c r="AC931" i="1"/>
  <c r="AC939" i="1"/>
  <c r="AC947" i="1"/>
  <c r="AC955" i="1"/>
  <c r="AC963" i="1"/>
  <c r="AC971" i="1"/>
  <c r="AC979" i="1"/>
  <c r="AC987" i="1"/>
  <c r="AC995" i="1"/>
  <c r="AC928" i="1"/>
  <c r="AC936" i="1"/>
  <c r="AC944" i="1"/>
  <c r="AC952" i="1"/>
  <c r="AC960" i="1"/>
  <c r="AC968" i="1"/>
  <c r="AC976" i="1"/>
  <c r="AC984" i="1"/>
  <c r="AC992" i="1"/>
  <c r="AC898" i="1"/>
  <c r="AC914" i="1"/>
  <c r="AC925" i="1"/>
  <c r="AC933" i="1"/>
  <c r="AC941" i="1"/>
  <c r="AC949" i="1"/>
  <c r="AC957" i="1"/>
  <c r="AC965" i="1"/>
  <c r="AC973" i="1"/>
  <c r="AC981" i="1"/>
  <c r="AC989" i="1"/>
  <c r="AC997" i="1"/>
  <c r="AC930" i="1"/>
  <c r="AC938" i="1"/>
  <c r="AC946" i="1"/>
  <c r="AC954" i="1"/>
  <c r="AC962" i="1"/>
  <c r="AC970" i="1"/>
  <c r="AC978" i="1"/>
  <c r="AC986" i="1"/>
  <c r="BC493" i="1"/>
  <c r="AZ493" i="1"/>
  <c r="BC494" i="1"/>
  <c r="AZ494" i="1"/>
  <c r="BC495" i="1"/>
  <c r="AZ495" i="1"/>
  <c r="BC498" i="1"/>
  <c r="AZ498" i="1"/>
  <c r="BC496" i="1"/>
  <c r="AZ496" i="1"/>
  <c r="BC497" i="1"/>
  <c r="AZ497" i="1"/>
  <c r="AB359" i="1"/>
  <c r="E359" i="1" s="1"/>
  <c r="AB355" i="1"/>
  <c r="E355" i="1" s="1"/>
  <c r="AB351" i="1"/>
  <c r="E351" i="1" s="1"/>
  <c r="AB346" i="1"/>
  <c r="E346" i="1" s="1"/>
  <c r="AB353" i="1"/>
  <c r="E353" i="1" s="1"/>
  <c r="AB357" i="1"/>
  <c r="E357" i="1" s="1"/>
  <c r="AB362" i="1"/>
  <c r="E362" i="1" s="1"/>
  <c r="AB360" i="1"/>
  <c r="E360" i="1" s="1"/>
  <c r="AB356" i="1"/>
  <c r="E356" i="1" s="1"/>
  <c r="AB352" i="1"/>
  <c r="E352" i="1" s="1"/>
  <c r="AB348" i="1"/>
  <c r="E348" i="1" s="1"/>
  <c r="AB344" i="1"/>
  <c r="E344" i="1" s="1"/>
  <c r="AB345" i="1"/>
  <c r="E345" i="1" s="1"/>
  <c r="AB349" i="1"/>
  <c r="E349" i="1" s="1"/>
  <c r="AB350" i="1"/>
  <c r="E350" i="1" s="1"/>
  <c r="AB354" i="1"/>
  <c r="E354" i="1" s="1"/>
  <c r="AB358" i="1"/>
  <c r="E358" i="1" s="1"/>
  <c r="AB361" i="1"/>
  <c r="E361" i="1" s="1"/>
  <c r="AM13" i="1"/>
  <c r="AB13" i="1" s="1"/>
  <c r="E13" i="1" s="1"/>
  <c r="AM7" i="1"/>
  <c r="AB7" i="1" s="1"/>
  <c r="E7" i="1" s="1"/>
  <c r="AM12" i="1"/>
  <c r="AB12" i="1" s="1"/>
  <c r="E12" i="1" s="1"/>
  <c r="AM10" i="1"/>
  <c r="AB10" i="1" s="1"/>
  <c r="E10" i="1" s="1"/>
  <c r="AM15" i="1"/>
  <c r="AB15" i="1" s="1"/>
  <c r="E15" i="1" s="1"/>
  <c r="AM11" i="1"/>
  <c r="AB11" i="1" s="1"/>
  <c r="E11" i="1" s="1"/>
  <c r="AM14" i="1"/>
  <c r="AB14" i="1" s="1"/>
  <c r="E14" i="1" s="1"/>
  <c r="AM8" i="1"/>
  <c r="AB8" i="1" s="1"/>
  <c r="E8" i="1" s="1"/>
  <c r="AM4" i="1"/>
  <c r="AB4" i="1" s="1"/>
  <c r="AD59" i="1" s="1"/>
  <c r="AD87" i="1"/>
  <c r="AD103" i="1"/>
  <c r="AD111" i="1"/>
  <c r="AD119" i="1"/>
  <c r="AD127" i="1"/>
  <c r="AD135" i="1"/>
  <c r="AD143" i="1"/>
  <c r="AD151" i="1"/>
  <c r="AD159" i="1"/>
  <c r="AD167" i="1"/>
  <c r="AD6" i="1"/>
  <c r="AD14" i="1"/>
  <c r="AD22" i="1"/>
  <c r="AD30" i="1"/>
  <c r="AD38" i="1"/>
  <c r="AD42" i="1"/>
  <c r="AD44" i="1"/>
  <c r="AD46" i="1"/>
  <c r="AD48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6" i="1"/>
  <c r="AD110" i="1"/>
  <c r="AD114" i="1"/>
  <c r="AD118" i="1"/>
  <c r="AD122" i="1"/>
  <c r="AD126" i="1"/>
  <c r="AD130" i="1"/>
  <c r="AD134" i="1"/>
  <c r="AD138" i="1"/>
  <c r="AD142" i="1"/>
  <c r="AD146" i="1"/>
  <c r="AD150" i="1"/>
  <c r="AD154" i="1"/>
  <c r="AD158" i="1"/>
  <c r="AD162" i="1"/>
  <c r="AD166" i="1"/>
  <c r="AD170" i="1"/>
  <c r="AD174" i="1"/>
  <c r="AD176" i="1"/>
  <c r="AD178" i="1"/>
  <c r="AD180" i="1"/>
  <c r="AD182" i="1"/>
  <c r="AD184" i="1"/>
  <c r="AD186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152" i="1"/>
  <c r="AD156" i="1"/>
  <c r="AD160" i="1"/>
  <c r="AD164" i="1"/>
  <c r="AD168" i="1"/>
  <c r="AD172" i="1"/>
  <c r="AD175" i="1"/>
  <c r="AD177" i="1"/>
  <c r="AD179" i="1"/>
  <c r="AD181" i="1"/>
  <c r="AD183" i="1"/>
  <c r="AD185" i="1"/>
  <c r="AD187" i="1"/>
  <c r="AD189" i="1"/>
  <c r="AD191" i="1"/>
  <c r="AD193" i="1"/>
  <c r="AD195" i="1"/>
  <c r="AD197" i="1"/>
  <c r="AD199" i="1"/>
  <c r="AD201" i="1"/>
  <c r="AD203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188" i="1"/>
  <c r="AD192" i="1"/>
  <c r="AD196" i="1"/>
  <c r="AD200" i="1"/>
  <c r="AD204" i="1"/>
  <c r="AD208" i="1"/>
  <c r="AD212" i="1"/>
  <c r="AD216" i="1"/>
  <c r="AD220" i="1"/>
  <c r="AD224" i="1"/>
  <c r="AD228" i="1"/>
  <c r="AD232" i="1"/>
  <c r="AD236" i="1"/>
  <c r="AD240" i="1"/>
  <c r="AD244" i="1"/>
  <c r="AD248" i="1"/>
  <c r="AD252" i="1"/>
  <c r="AD256" i="1"/>
  <c r="AD260" i="1"/>
  <c r="AD264" i="1"/>
  <c r="AD268" i="1"/>
  <c r="AD272" i="1"/>
  <c r="AD276" i="1"/>
  <c r="AD280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527" i="1"/>
  <c r="AD190" i="1"/>
  <c r="AD194" i="1"/>
  <c r="AD198" i="1"/>
  <c r="AD202" i="1"/>
  <c r="AD206" i="1"/>
  <c r="AD210" i="1"/>
  <c r="AD214" i="1"/>
  <c r="AD218" i="1"/>
  <c r="AD222" i="1"/>
  <c r="AD226" i="1"/>
  <c r="AD230" i="1"/>
  <c r="AD234" i="1"/>
  <c r="AD238" i="1"/>
  <c r="AD242" i="1"/>
  <c r="AD246" i="1"/>
  <c r="AD250" i="1"/>
  <c r="AD254" i="1"/>
  <c r="AD258" i="1"/>
  <c r="AD262" i="1"/>
  <c r="AD266" i="1"/>
  <c r="AD270" i="1"/>
  <c r="AD274" i="1"/>
  <c r="AD278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4" i="1"/>
  <c r="AD316" i="1"/>
  <c r="AD318" i="1"/>
  <c r="AD320" i="1"/>
  <c r="AD322" i="1"/>
  <c r="AD324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0" i="1"/>
  <c r="AD462" i="1"/>
  <c r="AD464" i="1"/>
  <c r="AD466" i="1"/>
  <c r="AD468" i="1"/>
  <c r="AD470" i="1"/>
  <c r="AD472" i="1"/>
  <c r="AD474" i="1"/>
  <c r="AD476" i="1"/>
  <c r="AD478" i="1"/>
  <c r="AD480" i="1"/>
  <c r="AD482" i="1"/>
  <c r="AD484" i="1"/>
  <c r="AD486" i="1"/>
  <c r="AD488" i="1"/>
  <c r="AD490" i="1"/>
  <c r="AD492" i="1"/>
  <c r="AD494" i="1"/>
  <c r="AD496" i="1"/>
  <c r="AD498" i="1"/>
  <c r="AD500" i="1"/>
  <c r="AD502" i="1"/>
  <c r="AD504" i="1"/>
  <c r="AD506" i="1"/>
  <c r="AD508" i="1"/>
  <c r="AD510" i="1"/>
  <c r="AD512" i="1"/>
  <c r="AD514" i="1"/>
  <c r="AD516" i="1"/>
  <c r="AD518" i="1"/>
  <c r="AD520" i="1"/>
  <c r="AD522" i="1"/>
  <c r="AD524" i="1"/>
  <c r="AD526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29" i="1"/>
  <c r="AD533" i="1"/>
  <c r="AD537" i="1"/>
  <c r="AD541" i="1"/>
  <c r="AD545" i="1"/>
  <c r="AD549" i="1"/>
  <c r="AD553" i="1"/>
  <c r="AD557" i="1"/>
  <c r="AD561" i="1"/>
  <c r="AD565" i="1"/>
  <c r="AD569" i="1"/>
  <c r="AD573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531" i="1"/>
  <c r="AD535" i="1"/>
  <c r="AD539" i="1"/>
  <c r="AD543" i="1"/>
  <c r="AD547" i="1"/>
  <c r="AD551" i="1"/>
  <c r="AD555" i="1"/>
  <c r="AD559" i="1"/>
  <c r="AD563" i="1"/>
  <c r="AD567" i="1"/>
  <c r="AD571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892" i="1"/>
  <c r="AD896" i="1"/>
  <c r="AD900" i="1"/>
  <c r="AD904" i="1"/>
  <c r="AD908" i="1"/>
  <c r="AD912" i="1"/>
  <c r="AD916" i="1"/>
  <c r="AD920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894" i="1"/>
  <c r="AD898" i="1"/>
  <c r="AD902" i="1"/>
  <c r="AD906" i="1"/>
  <c r="AD910" i="1"/>
  <c r="AD914" i="1"/>
  <c r="AD918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4" i="1"/>
  <c r="AD34" i="1" l="1"/>
  <c r="AD26" i="1"/>
  <c r="AD18" i="1"/>
  <c r="AD10" i="1"/>
  <c r="AD171" i="1"/>
  <c r="AD163" i="1"/>
  <c r="AD155" i="1"/>
  <c r="AD147" i="1"/>
  <c r="AD139" i="1"/>
  <c r="AD131" i="1"/>
  <c r="AD123" i="1"/>
  <c r="AD115" i="1"/>
  <c r="AD107" i="1"/>
  <c r="AD97" i="1"/>
  <c r="AD5" i="1"/>
  <c r="E4" i="1"/>
  <c r="AD40" i="1"/>
  <c r="AD36" i="1"/>
  <c r="AD32" i="1"/>
  <c r="AD28" i="1"/>
  <c r="AD24" i="1"/>
  <c r="AD20" i="1"/>
  <c r="AD16" i="1"/>
  <c r="AD12" i="1"/>
  <c r="AD8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3" i="1"/>
  <c r="AD79" i="1"/>
  <c r="AD99" i="1"/>
  <c r="AD95" i="1"/>
  <c r="AD91" i="1"/>
  <c r="AD83" i="1"/>
  <c r="AD71" i="1"/>
  <c r="AD43" i="1"/>
  <c r="AD75" i="1"/>
  <c r="AD67" i="1"/>
  <c r="AD51" i="1"/>
  <c r="AD11" i="1"/>
  <c r="AD27" i="1"/>
  <c r="AD63" i="1"/>
  <c r="AD55" i="1"/>
  <c r="AD47" i="1"/>
  <c r="AD35" i="1"/>
  <c r="AD19" i="1"/>
  <c r="AD7" i="1"/>
  <c r="AD39" i="1"/>
  <c r="AD31" i="1"/>
  <c r="AD23" i="1"/>
  <c r="AD15" i="1"/>
  <c r="AD89" i="1"/>
  <c r="AD85" i="1"/>
  <c r="AD81" i="1"/>
  <c r="AD77" i="1"/>
  <c r="AD73" i="1"/>
  <c r="AD69" i="1"/>
  <c r="AD65" i="1"/>
  <c r="AD61" i="1"/>
  <c r="AD57" i="1"/>
  <c r="AD53" i="1"/>
  <c r="AD49" i="1"/>
  <c r="AD45" i="1"/>
  <c r="AD41" i="1"/>
  <c r="AD37" i="1"/>
  <c r="AD33" i="1"/>
  <c r="AD29" i="1"/>
  <c r="AD25" i="1"/>
  <c r="AD21" i="1"/>
  <c r="AD17" i="1"/>
  <c r="AD13" i="1"/>
  <c r="AD9" i="1"/>
</calcChain>
</file>

<file path=xl/comments1.xml><?xml version="1.0" encoding="utf-8"?>
<comments xmlns="http://schemas.openxmlformats.org/spreadsheetml/2006/main">
  <authors>
    <author>Armur</author>
  </authors>
  <commentList>
    <comment ref="AJ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July1st 2017</t>
        </r>
      </text>
    </comment>
    <comment ref="AR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AZ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  <comment ref="BH2" authorId="0">
      <text>
        <r>
          <rPr>
            <b/>
            <sz val="9"/>
            <color indexed="81"/>
            <rFont val="Tahoma"/>
            <family val="2"/>
          </rPr>
          <t>Armur:</t>
        </r>
        <r>
          <rPr>
            <sz val="9"/>
            <color indexed="81"/>
            <rFont val="Tahoma"/>
            <family val="2"/>
          </rPr>
          <t xml:space="preserve">
From July 1st 2017</t>
        </r>
      </text>
    </comment>
  </commentList>
</comments>
</file>

<file path=xl/sharedStrings.xml><?xml version="1.0" encoding="utf-8"?>
<sst xmlns="http://schemas.openxmlformats.org/spreadsheetml/2006/main" count="1377" uniqueCount="326">
  <si>
    <t>S. No</t>
  </si>
  <si>
    <t>Date</t>
  </si>
  <si>
    <t>Instrument</t>
  </si>
  <si>
    <t>Buy/Cover</t>
  </si>
  <si>
    <t>Contract 1</t>
  </si>
  <si>
    <t>Contract 2</t>
  </si>
  <si>
    <t>Contract 3</t>
  </si>
  <si>
    <t>Average Price</t>
  </si>
  <si>
    <t>Sell/Short</t>
  </si>
  <si>
    <t>Total Contracts</t>
  </si>
  <si>
    <t>Win/Loss
/BE</t>
  </si>
  <si>
    <t>Gross P&amp;L</t>
  </si>
  <si>
    <t>Fees</t>
  </si>
  <si>
    <t>Net P&amp;L</t>
  </si>
  <si>
    <t>Cumulative P&amp;L</t>
  </si>
  <si>
    <t>Company/Symbol</t>
  </si>
  <si>
    <t>#</t>
  </si>
  <si>
    <t>Price</t>
  </si>
  <si>
    <t>P&amp;L Amount</t>
  </si>
  <si>
    <t>Points Traded</t>
  </si>
  <si>
    <t>Idea</t>
  </si>
  <si>
    <t>Cumulative Fees</t>
  </si>
  <si>
    <t>(blank)</t>
  </si>
  <si>
    <t>Grand Total</t>
  </si>
  <si>
    <t>Row Labels</t>
  </si>
  <si>
    <t>Brokerage</t>
  </si>
  <si>
    <t>STT</t>
  </si>
  <si>
    <t>(0.025% on Sell Value)</t>
  </si>
  <si>
    <t>Transaction Charges</t>
  </si>
  <si>
    <t>(0.00325%)</t>
  </si>
  <si>
    <t>SEBI Charges</t>
  </si>
  <si>
    <t>(Rs. 20/crore)</t>
  </si>
  <si>
    <t>(0.006%)</t>
  </si>
  <si>
    <t>Brok+Trans (Sub-Total)</t>
  </si>
  <si>
    <t>Stamp Duty (TN)</t>
  </si>
  <si>
    <t>min(Rs. 120, 0.01%)
(Zerodha Intraday)</t>
  </si>
  <si>
    <t>Fees Calculation (Options)</t>
  </si>
  <si>
    <t>Brok + Trans
Sub Total</t>
  </si>
  <si>
    <t>Rs. 40
(Zerodha Options)</t>
  </si>
  <si>
    <t>(0.05% on Sell Value)</t>
  </si>
  <si>
    <t>(0.053%)</t>
  </si>
  <si>
    <t>EQ
Total Fee</t>
  </si>
  <si>
    <t>Options
Total Fee</t>
  </si>
  <si>
    <t>Fees Calculation (Futures)</t>
  </si>
  <si>
    <t>(0.01% on Sell Value)</t>
  </si>
  <si>
    <t>(0.021%)</t>
  </si>
  <si>
    <t>Fees Calculation (EQ Intraday)</t>
  </si>
  <si>
    <t>Zero</t>
  </si>
  <si>
    <t>Fees Calculation (EQ Delivery)</t>
  </si>
  <si>
    <t>(0.1% on Buy &amp; Sell Value)</t>
  </si>
  <si>
    <t>EQ Intraday</t>
  </si>
  <si>
    <t>EQ Delivery</t>
  </si>
  <si>
    <t>State Name</t>
  </si>
  <si>
    <t>Stamp Duty Percentage</t>
  </si>
  <si>
    <t>Options</t>
  </si>
  <si>
    <t>Futures</t>
  </si>
  <si>
    <t>Andaman and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</si>
  <si>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</si>
  <si>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</si>
  <si>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</si>
  <si>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</si>
  <si>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</si>
  <si>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</si>
  <si>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</si>
  <si>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</si>
  <si>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</si>
  <si>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</si>
  <si>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</si>
  <si>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</si>
  <si>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</si>
  <si>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</si>
  <si>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</si>
  <si>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</si>
  <si>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</si>
  <si>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</si>
  <si>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</si>
  <si>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</si>
  <si>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</si>
  <si>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</si>
  <si>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</si>
  <si>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</si>
  <si>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</si>
  <si>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</si>
  <si>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</si>
  <si>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</si>
  <si>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</si>
  <si>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</si>
  <si>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</si>
  <si>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</si>
  <si>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</si>
  <si>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</si>
  <si>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Rate Selected</t>
  </si>
  <si>
    <t>Telengana</t>
  </si>
  <si>
    <t>Please select your State (as per address proof provided to Broker)</t>
  </si>
  <si>
    <t>Group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</si>
  <si>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</si>
  <si>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</si>
  <si>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</si>
  <si>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</si>
  <si>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</si>
  <si>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</si>
  <si>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</si>
  <si>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</si>
  <si>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</si>
  <si>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</si>
  <si>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India Cements</t>
  </si>
  <si>
    <t>Instructions</t>
  </si>
  <si>
    <t>Please back up this file, so that you can revert back to the original in case you break something</t>
  </si>
  <si>
    <t>Please click on 'Enable' to allow Macros</t>
  </si>
  <si>
    <t>Enter the trade details in the Sheet 'Trade Data'</t>
  </si>
  <si>
    <t>Enter data only in colums highlighted with a light orange colour, i.e columns A to I, L to Q, U, W and Y</t>
  </si>
  <si>
    <t>Everything else, including the Daily Performance, P&amp;L Graph, etc. will be automatically calculated</t>
  </si>
  <si>
    <t>Please use Contracts 1, 2 and 3 in case you size in or size out of trades and want to capture that</t>
  </si>
  <si>
    <t>PS: This sheet calculates only Zerodha Brokerage</t>
  </si>
  <si>
    <t>ITC</t>
  </si>
  <si>
    <t>Coal India</t>
  </si>
  <si>
    <t>Mothersumi</t>
  </si>
  <si>
    <t>Mastek</t>
  </si>
  <si>
    <t>Sun TV</t>
  </si>
  <si>
    <t>Sheela Foam</t>
  </si>
  <si>
    <t>JSW Energy</t>
  </si>
  <si>
    <t>IOC</t>
  </si>
  <si>
    <t>Stock Option</t>
  </si>
  <si>
    <t>BPCL</t>
  </si>
  <si>
    <t>HINDALCO</t>
  </si>
  <si>
    <t>Divi's Lab</t>
  </si>
  <si>
    <t>Jubli Food</t>
  </si>
  <si>
    <t>Mindtree</t>
  </si>
  <si>
    <t>Kaveri Seeds</t>
  </si>
  <si>
    <t>IRB</t>
  </si>
  <si>
    <t>Britannia</t>
  </si>
  <si>
    <t>Bharat Fin</t>
  </si>
  <si>
    <t>Castrol</t>
  </si>
  <si>
    <t>Adani Ports</t>
  </si>
  <si>
    <t>India Bulls Hou Fin</t>
  </si>
  <si>
    <t>SBI</t>
  </si>
  <si>
    <t>Just Dial</t>
  </si>
  <si>
    <t>Havells</t>
  </si>
  <si>
    <t>Arvind</t>
  </si>
  <si>
    <t>Colpal</t>
  </si>
  <si>
    <t>Tata Steel</t>
  </si>
  <si>
    <t>NMDC</t>
  </si>
  <si>
    <t>Tata Motors</t>
  </si>
  <si>
    <t>WockPharma</t>
  </si>
  <si>
    <t>Axis Bank</t>
  </si>
  <si>
    <t>EnginersIN</t>
  </si>
  <si>
    <t>Infy</t>
  </si>
  <si>
    <t>Powergrid</t>
  </si>
  <si>
    <t>NHPC</t>
  </si>
  <si>
    <t>Index Option</t>
  </si>
  <si>
    <t>Bank Nifty</t>
  </si>
  <si>
    <t>Jet Airways</t>
  </si>
  <si>
    <t>Tata Comm</t>
  </si>
  <si>
    <t>Canara Bank</t>
  </si>
  <si>
    <t>Ajanta Pharma</t>
  </si>
  <si>
    <t>Nifty</t>
  </si>
  <si>
    <t>Jindal Stel</t>
  </si>
  <si>
    <t>Tata Power</t>
  </si>
  <si>
    <t>KTK Bank</t>
  </si>
  <si>
    <t>Bharti Airtel</t>
  </si>
  <si>
    <t>Dish TV</t>
  </si>
  <si>
    <t>Yes Bank</t>
  </si>
  <si>
    <t>IB Real Estate</t>
  </si>
  <si>
    <t>HDIL</t>
  </si>
  <si>
    <t>DLF</t>
  </si>
  <si>
    <t>Biocon</t>
  </si>
  <si>
    <t>Cummins IND</t>
  </si>
  <si>
    <t>Adani Ent</t>
  </si>
  <si>
    <t>Bank of India</t>
  </si>
  <si>
    <t>Buy Value</t>
  </si>
  <si>
    <t>Sell Value</t>
  </si>
  <si>
    <t>Total Traded Value</t>
  </si>
  <si>
    <t>Federal Bank</t>
  </si>
  <si>
    <t>Ujjivan</t>
  </si>
  <si>
    <t>IRB Infra</t>
  </si>
  <si>
    <t>Century Textile</t>
  </si>
  <si>
    <t>NBCC</t>
  </si>
  <si>
    <t>FEDERALBNK</t>
  </si>
  <si>
    <t>INFIBEAM</t>
  </si>
  <si>
    <t>JETAIRWAYS</t>
  </si>
  <si>
    <t>ENGINERSIN</t>
  </si>
  <si>
    <t>SUNTV</t>
  </si>
  <si>
    <t>RELINFRA</t>
  </si>
  <si>
    <t>ALBK</t>
  </si>
  <si>
    <t>SRF</t>
  </si>
  <si>
    <t>BHARATFIN</t>
  </si>
  <si>
    <t>JINDALSTEL</t>
  </si>
  <si>
    <t>ADANIENT</t>
  </si>
  <si>
    <t>BANKBARODA</t>
  </si>
  <si>
    <t>ORIENTBANK</t>
  </si>
  <si>
    <t>ZEEL</t>
  </si>
  <si>
    <t>SINTEX</t>
  </si>
  <si>
    <t>IDBI</t>
  </si>
  <si>
    <t>JSWENERGY</t>
  </si>
  <si>
    <t>POWERGRID</t>
  </si>
  <si>
    <t>DHFL</t>
  </si>
  <si>
    <t>VEDL</t>
  </si>
  <si>
    <t>SBIN</t>
  </si>
  <si>
    <t>SUNPHARMA</t>
  </si>
  <si>
    <t>HEXAWARE</t>
  </si>
  <si>
    <t>SAIL</t>
  </si>
  <si>
    <t>SOUTHBANK</t>
  </si>
  <si>
    <t>RELCAPITAL</t>
  </si>
  <si>
    <t>HINDPETRO</t>
  </si>
  <si>
    <t>JSWSTEEL</t>
  </si>
  <si>
    <t>HDFC</t>
  </si>
  <si>
    <t>IBREALEST</t>
  </si>
  <si>
    <t>PNB</t>
  </si>
  <si>
    <t>JUBLFOOD</t>
  </si>
  <si>
    <t>GMRINFRA</t>
  </si>
  <si>
    <t>CHOLAFIN</t>
  </si>
  <si>
    <t>IFCI</t>
  </si>
  <si>
    <t>NCC</t>
  </si>
  <si>
    <t>SUZLON</t>
  </si>
  <si>
    <t>RAYMOND</t>
  </si>
  <si>
    <t>WOCKPHARMA</t>
  </si>
  <si>
    <t>TATAGLOBAL</t>
  </si>
  <si>
    <t>ONGC</t>
  </si>
  <si>
    <t>GRANULES</t>
  </si>
  <si>
    <t>JPASSOCIAT</t>
  </si>
  <si>
    <t>EXIDEIND</t>
  </si>
  <si>
    <t>RDEL</t>
  </si>
  <si>
    <t>CEATLTD</t>
  </si>
  <si>
    <t>GRASIM</t>
  </si>
  <si>
    <t>APOLLOTYRE</t>
  </si>
  <si>
    <t>HINDUNILVR</t>
  </si>
  <si>
    <t>VGUARD</t>
  </si>
  <si>
    <t>CANBK</t>
  </si>
  <si>
    <t>GAIL</t>
  </si>
  <si>
    <t>UNIONBANK</t>
  </si>
  <si>
    <t>MCX</t>
  </si>
  <si>
    <t>AMARAJABAT</t>
  </si>
  <si>
    <t>COLPAL</t>
  </si>
  <si>
    <t>INDIANB</t>
  </si>
  <si>
    <t>ANDHRABANK</t>
  </si>
  <si>
    <t>SYNDIBANK</t>
  </si>
  <si>
    <t>IDFCBANK</t>
  </si>
  <si>
    <t>BHARATFORG</t>
  </si>
  <si>
    <t>KOTAKBANK</t>
  </si>
  <si>
    <t>JISLJALEQS</t>
  </si>
  <si>
    <t>BERGEPAINT</t>
  </si>
  <si>
    <t>ESCORTS</t>
  </si>
  <si>
    <t>INDOCOUNT</t>
  </si>
  <si>
    <t>SIEMENS</t>
  </si>
  <si>
    <t>BHARTIARTL</t>
  </si>
  <si>
    <t>BHEL</t>
  </si>
  <si>
    <t>BIOCON</t>
  </si>
  <si>
    <t>CADILAHC</t>
  </si>
  <si>
    <t>CAPF</t>
  </si>
  <si>
    <t>EQUITAS</t>
  </si>
  <si>
    <t>LT</t>
  </si>
  <si>
    <t>MUTHOOTFIN</t>
  </si>
  <si>
    <t>NIITTECH</t>
  </si>
  <si>
    <t>TITAN</t>
  </si>
  <si>
    <t>YESBANK</t>
  </si>
  <si>
    <t>DALMIABHA</t>
  </si>
  <si>
    <t>CONCOR</t>
  </si>
  <si>
    <t>ICICIBANK</t>
  </si>
  <si>
    <t>KTKBANK</t>
  </si>
  <si>
    <t>IDEA</t>
  </si>
  <si>
    <t>RECL</t>
  </si>
  <si>
    <t>MRPL</t>
  </si>
  <si>
    <t>TATASTEEL</t>
  </si>
  <si>
    <t>HUDCO</t>
  </si>
  <si>
    <t>PCJEWELLERS</t>
  </si>
  <si>
    <t>AUROPHARMA</t>
  </si>
  <si>
    <t>PFC</t>
  </si>
  <si>
    <t>BEML</t>
  </si>
  <si>
    <t>Edelweiss</t>
  </si>
  <si>
    <t>KSCL</t>
  </si>
  <si>
    <t>JustDial</t>
  </si>
  <si>
    <t>KARURVYSYA</t>
  </si>
  <si>
    <t>GPPL</t>
  </si>
  <si>
    <t>LOVABLE</t>
  </si>
  <si>
    <t>CIPLA</t>
  </si>
  <si>
    <t>COALINDIA</t>
  </si>
  <si>
    <t>FORTIS</t>
  </si>
  <si>
    <t>M&amp;M</t>
  </si>
  <si>
    <t>GODREJPROP</t>
  </si>
  <si>
    <t>CENTRALBK</t>
  </si>
  <si>
    <t>ABFRL</t>
  </si>
  <si>
    <t>BAJAJELEC</t>
  </si>
  <si>
    <t>HAVELLS</t>
  </si>
  <si>
    <t>UPL</t>
  </si>
  <si>
    <t>ICICIPRULI</t>
  </si>
  <si>
    <t>SNOWMAN</t>
  </si>
  <si>
    <t>VTL</t>
  </si>
  <si>
    <t>JKCEMENT</t>
  </si>
  <si>
    <t>JYOTHYLAB</t>
  </si>
  <si>
    <t>TATAMOTORS</t>
  </si>
  <si>
    <t>GST</t>
  </si>
  <si>
    <t>(18% on Sub Total)</t>
  </si>
  <si>
    <t>PVR</t>
  </si>
  <si>
    <t>THOMASCOOK</t>
  </si>
  <si>
    <t>HINDZINC</t>
  </si>
  <si>
    <t>RECLTD</t>
  </si>
  <si>
    <t>TATACOMM</t>
  </si>
  <si>
    <t>SADBHAV</t>
  </si>
  <si>
    <t>APOLLOHOSP</t>
  </si>
  <si>
    <t>PIIND</t>
  </si>
  <si>
    <t>TV18BRDCST</t>
  </si>
  <si>
    <t>NATIONALALUM</t>
  </si>
  <si>
    <t>INOXWIND</t>
  </si>
  <si>
    <t>UJJIVAN</t>
  </si>
  <si>
    <t>RBLBANK</t>
  </si>
  <si>
    <t>AATRIIND</t>
  </si>
  <si>
    <t>NATCOPHARMA</t>
  </si>
  <si>
    <t>SYNGENE</t>
  </si>
  <si>
    <t>INDUSINDBK</t>
  </si>
  <si>
    <t>MOTHERSUMI</t>
  </si>
  <si>
    <t>SRTTRANSFIN</t>
  </si>
  <si>
    <t>BANKINDIA</t>
  </si>
  <si>
    <t>RELIANCE</t>
  </si>
  <si>
    <t>AJANTPHARM</t>
  </si>
  <si>
    <t>CRISIL</t>
  </si>
  <si>
    <t>L&amp;TFH</t>
  </si>
  <si>
    <t>LUPIN</t>
  </si>
  <si>
    <t>ARVIND</t>
  </si>
  <si>
    <t>NATCOPHARM</t>
  </si>
  <si>
    <t>KWALITY</t>
  </si>
  <si>
    <t>AUTOAXLES</t>
  </si>
  <si>
    <t>Sum of Net P&amp;L</t>
  </si>
  <si>
    <t>DIVISLAB</t>
  </si>
  <si>
    <t>EDELWEISS</t>
  </si>
  <si>
    <t>ABAN</t>
  </si>
  <si>
    <t>AXISBANK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</si>
</sst>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3" borderId="14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20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0" fillId="0" borderId="1" xfId="0" quotePrefix="1" applyNumberFormat="1" applyBorder="1" applyAlignment="1">
      <alignment horizontal="center" vertical="center" wrapText="1"/>
    </xf>
    <xf numFmtId="10" fontId="0" fillId="0" borderId="1" xfId="0" quotePrefix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>
      <alignment horizontal="left" vertical="center"/>
    </xf>
    <xf numFmtId="0" fontId="0" fillId="3" borderId="23" xfId="0" applyFill="1" applyBorder="1" applyAlignment="1">
      <alignment horizontal="center" vertical="center" wrapText="1"/>
    </xf>
    <xf numFmtId="0" fontId="0" fillId="3" borderId="23" xfId="0" applyFill="1" applyBorder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0" fontId="0" fillId="6" borderId="1" xfId="0" applyFill="1" applyBorder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0" fontId="0" fillId="2" borderId="1" xfId="0" applyFill="1" applyBorder="1"/>
    <xf numFmtId="0" fontId="0" fillId="0" borderId="1" xfId="0" applyFill="1" applyBorder="1"/>
    <xf numFmtId="0" fontId="0" fillId="11" borderId="2" xfId="0" applyFill="1" applyBorder="1" applyAlignment="1">
      <alignment horizontal="left" vertical="center"/>
    </xf>
    <xf numFmtId="14" fontId="0" fillId="11" borderId="2" xfId="0" applyNumberFormat="1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4" fontId="0" fillId="11" borderId="1" xfId="0" applyNumberFormat="1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22" xfId="0" applyFill="1" applyBorder="1" applyAlignment="1">
      <alignment horizontal="left" vertical="center"/>
    </xf>
    <xf numFmtId="0" fontId="2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7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71FFB1"/>
        </patternFill>
      </fill>
    </dxf>
    <dxf>
      <fill>
        <patternFill>
          <bgColor rgb="FFFF6161"/>
        </patternFill>
      </fill>
    </dxf>
    <dxf>
      <fill>
        <patternFill patternType="none">
          <bgColor auto="1"/>
        </patternFill>
      </fill>
    </dxf>
    <dxf>
      <fill>
        <patternFill>
          <bgColor rgb="FFFF6161"/>
        </patternFill>
      </fill>
    </dxf>
    <dxf>
      <fill>
        <patternFill>
          <bgColor rgb="FF71FFB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6161"/>
      <color rgb="FF71FFB1"/>
      <color rgb="FFE3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 Data - Arjun.xlsm]Daily Performance!PivotTable1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Daily Performance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'Daily Performance'!$B$1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'Daily Performance'!$A$2:$A$133</c:f>
              <c:strCache>
                <c:ptCount val="131"/>
                <c:pt idx="0">
                  <c:v>13-12-16</c:v>
                </c:pt>
                <c:pt idx="1">
                  <c:v>14-12-16</c:v>
                </c:pt>
                <c:pt idx="2">
                  <c:v>15-12-16</c:v>
                </c:pt>
                <c:pt idx="3">
                  <c:v>16-12-16</c:v>
                </c:pt>
                <c:pt idx="4">
                  <c:v>19-12-16</c:v>
                </c:pt>
                <c:pt idx="5">
                  <c:v>21-12-16</c:v>
                </c:pt>
                <c:pt idx="6">
                  <c:v>22-12-16</c:v>
                </c:pt>
                <c:pt idx="7">
                  <c:v>23-12-16</c:v>
                </c:pt>
                <c:pt idx="8">
                  <c:v>26-12-16</c:v>
                </c:pt>
                <c:pt idx="9">
                  <c:v>27-12-16</c:v>
                </c:pt>
                <c:pt idx="10">
                  <c:v>28-12-16</c:v>
                </c:pt>
                <c:pt idx="11">
                  <c:v>29-12-16</c:v>
                </c:pt>
                <c:pt idx="12">
                  <c:v>30-12-16</c:v>
                </c:pt>
                <c:pt idx="13">
                  <c:v>02-01-17</c:v>
                </c:pt>
                <c:pt idx="14">
                  <c:v>04-01-17</c:v>
                </c:pt>
                <c:pt idx="15">
                  <c:v>05-01-17</c:v>
                </c:pt>
                <c:pt idx="16">
                  <c:v>09-01-17</c:v>
                </c:pt>
                <c:pt idx="17">
                  <c:v>06-01-27</c:v>
                </c:pt>
                <c:pt idx="18">
                  <c:v>(blank)</c:v>
                </c:pt>
                <c:pt idx="19">
                  <c:v>06-01-17</c:v>
                </c:pt>
                <c:pt idx="20">
                  <c:v>10-01-17</c:v>
                </c:pt>
                <c:pt idx="21">
                  <c:v>11-01-17</c:v>
                </c:pt>
                <c:pt idx="22">
                  <c:v>12-01-17</c:v>
                </c:pt>
                <c:pt idx="23">
                  <c:v>17-01-17</c:v>
                </c:pt>
                <c:pt idx="24">
                  <c:v>18-01-17</c:v>
                </c:pt>
                <c:pt idx="25">
                  <c:v>19-01-17</c:v>
                </c:pt>
                <c:pt idx="26">
                  <c:v>23-01-17</c:v>
                </c:pt>
                <c:pt idx="27">
                  <c:v>24-01-17</c:v>
                </c:pt>
                <c:pt idx="28">
                  <c:v>25-01-17</c:v>
                </c:pt>
                <c:pt idx="29">
                  <c:v>30-01-17</c:v>
                </c:pt>
                <c:pt idx="30">
                  <c:v>31-01-17</c:v>
                </c:pt>
                <c:pt idx="31">
                  <c:v>01-02-17</c:v>
                </c:pt>
                <c:pt idx="32">
                  <c:v>02-02-17</c:v>
                </c:pt>
                <c:pt idx="33">
                  <c:v>10-02-17</c:v>
                </c:pt>
                <c:pt idx="34">
                  <c:v>15-02-17</c:v>
                </c:pt>
                <c:pt idx="35">
                  <c:v>16-02-17</c:v>
                </c:pt>
                <c:pt idx="36">
                  <c:v>21-02-17</c:v>
                </c:pt>
                <c:pt idx="37">
                  <c:v>22-02-17</c:v>
                </c:pt>
                <c:pt idx="38">
                  <c:v>23-02-17</c:v>
                </c:pt>
                <c:pt idx="39">
                  <c:v>27-02-17</c:v>
                </c:pt>
                <c:pt idx="40">
                  <c:v>08-03-17</c:v>
                </c:pt>
                <c:pt idx="41">
                  <c:v>09-03-17</c:v>
                </c:pt>
                <c:pt idx="42">
                  <c:v>20-03-17</c:v>
                </c:pt>
                <c:pt idx="43">
                  <c:v>21-03-17</c:v>
                </c:pt>
                <c:pt idx="44">
                  <c:v>20-04-17</c:v>
                </c:pt>
                <c:pt idx="45">
                  <c:v>21-04-17</c:v>
                </c:pt>
                <c:pt idx="46">
                  <c:v>22-03-17</c:v>
                </c:pt>
                <c:pt idx="47">
                  <c:v>23-03-17</c:v>
                </c:pt>
                <c:pt idx="48">
                  <c:v>24-03-17</c:v>
                </c:pt>
                <c:pt idx="49">
                  <c:v>27-03-17</c:v>
                </c:pt>
                <c:pt idx="50">
                  <c:v>18-04-17</c:v>
                </c:pt>
                <c:pt idx="51">
                  <c:v>25-04-17</c:v>
                </c:pt>
                <c:pt idx="52">
                  <c:v>26-04-17</c:v>
                </c:pt>
                <c:pt idx="53">
                  <c:v>27-04-17</c:v>
                </c:pt>
                <c:pt idx="54">
                  <c:v>28-04-17</c:v>
                </c:pt>
                <c:pt idx="55">
                  <c:v>02-05-17</c:v>
                </c:pt>
                <c:pt idx="56">
                  <c:v>03-05-17</c:v>
                </c:pt>
                <c:pt idx="57">
                  <c:v>04-05-17</c:v>
                </c:pt>
                <c:pt idx="58">
                  <c:v>05-05-17</c:v>
                </c:pt>
                <c:pt idx="59">
                  <c:v>08-05-17</c:v>
                </c:pt>
                <c:pt idx="60">
                  <c:v>09-05-17</c:v>
                </c:pt>
                <c:pt idx="61">
                  <c:v>10-05-17</c:v>
                </c:pt>
                <c:pt idx="62">
                  <c:v>11-05-17</c:v>
                </c:pt>
                <c:pt idx="63">
                  <c:v>12-05-17</c:v>
                </c:pt>
                <c:pt idx="64">
                  <c:v>15-05-17</c:v>
                </c:pt>
                <c:pt idx="65">
                  <c:v>16-05-17</c:v>
                </c:pt>
                <c:pt idx="66">
                  <c:v>17-05-17</c:v>
                </c:pt>
                <c:pt idx="67">
                  <c:v>18-05-17</c:v>
                </c:pt>
                <c:pt idx="68">
                  <c:v>19-05-17</c:v>
                </c:pt>
                <c:pt idx="69">
                  <c:v>29-05-17</c:v>
                </c:pt>
                <c:pt idx="70">
                  <c:v>30-05-17</c:v>
                </c:pt>
                <c:pt idx="71">
                  <c:v>31-05-17</c:v>
                </c:pt>
                <c:pt idx="72">
                  <c:v>02-06-17</c:v>
                </c:pt>
                <c:pt idx="73">
                  <c:v>05-06-17</c:v>
                </c:pt>
                <c:pt idx="74">
                  <c:v>06-06-17</c:v>
                </c:pt>
                <c:pt idx="75">
                  <c:v>07-06-17</c:v>
                </c:pt>
                <c:pt idx="76">
                  <c:v>08-06-17</c:v>
                </c:pt>
                <c:pt idx="77">
                  <c:v>09-06-17</c:v>
                </c:pt>
                <c:pt idx="78">
                  <c:v>13-06-17</c:v>
                </c:pt>
                <c:pt idx="79">
                  <c:v>12-06-17</c:v>
                </c:pt>
                <c:pt idx="80">
                  <c:v>14-06-17</c:v>
                </c:pt>
                <c:pt idx="81">
                  <c:v>15-06-17</c:v>
                </c:pt>
                <c:pt idx="82">
                  <c:v>16-06-17</c:v>
                </c:pt>
                <c:pt idx="83">
                  <c:v>19-06-17</c:v>
                </c:pt>
                <c:pt idx="84">
                  <c:v>20-06-17</c:v>
                </c:pt>
                <c:pt idx="85">
                  <c:v>21-06-17</c:v>
                </c:pt>
                <c:pt idx="86">
                  <c:v>22-06-17</c:v>
                </c:pt>
                <c:pt idx="87">
                  <c:v>23-06-17</c:v>
                </c:pt>
                <c:pt idx="88">
                  <c:v>27-06-17</c:v>
                </c:pt>
                <c:pt idx="89">
                  <c:v>28-06-17</c:v>
                </c:pt>
                <c:pt idx="90">
                  <c:v>29-06-17</c:v>
                </c:pt>
                <c:pt idx="91">
                  <c:v>30-06-17</c:v>
                </c:pt>
                <c:pt idx="92">
                  <c:v>03-07-17</c:v>
                </c:pt>
                <c:pt idx="93">
                  <c:v>04-07-17</c:v>
                </c:pt>
                <c:pt idx="94">
                  <c:v>05-07-17</c:v>
                </c:pt>
                <c:pt idx="95">
                  <c:v>06-07-17</c:v>
                </c:pt>
                <c:pt idx="96">
                  <c:v>10-07-17</c:v>
                </c:pt>
                <c:pt idx="97">
                  <c:v>11-07-17</c:v>
                </c:pt>
                <c:pt idx="98">
                  <c:v>12-07-17</c:v>
                </c:pt>
                <c:pt idx="99">
                  <c:v>13-07-17</c:v>
                </c:pt>
                <c:pt idx="100">
                  <c:v>14-07-17</c:v>
                </c:pt>
                <c:pt idx="101">
                  <c:v>17-07-17</c:v>
                </c:pt>
                <c:pt idx="102">
                  <c:v>18-07-17</c:v>
                </c:pt>
                <c:pt idx="103">
                  <c:v>19-07-17</c:v>
                </c:pt>
                <c:pt idx="104">
                  <c:v>20-07-17</c:v>
                </c:pt>
                <c:pt idx="105">
                  <c:v>21-07-17</c:v>
                </c:pt>
                <c:pt idx="106">
                  <c:v>24-07-17</c:v>
                </c:pt>
                <c:pt idx="107">
                  <c:v>25-07-17</c:v>
                </c:pt>
                <c:pt idx="108">
                  <c:v>26-07-17</c:v>
                </c:pt>
                <c:pt idx="109">
                  <c:v>27-07-17</c:v>
                </c:pt>
                <c:pt idx="110">
                  <c:v>28-07-17</c:v>
                </c:pt>
                <c:pt idx="111">
                  <c:v>31-07-17</c:v>
                </c:pt>
                <c:pt idx="112">
                  <c:v>01-08-17</c:v>
                </c:pt>
                <c:pt idx="113">
                  <c:v>02-08-17</c:v>
                </c:pt>
                <c:pt idx="114">
                  <c:v>03-08-17</c:v>
                </c:pt>
                <c:pt idx="115">
                  <c:v>04-08-17</c:v>
                </c:pt>
                <c:pt idx="116">
                  <c:v>07-08-17</c:v>
                </c:pt>
                <c:pt idx="117">
                  <c:v>08-08-17</c:v>
                </c:pt>
                <c:pt idx="118">
                  <c:v>10-08-17</c:v>
                </c:pt>
                <c:pt idx="119">
                  <c:v>11-08-17</c:v>
                </c:pt>
                <c:pt idx="120">
                  <c:v>01-09-17</c:v>
                </c:pt>
                <c:pt idx="121">
                  <c:v>04-09-17</c:v>
                </c:pt>
                <c:pt idx="122">
                  <c:v>05-09-17</c:v>
                </c:pt>
                <c:pt idx="123">
                  <c:v>13-09-17</c:v>
                </c:pt>
                <c:pt idx="124">
                  <c:v>21-09-17</c:v>
                </c:pt>
                <c:pt idx="125">
                  <c:v>22-09-17</c:v>
                </c:pt>
                <c:pt idx="126">
                  <c:v>25-09-17</c:v>
                </c:pt>
                <c:pt idx="127">
                  <c:v>26-09-17</c:v>
                </c:pt>
                <c:pt idx="128">
                  <c:v>30-10-17</c:v>
                </c:pt>
                <c:pt idx="129">
                  <c:v>31-10-17</c:v>
                </c:pt>
                <c:pt idx="130">
                  <c:v>01-11-17</c:v>
                </c:pt>
              </c:strCache>
            </c:strRef>
          </c:cat>
          <c:val>
            <c:numRef>
              <c:f>'Daily Performance'!$B$2:$B$133</c:f>
              <c:numCache>
                <c:formatCode>General</c:formatCode>
                <c:ptCount val="131"/>
                <c:pt idx="0">
                  <c:v>-600.25612360938158</c:v>
                </c:pt>
                <c:pt idx="1">
                  <c:v>-1044.9647142031281</c:v>
                </c:pt>
                <c:pt idx="2">
                  <c:v>-347.71914374999363</c:v>
                </c:pt>
                <c:pt idx="3">
                  <c:v>358.79059999999998</c:v>
                </c:pt>
                <c:pt idx="4">
                  <c:v>-579.61944218749659</c:v>
                </c:pt>
                <c:pt idx="5">
                  <c:v>-1353.7025975000029</c:v>
                </c:pt>
                <c:pt idx="6">
                  <c:v>551.36195000000021</c:v>
                </c:pt>
                <c:pt idx="7">
                  <c:v>44.243967968750553</c:v>
                </c:pt>
                <c:pt idx="8">
                  <c:v>135.56119866666558</c:v>
                </c:pt>
                <c:pt idx="9">
                  <c:v>-747.0231867968738</c:v>
                </c:pt>
                <c:pt idx="10">
                  <c:v>807.48884375</c:v>
                </c:pt>
                <c:pt idx="11">
                  <c:v>186.37543968749884</c:v>
                </c:pt>
                <c:pt idx="12">
                  <c:v>-915.53425537500198</c:v>
                </c:pt>
                <c:pt idx="13">
                  <c:v>-253.86399312500131</c:v>
                </c:pt>
                <c:pt idx="14">
                  <c:v>-94.334256875000136</c:v>
                </c:pt>
                <c:pt idx="15">
                  <c:v>268.01613656249492</c:v>
                </c:pt>
                <c:pt idx="16">
                  <c:v>-137.01813249999589</c:v>
                </c:pt>
                <c:pt idx="17">
                  <c:v>-223.63646484374794</c:v>
                </c:pt>
                <c:pt idx="18">
                  <c:v>0</c:v>
                </c:pt>
                <c:pt idx="19">
                  <c:v>-255.60839999999999</c:v>
                </c:pt>
                <c:pt idx="20">
                  <c:v>-389.11144906249979</c:v>
                </c:pt>
                <c:pt idx="21">
                  <c:v>6747.562715</c:v>
                </c:pt>
                <c:pt idx="22">
                  <c:v>-869.80067812499919</c:v>
                </c:pt>
                <c:pt idx="23">
                  <c:v>-731.24842000000001</c:v>
                </c:pt>
                <c:pt idx="24">
                  <c:v>508.729584375</c:v>
                </c:pt>
                <c:pt idx="25">
                  <c:v>-4086.9458486250023</c:v>
                </c:pt>
                <c:pt idx="26">
                  <c:v>1131.6559</c:v>
                </c:pt>
                <c:pt idx="27">
                  <c:v>1229.2705741562431</c:v>
                </c:pt>
                <c:pt idx="28">
                  <c:v>1264.8101875000007</c:v>
                </c:pt>
                <c:pt idx="29">
                  <c:v>-6218.6032291666725</c:v>
                </c:pt>
                <c:pt idx="30">
                  <c:v>2020.2454999999932</c:v>
                </c:pt>
                <c:pt idx="31">
                  <c:v>-2846.2869060000016</c:v>
                </c:pt>
                <c:pt idx="32">
                  <c:v>10119.820222187502</c:v>
                </c:pt>
                <c:pt idx="33">
                  <c:v>-2074.4331625</c:v>
                </c:pt>
                <c:pt idx="34">
                  <c:v>100.64510000000014</c:v>
                </c:pt>
                <c:pt idx="35">
                  <c:v>1401.8748399999999</c:v>
                </c:pt>
                <c:pt idx="36">
                  <c:v>-258.741175</c:v>
                </c:pt>
                <c:pt idx="37">
                  <c:v>-507.14540625000285</c:v>
                </c:pt>
                <c:pt idx="38">
                  <c:v>-1918.3195456250007</c:v>
                </c:pt>
                <c:pt idx="39">
                  <c:v>-686.36838749999663</c:v>
                </c:pt>
                <c:pt idx="40">
                  <c:v>-1408.2161437499863</c:v>
                </c:pt>
                <c:pt idx="41">
                  <c:v>-7061.5585821875011</c:v>
                </c:pt>
                <c:pt idx="42">
                  <c:v>301.23477020831365</c:v>
                </c:pt>
                <c:pt idx="43">
                  <c:v>1241.7045807291754</c:v>
                </c:pt>
                <c:pt idx="44">
                  <c:v>1985.338143749987</c:v>
                </c:pt>
                <c:pt idx="45">
                  <c:v>-1103.9351874999961</c:v>
                </c:pt>
                <c:pt idx="46">
                  <c:v>-2781.5973249999879</c:v>
                </c:pt>
                <c:pt idx="47">
                  <c:v>-792.28122500000109</c:v>
                </c:pt>
                <c:pt idx="48">
                  <c:v>-2596.5278783333333</c:v>
                </c:pt>
                <c:pt idx="49">
                  <c:v>-389.83748437500429</c:v>
                </c:pt>
                <c:pt idx="50">
                  <c:v>-609.97050000000002</c:v>
                </c:pt>
                <c:pt idx="51">
                  <c:v>-55.241585937507352</c:v>
                </c:pt>
                <c:pt idx="52">
                  <c:v>1932.4697876158361</c:v>
                </c:pt>
                <c:pt idx="53">
                  <c:v>1838.8674262500044</c:v>
                </c:pt>
                <c:pt idx="54">
                  <c:v>896.00325954999312</c:v>
                </c:pt>
                <c:pt idx="55">
                  <c:v>-25.182368281241708</c:v>
                </c:pt>
                <c:pt idx="56">
                  <c:v>-3117.6780145208386</c:v>
                </c:pt>
                <c:pt idx="57">
                  <c:v>-25.626028812499982</c:v>
                </c:pt>
                <c:pt idx="58">
                  <c:v>21.212004187499453</c:v>
                </c:pt>
                <c:pt idx="59">
                  <c:v>-153.02888481425106</c:v>
                </c:pt>
                <c:pt idx="60">
                  <c:v>-174.58523314687596</c:v>
                </c:pt>
                <c:pt idx="61">
                  <c:v>-397.50644146787772</c:v>
                </c:pt>
                <c:pt idx="62">
                  <c:v>-362.38600430208191</c:v>
                </c:pt>
                <c:pt idx="63">
                  <c:v>-134.44508565625063</c:v>
                </c:pt>
                <c:pt idx="64">
                  <c:v>-50.267876625000056</c:v>
                </c:pt>
                <c:pt idx="65">
                  <c:v>-14.726019343749876</c:v>
                </c:pt>
                <c:pt idx="66">
                  <c:v>-19.652389250000105</c:v>
                </c:pt>
                <c:pt idx="67">
                  <c:v>-7.0500313749998291</c:v>
                </c:pt>
                <c:pt idx="68">
                  <c:v>-8.1008125</c:v>
                </c:pt>
                <c:pt idx="69">
                  <c:v>-2516.5504876313967</c:v>
                </c:pt>
                <c:pt idx="70">
                  <c:v>439.09067389583021</c:v>
                </c:pt>
                <c:pt idx="71">
                  <c:v>-458.06607515625467</c:v>
                </c:pt>
                <c:pt idx="72">
                  <c:v>-257.88120625000028</c:v>
                </c:pt>
                <c:pt idx="73">
                  <c:v>-37.626575000002724</c:v>
                </c:pt>
                <c:pt idx="74">
                  <c:v>320.67798000000136</c:v>
                </c:pt>
                <c:pt idx="75">
                  <c:v>-255.19389000000001</c:v>
                </c:pt>
                <c:pt idx="76">
                  <c:v>212.82929009374618</c:v>
                </c:pt>
                <c:pt idx="77">
                  <c:v>-13.314751703124955</c:v>
                </c:pt>
                <c:pt idx="78">
                  <c:v>120.349147625</c:v>
                </c:pt>
                <c:pt idx="79">
                  <c:v>-241.69757696687313</c:v>
                </c:pt>
                <c:pt idx="80">
                  <c:v>-313.21186404293366</c:v>
                </c:pt>
                <c:pt idx="81">
                  <c:v>190.00635468749954</c:v>
                </c:pt>
                <c:pt idx="82">
                  <c:v>79.723959312498181</c:v>
                </c:pt>
                <c:pt idx="83">
                  <c:v>-449.46421154687414</c:v>
                </c:pt>
                <c:pt idx="84">
                  <c:v>-56.918445625000004</c:v>
                </c:pt>
                <c:pt idx="85">
                  <c:v>-214.75515499999995</c:v>
                </c:pt>
                <c:pt idx="86">
                  <c:v>-109.42464587500012</c:v>
                </c:pt>
                <c:pt idx="87">
                  <c:v>-74.377726562500499</c:v>
                </c:pt>
                <c:pt idx="88">
                  <c:v>-64.488072656250395</c:v>
                </c:pt>
                <c:pt idx="89">
                  <c:v>-7.2575610000000683</c:v>
                </c:pt>
                <c:pt idx="90">
                  <c:v>-11.936079656250151</c:v>
                </c:pt>
                <c:pt idx="91">
                  <c:v>110.26262356249987</c:v>
                </c:pt>
                <c:pt idx="92">
                  <c:v>48.489639580000222</c:v>
                </c:pt>
                <c:pt idx="93">
                  <c:v>-8.6495181275001141</c:v>
                </c:pt>
                <c:pt idx="94">
                  <c:v>-0.67556426249997714</c:v>
                </c:pt>
                <c:pt idx="95">
                  <c:v>-12.918599885000091</c:v>
                </c:pt>
                <c:pt idx="96">
                  <c:v>1.6386903575</c:v>
                </c:pt>
                <c:pt idx="97">
                  <c:v>-72.218122612500522</c:v>
                </c:pt>
                <c:pt idx="98">
                  <c:v>-43.897084749999223</c:v>
                </c:pt>
                <c:pt idx="99">
                  <c:v>-4.0626086062500795</c:v>
                </c:pt>
                <c:pt idx="100">
                  <c:v>-42.446301463750004</c:v>
                </c:pt>
                <c:pt idx="101">
                  <c:v>-3.3494986500000001</c:v>
                </c:pt>
                <c:pt idx="102">
                  <c:v>25.976875662499921</c:v>
                </c:pt>
                <c:pt idx="103">
                  <c:v>-0.79903764499998864</c:v>
                </c:pt>
                <c:pt idx="104">
                  <c:v>7.5896939341666174</c:v>
                </c:pt>
                <c:pt idx="105">
                  <c:v>-6.1846747125000636</c:v>
                </c:pt>
                <c:pt idx="106">
                  <c:v>34.961155362500165</c:v>
                </c:pt>
                <c:pt idx="107">
                  <c:v>30.560831542500114</c:v>
                </c:pt>
                <c:pt idx="108">
                  <c:v>-82.406876361666036</c:v>
                </c:pt>
                <c:pt idx="109">
                  <c:v>-57.869661312500099</c:v>
                </c:pt>
                <c:pt idx="110">
                  <c:v>191.241590745</c:v>
                </c:pt>
                <c:pt idx="111">
                  <c:v>145.07148652750018</c:v>
                </c:pt>
                <c:pt idx="112">
                  <c:v>-120.3146882949997</c:v>
                </c:pt>
                <c:pt idx="113">
                  <c:v>10.394055269999591</c:v>
                </c:pt>
                <c:pt idx="114">
                  <c:v>82.027299747500237</c:v>
                </c:pt>
                <c:pt idx="115">
                  <c:v>-68.491324427499251</c:v>
                </c:pt>
                <c:pt idx="116">
                  <c:v>44.979018700000516</c:v>
                </c:pt>
                <c:pt idx="117">
                  <c:v>1.2355636250004807</c:v>
                </c:pt>
                <c:pt idx="118">
                  <c:v>67.912743349999886</c:v>
                </c:pt>
                <c:pt idx="119">
                  <c:v>-40.461712879166086</c:v>
                </c:pt>
                <c:pt idx="120">
                  <c:v>-17.730006100000089</c:v>
                </c:pt>
                <c:pt idx="121">
                  <c:v>-39.455824033333329</c:v>
                </c:pt>
                <c:pt idx="122">
                  <c:v>-84.135130875000002</c:v>
                </c:pt>
                <c:pt idx="123">
                  <c:v>-3820.3316369033919</c:v>
                </c:pt>
                <c:pt idx="124">
                  <c:v>101.38724825</c:v>
                </c:pt>
                <c:pt idx="125">
                  <c:v>255.94297966183149</c:v>
                </c:pt>
                <c:pt idx="126">
                  <c:v>0.14022550500055786</c:v>
                </c:pt>
                <c:pt idx="127">
                  <c:v>-1322.1625548000009</c:v>
                </c:pt>
                <c:pt idx="128">
                  <c:v>-160.36016456426489</c:v>
                </c:pt>
                <c:pt idx="129">
                  <c:v>-94.563840782500492</c:v>
                </c:pt>
                <c:pt idx="130">
                  <c:v>-24.528241842500055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65056"/>
        <c:axId val="127966592"/>
      </c:barChart>
      <c:catAx>
        <c:axId val="12796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27966592"/>
        <c:crosses val="autoZero"/>
        <c:auto val="1"/>
        <c:lblAlgn val="ctr"/>
        <c:lblOffset val="100"/>
        <c:noMultiLvlLbl val="0"/>
      </c:catAx>
      <c:valAx>
        <c:axId val="12796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965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'Trade Data'!$AC$1</c:f>
              <c:strCache>
                <c:ptCount val="1"/>
                <c:pt idx="0">
                  <c:v>Cumulative P&amp;L</c:v>
                </c:pt>
              </c:strCache>
            </c:strRef>
          </c:tx>
          <c:marker>
            <c:symbol val="none"/>
          </c:marker>
          <c:cat>
            <c:strRef>
              <c:f>'Trade Data'!$B:$B</c:f>
              <c:strCache>
                <c:ptCount val="602"/>
                <c:pt idx="0">
                  <c:v>Date</c:v>
                </c:pt>
                <c:pt idx="3">
                  <c:v>13-12-16</c:v>
                </c:pt>
                <c:pt idx="4">
                  <c:v>13-12-16</c:v>
                </c:pt>
                <c:pt idx="5">
                  <c:v>13-12-16</c:v>
                </c:pt>
                <c:pt idx="6">
                  <c:v>13-12-16</c:v>
                </c:pt>
                <c:pt idx="7">
                  <c:v>13-12-16</c:v>
                </c:pt>
                <c:pt idx="8">
                  <c:v>13-12-16</c:v>
                </c:pt>
                <c:pt idx="9">
                  <c:v>14-12-16</c:v>
                </c:pt>
                <c:pt idx="10">
                  <c:v>14-12-16</c:v>
                </c:pt>
                <c:pt idx="11">
                  <c:v>14-12-16</c:v>
                </c:pt>
                <c:pt idx="12">
                  <c:v>14-12-16</c:v>
                </c:pt>
                <c:pt idx="13">
                  <c:v>14-12-16</c:v>
                </c:pt>
                <c:pt idx="14">
                  <c:v>14-12-16</c:v>
                </c:pt>
                <c:pt idx="15">
                  <c:v>14-12-16</c:v>
                </c:pt>
                <c:pt idx="16">
                  <c:v>15-12-16</c:v>
                </c:pt>
                <c:pt idx="17">
                  <c:v>15-12-16</c:v>
                </c:pt>
                <c:pt idx="18">
                  <c:v>15-12-16</c:v>
                </c:pt>
                <c:pt idx="19">
                  <c:v>16-12-16</c:v>
                </c:pt>
                <c:pt idx="20">
                  <c:v>19-12-16</c:v>
                </c:pt>
                <c:pt idx="21">
                  <c:v>19-12-16</c:v>
                </c:pt>
                <c:pt idx="22">
                  <c:v>21-12-16</c:v>
                </c:pt>
                <c:pt idx="23">
                  <c:v>21-12-16</c:v>
                </c:pt>
                <c:pt idx="24">
                  <c:v>22-12-16</c:v>
                </c:pt>
                <c:pt idx="25">
                  <c:v>23-12-16</c:v>
                </c:pt>
                <c:pt idx="26">
                  <c:v>23-12-16</c:v>
                </c:pt>
                <c:pt idx="27">
                  <c:v>26-12-16</c:v>
                </c:pt>
                <c:pt idx="28">
                  <c:v>26-12-16</c:v>
                </c:pt>
                <c:pt idx="29">
                  <c:v>26-12-16</c:v>
                </c:pt>
                <c:pt idx="30">
                  <c:v>26-12-16</c:v>
                </c:pt>
                <c:pt idx="31">
                  <c:v>26-12-16</c:v>
                </c:pt>
                <c:pt idx="32">
                  <c:v>26-12-16</c:v>
                </c:pt>
                <c:pt idx="33">
                  <c:v>26-12-16</c:v>
                </c:pt>
                <c:pt idx="34">
                  <c:v>26-12-16</c:v>
                </c:pt>
                <c:pt idx="35">
                  <c:v>26-12-16</c:v>
                </c:pt>
                <c:pt idx="36">
                  <c:v>27-12-16</c:v>
                </c:pt>
                <c:pt idx="37">
                  <c:v>27-12-16</c:v>
                </c:pt>
                <c:pt idx="38">
                  <c:v>27-12-16</c:v>
                </c:pt>
                <c:pt idx="39">
                  <c:v>27-12-16</c:v>
                </c:pt>
                <c:pt idx="40">
                  <c:v>27-12-16</c:v>
                </c:pt>
                <c:pt idx="41">
                  <c:v>28-12-16</c:v>
                </c:pt>
                <c:pt idx="42">
                  <c:v>28-12-16</c:v>
                </c:pt>
                <c:pt idx="43">
                  <c:v>29-12-16</c:v>
                </c:pt>
                <c:pt idx="44">
                  <c:v>29-12-16</c:v>
                </c:pt>
                <c:pt idx="45">
                  <c:v>29-12-16</c:v>
                </c:pt>
                <c:pt idx="46">
                  <c:v>29-12-16</c:v>
                </c:pt>
                <c:pt idx="47">
                  <c:v>30-12-16</c:v>
                </c:pt>
                <c:pt idx="48">
                  <c:v>30-12-16</c:v>
                </c:pt>
                <c:pt idx="49">
                  <c:v>30-12-16</c:v>
                </c:pt>
                <c:pt idx="50">
                  <c:v>30-12-16</c:v>
                </c:pt>
                <c:pt idx="51">
                  <c:v>30-12-16</c:v>
                </c:pt>
                <c:pt idx="52">
                  <c:v>30-12-16</c:v>
                </c:pt>
                <c:pt idx="53">
                  <c:v>30-12-16</c:v>
                </c:pt>
                <c:pt idx="54">
                  <c:v>30-12-16</c:v>
                </c:pt>
                <c:pt idx="55">
                  <c:v>30-12-16</c:v>
                </c:pt>
                <c:pt idx="56">
                  <c:v>30-12-16</c:v>
                </c:pt>
                <c:pt idx="57">
                  <c:v>30-12-16</c:v>
                </c:pt>
                <c:pt idx="58">
                  <c:v>02-01-17</c:v>
                </c:pt>
                <c:pt idx="59">
                  <c:v>02-01-17</c:v>
                </c:pt>
                <c:pt idx="60">
                  <c:v>02-01-17</c:v>
                </c:pt>
                <c:pt idx="61">
                  <c:v>02-01-17</c:v>
                </c:pt>
                <c:pt idx="62">
                  <c:v>02-01-17</c:v>
                </c:pt>
                <c:pt idx="63">
                  <c:v>04-01-17</c:v>
                </c:pt>
                <c:pt idx="64">
                  <c:v>04-01-17</c:v>
                </c:pt>
                <c:pt idx="65">
                  <c:v>04-01-17</c:v>
                </c:pt>
                <c:pt idx="66">
                  <c:v>05-01-17</c:v>
                </c:pt>
                <c:pt idx="67">
                  <c:v>05-01-17</c:v>
                </c:pt>
                <c:pt idx="68">
                  <c:v>05-01-17</c:v>
                </c:pt>
                <c:pt idx="69">
                  <c:v>05-01-17</c:v>
                </c:pt>
                <c:pt idx="70">
                  <c:v>05-01-17</c:v>
                </c:pt>
                <c:pt idx="71">
                  <c:v>05-01-17</c:v>
                </c:pt>
                <c:pt idx="72">
                  <c:v>05-01-17</c:v>
                </c:pt>
                <c:pt idx="73">
                  <c:v>05-01-17</c:v>
                </c:pt>
                <c:pt idx="74">
                  <c:v>05-01-17</c:v>
                </c:pt>
                <c:pt idx="75">
                  <c:v>05-01-17</c:v>
                </c:pt>
                <c:pt idx="76">
                  <c:v>05-01-17</c:v>
                </c:pt>
                <c:pt idx="77">
                  <c:v>05-01-17</c:v>
                </c:pt>
                <c:pt idx="78">
                  <c:v>06-01-27</c:v>
                </c:pt>
                <c:pt idx="79">
                  <c:v>06-01-27</c:v>
                </c:pt>
                <c:pt idx="80">
                  <c:v>06-01-27</c:v>
                </c:pt>
                <c:pt idx="81">
                  <c:v>06-01-27</c:v>
                </c:pt>
                <c:pt idx="82">
                  <c:v>06-01-27</c:v>
                </c:pt>
                <c:pt idx="83">
                  <c:v>06-01-17</c:v>
                </c:pt>
                <c:pt idx="84">
                  <c:v>09-01-17</c:v>
                </c:pt>
                <c:pt idx="85">
                  <c:v>09-01-17</c:v>
                </c:pt>
                <c:pt idx="86">
                  <c:v>09-01-17</c:v>
                </c:pt>
                <c:pt idx="87">
                  <c:v>10-01-17</c:v>
                </c:pt>
                <c:pt idx="88">
                  <c:v>10-01-17</c:v>
                </c:pt>
                <c:pt idx="89">
                  <c:v>10-01-17</c:v>
                </c:pt>
                <c:pt idx="90">
                  <c:v>10-01-17</c:v>
                </c:pt>
                <c:pt idx="91">
                  <c:v>10-01-17</c:v>
                </c:pt>
                <c:pt idx="92">
                  <c:v>11-01-17</c:v>
                </c:pt>
                <c:pt idx="93">
                  <c:v>12-01-17</c:v>
                </c:pt>
                <c:pt idx="94">
                  <c:v>12-01-17</c:v>
                </c:pt>
                <c:pt idx="95">
                  <c:v>12-01-17</c:v>
                </c:pt>
                <c:pt idx="96">
                  <c:v>12-01-17</c:v>
                </c:pt>
                <c:pt idx="97">
                  <c:v>12-01-17</c:v>
                </c:pt>
                <c:pt idx="98">
                  <c:v>17-01-17</c:v>
                </c:pt>
                <c:pt idx="99">
                  <c:v>18-01-17</c:v>
                </c:pt>
                <c:pt idx="100">
                  <c:v>18-01-17</c:v>
                </c:pt>
                <c:pt idx="101">
                  <c:v>19-01-17</c:v>
                </c:pt>
                <c:pt idx="102">
                  <c:v>19-01-17</c:v>
                </c:pt>
                <c:pt idx="103">
                  <c:v>19-01-17</c:v>
                </c:pt>
                <c:pt idx="104">
                  <c:v>19-01-17</c:v>
                </c:pt>
                <c:pt idx="105">
                  <c:v>19-01-17</c:v>
                </c:pt>
                <c:pt idx="106">
                  <c:v>23-01-17</c:v>
                </c:pt>
                <c:pt idx="107">
                  <c:v>23-01-17</c:v>
                </c:pt>
                <c:pt idx="108">
                  <c:v>24-01-17</c:v>
                </c:pt>
                <c:pt idx="109">
                  <c:v>24-01-17</c:v>
                </c:pt>
                <c:pt idx="110">
                  <c:v>24-01-17</c:v>
                </c:pt>
                <c:pt idx="111">
                  <c:v>24-01-17</c:v>
                </c:pt>
                <c:pt idx="112">
                  <c:v>24-01-17</c:v>
                </c:pt>
                <c:pt idx="113">
                  <c:v>24-01-17</c:v>
                </c:pt>
                <c:pt idx="114">
                  <c:v>25-01-17</c:v>
                </c:pt>
                <c:pt idx="115">
                  <c:v>25-01-17</c:v>
                </c:pt>
                <c:pt idx="116">
                  <c:v>25-01-17</c:v>
                </c:pt>
                <c:pt idx="117">
                  <c:v>25-01-17</c:v>
                </c:pt>
                <c:pt idx="118">
                  <c:v>30-01-17</c:v>
                </c:pt>
                <c:pt idx="119">
                  <c:v>30-01-17</c:v>
                </c:pt>
                <c:pt idx="120">
                  <c:v>30-01-17</c:v>
                </c:pt>
                <c:pt idx="121">
                  <c:v>30-01-17</c:v>
                </c:pt>
                <c:pt idx="122">
                  <c:v>31-01-17</c:v>
                </c:pt>
                <c:pt idx="123">
                  <c:v>31-01-17</c:v>
                </c:pt>
                <c:pt idx="124">
                  <c:v>31-01-17</c:v>
                </c:pt>
                <c:pt idx="125">
                  <c:v>31-01-17</c:v>
                </c:pt>
                <c:pt idx="126">
                  <c:v>31-01-17</c:v>
                </c:pt>
                <c:pt idx="127">
                  <c:v>01-02-17</c:v>
                </c:pt>
                <c:pt idx="128">
                  <c:v>01-02-17</c:v>
                </c:pt>
                <c:pt idx="129">
                  <c:v>01-02-17</c:v>
                </c:pt>
                <c:pt idx="130">
                  <c:v>02-02-17</c:v>
                </c:pt>
                <c:pt idx="131">
                  <c:v>02-02-17</c:v>
                </c:pt>
                <c:pt idx="132">
                  <c:v>10-02-17</c:v>
                </c:pt>
                <c:pt idx="133">
                  <c:v>15-02-17</c:v>
                </c:pt>
                <c:pt idx="134">
                  <c:v>16-02-17</c:v>
                </c:pt>
                <c:pt idx="135">
                  <c:v>21-02-17</c:v>
                </c:pt>
                <c:pt idx="136">
                  <c:v>22-02-17</c:v>
                </c:pt>
                <c:pt idx="137">
                  <c:v>23-02-17</c:v>
                </c:pt>
                <c:pt idx="138">
                  <c:v>23-02-17</c:v>
                </c:pt>
                <c:pt idx="139">
                  <c:v>23-02-17</c:v>
                </c:pt>
                <c:pt idx="140">
                  <c:v>27-02-17</c:v>
                </c:pt>
                <c:pt idx="141">
                  <c:v>08-03-17</c:v>
                </c:pt>
                <c:pt idx="142">
                  <c:v>09-03-17</c:v>
                </c:pt>
                <c:pt idx="143">
                  <c:v>09-03-17</c:v>
                </c:pt>
                <c:pt idx="144">
                  <c:v>09-03-17</c:v>
                </c:pt>
                <c:pt idx="145">
                  <c:v>20-03-17</c:v>
                </c:pt>
                <c:pt idx="146">
                  <c:v>20-03-17</c:v>
                </c:pt>
                <c:pt idx="147">
                  <c:v>20-03-17</c:v>
                </c:pt>
                <c:pt idx="148">
                  <c:v>21-03-17</c:v>
                </c:pt>
                <c:pt idx="149">
                  <c:v>21-03-17</c:v>
                </c:pt>
                <c:pt idx="150">
                  <c:v>21-03-17</c:v>
                </c:pt>
                <c:pt idx="151">
                  <c:v>21-03-17</c:v>
                </c:pt>
                <c:pt idx="152">
                  <c:v>21-03-17</c:v>
                </c:pt>
                <c:pt idx="153">
                  <c:v>22-03-17</c:v>
                </c:pt>
                <c:pt idx="154">
                  <c:v>22-03-17</c:v>
                </c:pt>
                <c:pt idx="155">
                  <c:v>22-03-17</c:v>
                </c:pt>
                <c:pt idx="156">
                  <c:v>22-03-17</c:v>
                </c:pt>
                <c:pt idx="157">
                  <c:v>23-03-17</c:v>
                </c:pt>
                <c:pt idx="158">
                  <c:v>23-03-17</c:v>
                </c:pt>
                <c:pt idx="159">
                  <c:v>23-03-17</c:v>
                </c:pt>
                <c:pt idx="160">
                  <c:v>23-03-17</c:v>
                </c:pt>
                <c:pt idx="161">
                  <c:v>24-03-17</c:v>
                </c:pt>
                <c:pt idx="162">
                  <c:v>27-03-17</c:v>
                </c:pt>
                <c:pt idx="163">
                  <c:v>27-03-17</c:v>
                </c:pt>
                <c:pt idx="164">
                  <c:v>18-04-17</c:v>
                </c:pt>
                <c:pt idx="165">
                  <c:v>20-04-17</c:v>
                </c:pt>
                <c:pt idx="166">
                  <c:v>20-04-17</c:v>
                </c:pt>
                <c:pt idx="167">
                  <c:v>20-04-17</c:v>
                </c:pt>
                <c:pt idx="168">
                  <c:v>20-04-17</c:v>
                </c:pt>
                <c:pt idx="169">
                  <c:v>20-04-17</c:v>
                </c:pt>
                <c:pt idx="170">
                  <c:v>20-04-17</c:v>
                </c:pt>
                <c:pt idx="171">
                  <c:v>20-04-17</c:v>
                </c:pt>
                <c:pt idx="172">
                  <c:v>21-04-17</c:v>
                </c:pt>
                <c:pt idx="173">
                  <c:v>21-04-17</c:v>
                </c:pt>
                <c:pt idx="174">
                  <c:v>21-04-17</c:v>
                </c:pt>
                <c:pt idx="175">
                  <c:v>21-04-17</c:v>
                </c:pt>
                <c:pt idx="176">
                  <c:v>21-04-17</c:v>
                </c:pt>
                <c:pt idx="177">
                  <c:v>21-04-17</c:v>
                </c:pt>
                <c:pt idx="178">
                  <c:v>21-04-17</c:v>
                </c:pt>
                <c:pt idx="179">
                  <c:v>21-04-17</c:v>
                </c:pt>
                <c:pt idx="180">
                  <c:v>21-04-17</c:v>
                </c:pt>
                <c:pt idx="181">
                  <c:v>21-04-17</c:v>
                </c:pt>
                <c:pt idx="182">
                  <c:v>25-04-17</c:v>
                </c:pt>
                <c:pt idx="183">
                  <c:v>25-04-17</c:v>
                </c:pt>
                <c:pt idx="184">
                  <c:v>25-04-17</c:v>
                </c:pt>
                <c:pt idx="185">
                  <c:v>25-04-17</c:v>
                </c:pt>
                <c:pt idx="186">
                  <c:v>26-04-17</c:v>
                </c:pt>
                <c:pt idx="187">
                  <c:v>26-04-17</c:v>
                </c:pt>
                <c:pt idx="188">
                  <c:v>26-04-17</c:v>
                </c:pt>
                <c:pt idx="189">
                  <c:v>27-04-17</c:v>
                </c:pt>
                <c:pt idx="190">
                  <c:v>27-04-17</c:v>
                </c:pt>
                <c:pt idx="191">
                  <c:v>27-04-17</c:v>
                </c:pt>
                <c:pt idx="192">
                  <c:v>27-04-17</c:v>
                </c:pt>
                <c:pt idx="193">
                  <c:v>27-04-17</c:v>
                </c:pt>
                <c:pt idx="194">
                  <c:v>27-04-17</c:v>
                </c:pt>
                <c:pt idx="195">
                  <c:v>28-04-17</c:v>
                </c:pt>
                <c:pt idx="196">
                  <c:v>28-04-17</c:v>
                </c:pt>
                <c:pt idx="197">
                  <c:v>28-04-17</c:v>
                </c:pt>
                <c:pt idx="198">
                  <c:v>28-04-17</c:v>
                </c:pt>
                <c:pt idx="199">
                  <c:v>28-04-17</c:v>
                </c:pt>
                <c:pt idx="200">
                  <c:v>28-04-17</c:v>
                </c:pt>
                <c:pt idx="201">
                  <c:v>02-05-17</c:v>
                </c:pt>
                <c:pt idx="202">
                  <c:v>02-05-17</c:v>
                </c:pt>
                <c:pt idx="203">
                  <c:v>02-05-17</c:v>
                </c:pt>
                <c:pt idx="204">
                  <c:v>02-05-17</c:v>
                </c:pt>
                <c:pt idx="205">
                  <c:v>02-05-17</c:v>
                </c:pt>
                <c:pt idx="206">
                  <c:v>02-05-17</c:v>
                </c:pt>
                <c:pt idx="207">
                  <c:v>02-05-17</c:v>
                </c:pt>
                <c:pt idx="208">
                  <c:v>02-05-17</c:v>
                </c:pt>
                <c:pt idx="209">
                  <c:v>02-05-17</c:v>
                </c:pt>
                <c:pt idx="210">
                  <c:v>03-05-17</c:v>
                </c:pt>
                <c:pt idx="211">
                  <c:v>03-05-17</c:v>
                </c:pt>
                <c:pt idx="212">
                  <c:v>03-05-17</c:v>
                </c:pt>
                <c:pt idx="213">
                  <c:v>03-05-17</c:v>
                </c:pt>
                <c:pt idx="214">
                  <c:v>03-05-17</c:v>
                </c:pt>
                <c:pt idx="215">
                  <c:v>03-05-17</c:v>
                </c:pt>
                <c:pt idx="216">
                  <c:v>03-05-17</c:v>
                </c:pt>
                <c:pt idx="217">
                  <c:v>04-05-17</c:v>
                </c:pt>
                <c:pt idx="218">
                  <c:v>04-05-17</c:v>
                </c:pt>
                <c:pt idx="219">
                  <c:v>04-05-17</c:v>
                </c:pt>
                <c:pt idx="220">
                  <c:v>04-05-17</c:v>
                </c:pt>
                <c:pt idx="221">
                  <c:v>04-05-17</c:v>
                </c:pt>
                <c:pt idx="222">
                  <c:v>04-05-17</c:v>
                </c:pt>
                <c:pt idx="223">
                  <c:v>04-05-17</c:v>
                </c:pt>
                <c:pt idx="224">
                  <c:v>04-05-17</c:v>
                </c:pt>
                <c:pt idx="225">
                  <c:v>04-05-17</c:v>
                </c:pt>
                <c:pt idx="226">
                  <c:v>04-05-17</c:v>
                </c:pt>
                <c:pt idx="227">
                  <c:v>04-05-17</c:v>
                </c:pt>
                <c:pt idx="228">
                  <c:v>04-05-17</c:v>
                </c:pt>
                <c:pt idx="229">
                  <c:v>04-05-17</c:v>
                </c:pt>
                <c:pt idx="230">
                  <c:v>04-05-17</c:v>
                </c:pt>
                <c:pt idx="231">
                  <c:v>04-05-17</c:v>
                </c:pt>
                <c:pt idx="232">
                  <c:v>04-05-17</c:v>
                </c:pt>
                <c:pt idx="233">
                  <c:v>04-05-17</c:v>
                </c:pt>
                <c:pt idx="234">
                  <c:v>04-05-17</c:v>
                </c:pt>
                <c:pt idx="235">
                  <c:v>04-05-17</c:v>
                </c:pt>
                <c:pt idx="236">
                  <c:v>04-05-17</c:v>
                </c:pt>
                <c:pt idx="237">
                  <c:v>04-05-17</c:v>
                </c:pt>
                <c:pt idx="238">
                  <c:v>04-05-17</c:v>
                </c:pt>
                <c:pt idx="239">
                  <c:v>04-05-17</c:v>
                </c:pt>
                <c:pt idx="240">
                  <c:v>04-05-17</c:v>
                </c:pt>
                <c:pt idx="241">
                  <c:v>04-05-17</c:v>
                </c:pt>
                <c:pt idx="242">
                  <c:v>04-05-17</c:v>
                </c:pt>
                <c:pt idx="243">
                  <c:v>04-05-17</c:v>
                </c:pt>
                <c:pt idx="244">
                  <c:v>04-05-17</c:v>
                </c:pt>
                <c:pt idx="245">
                  <c:v>04-05-17</c:v>
                </c:pt>
                <c:pt idx="246">
                  <c:v>04-05-17</c:v>
                </c:pt>
                <c:pt idx="247">
                  <c:v>04-05-17</c:v>
                </c:pt>
                <c:pt idx="248">
                  <c:v>04-05-17</c:v>
                </c:pt>
                <c:pt idx="249">
                  <c:v>04-05-17</c:v>
                </c:pt>
                <c:pt idx="250">
                  <c:v>04-05-17</c:v>
                </c:pt>
                <c:pt idx="251">
                  <c:v>04-05-17</c:v>
                </c:pt>
                <c:pt idx="252">
                  <c:v>04-05-17</c:v>
                </c:pt>
                <c:pt idx="253">
                  <c:v>04-05-17</c:v>
                </c:pt>
                <c:pt idx="254">
                  <c:v>04-05-17</c:v>
                </c:pt>
                <c:pt idx="255">
                  <c:v>04-05-17</c:v>
                </c:pt>
                <c:pt idx="256">
                  <c:v>04-05-17</c:v>
                </c:pt>
                <c:pt idx="257">
                  <c:v>04-05-17</c:v>
                </c:pt>
                <c:pt idx="258">
                  <c:v>04-05-17</c:v>
                </c:pt>
                <c:pt idx="259">
                  <c:v>04-05-17</c:v>
                </c:pt>
                <c:pt idx="260">
                  <c:v>04-05-17</c:v>
                </c:pt>
                <c:pt idx="261">
                  <c:v>04-05-17</c:v>
                </c:pt>
                <c:pt idx="262">
                  <c:v>04-05-17</c:v>
                </c:pt>
                <c:pt idx="263">
                  <c:v>04-05-17</c:v>
                </c:pt>
                <c:pt idx="264">
                  <c:v>04-05-17</c:v>
                </c:pt>
                <c:pt idx="265">
                  <c:v>04-05-17</c:v>
                </c:pt>
                <c:pt idx="266">
                  <c:v>04-05-17</c:v>
                </c:pt>
                <c:pt idx="267">
                  <c:v>04-05-17</c:v>
                </c:pt>
                <c:pt idx="268">
                  <c:v>04-05-17</c:v>
                </c:pt>
                <c:pt idx="269">
                  <c:v>04-05-17</c:v>
                </c:pt>
                <c:pt idx="270">
                  <c:v>04-05-17</c:v>
                </c:pt>
                <c:pt idx="271">
                  <c:v>04-05-17</c:v>
                </c:pt>
                <c:pt idx="272">
                  <c:v>04-05-17</c:v>
                </c:pt>
                <c:pt idx="273">
                  <c:v>04-05-17</c:v>
                </c:pt>
                <c:pt idx="274">
                  <c:v>04-05-17</c:v>
                </c:pt>
                <c:pt idx="275">
                  <c:v>04-05-17</c:v>
                </c:pt>
                <c:pt idx="276">
                  <c:v>04-05-17</c:v>
                </c:pt>
                <c:pt idx="277">
                  <c:v>05-05-17</c:v>
                </c:pt>
                <c:pt idx="278">
                  <c:v>05-05-17</c:v>
                </c:pt>
                <c:pt idx="279">
                  <c:v>05-05-17</c:v>
                </c:pt>
                <c:pt idx="280">
                  <c:v>05-05-17</c:v>
                </c:pt>
                <c:pt idx="281">
                  <c:v>05-05-17</c:v>
                </c:pt>
                <c:pt idx="282">
                  <c:v>05-05-17</c:v>
                </c:pt>
                <c:pt idx="283">
                  <c:v>05-05-17</c:v>
                </c:pt>
                <c:pt idx="284">
                  <c:v>05-05-17</c:v>
                </c:pt>
                <c:pt idx="285">
                  <c:v>05-05-17</c:v>
                </c:pt>
                <c:pt idx="286">
                  <c:v>05-05-17</c:v>
                </c:pt>
                <c:pt idx="287">
                  <c:v>05-05-17</c:v>
                </c:pt>
                <c:pt idx="288">
                  <c:v>05-05-17</c:v>
                </c:pt>
                <c:pt idx="289">
                  <c:v>05-05-17</c:v>
                </c:pt>
                <c:pt idx="290">
                  <c:v>05-05-17</c:v>
                </c:pt>
                <c:pt idx="291">
                  <c:v>05-05-17</c:v>
                </c:pt>
                <c:pt idx="292">
                  <c:v>05-05-17</c:v>
                </c:pt>
                <c:pt idx="293">
                  <c:v>05-05-17</c:v>
                </c:pt>
                <c:pt idx="294">
                  <c:v>05-05-17</c:v>
                </c:pt>
                <c:pt idx="295">
                  <c:v>05-05-17</c:v>
                </c:pt>
                <c:pt idx="296">
                  <c:v>05-05-17</c:v>
                </c:pt>
                <c:pt idx="297">
                  <c:v>05-05-17</c:v>
                </c:pt>
                <c:pt idx="298">
                  <c:v>05-05-17</c:v>
                </c:pt>
                <c:pt idx="299">
                  <c:v>05-05-17</c:v>
                </c:pt>
                <c:pt idx="300">
                  <c:v>05-05-17</c:v>
                </c:pt>
                <c:pt idx="301">
                  <c:v>05-05-17</c:v>
                </c:pt>
                <c:pt idx="302">
                  <c:v>08-05-17</c:v>
                </c:pt>
                <c:pt idx="303">
                  <c:v>08-05-17</c:v>
                </c:pt>
                <c:pt idx="304">
                  <c:v>08-05-17</c:v>
                </c:pt>
                <c:pt idx="305">
                  <c:v>08-05-17</c:v>
                </c:pt>
                <c:pt idx="306">
                  <c:v>08-05-17</c:v>
                </c:pt>
                <c:pt idx="307">
                  <c:v>08-05-17</c:v>
                </c:pt>
                <c:pt idx="308">
                  <c:v>08-05-17</c:v>
                </c:pt>
                <c:pt idx="309">
                  <c:v>08-05-17</c:v>
                </c:pt>
                <c:pt idx="310">
                  <c:v>08-05-17</c:v>
                </c:pt>
                <c:pt idx="311">
                  <c:v>08-05-17</c:v>
                </c:pt>
                <c:pt idx="312">
                  <c:v>08-05-17</c:v>
                </c:pt>
                <c:pt idx="313">
                  <c:v>08-05-17</c:v>
                </c:pt>
                <c:pt idx="314">
                  <c:v>08-05-17</c:v>
                </c:pt>
                <c:pt idx="315">
                  <c:v>08-05-17</c:v>
                </c:pt>
                <c:pt idx="316">
                  <c:v>08-05-17</c:v>
                </c:pt>
                <c:pt idx="317">
                  <c:v>08-05-17</c:v>
                </c:pt>
                <c:pt idx="318">
                  <c:v>08-05-17</c:v>
                </c:pt>
                <c:pt idx="319">
                  <c:v>08-05-17</c:v>
                </c:pt>
                <c:pt idx="320">
                  <c:v>08-05-17</c:v>
                </c:pt>
                <c:pt idx="321">
                  <c:v>09-05-17</c:v>
                </c:pt>
                <c:pt idx="322">
                  <c:v>09-05-17</c:v>
                </c:pt>
                <c:pt idx="323">
                  <c:v>09-05-17</c:v>
                </c:pt>
                <c:pt idx="324">
                  <c:v>09-05-17</c:v>
                </c:pt>
                <c:pt idx="325">
                  <c:v>09-05-17</c:v>
                </c:pt>
                <c:pt idx="326">
                  <c:v>09-05-17</c:v>
                </c:pt>
                <c:pt idx="327">
                  <c:v>09-05-17</c:v>
                </c:pt>
                <c:pt idx="328">
                  <c:v>09-05-17</c:v>
                </c:pt>
                <c:pt idx="329">
                  <c:v>09-05-17</c:v>
                </c:pt>
                <c:pt idx="330">
                  <c:v>09-05-17</c:v>
                </c:pt>
                <c:pt idx="331">
                  <c:v>09-05-17</c:v>
                </c:pt>
                <c:pt idx="332">
                  <c:v>10-05-17</c:v>
                </c:pt>
                <c:pt idx="333">
                  <c:v>10-05-17</c:v>
                </c:pt>
                <c:pt idx="334">
                  <c:v>10-05-17</c:v>
                </c:pt>
                <c:pt idx="335">
                  <c:v>10-05-17</c:v>
                </c:pt>
                <c:pt idx="336">
                  <c:v>10-05-17</c:v>
                </c:pt>
                <c:pt idx="337">
                  <c:v>10-05-17</c:v>
                </c:pt>
                <c:pt idx="338">
                  <c:v>10-05-17</c:v>
                </c:pt>
                <c:pt idx="339">
                  <c:v>10-05-17</c:v>
                </c:pt>
                <c:pt idx="340">
                  <c:v>10-05-17</c:v>
                </c:pt>
                <c:pt idx="341">
                  <c:v>10-05-17</c:v>
                </c:pt>
                <c:pt idx="342">
                  <c:v>10-05-17</c:v>
                </c:pt>
                <c:pt idx="343">
                  <c:v>10-05-17</c:v>
                </c:pt>
                <c:pt idx="344">
                  <c:v>10-05-17</c:v>
                </c:pt>
                <c:pt idx="345">
                  <c:v>10-05-17</c:v>
                </c:pt>
                <c:pt idx="346">
                  <c:v>10-05-17</c:v>
                </c:pt>
                <c:pt idx="347">
                  <c:v>10-05-17</c:v>
                </c:pt>
                <c:pt idx="348">
                  <c:v>10-05-17</c:v>
                </c:pt>
                <c:pt idx="349">
                  <c:v>10-05-17</c:v>
                </c:pt>
                <c:pt idx="350">
                  <c:v>10-05-17</c:v>
                </c:pt>
                <c:pt idx="351">
                  <c:v>10-05-17</c:v>
                </c:pt>
                <c:pt idx="352">
                  <c:v>10-05-17</c:v>
                </c:pt>
                <c:pt idx="353">
                  <c:v>10-05-17</c:v>
                </c:pt>
                <c:pt idx="354">
                  <c:v>10-05-17</c:v>
                </c:pt>
                <c:pt idx="355">
                  <c:v>10-05-17</c:v>
                </c:pt>
                <c:pt idx="356">
                  <c:v>10-05-17</c:v>
                </c:pt>
                <c:pt idx="357">
                  <c:v>10-05-17</c:v>
                </c:pt>
                <c:pt idx="358">
                  <c:v>10-05-17</c:v>
                </c:pt>
                <c:pt idx="359">
                  <c:v>10-05-17</c:v>
                </c:pt>
                <c:pt idx="360">
                  <c:v>10-05-17</c:v>
                </c:pt>
                <c:pt idx="361">
                  <c:v>10-05-17</c:v>
                </c:pt>
                <c:pt idx="362">
                  <c:v>11-05-17</c:v>
                </c:pt>
                <c:pt idx="363">
                  <c:v>11-05-17</c:v>
                </c:pt>
                <c:pt idx="364">
                  <c:v>11-05-17</c:v>
                </c:pt>
                <c:pt idx="365">
                  <c:v>11-05-17</c:v>
                </c:pt>
                <c:pt idx="366">
                  <c:v>11-05-17</c:v>
                </c:pt>
                <c:pt idx="367">
                  <c:v>11-05-17</c:v>
                </c:pt>
                <c:pt idx="368">
                  <c:v>11-05-17</c:v>
                </c:pt>
                <c:pt idx="369">
                  <c:v>11-05-17</c:v>
                </c:pt>
                <c:pt idx="370">
                  <c:v>11-05-17</c:v>
                </c:pt>
                <c:pt idx="371">
                  <c:v>11-05-17</c:v>
                </c:pt>
                <c:pt idx="372">
                  <c:v>11-05-17</c:v>
                </c:pt>
                <c:pt idx="373">
                  <c:v>11-05-17</c:v>
                </c:pt>
                <c:pt idx="374">
                  <c:v>11-05-17</c:v>
                </c:pt>
                <c:pt idx="375">
                  <c:v>11-05-17</c:v>
                </c:pt>
                <c:pt idx="376">
                  <c:v>12-05-17</c:v>
                </c:pt>
                <c:pt idx="377">
                  <c:v>12-05-17</c:v>
                </c:pt>
                <c:pt idx="378">
                  <c:v>12-05-17</c:v>
                </c:pt>
                <c:pt idx="379">
                  <c:v>12-05-17</c:v>
                </c:pt>
                <c:pt idx="380">
                  <c:v>12-05-17</c:v>
                </c:pt>
                <c:pt idx="381">
                  <c:v>12-05-17</c:v>
                </c:pt>
                <c:pt idx="382">
                  <c:v>12-05-17</c:v>
                </c:pt>
                <c:pt idx="383">
                  <c:v>15-05-17</c:v>
                </c:pt>
                <c:pt idx="384">
                  <c:v>15-05-17</c:v>
                </c:pt>
                <c:pt idx="385">
                  <c:v>15-05-17</c:v>
                </c:pt>
                <c:pt idx="386">
                  <c:v>15-05-17</c:v>
                </c:pt>
                <c:pt idx="387">
                  <c:v>15-05-17</c:v>
                </c:pt>
                <c:pt idx="388">
                  <c:v>15-05-17</c:v>
                </c:pt>
                <c:pt idx="389">
                  <c:v>15-05-17</c:v>
                </c:pt>
                <c:pt idx="390">
                  <c:v>15-05-17</c:v>
                </c:pt>
                <c:pt idx="391">
                  <c:v>15-05-17</c:v>
                </c:pt>
                <c:pt idx="392">
                  <c:v>16-05-17</c:v>
                </c:pt>
                <c:pt idx="393">
                  <c:v>16-05-17</c:v>
                </c:pt>
                <c:pt idx="394">
                  <c:v>16-05-17</c:v>
                </c:pt>
                <c:pt idx="395">
                  <c:v>16-05-17</c:v>
                </c:pt>
                <c:pt idx="396">
                  <c:v>16-05-17</c:v>
                </c:pt>
                <c:pt idx="397">
                  <c:v>16-05-17</c:v>
                </c:pt>
                <c:pt idx="398">
                  <c:v>16-05-17</c:v>
                </c:pt>
                <c:pt idx="399">
                  <c:v>16-05-17</c:v>
                </c:pt>
                <c:pt idx="400">
                  <c:v>17-05-17</c:v>
                </c:pt>
                <c:pt idx="401">
                  <c:v>17-05-17</c:v>
                </c:pt>
                <c:pt idx="402">
                  <c:v>17-05-17</c:v>
                </c:pt>
                <c:pt idx="403">
                  <c:v>17-05-17</c:v>
                </c:pt>
                <c:pt idx="404">
                  <c:v>17-05-17</c:v>
                </c:pt>
                <c:pt idx="405">
                  <c:v>17-05-17</c:v>
                </c:pt>
                <c:pt idx="406">
                  <c:v>17-05-17</c:v>
                </c:pt>
                <c:pt idx="407">
                  <c:v>17-05-17</c:v>
                </c:pt>
                <c:pt idx="408">
                  <c:v>18-05-17</c:v>
                </c:pt>
                <c:pt idx="409">
                  <c:v>18-05-17</c:v>
                </c:pt>
                <c:pt idx="410">
                  <c:v>18-05-17</c:v>
                </c:pt>
                <c:pt idx="411">
                  <c:v>18-05-17</c:v>
                </c:pt>
                <c:pt idx="412">
                  <c:v>18-05-17</c:v>
                </c:pt>
                <c:pt idx="413">
                  <c:v>18-05-17</c:v>
                </c:pt>
                <c:pt idx="414">
                  <c:v>19-05-17</c:v>
                </c:pt>
                <c:pt idx="415">
                  <c:v>29-05-17</c:v>
                </c:pt>
                <c:pt idx="416">
                  <c:v>29-05-17</c:v>
                </c:pt>
                <c:pt idx="417">
                  <c:v>29-05-17</c:v>
                </c:pt>
                <c:pt idx="418">
                  <c:v>29-05-17</c:v>
                </c:pt>
                <c:pt idx="419">
                  <c:v>29-05-17</c:v>
                </c:pt>
                <c:pt idx="420">
                  <c:v>29-05-17</c:v>
                </c:pt>
                <c:pt idx="421">
                  <c:v>29-05-17</c:v>
                </c:pt>
                <c:pt idx="422">
                  <c:v>29-05-17</c:v>
                </c:pt>
                <c:pt idx="423">
                  <c:v>29-05-17</c:v>
                </c:pt>
                <c:pt idx="424">
                  <c:v>30-05-17</c:v>
                </c:pt>
                <c:pt idx="425">
                  <c:v>30-05-17</c:v>
                </c:pt>
                <c:pt idx="426">
                  <c:v>30-05-17</c:v>
                </c:pt>
                <c:pt idx="427">
                  <c:v>30-05-17</c:v>
                </c:pt>
                <c:pt idx="428">
                  <c:v>30-05-17</c:v>
                </c:pt>
                <c:pt idx="429">
                  <c:v>31-05-17</c:v>
                </c:pt>
                <c:pt idx="430">
                  <c:v>31-05-17</c:v>
                </c:pt>
                <c:pt idx="431">
                  <c:v>31-05-17</c:v>
                </c:pt>
                <c:pt idx="432">
                  <c:v>31-05-17</c:v>
                </c:pt>
                <c:pt idx="433">
                  <c:v>31-05-17</c:v>
                </c:pt>
                <c:pt idx="434">
                  <c:v>31-05-17</c:v>
                </c:pt>
                <c:pt idx="435">
                  <c:v>31-05-17</c:v>
                </c:pt>
                <c:pt idx="436">
                  <c:v>02-06-17</c:v>
                </c:pt>
                <c:pt idx="437">
                  <c:v>02-06-17</c:v>
                </c:pt>
                <c:pt idx="438">
                  <c:v>02-06-17</c:v>
                </c:pt>
                <c:pt idx="439">
                  <c:v>02-06-17</c:v>
                </c:pt>
                <c:pt idx="440">
                  <c:v>02-06-17</c:v>
                </c:pt>
                <c:pt idx="441">
                  <c:v>05-06-17</c:v>
                </c:pt>
                <c:pt idx="442">
                  <c:v>05-06-17</c:v>
                </c:pt>
                <c:pt idx="443">
                  <c:v>06-06-17</c:v>
                </c:pt>
                <c:pt idx="444">
                  <c:v>07-06-17</c:v>
                </c:pt>
                <c:pt idx="445">
                  <c:v>07-06-17</c:v>
                </c:pt>
                <c:pt idx="446">
                  <c:v>08-06-17</c:v>
                </c:pt>
                <c:pt idx="447">
                  <c:v>08-06-17</c:v>
                </c:pt>
                <c:pt idx="448">
                  <c:v>08-06-17</c:v>
                </c:pt>
                <c:pt idx="449">
                  <c:v>09-06-17</c:v>
                </c:pt>
                <c:pt idx="450">
                  <c:v>09-06-17</c:v>
                </c:pt>
                <c:pt idx="451">
                  <c:v>09-06-17</c:v>
                </c:pt>
                <c:pt idx="452">
                  <c:v>09-06-17</c:v>
                </c:pt>
                <c:pt idx="453">
                  <c:v>12-06-17</c:v>
                </c:pt>
                <c:pt idx="454">
                  <c:v>12-06-17</c:v>
                </c:pt>
                <c:pt idx="455">
                  <c:v>12-06-17</c:v>
                </c:pt>
                <c:pt idx="456">
                  <c:v>12-06-17</c:v>
                </c:pt>
                <c:pt idx="457">
                  <c:v>13-06-17</c:v>
                </c:pt>
                <c:pt idx="458">
                  <c:v>14-06-17</c:v>
                </c:pt>
                <c:pt idx="459">
                  <c:v>14-06-17</c:v>
                </c:pt>
                <c:pt idx="460">
                  <c:v>14-06-17</c:v>
                </c:pt>
                <c:pt idx="461">
                  <c:v>14-06-17</c:v>
                </c:pt>
                <c:pt idx="462">
                  <c:v>14-06-17</c:v>
                </c:pt>
                <c:pt idx="463">
                  <c:v>15-06-17</c:v>
                </c:pt>
                <c:pt idx="464">
                  <c:v>15-06-17</c:v>
                </c:pt>
                <c:pt idx="465">
                  <c:v>15-06-17</c:v>
                </c:pt>
                <c:pt idx="466">
                  <c:v>16-06-17</c:v>
                </c:pt>
                <c:pt idx="467">
                  <c:v>16-06-17</c:v>
                </c:pt>
                <c:pt idx="468">
                  <c:v>16-06-17</c:v>
                </c:pt>
                <c:pt idx="469">
                  <c:v>19-06-17</c:v>
                </c:pt>
                <c:pt idx="470">
                  <c:v>19-06-17</c:v>
                </c:pt>
                <c:pt idx="471">
                  <c:v>19-06-17</c:v>
                </c:pt>
                <c:pt idx="472">
                  <c:v>20-06-17</c:v>
                </c:pt>
                <c:pt idx="473">
                  <c:v>20-06-17</c:v>
                </c:pt>
                <c:pt idx="474">
                  <c:v>21-06-17</c:v>
                </c:pt>
                <c:pt idx="475">
                  <c:v>21-06-17</c:v>
                </c:pt>
                <c:pt idx="476">
                  <c:v>22-06-17</c:v>
                </c:pt>
                <c:pt idx="477">
                  <c:v>22-06-17</c:v>
                </c:pt>
                <c:pt idx="478">
                  <c:v>23-06-17</c:v>
                </c:pt>
                <c:pt idx="479">
                  <c:v>23-06-17</c:v>
                </c:pt>
                <c:pt idx="480">
                  <c:v>27-06-17</c:v>
                </c:pt>
                <c:pt idx="481">
                  <c:v>28-06-17</c:v>
                </c:pt>
                <c:pt idx="482">
                  <c:v>28-06-17</c:v>
                </c:pt>
                <c:pt idx="483">
                  <c:v>28-06-17</c:v>
                </c:pt>
                <c:pt idx="484">
                  <c:v>29-06-17</c:v>
                </c:pt>
                <c:pt idx="485">
                  <c:v>29-06-17</c:v>
                </c:pt>
                <c:pt idx="486">
                  <c:v>29-06-17</c:v>
                </c:pt>
                <c:pt idx="487">
                  <c:v>29-06-17</c:v>
                </c:pt>
                <c:pt idx="488">
                  <c:v>29-06-17</c:v>
                </c:pt>
                <c:pt idx="489">
                  <c:v>29-06-17</c:v>
                </c:pt>
                <c:pt idx="490">
                  <c:v>30-06-17</c:v>
                </c:pt>
                <c:pt idx="491">
                  <c:v>30-06-17</c:v>
                </c:pt>
                <c:pt idx="492">
                  <c:v>03-07-17</c:v>
                </c:pt>
                <c:pt idx="493">
                  <c:v>03-07-17</c:v>
                </c:pt>
                <c:pt idx="494">
                  <c:v>04-07-17</c:v>
                </c:pt>
                <c:pt idx="495">
                  <c:v>04-07-17</c:v>
                </c:pt>
                <c:pt idx="496">
                  <c:v>05-07-17</c:v>
                </c:pt>
                <c:pt idx="497">
                  <c:v>05-07-17</c:v>
                </c:pt>
                <c:pt idx="498">
                  <c:v>06-07-17</c:v>
                </c:pt>
                <c:pt idx="499">
                  <c:v>06-07-17</c:v>
                </c:pt>
                <c:pt idx="500">
                  <c:v>06-07-17</c:v>
                </c:pt>
                <c:pt idx="501">
                  <c:v>10-07-17</c:v>
                </c:pt>
                <c:pt idx="502">
                  <c:v>11-07-17</c:v>
                </c:pt>
                <c:pt idx="503">
                  <c:v>11-07-17</c:v>
                </c:pt>
                <c:pt idx="504">
                  <c:v>12-07-17</c:v>
                </c:pt>
                <c:pt idx="505">
                  <c:v>13-07-17</c:v>
                </c:pt>
                <c:pt idx="506">
                  <c:v>13-07-17</c:v>
                </c:pt>
                <c:pt idx="507">
                  <c:v>14-07-17</c:v>
                </c:pt>
                <c:pt idx="508">
                  <c:v>14-07-17</c:v>
                </c:pt>
                <c:pt idx="509">
                  <c:v>14-07-17</c:v>
                </c:pt>
                <c:pt idx="510">
                  <c:v>14-07-17</c:v>
                </c:pt>
                <c:pt idx="511">
                  <c:v>14-07-17</c:v>
                </c:pt>
                <c:pt idx="512">
                  <c:v>14-07-17</c:v>
                </c:pt>
                <c:pt idx="513">
                  <c:v>14-07-17</c:v>
                </c:pt>
                <c:pt idx="514">
                  <c:v>14-07-17</c:v>
                </c:pt>
                <c:pt idx="515">
                  <c:v>14-07-17</c:v>
                </c:pt>
                <c:pt idx="516">
                  <c:v>14-07-17</c:v>
                </c:pt>
                <c:pt idx="517">
                  <c:v>14-07-17</c:v>
                </c:pt>
                <c:pt idx="518">
                  <c:v>14-07-17</c:v>
                </c:pt>
                <c:pt idx="519">
                  <c:v>14-07-17</c:v>
                </c:pt>
                <c:pt idx="520">
                  <c:v>17-07-17</c:v>
                </c:pt>
                <c:pt idx="521">
                  <c:v>18-07-17</c:v>
                </c:pt>
                <c:pt idx="522">
                  <c:v>18-07-17</c:v>
                </c:pt>
                <c:pt idx="523">
                  <c:v>18-07-17</c:v>
                </c:pt>
                <c:pt idx="524">
                  <c:v>19-07-17</c:v>
                </c:pt>
                <c:pt idx="525">
                  <c:v>20-07-17</c:v>
                </c:pt>
                <c:pt idx="526">
                  <c:v>20-07-17</c:v>
                </c:pt>
                <c:pt idx="527">
                  <c:v>20-07-17</c:v>
                </c:pt>
                <c:pt idx="528">
                  <c:v>20-07-17</c:v>
                </c:pt>
                <c:pt idx="529">
                  <c:v>20-07-17</c:v>
                </c:pt>
                <c:pt idx="530">
                  <c:v>20-07-17</c:v>
                </c:pt>
                <c:pt idx="531">
                  <c:v>21-07-17</c:v>
                </c:pt>
                <c:pt idx="532">
                  <c:v>21-07-17</c:v>
                </c:pt>
                <c:pt idx="533">
                  <c:v>21-07-17</c:v>
                </c:pt>
                <c:pt idx="534">
                  <c:v>21-07-17</c:v>
                </c:pt>
                <c:pt idx="535">
                  <c:v>21-07-17</c:v>
                </c:pt>
                <c:pt idx="536">
                  <c:v>21-07-17</c:v>
                </c:pt>
                <c:pt idx="537">
                  <c:v>24-07-17</c:v>
                </c:pt>
                <c:pt idx="538">
                  <c:v>24-07-17</c:v>
                </c:pt>
                <c:pt idx="539">
                  <c:v>24-07-17</c:v>
                </c:pt>
                <c:pt idx="540">
                  <c:v>25-07-17</c:v>
                </c:pt>
                <c:pt idx="541">
                  <c:v>25-07-17</c:v>
                </c:pt>
                <c:pt idx="542">
                  <c:v>25-07-17</c:v>
                </c:pt>
                <c:pt idx="543">
                  <c:v>26-07-17</c:v>
                </c:pt>
                <c:pt idx="544">
                  <c:v>26-07-17</c:v>
                </c:pt>
                <c:pt idx="545">
                  <c:v>26-07-17</c:v>
                </c:pt>
                <c:pt idx="546">
                  <c:v>26-07-17</c:v>
                </c:pt>
                <c:pt idx="547">
                  <c:v>27-07-17</c:v>
                </c:pt>
                <c:pt idx="548">
                  <c:v>27-07-17</c:v>
                </c:pt>
                <c:pt idx="549">
                  <c:v>27-07-17</c:v>
                </c:pt>
                <c:pt idx="550">
                  <c:v>27-07-17</c:v>
                </c:pt>
                <c:pt idx="551">
                  <c:v>27-07-17</c:v>
                </c:pt>
                <c:pt idx="552">
                  <c:v>28-07-17</c:v>
                </c:pt>
                <c:pt idx="553">
                  <c:v>31-07-17</c:v>
                </c:pt>
                <c:pt idx="554">
                  <c:v>31-07-17</c:v>
                </c:pt>
                <c:pt idx="555">
                  <c:v>01-08-17</c:v>
                </c:pt>
                <c:pt idx="556">
                  <c:v>01-08-17</c:v>
                </c:pt>
                <c:pt idx="557">
                  <c:v>02-08-17</c:v>
                </c:pt>
                <c:pt idx="558">
                  <c:v>03-08-17</c:v>
                </c:pt>
                <c:pt idx="559">
                  <c:v>04-08-17</c:v>
                </c:pt>
                <c:pt idx="560">
                  <c:v>04-08-17</c:v>
                </c:pt>
                <c:pt idx="561">
                  <c:v>04-08-17</c:v>
                </c:pt>
                <c:pt idx="562">
                  <c:v>04-08-17</c:v>
                </c:pt>
                <c:pt idx="563">
                  <c:v>07-08-17</c:v>
                </c:pt>
                <c:pt idx="564">
                  <c:v>07-08-17</c:v>
                </c:pt>
                <c:pt idx="565">
                  <c:v>08-08-17</c:v>
                </c:pt>
                <c:pt idx="566">
                  <c:v>08-08-17</c:v>
                </c:pt>
                <c:pt idx="567">
                  <c:v>08-08-17</c:v>
                </c:pt>
                <c:pt idx="568">
                  <c:v>10-08-17</c:v>
                </c:pt>
                <c:pt idx="569">
                  <c:v>10-08-17</c:v>
                </c:pt>
                <c:pt idx="570">
                  <c:v>11-08-17</c:v>
                </c:pt>
                <c:pt idx="571">
                  <c:v>11-08-17</c:v>
                </c:pt>
                <c:pt idx="572">
                  <c:v>11-08-17</c:v>
                </c:pt>
                <c:pt idx="573">
                  <c:v>11-08-17</c:v>
                </c:pt>
                <c:pt idx="574">
                  <c:v>11-08-17</c:v>
                </c:pt>
                <c:pt idx="575">
                  <c:v>11-08-17</c:v>
                </c:pt>
                <c:pt idx="576">
                  <c:v>11-08-17</c:v>
                </c:pt>
                <c:pt idx="577">
                  <c:v>11-08-17</c:v>
                </c:pt>
                <c:pt idx="578">
                  <c:v>11-08-17</c:v>
                </c:pt>
                <c:pt idx="579">
                  <c:v>11-08-17</c:v>
                </c:pt>
                <c:pt idx="580">
                  <c:v>01-09-17</c:v>
                </c:pt>
                <c:pt idx="581">
                  <c:v>04-09-17</c:v>
                </c:pt>
                <c:pt idx="582">
                  <c:v>04-09-17</c:v>
                </c:pt>
                <c:pt idx="583">
                  <c:v>05-09-17</c:v>
                </c:pt>
                <c:pt idx="584">
                  <c:v>13-09-17</c:v>
                </c:pt>
                <c:pt idx="585">
                  <c:v>13-09-17</c:v>
                </c:pt>
                <c:pt idx="586">
                  <c:v>13-09-17</c:v>
                </c:pt>
                <c:pt idx="587">
                  <c:v>13-09-17</c:v>
                </c:pt>
                <c:pt idx="588">
                  <c:v>13-09-17</c:v>
                </c:pt>
                <c:pt idx="589">
                  <c:v>21-09-17</c:v>
                </c:pt>
                <c:pt idx="590">
                  <c:v>22-09-17</c:v>
                </c:pt>
                <c:pt idx="591">
                  <c:v>22-09-17</c:v>
                </c:pt>
                <c:pt idx="592">
                  <c:v>25-09-17</c:v>
                </c:pt>
                <c:pt idx="593">
                  <c:v>26-09-17</c:v>
                </c:pt>
                <c:pt idx="594">
                  <c:v>26-09-17</c:v>
                </c:pt>
                <c:pt idx="595">
                  <c:v>30-10-17</c:v>
                </c:pt>
                <c:pt idx="596">
                  <c:v>31-10-17</c:v>
                </c:pt>
                <c:pt idx="597">
                  <c:v>31-10-17</c:v>
                </c:pt>
                <c:pt idx="598">
                  <c:v>31-10-17</c:v>
                </c:pt>
                <c:pt idx="599">
                  <c:v>01-11-17</c:v>
                </c:pt>
                <c:pt idx="600">
                  <c:v>01-11-17</c:v>
                </c:pt>
                <c:pt idx="601">
                  <c:v>01-11-17</c:v>
                </c:pt>
              </c:strCache>
            </c:strRef>
          </c:cat>
          <c:val>
            <c:numRef>
              <c:f>'Trade Data'!$AC$1:$AC$500</c:f>
              <c:numCache>
                <c:formatCode>General</c:formatCode>
                <c:ptCount val="500"/>
                <c:pt idx="0">
                  <c:v>0</c:v>
                </c:pt>
                <c:pt idx="3">
                  <c:v>-183.10480312500511</c:v>
                </c:pt>
                <c:pt idx="4">
                  <c:v>-261.1565531250119</c:v>
                </c:pt>
                <c:pt idx="5">
                  <c:v>-414.18365625001019</c:v>
                </c:pt>
                <c:pt idx="6">
                  <c:v>-414.44372693751018</c:v>
                </c:pt>
                <c:pt idx="7">
                  <c:v>-566.12261881250629</c:v>
                </c:pt>
                <c:pt idx="8">
                  <c:v>-600.25612360938158</c:v>
                </c:pt>
                <c:pt idx="9">
                  <c:v>-960.7970611093815</c:v>
                </c:pt>
                <c:pt idx="10">
                  <c:v>-1265.7445611093815</c:v>
                </c:pt>
                <c:pt idx="11">
                  <c:v>-1207.0235710156312</c:v>
                </c:pt>
                <c:pt idx="12">
                  <c:v>-1236.1857478906313</c:v>
                </c:pt>
                <c:pt idx="13">
                  <c:v>-1586.9526853906314</c:v>
                </c:pt>
                <c:pt idx="14">
                  <c:v>-1575.1167284375065</c:v>
                </c:pt>
                <c:pt idx="15">
                  <c:v>-1645.2208378125099</c:v>
                </c:pt>
                <c:pt idx="16">
                  <c:v>-1234.2712753125036</c:v>
                </c:pt>
                <c:pt idx="17">
                  <c:v>-1735.9413925000035</c:v>
                </c:pt>
                <c:pt idx="18">
                  <c:v>-1992.9399815625036</c:v>
                </c:pt>
                <c:pt idx="19">
                  <c:v>-1634.1493815625035</c:v>
                </c:pt>
                <c:pt idx="20">
                  <c:v>-2052.3529237499956</c:v>
                </c:pt>
                <c:pt idx="21">
                  <c:v>-2213.7688237500001</c:v>
                </c:pt>
                <c:pt idx="22">
                  <c:v>-2438.7557612500032</c:v>
                </c:pt>
                <c:pt idx="23">
                  <c:v>-3567.471421250003</c:v>
                </c:pt>
                <c:pt idx="24">
                  <c:v>-3016.1094712500026</c:v>
                </c:pt>
                <c:pt idx="25">
                  <c:v>-2016.2422712500024</c:v>
                </c:pt>
                <c:pt idx="26">
                  <c:v>-2971.8655032812521</c:v>
                </c:pt>
                <c:pt idx="27">
                  <c:v>-2845.328190781252</c:v>
                </c:pt>
                <c:pt idx="28">
                  <c:v>-3243.4983657812522</c:v>
                </c:pt>
                <c:pt idx="29">
                  <c:v>-2592.2535657812523</c:v>
                </c:pt>
                <c:pt idx="30">
                  <c:v>-2488.4974782812524</c:v>
                </c:pt>
                <c:pt idx="31">
                  <c:v>-2672.7160295312533</c:v>
                </c:pt>
                <c:pt idx="32">
                  <c:v>-2747.9098982812534</c:v>
                </c:pt>
                <c:pt idx="33">
                  <c:v>-2773.8955767187531</c:v>
                </c:pt>
                <c:pt idx="34">
                  <c:v>-2789.6950021770863</c:v>
                </c:pt>
                <c:pt idx="35">
                  <c:v>-2836.3043046145867</c:v>
                </c:pt>
                <c:pt idx="36">
                  <c:v>-3183.8327146145866</c:v>
                </c:pt>
                <c:pt idx="37">
                  <c:v>-3057.6179271145866</c:v>
                </c:pt>
                <c:pt idx="38">
                  <c:v>-3295.4748110989617</c:v>
                </c:pt>
                <c:pt idx="39">
                  <c:v>-3435.312127348961</c:v>
                </c:pt>
                <c:pt idx="40">
                  <c:v>-3583.32749141146</c:v>
                </c:pt>
                <c:pt idx="41">
                  <c:v>-3472.90192266146</c:v>
                </c:pt>
                <c:pt idx="42">
                  <c:v>-2775.8386476614601</c:v>
                </c:pt>
                <c:pt idx="43">
                  <c:v>-2995.36493672396</c:v>
                </c:pt>
                <c:pt idx="44">
                  <c:v>-2969.9249679739555</c:v>
                </c:pt>
                <c:pt idx="45">
                  <c:v>-3062.522207973961</c:v>
                </c:pt>
                <c:pt idx="46">
                  <c:v>-2589.4632079739608</c:v>
                </c:pt>
                <c:pt idx="47">
                  <c:v>-2413.953832880215</c:v>
                </c:pt>
                <c:pt idx="48">
                  <c:v>-2448.0678078802152</c:v>
                </c:pt>
                <c:pt idx="49">
                  <c:v>-2421.1685266302152</c:v>
                </c:pt>
                <c:pt idx="50">
                  <c:v>-2618.9366172552159</c:v>
                </c:pt>
                <c:pt idx="51">
                  <c:v>-2677.0996766302183</c:v>
                </c:pt>
                <c:pt idx="52">
                  <c:v>-2643.4725102239668</c:v>
                </c:pt>
                <c:pt idx="53">
                  <c:v>-2949.6941914739668</c:v>
                </c:pt>
                <c:pt idx="54">
                  <c:v>-3002.3355149114636</c:v>
                </c:pt>
                <c:pt idx="55">
                  <c:v>-3182.5041711614635</c:v>
                </c:pt>
                <c:pt idx="56">
                  <c:v>-3137.5176899114635</c:v>
                </c:pt>
                <c:pt idx="57">
                  <c:v>-3504.9974633489637</c:v>
                </c:pt>
                <c:pt idx="58">
                  <c:v>-3575.5040774114627</c:v>
                </c:pt>
                <c:pt idx="59">
                  <c:v>-3573.4586094427132</c:v>
                </c:pt>
                <c:pt idx="60">
                  <c:v>-3412.7311314739645</c:v>
                </c:pt>
                <c:pt idx="61">
                  <c:v>-3810.9013064739647</c:v>
                </c:pt>
                <c:pt idx="62">
                  <c:v>-3758.8614564739646</c:v>
                </c:pt>
                <c:pt idx="63">
                  <c:v>-3907.330962723966</c:v>
                </c:pt>
                <c:pt idx="64">
                  <c:v>-3986.917507098965</c:v>
                </c:pt>
                <c:pt idx="65">
                  <c:v>-3853.195713348965</c:v>
                </c:pt>
                <c:pt idx="66">
                  <c:v>-4025.1555375677149</c:v>
                </c:pt>
                <c:pt idx="67">
                  <c:v>-3776.4889200677162</c:v>
                </c:pt>
                <c:pt idx="68">
                  <c:v>-3491.9978475677162</c:v>
                </c:pt>
                <c:pt idx="69">
                  <c:v>-3615.463920067717</c:v>
                </c:pt>
                <c:pt idx="70">
                  <c:v>-3570.9672825677171</c:v>
                </c:pt>
                <c:pt idx="71">
                  <c:v>-3346.5949575677173</c:v>
                </c:pt>
                <c:pt idx="72">
                  <c:v>-3422.3276700677175</c:v>
                </c:pt>
                <c:pt idx="73">
                  <c:v>-3481.2584441302197</c:v>
                </c:pt>
                <c:pt idx="74">
                  <c:v>-3498.2441628802198</c:v>
                </c:pt>
                <c:pt idx="75">
                  <c:v>-3745.8969924114708</c:v>
                </c:pt>
                <c:pt idx="76">
                  <c:v>-3892.9105799114709</c:v>
                </c:pt>
                <c:pt idx="77">
                  <c:v>-3585.179576786471</c:v>
                </c:pt>
                <c:pt idx="78">
                  <c:v>-3735.9265322552201</c:v>
                </c:pt>
                <c:pt idx="79">
                  <c:v>-3702.5894597552192</c:v>
                </c:pt>
                <c:pt idx="80">
                  <c:v>-3697.0229472552196</c:v>
                </c:pt>
                <c:pt idx="81">
                  <c:v>-3805.0987641302181</c:v>
                </c:pt>
                <c:pt idx="82">
                  <c:v>-3808.8160416302189</c:v>
                </c:pt>
                <c:pt idx="83">
                  <c:v>-4064.424441630219</c:v>
                </c:pt>
                <c:pt idx="84">
                  <c:v>-3827.6404103802188</c:v>
                </c:pt>
                <c:pt idx="85">
                  <c:v>-3942.5749272552175</c:v>
                </c:pt>
                <c:pt idx="86">
                  <c:v>-4201.4425741302148</c:v>
                </c:pt>
                <c:pt idx="87">
                  <c:v>-4273.476667255215</c:v>
                </c:pt>
                <c:pt idx="88">
                  <c:v>-4320.7639389739643</c:v>
                </c:pt>
                <c:pt idx="89">
                  <c:v>-4338.3567031927141</c:v>
                </c:pt>
                <c:pt idx="90">
                  <c:v>-4368.4689356927138</c:v>
                </c:pt>
                <c:pt idx="91">
                  <c:v>-4590.5540231927134</c:v>
                </c:pt>
                <c:pt idx="92">
                  <c:v>2157.0086918072866</c:v>
                </c:pt>
                <c:pt idx="93">
                  <c:v>1434.6339293072865</c:v>
                </c:pt>
                <c:pt idx="94">
                  <c:v>1807.8411793072864</c:v>
                </c:pt>
                <c:pt idx="95">
                  <c:v>1727.8830136822858</c:v>
                </c:pt>
                <c:pt idx="96">
                  <c:v>1307.5365761822873</c:v>
                </c:pt>
                <c:pt idx="97">
                  <c:v>1287.2080136822872</c:v>
                </c:pt>
                <c:pt idx="98">
                  <c:v>555.95959368228716</c:v>
                </c:pt>
                <c:pt idx="99">
                  <c:v>1103.7276936822873</c:v>
                </c:pt>
                <c:pt idx="100">
                  <c:v>1064.6891780572873</c:v>
                </c:pt>
                <c:pt idx="101">
                  <c:v>300.20335505728735</c:v>
                </c:pt>
                <c:pt idx="102">
                  <c:v>-1908.7952049427126</c:v>
                </c:pt>
                <c:pt idx="103">
                  <c:v>-2542.0503002552105</c:v>
                </c:pt>
                <c:pt idx="104">
                  <c:v>-2930.6725143177177</c:v>
                </c:pt>
                <c:pt idx="105">
                  <c:v>-3022.256670567715</c:v>
                </c:pt>
                <c:pt idx="106">
                  <c:v>-3034.3485705677149</c:v>
                </c:pt>
                <c:pt idx="107">
                  <c:v>-1890.600770567715</c:v>
                </c:pt>
                <c:pt idx="108">
                  <c:v>-2543.3620205677157</c:v>
                </c:pt>
                <c:pt idx="109">
                  <c:v>-3039.1453430677175</c:v>
                </c:pt>
                <c:pt idx="110">
                  <c:v>-3412.1289505364693</c:v>
                </c:pt>
                <c:pt idx="111">
                  <c:v>-3549.4824464114718</c:v>
                </c:pt>
                <c:pt idx="112">
                  <c:v>-569.56319641147184</c:v>
                </c:pt>
                <c:pt idx="113">
                  <c:v>-661.33019641147189</c:v>
                </c:pt>
                <c:pt idx="114">
                  <c:v>-1236.5530339114721</c:v>
                </c:pt>
                <c:pt idx="115">
                  <c:v>-3635.6936339114723</c:v>
                </c:pt>
                <c:pt idx="116">
                  <c:v>-4137.5248089114721</c:v>
                </c:pt>
                <c:pt idx="117">
                  <c:v>603.47999108852855</c:v>
                </c:pt>
                <c:pt idx="118">
                  <c:v>767.03804317186155</c:v>
                </c:pt>
                <c:pt idx="119">
                  <c:v>-1299.9082068281384</c:v>
                </c:pt>
                <c:pt idx="120">
                  <c:v>-4399.3094568281385</c:v>
                </c:pt>
                <c:pt idx="121">
                  <c:v>-5615.1232380781439</c:v>
                </c:pt>
                <c:pt idx="122">
                  <c:v>-5155.3119130781506</c:v>
                </c:pt>
                <c:pt idx="123">
                  <c:v>-5574.8747380781533</c:v>
                </c:pt>
                <c:pt idx="124">
                  <c:v>-6234.1903630781535</c:v>
                </c:pt>
                <c:pt idx="125">
                  <c:v>-6453.7917630781558</c:v>
                </c:pt>
                <c:pt idx="126">
                  <c:v>-3594.8777380781512</c:v>
                </c:pt>
                <c:pt idx="127">
                  <c:v>-5811.3957380781521</c:v>
                </c:pt>
                <c:pt idx="128">
                  <c:v>-6346.5644580781527</c:v>
                </c:pt>
                <c:pt idx="129">
                  <c:v>-6441.1646440781524</c:v>
                </c:pt>
                <c:pt idx="130">
                  <c:v>-6761.9345018906506</c:v>
                </c:pt>
                <c:pt idx="131">
                  <c:v>3678.6555781093493</c:v>
                </c:pt>
                <c:pt idx="132">
                  <c:v>1604.2224156093494</c:v>
                </c:pt>
                <c:pt idx="133">
                  <c:v>1704.8675156093495</c:v>
                </c:pt>
                <c:pt idx="134">
                  <c:v>3106.7423556093495</c:v>
                </c:pt>
                <c:pt idx="135">
                  <c:v>2848.0011806093494</c:v>
                </c:pt>
                <c:pt idx="136">
                  <c:v>2340.8557743593465</c:v>
                </c:pt>
                <c:pt idx="137">
                  <c:v>1999.6234056093426</c:v>
                </c:pt>
                <c:pt idx="138">
                  <c:v>817.47815998434453</c:v>
                </c:pt>
                <c:pt idx="139">
                  <c:v>422.53622873434568</c:v>
                </c:pt>
                <c:pt idx="140">
                  <c:v>-263.83215876565095</c:v>
                </c:pt>
                <c:pt idx="141">
                  <c:v>-1672.0483025156373</c:v>
                </c:pt>
                <c:pt idx="142">
                  <c:v>-1190.0128337656372</c:v>
                </c:pt>
                <c:pt idx="143">
                  <c:v>-1406.0331697031386</c:v>
                </c:pt>
                <c:pt idx="144">
                  <c:v>-8733.6068847031383</c:v>
                </c:pt>
                <c:pt idx="145">
                  <c:v>-7690.9691034531388</c:v>
                </c:pt>
                <c:pt idx="146">
                  <c:v>-6534.3712551198059</c:v>
                </c:pt>
                <c:pt idx="147">
                  <c:v>-8432.3721144948249</c:v>
                </c:pt>
                <c:pt idx="148">
                  <c:v>-8904.0528332448248</c:v>
                </c:pt>
                <c:pt idx="149">
                  <c:v>-8257.7479035573251</c:v>
                </c:pt>
                <c:pt idx="150">
                  <c:v>-8752.4004973073243</c:v>
                </c:pt>
                <c:pt idx="151">
                  <c:v>-7202.6107681406538</c:v>
                </c:pt>
                <c:pt idx="152">
                  <c:v>-7190.6675337656507</c:v>
                </c:pt>
                <c:pt idx="153">
                  <c:v>-6615.2038462656474</c:v>
                </c:pt>
                <c:pt idx="154">
                  <c:v>-8063.1822712656522</c:v>
                </c:pt>
                <c:pt idx="155">
                  <c:v>-9089.4869587656285</c:v>
                </c:pt>
                <c:pt idx="156">
                  <c:v>-9972.2648587656367</c:v>
                </c:pt>
                <c:pt idx="157">
                  <c:v>-10182.25515876564</c:v>
                </c:pt>
                <c:pt idx="158">
                  <c:v>-10292.291896265642</c:v>
                </c:pt>
                <c:pt idx="159">
                  <c:v>-10269.807121265638</c:v>
                </c:pt>
                <c:pt idx="160">
                  <c:v>-10764.546083765639</c:v>
                </c:pt>
                <c:pt idx="161">
                  <c:v>-13361.073962098973</c:v>
                </c:pt>
                <c:pt idx="162">
                  <c:v>-13443.557673036483</c:v>
                </c:pt>
                <c:pt idx="163">
                  <c:v>-13750.911446473978</c:v>
                </c:pt>
                <c:pt idx="164">
                  <c:v>-14360.881946473977</c:v>
                </c:pt>
                <c:pt idx="165">
                  <c:v>-13609.580446473978</c:v>
                </c:pt>
                <c:pt idx="166">
                  <c:v>-13718.706821473979</c:v>
                </c:pt>
                <c:pt idx="167">
                  <c:v>-13965.938840223978</c:v>
                </c:pt>
                <c:pt idx="168">
                  <c:v>-13020.49875272399</c:v>
                </c:pt>
                <c:pt idx="169">
                  <c:v>-12672.59530272399</c:v>
                </c:pt>
                <c:pt idx="170">
                  <c:v>-13124.53755272399</c:v>
                </c:pt>
                <c:pt idx="171">
                  <c:v>-12375.543802723991</c:v>
                </c:pt>
                <c:pt idx="172">
                  <c:v>-12588.869396473996</c:v>
                </c:pt>
                <c:pt idx="173">
                  <c:v>-12602.219990223999</c:v>
                </c:pt>
                <c:pt idx="174">
                  <c:v>-11876.101052723996</c:v>
                </c:pt>
                <c:pt idx="175">
                  <c:v>-11940.141115223996</c:v>
                </c:pt>
                <c:pt idx="176">
                  <c:v>-11803.832865223992</c:v>
                </c:pt>
                <c:pt idx="177">
                  <c:v>-11781.948708974001</c:v>
                </c:pt>
                <c:pt idx="178">
                  <c:v>-12045.658333974005</c:v>
                </c:pt>
                <c:pt idx="179">
                  <c:v>-13238.603771474005</c:v>
                </c:pt>
                <c:pt idx="180">
                  <c:v>-13252.497365223993</c:v>
                </c:pt>
                <c:pt idx="181">
                  <c:v>-13479.478990223988</c:v>
                </c:pt>
                <c:pt idx="182">
                  <c:v>-13865.226490223991</c:v>
                </c:pt>
                <c:pt idx="183">
                  <c:v>-14664.68997459899</c:v>
                </c:pt>
                <c:pt idx="184">
                  <c:v>-14013.169718348996</c:v>
                </c:pt>
                <c:pt idx="185">
                  <c:v>-13534.720576161497</c:v>
                </c:pt>
                <c:pt idx="186">
                  <c:v>-13485.149101161493</c:v>
                </c:pt>
                <c:pt idx="187">
                  <c:v>-14260.530319795662</c:v>
                </c:pt>
                <c:pt idx="188">
                  <c:v>-11602.250788545662</c:v>
                </c:pt>
                <c:pt idx="189">
                  <c:v>-11855.183968545665</c:v>
                </c:pt>
                <c:pt idx="190">
                  <c:v>-12265.135693545668</c:v>
                </c:pt>
                <c:pt idx="191">
                  <c:v>-11925.612174795664</c:v>
                </c:pt>
                <c:pt idx="192">
                  <c:v>-11705.299881045663</c:v>
                </c:pt>
                <c:pt idx="193">
                  <c:v>-11394.683218545657</c:v>
                </c:pt>
                <c:pt idx="194">
                  <c:v>-9763.3833622956572</c:v>
                </c:pt>
                <c:pt idx="195">
                  <c:v>-9992.2577377456564</c:v>
                </c:pt>
                <c:pt idx="196">
                  <c:v>-10675.412740245656</c:v>
                </c:pt>
                <c:pt idx="197">
                  <c:v>-10404.784290245663</c:v>
                </c:pt>
                <c:pt idx="198">
                  <c:v>-9250.2408527456628</c:v>
                </c:pt>
                <c:pt idx="199">
                  <c:v>-10494.766177745663</c:v>
                </c:pt>
                <c:pt idx="200">
                  <c:v>-8867.380102745663</c:v>
                </c:pt>
                <c:pt idx="201">
                  <c:v>-9347.7133589956575</c:v>
                </c:pt>
                <c:pt idx="202">
                  <c:v>-8807.8822527456596</c:v>
                </c:pt>
                <c:pt idx="203">
                  <c:v>-9050.143377745655</c:v>
                </c:pt>
                <c:pt idx="204">
                  <c:v>-8532.5567569123214</c:v>
                </c:pt>
                <c:pt idx="205">
                  <c:v>-7981.5899944123212</c:v>
                </c:pt>
                <c:pt idx="206">
                  <c:v>-8270.4232069123191</c:v>
                </c:pt>
                <c:pt idx="207">
                  <c:v>-8580.0535089956447</c:v>
                </c:pt>
                <c:pt idx="208">
                  <c:v>-9074.2930060269045</c:v>
                </c:pt>
                <c:pt idx="209">
                  <c:v>-8892.5624710269039</c:v>
                </c:pt>
                <c:pt idx="210">
                  <c:v>-9473.8971960269082</c:v>
                </c:pt>
                <c:pt idx="211">
                  <c:v>-9814.0944710269032</c:v>
                </c:pt>
                <c:pt idx="212">
                  <c:v>-9821.9778382144086</c:v>
                </c:pt>
                <c:pt idx="213">
                  <c:v>-10995.648977797742</c:v>
                </c:pt>
                <c:pt idx="214">
                  <c:v>-11031.486977797742</c:v>
                </c:pt>
                <c:pt idx="215">
                  <c:v>-11567.635790297742</c:v>
                </c:pt>
                <c:pt idx="216">
                  <c:v>-12010.240485547742</c:v>
                </c:pt>
                <c:pt idx="217">
                  <c:v>-12008.876592735242</c:v>
                </c:pt>
                <c:pt idx="218">
                  <c:v>-12010.052577047742</c:v>
                </c:pt>
                <c:pt idx="219">
                  <c:v>-12013.312756828991</c:v>
                </c:pt>
                <c:pt idx="220">
                  <c:v>-12012.319897172742</c:v>
                </c:pt>
                <c:pt idx="221">
                  <c:v>-12011.648056516491</c:v>
                </c:pt>
                <c:pt idx="222">
                  <c:v>-12011.163247516492</c:v>
                </c:pt>
                <c:pt idx="223">
                  <c:v>-12020.022429485241</c:v>
                </c:pt>
                <c:pt idx="224">
                  <c:v>-12015.780752828992</c:v>
                </c:pt>
                <c:pt idx="225">
                  <c:v>-12016.739454016491</c:v>
                </c:pt>
                <c:pt idx="226">
                  <c:v>-12033.190411547741</c:v>
                </c:pt>
                <c:pt idx="227">
                  <c:v>-12038.221140610241</c:v>
                </c:pt>
                <c:pt idx="228">
                  <c:v>-12038.447837578991</c:v>
                </c:pt>
                <c:pt idx="229">
                  <c:v>-12039.624534578992</c:v>
                </c:pt>
                <c:pt idx="230">
                  <c:v>-12040.606020985242</c:v>
                </c:pt>
                <c:pt idx="231">
                  <c:v>-12042.527020735242</c:v>
                </c:pt>
                <c:pt idx="232">
                  <c:v>-12037.083274985242</c:v>
                </c:pt>
                <c:pt idx="233">
                  <c:v>-12035.209657516492</c:v>
                </c:pt>
                <c:pt idx="234">
                  <c:v>-12036.064502328993</c:v>
                </c:pt>
                <c:pt idx="235">
                  <c:v>-12035.907390391492</c:v>
                </c:pt>
                <c:pt idx="236">
                  <c:v>-12036.200570922741</c:v>
                </c:pt>
                <c:pt idx="237">
                  <c:v>-12031.651133766491</c:v>
                </c:pt>
                <c:pt idx="238">
                  <c:v>-12033.060127422741</c:v>
                </c:pt>
                <c:pt idx="239">
                  <c:v>-12035.360876735242</c:v>
                </c:pt>
                <c:pt idx="240">
                  <c:v>-12035.038837516491</c:v>
                </c:pt>
                <c:pt idx="241">
                  <c:v>-12036.74918511024</c:v>
                </c:pt>
                <c:pt idx="242">
                  <c:v>-12037.39095504774</c:v>
                </c:pt>
                <c:pt idx="243">
                  <c:v>-12037.05059929774</c:v>
                </c:pt>
                <c:pt idx="244">
                  <c:v>-12037.31809676649</c:v>
                </c:pt>
                <c:pt idx="245">
                  <c:v>-12038.675088453991</c:v>
                </c:pt>
                <c:pt idx="246">
                  <c:v>-12039.03667382899</c:v>
                </c:pt>
                <c:pt idx="247">
                  <c:v>-12038.84598798524</c:v>
                </c:pt>
                <c:pt idx="248">
                  <c:v>-12039.77661523524</c:v>
                </c:pt>
                <c:pt idx="249">
                  <c:v>-12051.94419111024</c:v>
                </c:pt>
                <c:pt idx="250">
                  <c:v>-12052.599074078991</c:v>
                </c:pt>
                <c:pt idx="251">
                  <c:v>-12054.51980232899</c:v>
                </c:pt>
                <c:pt idx="252">
                  <c:v>-12053.486288985241</c:v>
                </c:pt>
                <c:pt idx="253">
                  <c:v>-12053.39780629774</c:v>
                </c:pt>
                <c:pt idx="254">
                  <c:v>-12054.273773391491</c:v>
                </c:pt>
                <c:pt idx="255">
                  <c:v>-12041.96424098524</c:v>
                </c:pt>
                <c:pt idx="256">
                  <c:v>-12042.28629679774</c:v>
                </c:pt>
                <c:pt idx="257">
                  <c:v>-12043.301864078991</c:v>
                </c:pt>
                <c:pt idx="258">
                  <c:v>-12043.26590348524</c:v>
                </c:pt>
                <c:pt idx="259">
                  <c:v>-12042.59588573524</c:v>
                </c:pt>
                <c:pt idx="260">
                  <c:v>-12044.77999529774</c:v>
                </c:pt>
                <c:pt idx="261">
                  <c:v>-12045.285423047741</c:v>
                </c:pt>
                <c:pt idx="262">
                  <c:v>-12045.36369607899</c:v>
                </c:pt>
                <c:pt idx="263">
                  <c:v>-12045.858467453991</c:v>
                </c:pt>
                <c:pt idx="264">
                  <c:v>-12046.01732336024</c:v>
                </c:pt>
                <c:pt idx="265">
                  <c:v>-12047.22047082899</c:v>
                </c:pt>
                <c:pt idx="266">
                  <c:v>-12047.214952172741</c:v>
                </c:pt>
                <c:pt idx="267">
                  <c:v>-12052.90629411024</c:v>
                </c:pt>
                <c:pt idx="268">
                  <c:v>-12070.724585297739</c:v>
                </c:pt>
                <c:pt idx="269">
                  <c:v>-12061.088881328989</c:v>
                </c:pt>
                <c:pt idx="270">
                  <c:v>-12057.554924891489</c:v>
                </c:pt>
                <c:pt idx="271">
                  <c:v>-12052.902504016489</c:v>
                </c:pt>
                <c:pt idx="272">
                  <c:v>-12051.836198078989</c:v>
                </c:pt>
                <c:pt idx="273">
                  <c:v>-12039.600097453989</c:v>
                </c:pt>
                <c:pt idx="274">
                  <c:v>-12036.041202485239</c:v>
                </c:pt>
                <c:pt idx="275">
                  <c:v>-12037.836746360239</c:v>
                </c:pt>
                <c:pt idx="276">
                  <c:v>-12035.866514360239</c:v>
                </c:pt>
                <c:pt idx="277">
                  <c:v>-12032.96743436024</c:v>
                </c:pt>
                <c:pt idx="278">
                  <c:v>-12038.22812392274</c:v>
                </c:pt>
                <c:pt idx="279">
                  <c:v>-12038.49568298524</c:v>
                </c:pt>
                <c:pt idx="280">
                  <c:v>-12027.997247547741</c:v>
                </c:pt>
                <c:pt idx="281">
                  <c:v>-12027.992133297741</c:v>
                </c:pt>
                <c:pt idx="282">
                  <c:v>-12028.240029391491</c:v>
                </c:pt>
                <c:pt idx="283">
                  <c:v>-12037.889401047742</c:v>
                </c:pt>
                <c:pt idx="284">
                  <c:v>-12037.787917453992</c:v>
                </c:pt>
                <c:pt idx="285">
                  <c:v>-12042.245671328992</c:v>
                </c:pt>
                <c:pt idx="286">
                  <c:v>-12048.080629141492</c:v>
                </c:pt>
                <c:pt idx="287">
                  <c:v>-12045.237040391492</c:v>
                </c:pt>
                <c:pt idx="288">
                  <c:v>-12018.022778985242</c:v>
                </c:pt>
                <c:pt idx="289">
                  <c:v>-12001.233543360242</c:v>
                </c:pt>
                <c:pt idx="290">
                  <c:v>-11975.046007047742</c:v>
                </c:pt>
                <c:pt idx="291">
                  <c:v>-11964.744233891492</c:v>
                </c:pt>
                <c:pt idx="292">
                  <c:v>-11964.510245141491</c:v>
                </c:pt>
                <c:pt idx="293">
                  <c:v>-11973.531985641492</c:v>
                </c:pt>
                <c:pt idx="294">
                  <c:v>-11982.940753578992</c:v>
                </c:pt>
                <c:pt idx="295">
                  <c:v>-11989.700203578992</c:v>
                </c:pt>
                <c:pt idx="296">
                  <c:v>-11994.557967703991</c:v>
                </c:pt>
                <c:pt idx="297">
                  <c:v>-12004.711547453991</c:v>
                </c:pt>
                <c:pt idx="298">
                  <c:v>-12007.945400703991</c:v>
                </c:pt>
                <c:pt idx="299">
                  <c:v>-12014.76525945399</c:v>
                </c:pt>
                <c:pt idx="300">
                  <c:v>-12005.58091317274</c:v>
                </c:pt>
                <c:pt idx="301">
                  <c:v>-12014.654510172741</c:v>
                </c:pt>
                <c:pt idx="302">
                  <c:v>-12027.783667735241</c:v>
                </c:pt>
                <c:pt idx="303">
                  <c:v>-12032.523543297741</c:v>
                </c:pt>
                <c:pt idx="304">
                  <c:v>-12040.511909641491</c:v>
                </c:pt>
                <c:pt idx="305">
                  <c:v>-12048.499834797742</c:v>
                </c:pt>
                <c:pt idx="306">
                  <c:v>-12057.137458110241</c:v>
                </c:pt>
                <c:pt idx="307">
                  <c:v>-12065.125383266492</c:v>
                </c:pt>
                <c:pt idx="308">
                  <c:v>-12073.763006578991</c:v>
                </c:pt>
                <c:pt idx="309">
                  <c:v>-12081.750490547742</c:v>
                </c:pt>
                <c:pt idx="310">
                  <c:v>-12088.438578203992</c:v>
                </c:pt>
                <c:pt idx="311">
                  <c:v>-12094.476526516492</c:v>
                </c:pt>
                <c:pt idx="312">
                  <c:v>-12101.814753516492</c:v>
                </c:pt>
                <c:pt idx="313">
                  <c:v>-12108.503282360241</c:v>
                </c:pt>
                <c:pt idx="314">
                  <c:v>-12113.891532516491</c:v>
                </c:pt>
                <c:pt idx="315">
                  <c:v>-12123.17929517274</c:v>
                </c:pt>
                <c:pt idx="316">
                  <c:v>-12116.426002953991</c:v>
                </c:pt>
                <c:pt idx="317">
                  <c:v>-12136.756482924491</c:v>
                </c:pt>
                <c:pt idx="318">
                  <c:v>-12145.669402299491</c:v>
                </c:pt>
                <c:pt idx="319">
                  <c:v>-12150.51212164324</c:v>
                </c:pt>
                <c:pt idx="320">
                  <c:v>-12167.683394986991</c:v>
                </c:pt>
                <c:pt idx="321">
                  <c:v>-12186.19903445574</c:v>
                </c:pt>
                <c:pt idx="322">
                  <c:v>-12193.64106520574</c:v>
                </c:pt>
                <c:pt idx="323">
                  <c:v>-12204.08590345574</c:v>
                </c:pt>
                <c:pt idx="324">
                  <c:v>-12218.60786439324</c:v>
                </c:pt>
                <c:pt idx="325">
                  <c:v>-12251.37665639324</c:v>
                </c:pt>
                <c:pt idx="326">
                  <c:v>-12285.554472549491</c:v>
                </c:pt>
                <c:pt idx="327">
                  <c:v>-12299.741096533866</c:v>
                </c:pt>
                <c:pt idx="328">
                  <c:v>-12290.269465383866</c:v>
                </c:pt>
                <c:pt idx="329">
                  <c:v>-12337.693564290117</c:v>
                </c:pt>
                <c:pt idx="330">
                  <c:v>-12324.901065821367</c:v>
                </c:pt>
                <c:pt idx="331">
                  <c:v>-12342.268628133867</c:v>
                </c:pt>
                <c:pt idx="332">
                  <c:v>-12362.121121258868</c:v>
                </c:pt>
                <c:pt idx="333">
                  <c:v>-12366.807709415118</c:v>
                </c:pt>
                <c:pt idx="334">
                  <c:v>-12753.662639415117</c:v>
                </c:pt>
                <c:pt idx="335">
                  <c:v>-12728.213441508868</c:v>
                </c:pt>
                <c:pt idx="336">
                  <c:v>-12765.415943040118</c:v>
                </c:pt>
                <c:pt idx="337">
                  <c:v>-12792.821717040119</c:v>
                </c:pt>
                <c:pt idx="338">
                  <c:v>-12761.796520165119</c:v>
                </c:pt>
                <c:pt idx="339">
                  <c:v>-12820.641799540119</c:v>
                </c:pt>
                <c:pt idx="340">
                  <c:v>-12697.066765165118</c:v>
                </c:pt>
                <c:pt idx="341">
                  <c:v>-12699.110277790118</c:v>
                </c:pt>
                <c:pt idx="342">
                  <c:v>-12704.064029571367</c:v>
                </c:pt>
                <c:pt idx="343">
                  <c:v>-12702.675971758868</c:v>
                </c:pt>
                <c:pt idx="344">
                  <c:v>-12721.410805383868</c:v>
                </c:pt>
                <c:pt idx="345">
                  <c:v>-12723.028254821367</c:v>
                </c:pt>
                <c:pt idx="346">
                  <c:v>-12719.865574196368</c:v>
                </c:pt>
                <c:pt idx="347">
                  <c:v>-12677.195595758869</c:v>
                </c:pt>
                <c:pt idx="348">
                  <c:v>-12663.124666727619</c:v>
                </c:pt>
                <c:pt idx="349">
                  <c:v>-12662.64522597762</c:v>
                </c:pt>
                <c:pt idx="350">
                  <c:v>-12679.44540425887</c:v>
                </c:pt>
                <c:pt idx="351">
                  <c:v>-12696.42310916512</c:v>
                </c:pt>
                <c:pt idx="352">
                  <c:v>-12700.28282104012</c:v>
                </c:pt>
                <c:pt idx="353">
                  <c:v>-12714.712873696371</c:v>
                </c:pt>
                <c:pt idx="354">
                  <c:v>-12732.245100446371</c:v>
                </c:pt>
                <c:pt idx="355">
                  <c:v>-12727.153364758871</c:v>
                </c:pt>
                <c:pt idx="356">
                  <c:v>-12713.676183601747</c:v>
                </c:pt>
                <c:pt idx="357">
                  <c:v>-12718.206779757997</c:v>
                </c:pt>
                <c:pt idx="358">
                  <c:v>-12724.263135351746</c:v>
                </c:pt>
                <c:pt idx="359">
                  <c:v>-12728.358141601746</c:v>
                </c:pt>
                <c:pt idx="360">
                  <c:v>-12730.616671164245</c:v>
                </c:pt>
                <c:pt idx="361">
                  <c:v>-12739.775069601745</c:v>
                </c:pt>
                <c:pt idx="362">
                  <c:v>-12969.906374403829</c:v>
                </c:pt>
                <c:pt idx="363">
                  <c:v>-12998.113026747578</c:v>
                </c:pt>
                <c:pt idx="364">
                  <c:v>-12941.670293674661</c:v>
                </c:pt>
                <c:pt idx="365">
                  <c:v>-12971.49950836216</c:v>
                </c:pt>
                <c:pt idx="366">
                  <c:v>-12944.398583393409</c:v>
                </c:pt>
                <c:pt idx="367">
                  <c:v>-12994.584377768409</c:v>
                </c:pt>
                <c:pt idx="368">
                  <c:v>-13008.490821893409</c:v>
                </c:pt>
                <c:pt idx="369">
                  <c:v>-13027.303604862158</c:v>
                </c:pt>
                <c:pt idx="370">
                  <c:v>-12984.575655403825</c:v>
                </c:pt>
                <c:pt idx="371">
                  <c:v>-13025.121387747575</c:v>
                </c:pt>
                <c:pt idx="372">
                  <c:v>-13037.911162435075</c:v>
                </c:pt>
                <c:pt idx="373">
                  <c:v>-13059.953268216326</c:v>
                </c:pt>
                <c:pt idx="374">
                  <c:v>-13098.599409403825</c:v>
                </c:pt>
                <c:pt idx="375">
                  <c:v>-13102.161073903826</c:v>
                </c:pt>
                <c:pt idx="376">
                  <c:v>-13125.102066122576</c:v>
                </c:pt>
                <c:pt idx="377">
                  <c:v>-13165.709824872576</c:v>
                </c:pt>
                <c:pt idx="378">
                  <c:v>-13168.542995247575</c:v>
                </c:pt>
                <c:pt idx="379">
                  <c:v>-13201.462953997576</c:v>
                </c:pt>
                <c:pt idx="380">
                  <c:v>-13217.709902747576</c:v>
                </c:pt>
                <c:pt idx="381">
                  <c:v>-13242.867337997577</c:v>
                </c:pt>
                <c:pt idx="382">
                  <c:v>-13236.606159560077</c:v>
                </c:pt>
                <c:pt idx="383">
                  <c:v>-13236.941849872577</c:v>
                </c:pt>
                <c:pt idx="384">
                  <c:v>-13227.704766810077</c:v>
                </c:pt>
                <c:pt idx="385">
                  <c:v>-13218.766254810076</c:v>
                </c:pt>
                <c:pt idx="386">
                  <c:v>-13239.272598435076</c:v>
                </c:pt>
                <c:pt idx="387">
                  <c:v>-13244.799346935077</c:v>
                </c:pt>
                <c:pt idx="388">
                  <c:v>-13246.678814060077</c:v>
                </c:pt>
                <c:pt idx="389">
                  <c:v>-13254.922736810076</c:v>
                </c:pt>
                <c:pt idx="390">
                  <c:v>-13272.091924122577</c:v>
                </c:pt>
                <c:pt idx="391">
                  <c:v>-13286.874036185076</c:v>
                </c:pt>
                <c:pt idx="392">
                  <c:v>-13289.491999310076</c:v>
                </c:pt>
                <c:pt idx="393">
                  <c:v>-13281.577635247575</c:v>
                </c:pt>
                <c:pt idx="394">
                  <c:v>-13283.967176122575</c:v>
                </c:pt>
                <c:pt idx="395">
                  <c:v>-13290.756221716325</c:v>
                </c:pt>
                <c:pt idx="396">
                  <c:v>-13288.231048497575</c:v>
                </c:pt>
                <c:pt idx="397">
                  <c:v>-13281.084581372575</c:v>
                </c:pt>
                <c:pt idx="398">
                  <c:v>-13296.536231872575</c:v>
                </c:pt>
                <c:pt idx="399">
                  <c:v>-13301.600055528825</c:v>
                </c:pt>
                <c:pt idx="400">
                  <c:v>-13302.394521341324</c:v>
                </c:pt>
                <c:pt idx="401">
                  <c:v>-13296.294843997573</c:v>
                </c:pt>
                <c:pt idx="402">
                  <c:v>-13294.738364841323</c:v>
                </c:pt>
                <c:pt idx="403">
                  <c:v>-13285.661121872574</c:v>
                </c:pt>
                <c:pt idx="404">
                  <c:v>-13297.789368372574</c:v>
                </c:pt>
                <c:pt idx="405">
                  <c:v>-13310.100837903825</c:v>
                </c:pt>
                <c:pt idx="406">
                  <c:v>-13312.085990591326</c:v>
                </c:pt>
                <c:pt idx="407">
                  <c:v>-13321.252444778826</c:v>
                </c:pt>
                <c:pt idx="408">
                  <c:v>-13328.331767528825</c:v>
                </c:pt>
                <c:pt idx="409">
                  <c:v>-13335.694050091326</c:v>
                </c:pt>
                <c:pt idx="410">
                  <c:v>-13344.335494591327</c:v>
                </c:pt>
                <c:pt idx="411">
                  <c:v>-13380.636598028826</c:v>
                </c:pt>
                <c:pt idx="412">
                  <c:v>-13332.000348028827</c:v>
                </c:pt>
                <c:pt idx="413">
                  <c:v>-13328.302476153827</c:v>
                </c:pt>
                <c:pt idx="414">
                  <c:v>-13336.403288653828</c:v>
                </c:pt>
                <c:pt idx="415">
                  <c:v>-13340.823308653828</c:v>
                </c:pt>
                <c:pt idx="416">
                  <c:v>-13436.665022732326</c:v>
                </c:pt>
                <c:pt idx="417">
                  <c:v>-13560.150973357326</c:v>
                </c:pt>
                <c:pt idx="418">
                  <c:v>-14061.991117707317</c:v>
                </c:pt>
                <c:pt idx="419">
                  <c:v>-14856.815991597317</c:v>
                </c:pt>
                <c:pt idx="420">
                  <c:v>-14862.889084722319</c:v>
                </c:pt>
                <c:pt idx="421">
                  <c:v>-15176.22718159732</c:v>
                </c:pt>
                <c:pt idx="422">
                  <c:v>-15727.750332535225</c:v>
                </c:pt>
                <c:pt idx="423">
                  <c:v>-15852.953776285223</c:v>
                </c:pt>
                <c:pt idx="424">
                  <c:v>-15930.201706660226</c:v>
                </c:pt>
                <c:pt idx="425">
                  <c:v>-16077.875759785224</c:v>
                </c:pt>
                <c:pt idx="426">
                  <c:v>-15736.065720722725</c:v>
                </c:pt>
                <c:pt idx="427">
                  <c:v>-15880.038623222725</c:v>
                </c:pt>
                <c:pt idx="428">
                  <c:v>-15413.863102389392</c:v>
                </c:pt>
                <c:pt idx="429">
                  <c:v>-15466.136474514391</c:v>
                </c:pt>
                <c:pt idx="430">
                  <c:v>-15656.993842222726</c:v>
                </c:pt>
                <c:pt idx="431">
                  <c:v>-15764.844777785227</c:v>
                </c:pt>
                <c:pt idx="432">
                  <c:v>-15822.696676451895</c:v>
                </c:pt>
                <c:pt idx="433">
                  <c:v>-15855.045158483144</c:v>
                </c:pt>
                <c:pt idx="434">
                  <c:v>-15876.084469108144</c:v>
                </c:pt>
                <c:pt idx="435">
                  <c:v>-15871.929177545646</c:v>
                </c:pt>
                <c:pt idx="436">
                  <c:v>-15897.449624420646</c:v>
                </c:pt>
                <c:pt idx="437">
                  <c:v>-15970.181985358146</c:v>
                </c:pt>
                <c:pt idx="438">
                  <c:v>-15935.872832233146</c:v>
                </c:pt>
                <c:pt idx="439">
                  <c:v>-15922.645205670646</c:v>
                </c:pt>
                <c:pt idx="440">
                  <c:v>-16129.810383795646</c:v>
                </c:pt>
                <c:pt idx="441">
                  <c:v>-16080.296258795646</c:v>
                </c:pt>
                <c:pt idx="442">
                  <c:v>-16167.43695879565</c:v>
                </c:pt>
                <c:pt idx="443">
                  <c:v>-15846.758978795648</c:v>
                </c:pt>
                <c:pt idx="444">
                  <c:v>-15979.118338795648</c:v>
                </c:pt>
                <c:pt idx="445">
                  <c:v>-16101.952868795648</c:v>
                </c:pt>
                <c:pt idx="446">
                  <c:v>-16236.7104955144</c:v>
                </c:pt>
                <c:pt idx="447">
                  <c:v>-15850.616392764401</c:v>
                </c:pt>
                <c:pt idx="448">
                  <c:v>-15889.123578701903</c:v>
                </c:pt>
                <c:pt idx="449">
                  <c:v>-15996.7815275144</c:v>
                </c:pt>
                <c:pt idx="450">
                  <c:v>-15879.69931392065</c:v>
                </c:pt>
                <c:pt idx="451">
                  <c:v>-15810.780617905028</c:v>
                </c:pt>
                <c:pt idx="452">
                  <c:v>-15902.438330405028</c:v>
                </c:pt>
                <c:pt idx="453">
                  <c:v>-15809.74776294503</c:v>
                </c:pt>
                <c:pt idx="454">
                  <c:v>-15902.564426851281</c:v>
                </c:pt>
                <c:pt idx="455">
                  <c:v>-16140.774069871903</c:v>
                </c:pt>
                <c:pt idx="456">
                  <c:v>-16144.1359073719</c:v>
                </c:pt>
                <c:pt idx="457">
                  <c:v>-16023.786759746899</c:v>
                </c:pt>
                <c:pt idx="458">
                  <c:v>-16390.567912434399</c:v>
                </c:pt>
                <c:pt idx="459">
                  <c:v>-16283.043772260771</c:v>
                </c:pt>
                <c:pt idx="460">
                  <c:v>-16297.938262260772</c:v>
                </c:pt>
                <c:pt idx="461">
                  <c:v>-16297.994430789835</c:v>
                </c:pt>
                <c:pt idx="462">
                  <c:v>-16336.998623789834</c:v>
                </c:pt>
                <c:pt idx="463">
                  <c:v>-16244.105758164835</c:v>
                </c:pt>
                <c:pt idx="464">
                  <c:v>-16150.264339414834</c:v>
                </c:pt>
                <c:pt idx="465">
                  <c:v>-16146.992269102335</c:v>
                </c:pt>
                <c:pt idx="466">
                  <c:v>-16194.702772852335</c:v>
                </c:pt>
                <c:pt idx="467">
                  <c:v>-16209.424928914837</c:v>
                </c:pt>
                <c:pt idx="468">
                  <c:v>-16067.268309789837</c:v>
                </c:pt>
                <c:pt idx="469">
                  <c:v>-16152.655687914837</c:v>
                </c:pt>
                <c:pt idx="470">
                  <c:v>-16379.064244024212</c:v>
                </c:pt>
                <c:pt idx="471">
                  <c:v>-16516.732521336711</c:v>
                </c:pt>
                <c:pt idx="472">
                  <c:v>-16375.74640571171</c:v>
                </c:pt>
                <c:pt idx="473">
                  <c:v>-16573.650966961712</c:v>
                </c:pt>
                <c:pt idx="474">
                  <c:v>-16635.32534664921</c:v>
                </c:pt>
                <c:pt idx="475">
                  <c:v>-16788.406121961711</c:v>
                </c:pt>
                <c:pt idx="476">
                  <c:v>-16801.651005336709</c:v>
                </c:pt>
                <c:pt idx="477">
                  <c:v>-16897.830767836709</c:v>
                </c:pt>
                <c:pt idx="478">
                  <c:v>-16930.123397711708</c:v>
                </c:pt>
                <c:pt idx="479">
                  <c:v>-16972.208494399209</c:v>
                </c:pt>
                <c:pt idx="480">
                  <c:v>-17036.69656705546</c:v>
                </c:pt>
                <c:pt idx="481">
                  <c:v>-17041.597609117962</c:v>
                </c:pt>
                <c:pt idx="482">
                  <c:v>-17052.870173430463</c:v>
                </c:pt>
                <c:pt idx="483">
                  <c:v>-17043.954128055462</c:v>
                </c:pt>
                <c:pt idx="484">
                  <c:v>-17051.932099211714</c:v>
                </c:pt>
                <c:pt idx="485">
                  <c:v>-17057.731354774212</c:v>
                </c:pt>
                <c:pt idx="486">
                  <c:v>-17063.890683774211</c:v>
                </c:pt>
                <c:pt idx="487">
                  <c:v>-17073.287317336712</c:v>
                </c:pt>
                <c:pt idx="488">
                  <c:v>-17084.160550149212</c:v>
                </c:pt>
                <c:pt idx="489">
                  <c:v>-17055.890207711713</c:v>
                </c:pt>
                <c:pt idx="490">
                  <c:v>-17062.056874836711</c:v>
                </c:pt>
                <c:pt idx="491">
                  <c:v>-16945.62758414921</c:v>
                </c:pt>
                <c:pt idx="492">
                  <c:v>-16949.236980334208</c:v>
                </c:pt>
                <c:pt idx="493">
                  <c:v>-16897.137944569207</c:v>
                </c:pt>
                <c:pt idx="494">
                  <c:v>-16903.093561259207</c:v>
                </c:pt>
                <c:pt idx="495">
                  <c:v>-16905.787462696706</c:v>
                </c:pt>
                <c:pt idx="496">
                  <c:v>-16907.566369234206</c:v>
                </c:pt>
                <c:pt idx="497">
                  <c:v>-16906.463026959205</c:v>
                </c:pt>
                <c:pt idx="498">
                  <c:v>-16915.890329366706</c:v>
                </c:pt>
                <c:pt idx="499">
                  <c:v>-16917.462591211708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31072"/>
        <c:axId val="128132608"/>
      </c:lineChart>
      <c:catAx>
        <c:axId val="128131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28132608"/>
        <c:crosses val="autoZero"/>
        <c:auto val="1"/>
        <c:lblAlgn val="ctr"/>
        <c:lblOffset val="100"/>
        <c:noMultiLvlLbl val="0"/>
      </c:catAx>
      <c:valAx>
        <c:axId val="12813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13107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</xdr:row>
      <xdr:rowOff>9525</xdr:rowOff>
    </xdr:from>
    <xdr:to>
      <xdr:col>30</xdr:col>
      <xdr:colOff>542924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171450</xdr:rowOff>
    </xdr:from>
    <xdr:to>
      <xdr:col>20</xdr:col>
      <xdr:colOff>219075</xdr:colOff>
      <xdr:row>19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mur" refreshedDate="43040.643878125004" createdVersion="4" refreshedVersion="4" minRefreshableVersion="3" recordCount="998">
  <cacheSource type="worksheet">
    <worksheetSource ref="A1:E999" sheet="Trade Data"/>
  </cacheSource>
  <cacheFields count="5">
    <cacheField name="S. No" numFmtId="0">
      <sharedItems containsString="0" containsBlank="1" containsNumber="1" containsInteger="1" minValue="1" maxValue="996"/>
    </cacheField>
    <cacheField name="Date" numFmtId="0">
      <sharedItems containsNonDate="0" containsDate="1" containsString="0" containsBlank="1" minDate="2016-12-13T00:00:00" maxDate="2027-01-07T00:00:00" count="131">
        <m/>
        <d v="2016-12-13T00:00:00"/>
        <d v="2016-12-14T00:00:00"/>
        <d v="2016-12-15T00:00:00"/>
        <d v="2016-12-16T00:00:00"/>
        <d v="2016-12-19T00:00:00"/>
        <d v="2016-12-21T00:00:00"/>
        <d v="2016-12-22T00:00:00"/>
        <d v="2016-12-23T00:00:00"/>
        <d v="2016-12-26T00:00:00"/>
        <d v="2016-12-27T00:00:00"/>
        <d v="2016-12-28T00:00:00"/>
        <d v="2016-12-29T00:00:00"/>
        <d v="2016-12-30T00:00:00"/>
        <d v="2017-01-02T00:00:00"/>
        <d v="2017-01-04T00:00:00"/>
        <d v="2017-01-05T00:00:00"/>
        <d v="2027-01-06T00:00:00"/>
        <d v="2017-01-06T00:00:00"/>
        <d v="2017-01-09T00:00:00"/>
        <d v="2017-01-10T00:00:00"/>
        <d v="2017-01-11T00:00:00"/>
        <d v="2017-01-12T00:00:00"/>
        <d v="2017-01-17T00:00:00"/>
        <d v="2017-01-18T00:00:00"/>
        <d v="2017-01-19T00:00:00"/>
        <d v="2017-01-23T00:00:00"/>
        <d v="2017-01-24T00:00:00"/>
        <d v="2017-01-25T00:00:00"/>
        <d v="2017-01-30T00:00:00"/>
        <d v="2017-01-31T00:00:00"/>
        <d v="2017-02-01T00:00:00"/>
        <d v="2017-02-02T00:00:00"/>
        <d v="2017-02-10T00:00:00"/>
        <d v="2017-02-15T00:00:00"/>
        <d v="2017-02-16T00:00:00"/>
        <d v="2017-02-21T00:00:00"/>
        <d v="2017-02-22T00:00:00"/>
        <d v="2017-02-23T00:00:00"/>
        <d v="2017-02-27T00:00:00"/>
        <d v="2017-03-08T00:00:00"/>
        <d v="2017-03-09T00:00:00"/>
        <d v="2017-03-20T00:00:00"/>
        <d v="2017-03-21T00:00:00"/>
        <d v="2017-03-22T00:00:00"/>
        <d v="2017-03-23T00:00:00"/>
        <d v="2017-03-24T00:00:00"/>
        <d v="2017-03-27T00:00:00"/>
        <d v="2017-04-18T00:00:00"/>
        <d v="2017-04-20T00:00:00"/>
        <d v="2017-04-21T00:00:00"/>
        <d v="2017-04-25T00:00:00"/>
        <d v="2017-04-26T00:00:00"/>
        <d v="2017-04-27T00:00:00"/>
        <d v="2017-04-28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9T00:00:00"/>
        <d v="2017-05-30T00:00:00"/>
        <d v="2017-05-3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7T00:00:00"/>
        <d v="2017-06-28T00:00:00"/>
        <d v="2017-06-29T00:00:00"/>
        <d v="2017-06-30T00:00:00"/>
        <d v="2017-07-03T00:00:00"/>
        <d v="2017-07-04T00:00:00"/>
        <d v="2017-07-05T00:00:00"/>
        <d v="2017-07-06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10T00:00:00"/>
        <d v="2017-08-11T00:00:00"/>
        <d v="2017-09-01T00:00:00"/>
        <d v="2017-09-04T00:00:00"/>
        <d v="2017-09-05T00:00:00"/>
        <d v="2017-09-13T00:00:00"/>
        <d v="2017-09-21T00:00:00"/>
        <d v="2017-09-22T00:00:00"/>
        <d v="2017-09-25T00:00:00"/>
        <d v="2017-09-26T00:00:00"/>
        <d v="2017-10-30T00:00:00"/>
        <d v="2017-10-31T00:00:00"/>
        <d v="2017-11-01T00:00:00"/>
      </sharedItems>
    </cacheField>
    <cacheField name="Instrument" numFmtId="0">
      <sharedItems containsBlank="1"/>
    </cacheField>
    <cacheField name="Company/Symbol" numFmtId="0">
      <sharedItems containsBlank="1"/>
    </cacheField>
    <cacheField name="Net P&amp;L" numFmtId="0">
      <sharedItems containsString="0" containsBlank="1" containsNumber="1" minValue="-7327.5737149999995" maxValue="10440.59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">
  <r>
    <m/>
    <x v="0"/>
    <m/>
    <m/>
    <m/>
  </r>
  <r>
    <m/>
    <x v="0"/>
    <m/>
    <m/>
    <m/>
  </r>
  <r>
    <n v="1"/>
    <x v="1"/>
    <s v="EQ Intraday"/>
    <s v="ITC"/>
    <n v="-183.10480312500511"/>
  </r>
  <r>
    <n v="2"/>
    <x v="1"/>
    <s v="EQ Intraday"/>
    <s v="ITC"/>
    <n v="-78.05175000000682"/>
  </r>
  <r>
    <n v="3"/>
    <x v="1"/>
    <s v="EQ Intraday"/>
    <s v="ITC"/>
    <n v="-153.02710312499829"/>
  </r>
  <r>
    <n v="4"/>
    <x v="1"/>
    <s v="EQ Intraday"/>
    <s v="ITC"/>
    <n v="-0.26007068749999429"/>
  </r>
  <r>
    <n v="5"/>
    <x v="1"/>
    <s v="EQ Intraday"/>
    <s v="ITC"/>
    <n v="-151.67889187499611"/>
  </r>
  <r>
    <n v="6"/>
    <x v="1"/>
    <s v="EQ Intraday"/>
    <s v="ITC"/>
    <n v="-34.1335047968753"/>
  </r>
  <r>
    <n v="7"/>
    <x v="2"/>
    <s v="EQ Intraday"/>
    <s v="Coal India"/>
    <n v="-360.54093749999998"/>
  </r>
  <r>
    <n v="8"/>
    <x v="2"/>
    <s v="EQ Intraday"/>
    <s v="Mothersumi"/>
    <n v="-304.94749999999999"/>
  </r>
  <r>
    <n v="9"/>
    <x v="2"/>
    <s v="EQ Intraday"/>
    <s v="Mastek"/>
    <n v="58.720990093750224"/>
  </r>
  <r>
    <n v="10"/>
    <x v="2"/>
    <s v="EQ Intraday"/>
    <s v="Mastek"/>
    <n v="-29.162176875"/>
  </r>
  <r>
    <n v="11"/>
    <x v="2"/>
    <s v="EQ Intraday"/>
    <s v="Sun TV"/>
    <n v="-350.76693749999998"/>
  </r>
  <r>
    <n v="12"/>
    <x v="2"/>
    <s v="EQ Intraday"/>
    <s v="Sheela Foam"/>
    <n v="11.835956953124954"/>
  </r>
  <r>
    <n v="13"/>
    <x v="2"/>
    <s v="EQ Intraday"/>
    <s v="Coal India"/>
    <n v="-70.104109375003418"/>
  </r>
  <r>
    <n v="14"/>
    <x v="3"/>
    <s v="EQ Intraday"/>
    <s v="Idea"/>
    <n v="410.94956250000638"/>
  </r>
  <r>
    <n v="15"/>
    <x v="3"/>
    <s v="EQ Intraday"/>
    <s v="JSW Energy"/>
    <n v="-501.67011718750001"/>
  </r>
  <r>
    <n v="16"/>
    <x v="3"/>
    <s v="EQ Intraday"/>
    <s v="Idea"/>
    <n v="-256.9985890625"/>
  </r>
  <r>
    <n v="17"/>
    <x v="4"/>
    <s v="EQ Intraday"/>
    <s v="Idea"/>
    <n v="358.79059999999998"/>
  </r>
  <r>
    <n v="18"/>
    <x v="5"/>
    <s v="EQ Intraday"/>
    <s v="Idea"/>
    <n v="-418.20354218749208"/>
  </r>
  <r>
    <n v="19"/>
    <x v="5"/>
    <s v="EQ Intraday"/>
    <s v="IOC"/>
    <n v="-161.41590000000457"/>
  </r>
  <r>
    <n v="20"/>
    <x v="6"/>
    <s v="EQ Intraday"/>
    <s v="Idea"/>
    <n v="-224.98693750000285"/>
  </r>
  <r>
    <n v="21"/>
    <x v="6"/>
    <s v="Stock Option"/>
    <s v="BPCL"/>
    <n v="-1128.7156600000001"/>
  </r>
  <r>
    <n v="22"/>
    <x v="7"/>
    <s v="Stock Option"/>
    <s v="IOC"/>
    <n v="551.36195000000021"/>
  </r>
  <r>
    <n v="23"/>
    <x v="8"/>
    <s v="Stock Option"/>
    <s v="HINDALCO"/>
    <n v="999.86720000000003"/>
  </r>
  <r>
    <n v="24"/>
    <x v="8"/>
    <s v="EQ Intraday"/>
    <s v="Divi's Lab"/>
    <n v="-955.62323203124947"/>
  </r>
  <r>
    <n v="25"/>
    <x v="9"/>
    <s v="Stock Option"/>
    <s v="HINDALCO"/>
    <n v="126.53731250000016"/>
  </r>
  <r>
    <n v="26"/>
    <x v="9"/>
    <s v="Stock Option"/>
    <s v="HINDALCO"/>
    <n v="-398.17017500000009"/>
  </r>
  <r>
    <n v="27"/>
    <x v="9"/>
    <s v="Stock Option"/>
    <s v="HINDALCO"/>
    <n v="651.24479999999994"/>
  </r>
  <r>
    <n v="28"/>
    <x v="9"/>
    <s v="EQ Intraday"/>
    <s v="Divi's Lab"/>
    <n v="103.75608750000001"/>
  </r>
  <r>
    <n v="29"/>
    <x v="9"/>
    <s v="EQ Intraday"/>
    <s v="Divi's Lab"/>
    <n v="-184.2185512500009"/>
  </r>
  <r>
    <n v="30"/>
    <x v="9"/>
    <s v="EQ Intraday"/>
    <s v="Jubli Food"/>
    <n v="-75.193868750000007"/>
  </r>
  <r>
    <n v="31"/>
    <x v="9"/>
    <s v="EQ Intraday"/>
    <s v="Mindtree"/>
    <n v="-25.985678437499658"/>
  </r>
  <r>
    <n v="32"/>
    <x v="9"/>
    <s v="EQ Intraday"/>
    <s v="Jubli Food"/>
    <n v="-15.79942545833331"/>
  </r>
  <r>
    <n v="33"/>
    <x v="9"/>
    <s v="EQ Intraday"/>
    <s v="Jubli Food"/>
    <n v="-46.609302437500503"/>
  </r>
  <r>
    <n v="34"/>
    <x v="10"/>
    <s v="Stock Option"/>
    <s v="Divi's Lab"/>
    <n v="-347.52841000000001"/>
  </r>
  <r>
    <n v="35"/>
    <x v="10"/>
    <s v="Stock Option"/>
    <s v="HINDALCO"/>
    <n v="126.21478749999997"/>
  </r>
  <r>
    <n v="36"/>
    <x v="10"/>
    <s v="EQ Intraday"/>
    <s v="Divi's Lab"/>
    <n v="-237.85688398437526"/>
  </r>
  <r>
    <n v="37"/>
    <x v="10"/>
    <s v="EQ Intraday"/>
    <s v="Kaveri Seeds"/>
    <n v="-139.8373162499993"/>
  </r>
  <r>
    <n v="38"/>
    <x v="10"/>
    <s v="EQ Intraday"/>
    <s v="IRB"/>
    <n v="-148.0153640624992"/>
  </r>
  <r>
    <n v="39"/>
    <x v="11"/>
    <s v="EQ Intraday"/>
    <s v="Britannia"/>
    <n v="110.42556875"/>
  </r>
  <r>
    <n v="40"/>
    <x v="11"/>
    <s v="EQ Intraday"/>
    <s v="Bharat Fin"/>
    <n v="697.06327499999998"/>
  </r>
  <r>
    <n v="41"/>
    <x v="12"/>
    <s v="EQ Intraday"/>
    <s v="Castrol"/>
    <n v="-219.52628906249998"/>
  </r>
  <r>
    <n v="42"/>
    <x v="12"/>
    <s v="EQ Intraday"/>
    <s v="Idea"/>
    <n v="25.439968750004262"/>
  </r>
  <r>
    <n v="43"/>
    <x v="12"/>
    <s v="EQ Intraday"/>
    <s v="Adani Ports"/>
    <n v="-92.597240000005456"/>
  </r>
  <r>
    <n v="44"/>
    <x v="12"/>
    <s v="EQ Intraday"/>
    <s v="Divi's Lab"/>
    <n v="473.05900000000003"/>
  </r>
  <r>
    <n v="45"/>
    <x v="13"/>
    <s v="EQ Intraday"/>
    <s v="India Bulls Hou Fin"/>
    <n v="175.50937509374586"/>
  </r>
  <r>
    <n v="46"/>
    <x v="13"/>
    <s v="EQ Intraday"/>
    <s v="SBI"/>
    <n v="-34.113974999999996"/>
  </r>
  <r>
    <n v="47"/>
    <x v="13"/>
    <s v="EQ Intraday"/>
    <s v="Just Dial"/>
    <n v="26.899281250000001"/>
  </r>
  <r>
    <n v="48"/>
    <x v="13"/>
    <s v="EQ Intraday"/>
    <s v="ITC"/>
    <n v="-197.76809062500058"/>
  </r>
  <r>
    <n v="49"/>
    <x v="13"/>
    <s v="EQ Intraday"/>
    <s v="Havells"/>
    <n v="-58.163059375002277"/>
  </r>
  <r>
    <n v="50"/>
    <x v="13"/>
    <s v="EQ Intraday"/>
    <s v="Bharat Fin"/>
    <n v="33.627166406251703"/>
  </r>
  <r>
    <n v="51"/>
    <x v="13"/>
    <s v="EQ Intraday"/>
    <s v="Bharat Fin"/>
    <n v="-306.22168125000002"/>
  </r>
  <r>
    <n v="52"/>
    <x v="13"/>
    <s v="EQ Intraday"/>
    <s v="Bharat Fin"/>
    <n v="-52.641323437496588"/>
  </r>
  <r>
    <n v="53"/>
    <x v="13"/>
    <s v="EQ Intraday"/>
    <s v="Bharat Fin"/>
    <n v="-180.16865625"/>
  </r>
  <r>
    <n v="54"/>
    <x v="13"/>
    <s v="EQ Intraday"/>
    <s v="Bharat Fin"/>
    <n v="44.986481249999997"/>
  </r>
  <r>
    <n v="55"/>
    <x v="13"/>
    <s v="EQ Intraday"/>
    <s v="Bharat Fin"/>
    <n v="-367.4797734375"/>
  </r>
  <r>
    <n v="56"/>
    <x v="14"/>
    <s v="EQ Intraday"/>
    <s v="Arvind"/>
    <n v="-70.506614062499153"/>
  </r>
  <r>
    <n v="57"/>
    <x v="14"/>
    <s v="EQ Intraday"/>
    <s v="Colpal"/>
    <n v="2.0454679687494099"/>
  </r>
  <r>
    <n v="58"/>
    <x v="14"/>
    <s v="EQ Intraday"/>
    <s v="India Bulls Hou Fin"/>
    <n v="160.72747796874842"/>
  </r>
  <r>
    <n v="59"/>
    <x v="14"/>
    <s v="Stock Option"/>
    <s v="HINDALCO"/>
    <n v="-398.17017500000009"/>
  </r>
  <r>
    <n v="60"/>
    <x v="14"/>
    <s v="Stock Option"/>
    <s v="Tata Steel"/>
    <n v="52.039850000000094"/>
  </r>
  <r>
    <n v="61"/>
    <x v="15"/>
    <s v="EQ Intraday"/>
    <s v="NMDC"/>
    <n v="-148.46950625000113"/>
  </r>
  <r>
    <n v="62"/>
    <x v="15"/>
    <s v="EQ Intraday"/>
    <s v="NMDC"/>
    <n v="-79.586544374998979"/>
  </r>
  <r>
    <n v="63"/>
    <x v="15"/>
    <s v="EQ Intraday"/>
    <s v="HINDALCO"/>
    <n v="133.72179374999999"/>
  </r>
  <r>
    <n v="64"/>
    <x v="16"/>
    <s v="EQ Intraday"/>
    <s v="Tata Motors"/>
    <n v="-171.95982421874999"/>
  </r>
  <r>
    <n v="65"/>
    <x v="16"/>
    <s v="EQ Intraday"/>
    <s v="Just Dial"/>
    <n v="248.66661749999864"/>
  </r>
  <r>
    <n v="66"/>
    <x v="16"/>
    <s v="EQ Intraday"/>
    <s v="Just Dial"/>
    <n v="284.49107249999997"/>
  </r>
  <r>
    <n v="67"/>
    <x v="16"/>
    <s v="EQ Intraday"/>
    <s v="Just Dial"/>
    <n v="-123.46607250000068"/>
  </r>
  <r>
    <n v="68"/>
    <x v="16"/>
    <s v="EQ Intraday"/>
    <s v="Just Dial"/>
    <n v="44.496637500000006"/>
  </r>
  <r>
    <n v="69"/>
    <x v="16"/>
    <s v="EQ Intraday"/>
    <s v="Just Dial"/>
    <n v="224.37232499999999"/>
  </r>
  <r>
    <n v="70"/>
    <x v="16"/>
    <s v="EQ Intraday"/>
    <s v="Just Dial"/>
    <n v="-75.732712500000005"/>
  </r>
  <r>
    <n v="71"/>
    <x v="16"/>
    <s v="EQ Intraday"/>
    <s v="Just Dial"/>
    <n v="-58.930774062502408"/>
  </r>
  <r>
    <n v="72"/>
    <x v="16"/>
    <s v="EQ Intraday"/>
    <s v="Just Dial"/>
    <n v="-16.98571875"/>
  </r>
  <r>
    <n v="73"/>
    <x v="16"/>
    <s v="EQ Intraday"/>
    <s v="Just Dial"/>
    <n v="-247.65282953125075"/>
  </r>
  <r>
    <n v="74"/>
    <x v="16"/>
    <s v="EQ Intraday"/>
    <s v="Just Dial"/>
    <n v="-147.0135875"/>
  </r>
  <r>
    <n v="75"/>
    <x v="16"/>
    <s v="EQ Intraday"/>
    <s v="Just Dial"/>
    <n v="307.73100312500003"/>
  </r>
  <r>
    <n v="76"/>
    <x v="17"/>
    <s v="EQ Intraday"/>
    <s v="WockPharma"/>
    <n v="-150.74695546874887"/>
  </r>
  <r>
    <n v="77"/>
    <x v="17"/>
    <s v="EQ Intraday"/>
    <s v="WockPharma"/>
    <n v="33.337072500000687"/>
  </r>
  <r>
    <n v="78"/>
    <x v="17"/>
    <s v="EQ Intraday"/>
    <s v="JSW Energy"/>
    <n v="5.5665124999994315"/>
  </r>
  <r>
    <n v="79"/>
    <x v="17"/>
    <s v="EQ Intraday"/>
    <s v="Just Dial"/>
    <n v="-108.07581687499852"/>
  </r>
  <r>
    <n v="80"/>
    <x v="17"/>
    <s v="EQ Intraday"/>
    <s v="Just Dial"/>
    <n v="-3.7172775000006819"/>
  </r>
  <r>
    <n v="81"/>
    <x v="18"/>
    <s v="EQ Intraday"/>
    <s v="Just Dial"/>
    <n v="-255.60839999999999"/>
  </r>
  <r>
    <n v="82"/>
    <x v="19"/>
    <s v="EQ Intraday"/>
    <s v="Just Dial"/>
    <n v="236.78403125"/>
  </r>
  <r>
    <n v="83"/>
    <x v="19"/>
    <s v="EQ Intraday"/>
    <s v="Just Dial"/>
    <n v="-114.93451687499864"/>
  </r>
  <r>
    <n v="84"/>
    <x v="19"/>
    <s v="EQ Intraday"/>
    <s v="Just Dial"/>
    <n v="-258.86764687499726"/>
  </r>
  <r>
    <n v="85"/>
    <x v="20"/>
    <s v="EQ Intraday"/>
    <s v="Axis Bank"/>
    <n v="-72.03409312500068"/>
  </r>
  <r>
    <n v="86"/>
    <x v="20"/>
    <s v="EQ Intraday"/>
    <s v="EnginersIN"/>
    <n v="-47.287271718749032"/>
  </r>
  <r>
    <n v="87"/>
    <x v="20"/>
    <s v="EQ Intraday"/>
    <s v="Arvind"/>
    <n v="-17.592764218749998"/>
  </r>
  <r>
    <n v="88"/>
    <x v="20"/>
    <s v="EQ Intraday"/>
    <s v="Arvind"/>
    <n v="-30.112232500000001"/>
  </r>
  <r>
    <n v="89"/>
    <x v="20"/>
    <s v="Stock Option"/>
    <s v="HINDALCO"/>
    <n v="-222.08508750000007"/>
  </r>
  <r>
    <n v="90"/>
    <x v="21"/>
    <s v="Stock Option"/>
    <s v="INDUSINDBK"/>
    <n v="6747.562715"/>
  </r>
  <r>
    <n v="91"/>
    <x v="22"/>
    <s v="Stock Option"/>
    <s v="Infy"/>
    <n v="-722.37476249999997"/>
  </r>
  <r>
    <n v="92"/>
    <x v="22"/>
    <s v="EQ Intraday"/>
    <s v="Powergrid"/>
    <n v="373.20724999999999"/>
  </r>
  <r>
    <n v="93"/>
    <x v="22"/>
    <s v="EQ Intraday"/>
    <s v="Powergrid"/>
    <n v="-79.958165625000674"/>
  </r>
  <r>
    <n v="94"/>
    <x v="22"/>
    <s v="EQ Intraday"/>
    <s v="NHPC"/>
    <n v="-420.34643749999856"/>
  </r>
  <r>
    <n v="95"/>
    <x v="22"/>
    <s v="EQ Intraday"/>
    <s v="NHPC"/>
    <n v="-20.3285625"/>
  </r>
  <r>
    <n v="96"/>
    <x v="23"/>
    <s v="Index Option"/>
    <s v="Bank Nifty"/>
    <n v="-731.24842000000001"/>
  </r>
  <r>
    <n v="97"/>
    <x v="24"/>
    <s v="Index Option"/>
    <s v="Bank Nifty"/>
    <n v="547.7681"/>
  </r>
  <r>
    <n v="98"/>
    <x v="24"/>
    <s v="EQ Intraday"/>
    <s v="Jet Airways"/>
    <n v="-39.038515625000002"/>
  </r>
  <r>
    <n v="99"/>
    <x v="25"/>
    <s v="Index Option"/>
    <s v="Bank Nifty"/>
    <n v="-764.48582299999998"/>
  </r>
  <r>
    <n v="100"/>
    <x v="25"/>
    <s v="Index Option"/>
    <s v="Bank Nifty"/>
    <n v="-2208.99856"/>
  </r>
  <r>
    <n v="101"/>
    <x v="25"/>
    <s v="EQ Intraday"/>
    <s v="Tata Comm"/>
    <n v="-633.25509531249782"/>
  </r>
  <r>
    <n v="102"/>
    <x v="25"/>
    <s v="EQ Intraday"/>
    <s v="Tata Comm"/>
    <n v="-388.6222140625074"/>
  </r>
  <r>
    <n v="103"/>
    <x v="25"/>
    <s v="EQ Intraday"/>
    <s v="JSW Energy"/>
    <n v="-91.584156249997164"/>
  </r>
  <r>
    <n v="104"/>
    <x v="26"/>
    <s v="Index Option"/>
    <s v="Bank Nifty"/>
    <n v="-12.091899999999995"/>
  </r>
  <r>
    <n v="105"/>
    <x v="26"/>
    <s v="Stock Option"/>
    <s v="Canara Bank"/>
    <n v="1143.7477999999999"/>
  </r>
  <r>
    <n v="106"/>
    <x v="27"/>
    <s v="Stock Option"/>
    <s v="Canara Bank"/>
    <n v="-652.76125000000059"/>
  </r>
  <r>
    <n v="107"/>
    <x v="27"/>
    <s v="EQ Intraday"/>
    <s v="Ajanta Pharma"/>
    <n v="-495.78332250000182"/>
  </r>
  <r>
    <n v="108"/>
    <x v="27"/>
    <s v="EQ Intraday"/>
    <s v="Ajanta Pharma"/>
    <n v="-372.98360746875176"/>
  </r>
  <r>
    <n v="109"/>
    <x v="27"/>
    <s v="EQ Intraday"/>
    <s v="Ajanta Pharma"/>
    <n v="-137.35349587500261"/>
  </r>
  <r>
    <n v="110"/>
    <x v="27"/>
    <s v="EQ Intraday"/>
    <s v="Ajanta Pharma"/>
    <n v="2979.9192499999999"/>
  </r>
  <r>
    <n v="111"/>
    <x v="27"/>
    <s v="EQ Intraday"/>
    <s v="Ajanta Pharma"/>
    <n v="-91.76700000000001"/>
  </r>
  <r>
    <n v="112"/>
    <x v="28"/>
    <s v="Stock Option"/>
    <s v="HINDALCO"/>
    <n v="-575.22283750000008"/>
  </r>
  <r>
    <n v="113"/>
    <x v="28"/>
    <s v="Stock Option"/>
    <s v="Bharat Fin"/>
    <n v="-2399.1406000000002"/>
  </r>
  <r>
    <n v="114"/>
    <x v="28"/>
    <s v="Stock Option"/>
    <s v="Bharat Fin"/>
    <n v="-501.83117499999969"/>
  </r>
  <r>
    <n v="115"/>
    <x v="28"/>
    <s v="Stock Option"/>
    <s v="Bharat Fin"/>
    <n v="4741.0048000000006"/>
  </r>
  <r>
    <n v="116"/>
    <x v="29"/>
    <s v="EQ Intraday"/>
    <s v="Idea"/>
    <n v="163.55805208333305"/>
  </r>
  <r>
    <n v="117"/>
    <x v="29"/>
    <s v="EQ Intraday"/>
    <s v="Idea"/>
    <n v="-2066.94625"/>
  </r>
  <r>
    <n v="118"/>
    <x v="29"/>
    <s v="EQ Intraday"/>
    <s v="Idea"/>
    <n v="-3099.4012499999999"/>
  </r>
  <r>
    <n v="119"/>
    <x v="29"/>
    <s v="EQ Intraday"/>
    <s v="Idea"/>
    <n v="-1215.8137812500056"/>
  </r>
  <r>
    <n v="120"/>
    <x v="30"/>
    <s v="EQ Intraday"/>
    <s v="Idea"/>
    <n v="459.81132499999319"/>
  </r>
  <r>
    <n v="121"/>
    <x v="30"/>
    <s v="EQ Intraday"/>
    <s v="Idea"/>
    <n v="-419.56282500000231"/>
  </r>
  <r>
    <n v="122"/>
    <x v="30"/>
    <s v="EQ Intraday"/>
    <s v="Idea"/>
    <n v="-659.31562499999995"/>
  </r>
  <r>
    <n v="123"/>
    <x v="30"/>
    <s v="EQ Intraday"/>
    <s v="Idea"/>
    <n v="-219.60140000000229"/>
  </r>
  <r>
    <n v="124"/>
    <x v="30"/>
    <s v="EQ Intraday"/>
    <s v="Idea"/>
    <n v="2858.9140250000046"/>
  </r>
  <r>
    <n v="125"/>
    <x v="31"/>
    <s v="Stock Option"/>
    <s v="ITC"/>
    <n v="-2216.5180000000009"/>
  </r>
  <r>
    <n v="126"/>
    <x v="31"/>
    <s v="Stock Option"/>
    <s v="ITC"/>
    <n v="-535.16872000000046"/>
  </r>
  <r>
    <n v="127"/>
    <x v="31"/>
    <s v="Index Option"/>
    <s v="Bank Nifty"/>
    <n v="-94.600186000000065"/>
  </r>
  <r>
    <n v="128"/>
    <x v="32"/>
    <s v="EQ Intraday"/>
    <s v="ITC"/>
    <n v="-320.76985781249829"/>
  </r>
  <r>
    <n v="129"/>
    <x v="32"/>
    <s v="Stock Option"/>
    <s v="ITC"/>
    <n v="10440.59008"/>
  </r>
  <r>
    <n v="130"/>
    <x v="33"/>
    <s v="Index Option"/>
    <s v="Nifty"/>
    <n v="-2074.4331625"/>
  </r>
  <r>
    <n v="131"/>
    <x v="34"/>
    <s v="Stock Option"/>
    <s v="Tata Motors"/>
    <n v="100.64510000000014"/>
  </r>
  <r>
    <n v="132"/>
    <x v="35"/>
    <s v="Index Option"/>
    <s v="Nifty"/>
    <n v="1401.8748399999999"/>
  </r>
  <r>
    <n v="133"/>
    <x v="36"/>
    <s v="EQ Intraday"/>
    <s v="Jindal Stel"/>
    <n v="-258.741175"/>
  </r>
  <r>
    <n v="134"/>
    <x v="37"/>
    <s v="EQ Intraday"/>
    <s v="Tata Power"/>
    <n v="-507.14540625000285"/>
  </r>
  <r>
    <n v="135"/>
    <x v="38"/>
    <s v="EQ Intraday"/>
    <s v="KTK Bank"/>
    <n v="-341.23236875000396"/>
  </r>
  <r>
    <n v="136"/>
    <x v="38"/>
    <s v="EQ Intraday"/>
    <s v="Bharti Airtel"/>
    <n v="-1182.1452456249981"/>
  </r>
  <r>
    <n v="137"/>
    <x v="38"/>
    <s v="EQ Intraday"/>
    <s v="Bharti Airtel"/>
    <n v="-394.94193124999885"/>
  </r>
  <r>
    <n v="138"/>
    <x v="39"/>
    <s v="EQ Intraday"/>
    <s v="KTK Bank"/>
    <n v="-686.36838749999663"/>
  </r>
  <r>
    <n v="139"/>
    <x v="40"/>
    <s v="EQ Intraday"/>
    <s v="Canara Bank"/>
    <n v="-1408.2161437499863"/>
  </r>
  <r>
    <n v="140"/>
    <x v="41"/>
    <s v="EQ Intraday"/>
    <s v="Dish TV"/>
    <n v="482.03546875000001"/>
  </r>
  <r>
    <n v="141"/>
    <x v="41"/>
    <s v="EQ Intraday"/>
    <s v="Dish TV"/>
    <n v="-216.02033593750141"/>
  </r>
  <r>
    <n v="142"/>
    <x v="41"/>
    <s v="Index Option"/>
    <s v="Nifty"/>
    <n v="-7327.5737149999995"/>
  </r>
  <r>
    <n v="143"/>
    <x v="42"/>
    <s v="EQ Intraday"/>
    <s v="Idea"/>
    <n v="1042.63778125"/>
  </r>
  <r>
    <n v="144"/>
    <x v="42"/>
    <s v="EQ Intraday"/>
    <s v="Idea"/>
    <n v="1156.5978483333329"/>
  </r>
  <r>
    <n v="145"/>
    <x v="42"/>
    <s v="EQ Intraday"/>
    <s v="Idea"/>
    <n v="-1898.0008593750192"/>
  </r>
  <r>
    <n v="146"/>
    <x v="43"/>
    <s v="EQ Intraday"/>
    <s v="Divi's Lab"/>
    <n v="-471.68071874999998"/>
  </r>
  <r>
    <n v="147"/>
    <x v="43"/>
    <s v="EQ Intraday"/>
    <s v="Divi's Lab"/>
    <n v="646.30492968750002"/>
  </r>
  <r>
    <n v="148"/>
    <x v="43"/>
    <s v="EQ Intraday"/>
    <s v="Idea"/>
    <n v="-494.65259374999857"/>
  </r>
  <r>
    <n v="149"/>
    <x v="43"/>
    <s v="EQ Intraday"/>
    <s v="Idea"/>
    <n v="1549.7897291666709"/>
  </r>
  <r>
    <n v="150"/>
    <x v="43"/>
    <s v="EQ Intraday"/>
    <s v="Idea"/>
    <n v="11.943234375002845"/>
  </r>
  <r>
    <n v="151"/>
    <x v="44"/>
    <s v="EQ Intraday"/>
    <s v="Idea"/>
    <n v="575.46368750000283"/>
  </r>
  <r>
    <n v="152"/>
    <x v="44"/>
    <s v="EQ Intraday"/>
    <s v="Idea"/>
    <n v="-1447.978425000005"/>
  </r>
  <r>
    <n v="153"/>
    <x v="44"/>
    <s v="EQ Intraday"/>
    <s v="Idea"/>
    <n v="-1026.3046874999773"/>
  </r>
  <r>
    <n v="154"/>
    <x v="44"/>
    <s v="EQ Intraday"/>
    <s v="Idea"/>
    <n v="-882.77790000000857"/>
  </r>
  <r>
    <n v="155"/>
    <x v="45"/>
    <s v="EQ Intraday"/>
    <s v="Idea"/>
    <n v="-209.99030000000226"/>
  </r>
  <r>
    <n v="156"/>
    <x v="45"/>
    <s v="EQ Intraday"/>
    <s v="Idea"/>
    <n v="-110.03673750000227"/>
  </r>
  <r>
    <n v="157"/>
    <x v="45"/>
    <s v="EQ Intraday"/>
    <s v="Idea"/>
    <n v="22.484775000005115"/>
  </r>
  <r>
    <n v="158"/>
    <x v="45"/>
    <s v="EQ Intraday"/>
    <s v="Idea"/>
    <n v="-494.73896250000172"/>
  </r>
  <r>
    <n v="159"/>
    <x v="46"/>
    <s v="Stock Option"/>
    <s v="Yes Bank"/>
    <n v="-2596.5278783333333"/>
  </r>
  <r>
    <n v="160"/>
    <x v="47"/>
    <s v="EQ Intraday"/>
    <s v="Idea"/>
    <n v="-82.483710937508519"/>
  </r>
  <r>
    <n v="161"/>
    <x v="47"/>
    <s v="EQ Intraday"/>
    <s v="Idea"/>
    <n v="-307.35377343749576"/>
  </r>
  <r>
    <n v="162"/>
    <x v="48"/>
    <s v="EQ Intraday"/>
    <s v="IB Real Estate"/>
    <n v="-609.97050000000002"/>
  </r>
  <r>
    <n v="163"/>
    <x v="49"/>
    <s v="EQ Intraday"/>
    <s v="India Cements"/>
    <n v="751.30150000000003"/>
  </r>
  <r>
    <n v="164"/>
    <x v="49"/>
    <s v="EQ Intraday"/>
    <s v="India Cements"/>
    <n v="-109.12637500000227"/>
  </r>
  <r>
    <n v="165"/>
    <x v="49"/>
    <s v="EQ Intraday"/>
    <s v="India Cements"/>
    <n v="-247.23201874999944"/>
  </r>
  <r>
    <n v="166"/>
    <x v="49"/>
    <s v="EQ Intraday"/>
    <s v="India Cements"/>
    <n v="945.44008749998864"/>
  </r>
  <r>
    <n v="167"/>
    <x v="49"/>
    <s v="EQ Intraday"/>
    <s v="India Cements"/>
    <n v="347.90345000000002"/>
  </r>
  <r>
    <n v="168"/>
    <x v="49"/>
    <s v="EQ Intraday"/>
    <s v="India Cements"/>
    <n v="-451.94225"/>
  </r>
  <r>
    <n v="169"/>
    <x v="49"/>
    <s v="EQ Intraday"/>
    <s v="India Cements"/>
    <n v="748.99374999999998"/>
  </r>
  <r>
    <n v="170"/>
    <x v="50"/>
    <s v="EQ Intraday"/>
    <s v="HDIL"/>
    <n v="-213.32559375000568"/>
  </r>
  <r>
    <n v="171"/>
    <x v="50"/>
    <s v="EQ Intraday"/>
    <s v="HDIL"/>
    <n v="-13.350593750002837"/>
  </r>
  <r>
    <n v="172"/>
    <x v="50"/>
    <s v="EQ Intraday"/>
    <s v="HDIL"/>
    <n v="726.11893750000399"/>
  </r>
  <r>
    <n v="173"/>
    <x v="50"/>
    <s v="EQ Intraday"/>
    <s v="HDIL"/>
    <n v="-64.040062499999991"/>
  </r>
  <r>
    <n v="174"/>
    <x v="50"/>
    <s v="EQ Intraday"/>
    <s v="HDIL"/>
    <n v="136.30825000000283"/>
  </r>
  <r>
    <n v="175"/>
    <x v="50"/>
    <s v="EQ Intraday"/>
    <s v="HDIL"/>
    <n v="21.884156249991463"/>
  </r>
  <r>
    <n v="176"/>
    <x v="50"/>
    <s v="EQ Intraday"/>
    <s v="HDIL"/>
    <n v="-263.70962500000286"/>
  </r>
  <r>
    <n v="177"/>
    <x v="50"/>
    <s v="EQ Intraday"/>
    <s v="HDIL"/>
    <n v="-1192.9454375"/>
  </r>
  <r>
    <n v="178"/>
    <x v="50"/>
    <s v="EQ Intraday"/>
    <s v="HDIL"/>
    <n v="-13.893593749988632"/>
  </r>
  <r>
    <n v="179"/>
    <x v="50"/>
    <s v="EQ Intraday"/>
    <s v="HDIL"/>
    <n v="-226.98162499999432"/>
  </r>
  <r>
    <n v="180"/>
    <x v="51"/>
    <s v="EQ Intraday"/>
    <s v="HDIL"/>
    <n v="-385.74750000000228"/>
  </r>
  <r>
    <n v="181"/>
    <x v="51"/>
    <s v="EQ Intraday"/>
    <s v="DLF"/>
    <n v="-799.46348437500001"/>
  </r>
  <r>
    <n v="182"/>
    <x v="51"/>
    <s v="EQ Intraday"/>
    <s v="HDIL"/>
    <n v="651.52025624999487"/>
  </r>
  <r>
    <n v="183"/>
    <x v="51"/>
    <s v="EQ Intraday"/>
    <s v="Biocon"/>
    <n v="478.4491421875"/>
  </r>
  <r>
    <n v="184"/>
    <x v="52"/>
    <s v="EQ Intraday"/>
    <s v="Axis Bank"/>
    <n v="49.57147500000454"/>
  </r>
  <r>
    <n v="185"/>
    <x v="52"/>
    <s v="EQ Intraday"/>
    <s v="Cummins IND"/>
    <n v="-775.38121863416859"/>
  </r>
  <r>
    <n v="186"/>
    <x v="52"/>
    <s v="EQ Intraday"/>
    <s v="Adani Ent"/>
    <n v="2658.2795312500002"/>
  </r>
  <r>
    <n v="187"/>
    <x v="53"/>
    <s v="EQ Intraday"/>
    <s v="DLF"/>
    <n v="-252.93318000000272"/>
  </r>
  <r>
    <n v="188"/>
    <x v="53"/>
    <s v="EQ Intraday"/>
    <s v="HDIL"/>
    <n v="-409.95172500000228"/>
  </r>
  <r>
    <n v="189"/>
    <x v="53"/>
    <s v="EQ Intraday"/>
    <s v="Adani Ent"/>
    <n v="339.5235187500034"/>
  </r>
  <r>
    <n v="190"/>
    <x v="53"/>
    <s v="EQ Intraday"/>
    <s v="Adani Ent"/>
    <n v="220.31229375000169"/>
  </r>
  <r>
    <n v="191"/>
    <x v="53"/>
    <s v="EQ Intraday"/>
    <s v="Adani Ent"/>
    <n v="310.61666250000513"/>
  </r>
  <r>
    <n v="192"/>
    <x v="53"/>
    <s v="EQ Intraday"/>
    <s v="Adani Ent"/>
    <n v="1631.2998562499993"/>
  </r>
  <r>
    <n v="193"/>
    <x v="54"/>
    <s v="EQ Intraday"/>
    <s v="HDIL"/>
    <n v="-228.87437544999995"/>
  </r>
  <r>
    <n v="194"/>
    <x v="54"/>
    <s v="EQ Intraday"/>
    <s v="Bank of India"/>
    <n v="-683.15500249999991"/>
  </r>
  <r>
    <n v="195"/>
    <x v="54"/>
    <s v="EQ Intraday"/>
    <s v="HDIL"/>
    <n v="270.62844999999317"/>
  </r>
  <r>
    <n v="196"/>
    <x v="54"/>
    <s v="EQ Intraday"/>
    <s v="Adani Ent"/>
    <n v="1154.5434375"/>
  </r>
  <r>
    <n v="197"/>
    <x v="54"/>
    <s v="EQ Intraday"/>
    <s v="Adani Ent"/>
    <n v="-1244.5253250000001"/>
  </r>
  <r>
    <n v="198"/>
    <x v="54"/>
    <s v="EQ Intraday"/>
    <s v="Federal Bank"/>
    <n v="1627.3860749999999"/>
  </r>
  <r>
    <n v="199"/>
    <x v="55"/>
    <s v="EQ Intraday"/>
    <s v="Ujjivan"/>
    <n v="-480.33325624999543"/>
  </r>
  <r>
    <n v="200"/>
    <x v="55"/>
    <s v="EQ Intraday"/>
    <s v="Ujjivan"/>
    <n v="539.83110624999767"/>
  </r>
  <r>
    <n v="201"/>
    <x v="55"/>
    <s v="EQ Intraday"/>
    <s v="JSW Energy"/>
    <n v="-242.26112499999573"/>
  </r>
  <r>
    <n v="202"/>
    <x v="55"/>
    <s v="EQ Intraday"/>
    <s v="Ujjivan"/>
    <n v="517.58662083333445"/>
  </r>
  <r>
    <n v="203"/>
    <x v="55"/>
    <s v="EQ Intraday"/>
    <s v="Ujjivan"/>
    <n v="550.96676249999996"/>
  </r>
  <r>
    <n v="204"/>
    <x v="55"/>
    <s v="EQ Intraday"/>
    <s v="Ujjivan"/>
    <n v="-288.83321249999773"/>
  </r>
  <r>
    <n v="205"/>
    <x v="55"/>
    <s v="EQ Intraday"/>
    <s v="Ujjivan"/>
    <n v="-309.6303020833256"/>
  </r>
  <r>
    <n v="206"/>
    <x v="55"/>
    <s v="EQ Intraday"/>
    <s v="HDIL"/>
    <n v="-494.2394970312593"/>
  </r>
  <r>
    <n v="207"/>
    <x v="55"/>
    <s v="EQ Intraday"/>
    <s v="India Bulls Hou Fin"/>
    <n v="181.730535"/>
  </r>
  <r>
    <n v="208"/>
    <x v="56"/>
    <s v="EQ Intraday"/>
    <s v="Adani Ent"/>
    <n v="-581.3347250000046"/>
  </r>
  <r>
    <n v="209"/>
    <x v="56"/>
    <s v="EQ Intraday"/>
    <s v="Federal Bank"/>
    <n v="-340.19727499999544"/>
  </r>
  <r>
    <n v="210"/>
    <x v="56"/>
    <s v="EQ Intraday"/>
    <s v="IRB Infra"/>
    <n v="-7.8833671875056908"/>
  </r>
  <r>
    <n v="211"/>
    <x v="56"/>
    <s v="EQ Intraday"/>
    <s v="Cummins IND"/>
    <n v="-1173.6711395833333"/>
  </r>
  <r>
    <n v="212"/>
    <x v="56"/>
    <s v="EQ Intraday"/>
    <s v="HDIL"/>
    <n v="-35.838000000000001"/>
  </r>
  <r>
    <n v="213"/>
    <x v="56"/>
    <s v="EQ Intraday"/>
    <s v="Cummins IND"/>
    <n v="-536.14881249999996"/>
  </r>
  <r>
    <n v="214"/>
    <x v="56"/>
    <s v="EQ Intraday"/>
    <s v="Century Textile"/>
    <n v="-442.60469524999928"/>
  </r>
  <r>
    <n v="215"/>
    <x v="57"/>
    <s v="EQ Intraday"/>
    <s v="NBCC"/>
    <n v="1.3638928125000001"/>
  </r>
  <r>
    <n v="216"/>
    <x v="57"/>
    <s v="EQ Intraday"/>
    <s v="FEDERALBNK"/>
    <n v="-1.1759843125000085"/>
  </r>
  <r>
    <n v="217"/>
    <x v="57"/>
    <s v="EQ Intraday"/>
    <s v="INFIBEAM"/>
    <n v="-3.2601797812499544"/>
  </r>
  <r>
    <n v="218"/>
    <x v="57"/>
    <s v="EQ Intraday"/>
    <s v="JETAIRWAYS"/>
    <n v="0.9928596562500227"/>
  </r>
  <r>
    <n v="219"/>
    <x v="57"/>
    <s v="EQ Intraday"/>
    <s v="IRB"/>
    <n v="0.67184065625002276"/>
  </r>
  <r>
    <n v="220"/>
    <x v="57"/>
    <s v="EQ Intraday"/>
    <s v="ENGINERSIN"/>
    <n v="0.48480899999999427"/>
  </r>
  <r>
    <n v="221"/>
    <x v="57"/>
    <s v="EQ Intraday"/>
    <s v="SUNTV"/>
    <n v="-8.8591819687500006"/>
  </r>
  <r>
    <n v="222"/>
    <x v="57"/>
    <s v="EQ Intraday"/>
    <s v="RELINFRA"/>
    <n v="4.241676656249977"/>
  </r>
  <r>
    <n v="223"/>
    <x v="57"/>
    <s v="EQ Intraday"/>
    <s v="ALBK"/>
    <n v="-0.95870118749999145"/>
  </r>
  <r>
    <n v="224"/>
    <x v="57"/>
    <s v="EQ Intraday"/>
    <s v="SRF"/>
    <n v="-16.450957531250001"/>
  </r>
  <r>
    <n v="225"/>
    <x v="57"/>
    <s v="EQ Intraday"/>
    <s v="BHARATFIN"/>
    <n v="-5.0307290624999998"/>
  </r>
  <r>
    <n v="226"/>
    <x v="57"/>
    <s v="EQ Intraday"/>
    <s v="JINDALSTEL"/>
    <n v="-0.22669696874999148"/>
  </r>
  <r>
    <n v="227"/>
    <x v="57"/>
    <s v="EQ Intraday"/>
    <s v="ADANIENT"/>
    <n v="-1.1766969999999943"/>
  </r>
  <r>
    <n v="228"/>
    <x v="57"/>
    <s v="EQ Intraday"/>
    <s v="BANKBARODA"/>
    <n v="-0.9814864062500227"/>
  </r>
  <r>
    <n v="229"/>
    <x v="57"/>
    <s v="EQ Intraday"/>
    <s v="ORIENTBANK"/>
    <n v="-1.9209997500000113"/>
  </r>
  <r>
    <n v="230"/>
    <x v="57"/>
    <s v="EQ Intraday"/>
    <s v="ZEEL"/>
    <n v="5.4437457500000681"/>
  </r>
  <r>
    <n v="231"/>
    <x v="57"/>
    <s v="EQ Intraday"/>
    <s v="SINTEX"/>
    <n v="1.8736174687500029"/>
  </r>
  <r>
    <n v="232"/>
    <x v="57"/>
    <s v="EQ Intraday"/>
    <s v="IDBI"/>
    <n v="-0.85484481249999711"/>
  </r>
  <r>
    <n v="233"/>
    <x v="57"/>
    <s v="EQ Intraday"/>
    <s v="JSWENERGY"/>
    <n v="0.15711193750000285"/>
  </r>
  <r>
    <n v="234"/>
    <x v="57"/>
    <s v="EQ Intraday"/>
    <s v="POWERGRID"/>
    <n v="-0.29318053125000565"/>
  </r>
  <r>
    <n v="235"/>
    <x v="57"/>
    <s v="EQ Intraday"/>
    <s v="DHFL"/>
    <n v="4.5494371562500229"/>
  </r>
  <r>
    <n v="236"/>
    <x v="57"/>
    <s v="EQ Intraday"/>
    <s v="VEDL"/>
    <n v="-1.4089936562500001"/>
  </r>
  <r>
    <n v="237"/>
    <x v="57"/>
    <s v="EQ Intraday"/>
    <s v="SBIN"/>
    <n v="-2.3007493124999661"/>
  </r>
  <r>
    <n v="238"/>
    <x v="57"/>
    <s v="EQ Intraday"/>
    <s v="SUNPHARMA"/>
    <n v="0.32203921874999991"/>
  </r>
  <r>
    <n v="239"/>
    <x v="57"/>
    <s v="EQ Intraday"/>
    <s v="HEXAWARE"/>
    <n v="-1.7103475937500114"/>
  </r>
  <r>
    <n v="240"/>
    <x v="57"/>
    <s v="EQ Intraday"/>
    <s v="SAIL"/>
    <n v="-0.64176993750000144"/>
  </r>
  <r>
    <n v="241"/>
    <x v="57"/>
    <s v="EQ Intraday"/>
    <s v="HDIL"/>
    <n v="0.34035575000000567"/>
  </r>
  <r>
    <n v="242"/>
    <x v="57"/>
    <s v="EQ Intraday"/>
    <s v="SOUTHBANK"/>
    <n v="-0.26749746875000002"/>
  </r>
  <r>
    <n v="243"/>
    <x v="57"/>
    <s v="EQ Intraday"/>
    <s v="RELCAPITAL"/>
    <n v="-1.3569916874999772"/>
  </r>
  <r>
    <n v="244"/>
    <x v="57"/>
    <s v="EQ Intraday"/>
    <s v="HEXAWARE"/>
    <n v="-0.36158537499998866"/>
  </r>
  <r>
    <n v="245"/>
    <x v="57"/>
    <s v="EQ Intraday"/>
    <s v="HINDPETRO"/>
    <n v="0.19068584374995456"/>
  </r>
  <r>
    <n v="246"/>
    <x v="57"/>
    <s v="EQ Intraday"/>
    <s v="JSWSTEEL"/>
    <n v="-0.93062725000001134"/>
  </r>
  <r>
    <n v="247"/>
    <x v="57"/>
    <s v="EQ Intraday"/>
    <s v="HDFC"/>
    <n v="-12.167575875000136"/>
  </r>
  <r>
    <n v="248"/>
    <x v="57"/>
    <s v="EQ Intraday"/>
    <s v="IBREALEST"/>
    <n v="-0.6548829687500114"/>
  </r>
  <r>
    <n v="249"/>
    <x v="57"/>
    <s v="EQ Intraday"/>
    <s v="PNB"/>
    <n v="-1.9207282499999829"/>
  </r>
  <r>
    <n v="250"/>
    <x v="57"/>
    <s v="EQ Intraday"/>
    <s v="JUBLFOOD"/>
    <n v="1.0335133437500001"/>
  </r>
  <r>
    <n v="251"/>
    <x v="57"/>
    <s v="EQ Intraday"/>
    <s v="GMRINFRA"/>
    <n v="8.848268750000142E-2"/>
  </r>
  <r>
    <n v="252"/>
    <x v="57"/>
    <s v="EQ Intraday"/>
    <s v="DLF"/>
    <n v="-0.87596709374999993"/>
  </r>
  <r>
    <n v="253"/>
    <x v="57"/>
    <s v="EQ Intraday"/>
    <s v="CHOLAFIN"/>
    <n v="12.309532406249954"/>
  </r>
  <r>
    <n v="254"/>
    <x v="57"/>
    <s v="EQ Intraday"/>
    <s v="IFCI"/>
    <n v="-0.32205581250000426"/>
  </r>
  <r>
    <n v="255"/>
    <x v="57"/>
    <s v="EQ Intraday"/>
    <s v="NCC"/>
    <n v="-1.0155672812500027"/>
  </r>
  <r>
    <n v="256"/>
    <x v="57"/>
    <s v="EQ Intraday"/>
    <s v="SUZLON"/>
    <n v="3.5960593750000713E-2"/>
  </r>
  <r>
    <n v="257"/>
    <x v="57"/>
    <s v="EQ Intraday"/>
    <s v="RAYMOND"/>
    <n v="0.67001775000004538"/>
  </r>
  <r>
    <n v="258"/>
    <x v="57"/>
    <s v="EQ Intraday"/>
    <s v="WOCKPHARMA"/>
    <n v="-2.1841095624999318"/>
  </r>
  <r>
    <n v="259"/>
    <x v="57"/>
    <s v="EQ Intraday"/>
    <s v="TATAGLOBAL"/>
    <n v="-0.50542775000000573"/>
  </r>
  <r>
    <n v="260"/>
    <x v="57"/>
    <s v="EQ Intraday"/>
    <s v="ONGC"/>
    <n v="-7.8273031249988634E-2"/>
  </r>
  <r>
    <n v="261"/>
    <x v="57"/>
    <s v="EQ Intraday"/>
    <s v="GRANULES"/>
    <n v="-0.49477137500000568"/>
  </r>
  <r>
    <n v="262"/>
    <x v="57"/>
    <s v="EQ Intraday"/>
    <s v="JPASSOCIAT"/>
    <n v="-0.15885590625000034"/>
  </r>
  <r>
    <n v="263"/>
    <x v="57"/>
    <s v="EQ Intraday"/>
    <s v="EXIDEIND"/>
    <n v="-1.203147468749983"/>
  </r>
  <r>
    <n v="264"/>
    <x v="57"/>
    <s v="EQ Intraday"/>
    <s v="RDEL"/>
    <n v="5.5186562499971517E-3"/>
  </r>
  <r>
    <n v="265"/>
    <x v="57"/>
    <s v="EQ Intraday"/>
    <s v="BPCL"/>
    <n v="-5.6913419375000451"/>
  </r>
  <r>
    <n v="266"/>
    <x v="57"/>
    <s v="EQ Intraday"/>
    <s v="CEATLTD"/>
    <n v="-17.818291187500044"/>
  </r>
  <r>
    <n v="267"/>
    <x v="57"/>
    <s v="EQ Intraday"/>
    <s v="GRASIM"/>
    <n v="9.635703968750045"/>
  </r>
  <r>
    <n v="268"/>
    <x v="57"/>
    <s v="EQ Intraday"/>
    <s v="APOLLOTYRE"/>
    <n v="3.533956437500017"/>
  </r>
  <r>
    <n v="269"/>
    <x v="57"/>
    <s v="EQ Intraday"/>
    <s v="HINDUNILVR"/>
    <n v="4.6524208749999545"/>
  </r>
  <r>
    <n v="270"/>
    <x v="57"/>
    <s v="EQ Intraday"/>
    <s v="VGUARD"/>
    <n v="1.0663059374999886"/>
  </r>
  <r>
    <n v="271"/>
    <x v="57"/>
    <s v="EQ Intraday"/>
    <s v="CANBK"/>
    <n v="12.236100625000001"/>
  </r>
  <r>
    <n v="272"/>
    <x v="57"/>
    <s v="EQ Intraday"/>
    <s v="GAIL"/>
    <n v="3.5588949687500229"/>
  </r>
  <r>
    <n v="273"/>
    <x v="57"/>
    <s v="EQ Intraday"/>
    <s v="IOC"/>
    <n v="-1.7955438749999999"/>
  </r>
  <r>
    <n v="274"/>
    <x v="57"/>
    <s v="EQ Intraday"/>
    <s v="UNIONBANK"/>
    <n v="1.9702319999999942"/>
  </r>
  <r>
    <n v="275"/>
    <x v="58"/>
    <s v="EQ Intraday"/>
    <s v="INFIBEAM"/>
    <n v="2.8990799999999091"/>
  </r>
  <r>
    <n v="276"/>
    <x v="58"/>
    <s v="EQ Intraday"/>
    <s v="MCX"/>
    <n v="-5.2606895624999996"/>
  </r>
  <r>
    <n v="277"/>
    <x v="58"/>
    <s v="EQ Intraday"/>
    <s v="MCX"/>
    <n v="-0.26755906250000006"/>
  </r>
  <r>
    <n v="278"/>
    <x v="58"/>
    <s v="EQ Intraday"/>
    <s v="INFIBEAM"/>
    <n v="10.498435437500046"/>
  </r>
  <r>
    <n v="279"/>
    <x v="58"/>
    <s v="EQ Intraday"/>
    <s v="AMARAJABAT"/>
    <n v="5.114250000045617E-3"/>
  </r>
  <r>
    <n v="280"/>
    <x v="58"/>
    <s v="EQ Intraday"/>
    <s v="COLPAL"/>
    <n v="-0.24789609375018185"/>
  </r>
  <r>
    <n v="281"/>
    <x v="58"/>
    <s v="EQ Intraday"/>
    <s v="JETAIRWAYS"/>
    <n v="-9.649371656250068"/>
  </r>
  <r>
    <n v="282"/>
    <x v="58"/>
    <s v="EQ Intraday"/>
    <s v="Adani Ports"/>
    <n v="0.10148359374999982"/>
  </r>
  <r>
    <n v="283"/>
    <x v="58"/>
    <s v="EQ Intraday"/>
    <s v="INDUSINDBK"/>
    <n v="-4.4577538749999999"/>
  </r>
  <r>
    <n v="284"/>
    <x v="58"/>
    <s v="EQ Intraday"/>
    <s v="JSW Energy"/>
    <n v="-5.8349578124999519"/>
  </r>
  <r>
    <n v="285"/>
    <x v="58"/>
    <s v="EQ Intraday"/>
    <s v="INDIANB"/>
    <n v="2.8435887500000567"/>
  </r>
  <r>
    <n v="286"/>
    <x v="58"/>
    <s v="EQ Intraday"/>
    <s v="ANDHRABANK"/>
    <n v="27.214261406250095"/>
  </r>
  <r>
    <n v="287"/>
    <x v="58"/>
    <s v="EQ Intraday"/>
    <s v="SBIN"/>
    <n v="16.789235625"/>
  </r>
  <r>
    <n v="288"/>
    <x v="58"/>
    <s v="EQ Intraday"/>
    <s v="SYNDIBANK"/>
    <n v="26.187536312499905"/>
  </r>
  <r>
    <n v="289"/>
    <x v="58"/>
    <s v="EQ Intraday"/>
    <s v="IDFCBANK"/>
    <n v="10.301773156249855"/>
  </r>
  <r>
    <n v="290"/>
    <x v="58"/>
    <s v="EQ Intraday"/>
    <s v="PNB"/>
    <n v="0.233988749999818"/>
  </r>
  <r>
    <n v="291"/>
    <x v="58"/>
    <s v="EQ Intraday"/>
    <s v="UNIONBANK"/>
    <n v="-9.0217404999999999"/>
  </r>
  <r>
    <n v="292"/>
    <x v="58"/>
    <s v="EQ Intraday"/>
    <s v="IDBI"/>
    <n v="-9.4087679375000004"/>
  </r>
  <r>
    <n v="293"/>
    <x v="58"/>
    <s v="EQ Intraday"/>
    <s v="BHARATFORG"/>
    <n v="-6.7594500000000002"/>
  </r>
  <r>
    <n v="294"/>
    <x v="58"/>
    <s v="EQ Intraday"/>
    <s v="CANBK"/>
    <n v="-4.8577641249999548"/>
  </r>
  <r>
    <n v="295"/>
    <x v="58"/>
    <s v="EQ Intraday"/>
    <s v="ORIENTBANK"/>
    <n v="-10.153579750000045"/>
  </r>
  <r>
    <n v="296"/>
    <x v="58"/>
    <s v="EQ Intraday"/>
    <s v="KOTAKBANK"/>
    <n v="-3.2338532500000001"/>
  </r>
  <r>
    <n v="297"/>
    <x v="58"/>
    <s v="EQ Intraday"/>
    <s v="IBREALEST"/>
    <n v="-6.8198587499999999"/>
  </r>
  <r>
    <n v="298"/>
    <x v="58"/>
    <s v="EQ Intraday"/>
    <s v="VGUARD"/>
    <n v="9.1843462812499208"/>
  </r>
  <r>
    <n v="299"/>
    <x v="58"/>
    <s v="EQ Intraday"/>
    <s v="NBCC"/>
    <n v="-9.0735969999999995"/>
  </r>
  <r>
    <n v="300"/>
    <x v="59"/>
    <s v="EQ Intraday"/>
    <s v="JISLJALEQS"/>
    <n v="-13.1291575625"/>
  </r>
  <r>
    <n v="301"/>
    <x v="59"/>
    <s v="EQ Intraday"/>
    <s v="APOLLOTYRE"/>
    <n v="-4.739875562500222"/>
  </r>
  <r>
    <n v="302"/>
    <x v="59"/>
    <s v="EQ Intraday"/>
    <s v="APOLLOTYRE"/>
    <n v="-7.9883663437502221"/>
  </r>
  <r>
    <n v="303"/>
    <x v="59"/>
    <s v="EQ Intraday"/>
    <s v="APOLLOTYRE"/>
    <n v="-7.9879251562498528"/>
  </r>
  <r>
    <n v="304"/>
    <x v="59"/>
    <s v="EQ Intraday"/>
    <s v="APOLLOTYRE"/>
    <n v="-8.6376233125000006"/>
  </r>
  <r>
    <n v="305"/>
    <x v="59"/>
    <s v="EQ Intraday"/>
    <s v="APOLLOTYRE"/>
    <n v="-7.9879251562498528"/>
  </r>
  <r>
    <n v="306"/>
    <x v="59"/>
    <s v="EQ Intraday"/>
    <s v="APOLLOTYRE"/>
    <n v="-8.6376233125000006"/>
  </r>
  <r>
    <n v="307"/>
    <x v="59"/>
    <s v="EQ Intraday"/>
    <s v="APOLLOTYRE"/>
    <n v="-7.9874839687502215"/>
  </r>
  <r>
    <n v="308"/>
    <x v="59"/>
    <s v="EQ Intraday"/>
    <s v="APOLLOTYRE"/>
    <n v="-6.6880876562502962"/>
  </r>
  <r>
    <n v="309"/>
    <x v="59"/>
    <s v="EQ Intraday"/>
    <s v="APOLLOTYRE"/>
    <n v="-6.0379483125001485"/>
  </r>
  <r>
    <n v="310"/>
    <x v="59"/>
    <s v="EQ Intraday"/>
    <s v="APOLLOTYRE"/>
    <n v="-7.3382270000000744"/>
  </r>
  <r>
    <n v="311"/>
    <x v="59"/>
    <s v="EQ Intraday"/>
    <s v="APOLLOTYRE"/>
    <n v="-6.6885288437499266"/>
  </r>
  <r>
    <n v="312"/>
    <x v="59"/>
    <s v="EQ Intraday"/>
    <s v="APOLLOTYRE"/>
    <n v="-5.3882501562500007"/>
  </r>
  <r>
    <n v="313"/>
    <x v="59"/>
    <s v="EQ Intraday"/>
    <s v="APOLLOTYRE"/>
    <n v="-9.2877626562501483"/>
  </r>
  <r>
    <n v="314"/>
    <x v="59"/>
    <s v="EQ Intraday"/>
    <s v="JSWENERGY"/>
    <n v="6.7532922187499995"/>
  </r>
  <r>
    <n v="315"/>
    <x v="59"/>
    <s v="EQ Intraday"/>
    <s v="NBCC"/>
    <n v="-20.330479970500058"/>
  </r>
  <r>
    <n v="316"/>
    <x v="59"/>
    <s v="EQ Intraday"/>
    <s v="IBREALEST"/>
    <n v="-8.91291937499971"/>
  </r>
  <r>
    <n v="317"/>
    <x v="59"/>
    <s v="EQ Intraday"/>
    <s v="NBCC"/>
    <n v="-4.8427193437500966"/>
  </r>
  <r>
    <n v="318"/>
    <x v="59"/>
    <s v="EQ Intraday"/>
    <s v="INFIBEAM"/>
    <n v="-17.171273343750205"/>
  </r>
  <r>
    <n v="319"/>
    <x v="60"/>
    <s v="EQ Intraday"/>
    <s v="BANKBARODA"/>
    <n v="-18.515639468750084"/>
  </r>
  <r>
    <n v="320"/>
    <x v="60"/>
    <s v="EQ Intraday"/>
    <s v="BERGEPAINT"/>
    <n v="-7.4420307499999998"/>
  </r>
  <r>
    <n v="321"/>
    <x v="60"/>
    <s v="EQ Intraday"/>
    <s v="CANBK"/>
    <n v="-10.444838250000091"/>
  </r>
  <r>
    <n v="322"/>
    <x v="60"/>
    <s v="EQ Intraday"/>
    <s v="ESCORTS"/>
    <n v="-14.521960937500001"/>
  </r>
  <r>
    <n v="323"/>
    <x v="60"/>
    <s v="EQ Intraday"/>
    <s v="IBREALEST"/>
    <n v="-32.768792000000289"/>
  </r>
  <r>
    <n v="324"/>
    <x v="60"/>
    <s v="EQ Intraday"/>
    <s v="INDOCOUNT"/>
    <n v="-34.177816156250294"/>
  </r>
  <r>
    <n v="325"/>
    <x v="60"/>
    <s v="EQ Intraday"/>
    <s v="PNB"/>
    <n v="-14.186623984374876"/>
  </r>
  <r>
    <n v="326"/>
    <x v="60"/>
    <s v="EQ Intraday"/>
    <s v="SIEMENS"/>
    <n v="9.4716311500001638"/>
  </r>
  <r>
    <n v="327"/>
    <x v="60"/>
    <s v="EQ Intraday"/>
    <s v="SYNDIBANK"/>
    <n v="-47.424098906250471"/>
  </r>
  <r>
    <n v="328"/>
    <x v="60"/>
    <s v="EQ Intraday"/>
    <s v="SYNDIBANK"/>
    <n v="12.792498468750093"/>
  </r>
  <r>
    <n v="329"/>
    <x v="60"/>
    <s v="EQ Intraday"/>
    <s v="UNIONBANK"/>
    <n v="-17.367562312500098"/>
  </r>
  <r>
    <n v="330"/>
    <x v="61"/>
    <s v="EQ Intraday"/>
    <s v="ADANIENT"/>
    <n v="-19.852493125000393"/>
  </r>
  <r>
    <n v="331"/>
    <x v="61"/>
    <s v="EQ Intraday"/>
    <s v="BERGEPAINT"/>
    <n v="-4.68658815625"/>
  </r>
  <r>
    <n v="332"/>
    <x v="61"/>
    <s v="Stock Option"/>
    <s v="BHARTIARTL"/>
    <n v="-386.85493000000002"/>
  </r>
  <r>
    <n v="333"/>
    <x v="61"/>
    <s v="EQ Intraday"/>
    <s v="BHARTIARTL"/>
    <n v="25.449197906249591"/>
  </r>
  <r>
    <n v="334"/>
    <x v="61"/>
    <s v="EQ Intraday"/>
    <s v="BHARTIARTL"/>
    <n v="-37.202501531249794"/>
  </r>
  <r>
    <n v="335"/>
    <x v="61"/>
    <s v="EQ Intraday"/>
    <s v="BHARTIARTL"/>
    <n v="-27.4057740000001"/>
  </r>
  <r>
    <n v="336"/>
    <x v="61"/>
    <s v="EQ Intraday"/>
    <s v="BHARTIARTL"/>
    <n v="31.025196874999999"/>
  </r>
  <r>
    <n v="337"/>
    <x v="61"/>
    <s v="EQ Intraday"/>
    <s v="BHARTIARTL"/>
    <n v="-58.845279375000516"/>
  </r>
  <r>
    <n v="338"/>
    <x v="61"/>
    <s v="EQ Intraday"/>
    <s v="BHARTIARTL"/>
    <n v="123.575034375"/>
  </r>
  <r>
    <n v="339"/>
    <x v="61"/>
    <s v="EQ Intraday"/>
    <s v="BHEL"/>
    <n v="-2.043512625"/>
  </r>
  <r>
    <n v="340"/>
    <x v="61"/>
    <s v="EQ Intraday"/>
    <s v="BIOCON"/>
    <n v="-4.9537517812501362"/>
  </r>
  <r>
    <n v="341"/>
    <x v="61"/>
    <s v="EQ Intraday"/>
    <s v="CADILAHC"/>
    <n v="1.3880578124997272"/>
  </r>
  <r>
    <n v="342"/>
    <x v="61"/>
    <s v="EQ Intraday"/>
    <s v="CAPF"/>
    <n v="-18.734833624999908"/>
  </r>
  <r>
    <n v="343"/>
    <x v="61"/>
    <s v="EQ Intraday"/>
    <s v="CHOLAFIN"/>
    <n v="-1.6174494374998636"/>
  </r>
  <r>
    <n v="344"/>
    <x v="61"/>
    <s v="EQ Intraday"/>
    <s v="EQUITAS"/>
    <n v="3.1626806249995276"/>
  </r>
  <r>
    <n v="345"/>
    <x v="61"/>
    <s v="EQ Intraday"/>
    <s v="ESCORTS"/>
    <n v="42.669978437499886"/>
  </r>
  <r>
    <n v="346"/>
    <x v="61"/>
    <s v="EQ Intraday"/>
    <s v="EXIDEIND"/>
    <n v="14.070929031249999"/>
  </r>
  <r>
    <n v="347"/>
    <x v="61"/>
    <s v="EQ Intraday"/>
    <s v="FEDERALBNK"/>
    <n v="0.47944075000019581"/>
  </r>
  <r>
    <n v="348"/>
    <x v="61"/>
    <s v="EQ Intraday"/>
    <s v="GAIL"/>
    <n v="-16.80017828125008"/>
  </r>
  <r>
    <n v="349"/>
    <x v="61"/>
    <s v="EQ Intraday"/>
    <s v="HDIL"/>
    <n v="-16.977704906250093"/>
  </r>
  <r>
    <n v="350"/>
    <x v="61"/>
    <s v="EQ Intraday"/>
    <s v="IBREALEST"/>
    <n v="-3.8597118750000003"/>
  </r>
  <r>
    <n v="351"/>
    <x v="61"/>
    <s v="EQ Intraday"/>
    <s v="JINDALSTEL"/>
    <n v="-14.430052656250261"/>
  </r>
  <r>
    <n v="352"/>
    <x v="61"/>
    <s v="EQ Intraday"/>
    <s v="LT"/>
    <n v="-17.532226750000092"/>
  </r>
  <r>
    <n v="353"/>
    <x v="61"/>
    <s v="EQ Intraday"/>
    <s v="MUTHOOTFIN"/>
    <n v="5.0917356874999999"/>
  </r>
  <r>
    <n v="354"/>
    <x v="61"/>
    <s v="EQ Intraday"/>
    <s v="NIITTECH"/>
    <n v="13.477181157125086"/>
  </r>
  <r>
    <n v="355"/>
    <x v="61"/>
    <s v="EQ Intraday"/>
    <s v="PNB"/>
    <n v="-4.5305961562500965"/>
  </r>
  <r>
    <n v="356"/>
    <x v="61"/>
    <s v="EQ Intraday"/>
    <s v="SBIN"/>
    <n v="-6.0563555937502507"/>
  </r>
  <r>
    <n v="357"/>
    <x v="61"/>
    <s v="EQ Intraday"/>
    <s v="SINTEX"/>
    <n v="-4.0950062499998694"/>
  </r>
  <r>
    <n v="358"/>
    <x v="61"/>
    <s v="EQ Intraday"/>
    <s v="TITAN"/>
    <n v="-2.2585295625000681"/>
  </r>
  <r>
    <n v="359"/>
    <x v="61"/>
    <s v="EQ Intraday"/>
    <s v="YESBANK"/>
    <n v="-9.1583984375000007"/>
  </r>
  <r>
    <n v="360"/>
    <x v="62"/>
    <s v="EQ Intraday"/>
    <s v="ADANIENT"/>
    <n v="-230.13130480208389"/>
  </r>
  <r>
    <n v="361"/>
    <x v="62"/>
    <s v="EQ Intraday"/>
    <s v="ADANIENT"/>
    <n v="-28.206652343750001"/>
  </r>
  <r>
    <n v="362"/>
    <x v="62"/>
    <s v="EQ Intraday"/>
    <s v="ADANIENT"/>
    <n v="56.442733072918202"/>
  </r>
  <r>
    <n v="363"/>
    <x v="62"/>
    <s v="EQ Intraday"/>
    <s v="ADANIENT"/>
    <n v="-29.829214687499999"/>
  </r>
  <r>
    <n v="364"/>
    <x v="62"/>
    <s v="EQ Intraday"/>
    <s v="DALMIABHA"/>
    <n v="27.10092496875"/>
  </r>
  <r>
    <n v="365"/>
    <x v="62"/>
    <s v="EQ Intraday"/>
    <s v="DALMIABHA"/>
    <n v="-50.185794375"/>
  </r>
  <r>
    <n v="366"/>
    <x v="62"/>
    <s v="EQ Intraday"/>
    <s v="JSWENERGY"/>
    <n v="-13.90644412500008"/>
  </r>
  <r>
    <n v="367"/>
    <x v="62"/>
    <s v="EQ Intraday"/>
    <s v="RELINFRA"/>
    <n v="-18.812782968749772"/>
  </r>
  <r>
    <n v="368"/>
    <x v="62"/>
    <s v="EQ Intraday"/>
    <s v="SUNTV"/>
    <n v="42.727949458333448"/>
  </r>
  <r>
    <n v="369"/>
    <x v="62"/>
    <s v="EQ Intraday"/>
    <s v="SUNTV"/>
    <n v="-40.545732343749435"/>
  </r>
  <r>
    <n v="370"/>
    <x v="62"/>
    <s v="EQ Intraday"/>
    <s v="SUNTV"/>
    <n v="-12.789774687500227"/>
  </r>
  <r>
    <n v="371"/>
    <x v="62"/>
    <s v="EQ Intraday"/>
    <s v="SUNTV"/>
    <n v="-22.042105781250342"/>
  </r>
  <r>
    <n v="372"/>
    <x v="62"/>
    <s v="EQ Intraday"/>
    <s v="Ujjivan"/>
    <n v="-38.64614118749968"/>
  </r>
  <r>
    <n v="373"/>
    <x v="62"/>
    <s v="EQ Intraday"/>
    <s v="VGUARD"/>
    <n v="-3.5616645000001137"/>
  </r>
  <r>
    <n v="374"/>
    <x v="63"/>
    <s v="EQ Intraday"/>
    <s v="CONCOR"/>
    <n v="-22.940992218750409"/>
  </r>
  <r>
    <n v="375"/>
    <x v="63"/>
    <s v="EQ Intraday"/>
    <s v="HINDALCO"/>
    <n v="-40.607758750000116"/>
  </r>
  <r>
    <n v="376"/>
    <x v="63"/>
    <s v="EQ Intraday"/>
    <s v="ICICIBANK"/>
    <n v="-2.8331703749999995"/>
  </r>
  <r>
    <n v="377"/>
    <x v="63"/>
    <s v="EQ Intraday"/>
    <s v="JINDALSTEL"/>
    <n v="-32.919958749999843"/>
  </r>
  <r>
    <n v="378"/>
    <x v="63"/>
    <s v="EQ Intraday"/>
    <s v="KTKBANK"/>
    <n v="-16.246948749999774"/>
  </r>
  <r>
    <n v="379"/>
    <x v="63"/>
    <s v="EQ Intraday"/>
    <s v="LT"/>
    <n v="-25.157435250000184"/>
  </r>
  <r>
    <n v="380"/>
    <x v="63"/>
    <s v="EQ Intraday"/>
    <s v="SBIN"/>
    <n v="6.2611784374996819"/>
  </r>
  <r>
    <n v="381"/>
    <x v="64"/>
    <s v="EQ Intraday"/>
    <s v="CAPF"/>
    <n v="-0.33569031250018178"/>
  </r>
  <r>
    <n v="382"/>
    <x v="64"/>
    <s v="EQ Intraday"/>
    <s v="EQUITAS"/>
    <n v="9.2370830625000337"/>
  </r>
  <r>
    <n v="383"/>
    <x v="64"/>
    <s v="EQ Intraday"/>
    <s v="ADANIENT"/>
    <n v="8.9385120000000224"/>
  </r>
  <r>
    <n v="384"/>
    <x v="64"/>
    <s v="EQ Intraday"/>
    <s v="IDEA"/>
    <n v="-20.506343624999896"/>
  </r>
  <r>
    <n v="385"/>
    <x v="64"/>
    <s v="EQ Intraday"/>
    <s v="SYNDIBANK"/>
    <n v="-5.5267485000000685"/>
  </r>
  <r>
    <n v="386"/>
    <x v="64"/>
    <s v="EQ Intraday"/>
    <s v="ESCORTS"/>
    <n v="-1.8794671249999999"/>
  </r>
  <r>
    <n v="387"/>
    <x v="64"/>
    <s v="EQ Intraday"/>
    <s v="CANBK"/>
    <n v="-8.2439227499999994"/>
  </r>
  <r>
    <n v="388"/>
    <x v="64"/>
    <s v="EQ Intraday"/>
    <s v="KTKBANK"/>
    <n v="-17.1691873125"/>
  </r>
  <r>
    <n v="389"/>
    <x v="64"/>
    <s v="EQ Intraday"/>
    <s v="PNB"/>
    <n v="-14.782112062499966"/>
  </r>
  <r>
    <n v="390"/>
    <x v="65"/>
    <s v="EQ Intraday"/>
    <s v="CAPF"/>
    <n v="-2.6179631249999091"/>
  </r>
  <r>
    <n v="391"/>
    <x v="65"/>
    <s v="EQ Intraday"/>
    <s v="IBREALEST"/>
    <n v="7.914364062499943"/>
  </r>
  <r>
    <n v="392"/>
    <x v="65"/>
    <s v="EQ Intraday"/>
    <s v="RECL"/>
    <n v="-2.3895408749999545"/>
  </r>
  <r>
    <n v="393"/>
    <x v="65"/>
    <s v="EQ Intraday"/>
    <s v="BHARATFIN"/>
    <n v="-6.7890455937500001"/>
  </r>
  <r>
    <n v="394"/>
    <x v="65"/>
    <s v="EQ Intraday"/>
    <s v="MRPL"/>
    <n v="2.5251732187501195"/>
  </r>
  <r>
    <n v="395"/>
    <x v="65"/>
    <s v="EQ Intraday"/>
    <s v="SINTEX"/>
    <n v="7.1464671249999601"/>
  </r>
  <r>
    <n v="396"/>
    <x v="65"/>
    <s v="EQ Intraday"/>
    <s v="VEDL"/>
    <n v="-15.451650500000069"/>
  </r>
  <r>
    <n v="397"/>
    <x v="65"/>
    <s v="EQ Intraday"/>
    <s v="Ujjivan"/>
    <n v="-5.0638236562499657"/>
  </r>
  <r>
    <n v="398"/>
    <x v="66"/>
    <s v="EQ Intraday"/>
    <s v="ADANIENT"/>
    <n v="-0.79446581249998305"/>
  </r>
  <r>
    <n v="399"/>
    <x v="66"/>
    <s v="EQ Intraday"/>
    <s v="BANKBARODA"/>
    <n v="6.0996773437501135"/>
  </r>
  <r>
    <n v="400"/>
    <x v="66"/>
    <s v="EQ Intraday"/>
    <s v="CAPF"/>
    <n v="1.5564791562499545"/>
  </r>
  <r>
    <n v="401"/>
    <x v="66"/>
    <s v="EQ Intraday"/>
    <s v="HINDALCO"/>
    <n v="9.0772429687499425"/>
  </r>
  <r>
    <n v="402"/>
    <x v="66"/>
    <s v="EQ Intraday"/>
    <s v="INDOCOUNT"/>
    <n v="-12.128246500000023"/>
  </r>
  <r>
    <n v="403"/>
    <x v="66"/>
    <s v="EQ Intraday"/>
    <s v="PNB"/>
    <n v="-12.311469531250113"/>
  </r>
  <r>
    <n v="404"/>
    <x v="66"/>
    <s v="EQ Intraday"/>
    <s v="SINTEX"/>
    <n v="-1.9851526874999998"/>
  </r>
  <r>
    <n v="405"/>
    <x v="66"/>
    <s v="EQ Intraday"/>
    <s v="TATASTEEL"/>
    <n v="-9.1664541874999994"/>
  </r>
  <r>
    <n v="406"/>
    <x v="67"/>
    <s v="EQ Intraday"/>
    <s v="SINTEX"/>
    <n v="-7.0793227500000508"/>
  </r>
  <r>
    <n v="407"/>
    <x v="67"/>
    <s v="EQ Intraday"/>
    <s v="JINDALSTEL"/>
    <n v="-7.3622825624999493"/>
  </r>
  <r>
    <n v="408"/>
    <x v="67"/>
    <s v="EQ Intraday"/>
    <s v="SYNDIBANK"/>
    <n v="-8.6414445000000519"/>
  </r>
  <r>
    <n v="409"/>
    <x v="67"/>
    <s v="EQ Intraday"/>
    <s v="Ujjivan"/>
    <n v="-36.301103437499776"/>
  </r>
  <r>
    <n v="410"/>
    <x v="67"/>
    <s v="EQ Intraday"/>
    <s v="JSWSTEEL"/>
    <n v="48.636249999999997"/>
  </r>
  <r>
    <n v="411"/>
    <x v="67"/>
    <s v="EQ Intraday"/>
    <s v="JSWSTEEL"/>
    <n v="3.6978718750000001"/>
  </r>
  <r>
    <n v="412"/>
    <x v="68"/>
    <s v="EQ Intraday"/>
    <s v="HUDCO"/>
    <n v="-8.1008125"/>
  </r>
  <r>
    <n v="413"/>
    <x v="69"/>
    <s v="EQ Intraday"/>
    <s v="SINTEX"/>
    <n v="-4.4200200000003909"/>
  </r>
  <r>
    <n v="414"/>
    <x v="69"/>
    <s v="EQ Intraday"/>
    <s v="RELINFRA"/>
    <n v="-95.841714078499422"/>
  </r>
  <r>
    <n v="415"/>
    <x v="69"/>
    <s v="EQ Intraday"/>
    <s v="RELCAPITAL"/>
    <n v="-123.485950625"/>
  </r>
  <r>
    <n v="416"/>
    <x v="69"/>
    <s v="EQ Intraday"/>
    <s v="NBCC"/>
    <n v="-501.84014434999159"/>
  </r>
  <r>
    <n v="417"/>
    <x v="69"/>
    <s v="EQ Intraday"/>
    <s v="PCJEWELLERS"/>
    <n v="-794.82487389000028"/>
  </r>
  <r>
    <n v="418"/>
    <x v="69"/>
    <s v="EQ Intraday"/>
    <s v="DLF"/>
    <n v="-6.0730931250015416"/>
  </r>
  <r>
    <n v="419"/>
    <x v="69"/>
    <s v="EQ Intraday"/>
    <s v="PCJEWELLERS"/>
    <n v="-313.33809687499996"/>
  </r>
  <r>
    <n v="420"/>
    <x v="69"/>
    <s v="EQ Intraday"/>
    <s v="PCJEWELLERS"/>
    <n v="-551.52315093790423"/>
  </r>
  <r>
    <n v="421"/>
    <x v="69"/>
    <s v="EQ Intraday"/>
    <s v="HDIL"/>
    <n v="-125.20344374999901"/>
  </r>
  <r>
    <n v="422"/>
    <x v="70"/>
    <s v="EQ Intraday"/>
    <s v="AUROPHARMA"/>
    <n v="-77.247930375002227"/>
  </r>
  <r>
    <n v="423"/>
    <x v="70"/>
    <s v="EQ Intraday"/>
    <s v="PFC"/>
    <n v="-147.67405312499872"/>
  </r>
  <r>
    <n v="424"/>
    <x v="70"/>
    <s v="EQ Intraday"/>
    <s v="PFC"/>
    <n v="341.81003906249828"/>
  </r>
  <r>
    <n v="425"/>
    <x v="70"/>
    <s v="EQ Intraday"/>
    <s v="AUROPHARMA"/>
    <n v="-143.97290250000046"/>
  </r>
  <r>
    <n v="426"/>
    <x v="70"/>
    <s v="EQ Intraday"/>
    <s v="AUROPHARMA"/>
    <n v="466.17552083333334"/>
  </r>
  <r>
    <n v="427"/>
    <x v="71"/>
    <s v="EQ Intraday"/>
    <s v="BEML"/>
    <n v="-52.273372124998822"/>
  </r>
  <r>
    <n v="428"/>
    <x v="71"/>
    <s v="EQ Intraday"/>
    <s v="BEML"/>
    <n v="-190.8573677083356"/>
  </r>
  <r>
    <n v="429"/>
    <x v="71"/>
    <s v="EQ Intraday"/>
    <s v="BEML"/>
    <n v="-107.85093556250118"/>
  </r>
  <r>
    <n v="430"/>
    <x v="71"/>
    <s v="EQ Intraday"/>
    <s v="BEML"/>
    <n v="-57.85189866666758"/>
  </r>
  <r>
    <n v="431"/>
    <x v="71"/>
    <s v="EQ Intraday"/>
    <s v="BEML"/>
    <n v="-32.348482031250001"/>
  </r>
  <r>
    <n v="432"/>
    <x v="71"/>
    <s v="EQ Intraday"/>
    <s v="HDIL"/>
    <n v="-21.039310624998919"/>
  </r>
  <r>
    <n v="433"/>
    <x v="71"/>
    <s v="EQ Intraday"/>
    <s v="HDIL"/>
    <n v="4.155291562497446"/>
  </r>
  <r>
    <n v="434"/>
    <x v="72"/>
    <s v="EQ Intraday"/>
    <s v="GMRINFRA"/>
    <n v="-25.520446875000214"/>
  </r>
  <r>
    <n v="435"/>
    <x v="72"/>
    <s v="EQ Intraday"/>
    <s v="GMRINFRA"/>
    <n v="-72.732360937499891"/>
  </r>
  <r>
    <n v="436"/>
    <x v="72"/>
    <s v="EQ Intraday"/>
    <s v="GMRINFRA"/>
    <n v="34.309153124999575"/>
  </r>
  <r>
    <n v="437"/>
    <x v="72"/>
    <s v="EQ Intraday"/>
    <s v="GMRINFRA"/>
    <n v="13.227626562500248"/>
  </r>
  <r>
    <n v="438"/>
    <x v="72"/>
    <s v="EQ Intraday"/>
    <s v="CADILAHC"/>
    <n v="-207.16517812500001"/>
  </r>
  <r>
    <n v="439"/>
    <x v="73"/>
    <s v="EQ Intraday"/>
    <s v="PCJEWELLERS"/>
    <n v="49.514125"/>
  </r>
  <r>
    <n v="440"/>
    <x v="73"/>
    <s v="EQ Intraday"/>
    <s v="HDIL"/>
    <n v="-87.140700000002724"/>
  </r>
  <r>
    <n v="441"/>
    <x v="74"/>
    <s v="EQ Intraday"/>
    <s v="HDIL"/>
    <n v="320.67798000000136"/>
  </r>
  <r>
    <n v="442"/>
    <x v="75"/>
    <s v="EQ Intraday"/>
    <s v="CADILAHC"/>
    <n v="-132.35936000000001"/>
  </r>
  <r>
    <n v="443"/>
    <x v="75"/>
    <s v="EQ Intraday"/>
    <s v="CADILAHC"/>
    <n v="-122.83453"/>
  </r>
  <r>
    <n v="444"/>
    <x v="76"/>
    <s v="EQ Intraday"/>
    <s v="RELCAPITAL"/>
    <n v="-134.7576267187516"/>
  </r>
  <r>
    <n v="445"/>
    <x v="76"/>
    <s v="EQ Intraday"/>
    <s v="HDIL"/>
    <n v="386.09410274999937"/>
  </r>
  <r>
    <n v="446"/>
    <x v="76"/>
    <s v="EQ Intraday"/>
    <s v="RELCAPITAL"/>
    <n v="-38.507185937501596"/>
  </r>
  <r>
    <n v="447"/>
    <x v="77"/>
    <s v="EQ Intraday"/>
    <s v="HDIL"/>
    <n v="-107.65794881249737"/>
  </r>
  <r>
    <n v="448"/>
    <x v="77"/>
    <s v="EQ Intraday"/>
    <s v="Edelweiss"/>
    <n v="117.08221359375077"/>
  </r>
  <r>
    <n v="449"/>
    <x v="77"/>
    <s v="EQ Intraday"/>
    <s v="Edelweiss"/>
    <n v="68.918696015622785"/>
  </r>
  <r>
    <n v="450"/>
    <x v="77"/>
    <s v="EQ Intraday"/>
    <s v="HDIL"/>
    <n v="-91.657712500001139"/>
  </r>
  <r>
    <n v="451"/>
    <x v="78"/>
    <s v="EQ Intraday"/>
    <s v="Edelweiss"/>
    <n v="92.690567459997567"/>
  </r>
  <r>
    <n v="452"/>
    <x v="78"/>
    <s v="EQ Intraday"/>
    <s v="Edelweiss"/>
    <n v="-92.816663906251534"/>
  </r>
  <r>
    <n v="453"/>
    <x v="78"/>
    <s v="EQ Intraday"/>
    <s v="Edelweiss"/>
    <n v="-238.20964302062222"/>
  </r>
  <r>
    <n v="454"/>
    <x v="78"/>
    <s v="EQ Intraday"/>
    <s v="IBREALEST"/>
    <n v="-3.3618374999969305"/>
  </r>
  <r>
    <n v="455"/>
    <x v="79"/>
    <s v="EQ Intraday"/>
    <s v="KSCL"/>
    <n v="120.349147625"/>
  </r>
  <r>
    <n v="456"/>
    <x v="80"/>
    <s v="EQ Intraday"/>
    <s v="JustDial"/>
    <n v="-366.78115268749923"/>
  </r>
  <r>
    <n v="457"/>
    <x v="80"/>
    <s v="EQ Intraday"/>
    <s v="Edelweiss"/>
    <n v="107.5241401736269"/>
  </r>
  <r>
    <n v="458"/>
    <x v="80"/>
    <s v="EQ Intraday"/>
    <s v="KARURVYSYA"/>
    <n v="-14.894489999999998"/>
  </r>
  <r>
    <n v="459"/>
    <x v="80"/>
    <s v="EQ Intraday"/>
    <s v="Edelweiss"/>
    <n v="-5.6168529062706085E-2"/>
  </r>
  <r>
    <n v="460"/>
    <x v="80"/>
    <s v="EQ Intraday"/>
    <s v="HDIL"/>
    <n v="-39.004192999998608"/>
  </r>
  <r>
    <n v="461"/>
    <x v="81"/>
    <s v="EQ Intraday"/>
    <s v="Edelweiss"/>
    <n v="92.892865624999999"/>
  </r>
  <r>
    <n v="462"/>
    <x v="81"/>
    <s v="EQ Intraday"/>
    <s v="HDIL"/>
    <n v="93.841418750000003"/>
  </r>
  <r>
    <n v="463"/>
    <x v="81"/>
    <s v="EQ Intraday"/>
    <s v="GPPL"/>
    <n v="3.2720703124995278"/>
  </r>
  <r>
    <n v="464"/>
    <x v="82"/>
    <s v="EQ Intraday"/>
    <s v="Edelweiss"/>
    <n v="-47.710503750000456"/>
  </r>
  <r>
    <n v="465"/>
    <x v="82"/>
    <s v="EQ Intraday"/>
    <s v="HDIL"/>
    <n v="-14.722156062501362"/>
  </r>
  <r>
    <n v="466"/>
    <x v="82"/>
    <s v="EQ Intraday"/>
    <s v="KARURVYSYA"/>
    <n v="142.15661912499999"/>
  </r>
  <r>
    <n v="467"/>
    <x v="83"/>
    <s v="EQ Intraday"/>
    <s v="GPPL"/>
    <n v="-85.387378124999998"/>
  </r>
  <r>
    <n v="468"/>
    <x v="83"/>
    <s v="EQ Intraday"/>
    <s v="HDIL"/>
    <n v="-226.40855610937493"/>
  </r>
  <r>
    <n v="469"/>
    <x v="83"/>
    <s v="EQ Intraday"/>
    <s v="LOVABLE"/>
    <n v="-137.66827731249919"/>
  </r>
  <r>
    <n v="470"/>
    <x v="84"/>
    <s v="EQ Intraday"/>
    <s v="HDIL"/>
    <n v="140.986115625"/>
  </r>
  <r>
    <n v="471"/>
    <x v="84"/>
    <s v="Index Option"/>
    <s v="Nifty"/>
    <n v="-197.90456125"/>
  </r>
  <r>
    <n v="472"/>
    <x v="85"/>
    <s v="EQ Intraday"/>
    <s v="HDIL"/>
    <n v="-61.674379687499147"/>
  </r>
  <r>
    <n v="473"/>
    <x v="85"/>
    <s v="EQ Intraday"/>
    <s v="Edelweiss"/>
    <n v="-153.0807753125008"/>
  </r>
  <r>
    <n v="474"/>
    <x v="86"/>
    <s v="EQ Intraday"/>
    <s v="WOCKPHARMA"/>
    <n v="-13.244883374999137"/>
  </r>
  <r>
    <n v="475"/>
    <x v="86"/>
    <s v="EQ Intraday"/>
    <s v="IBREALEST"/>
    <n v="-96.17976250000099"/>
  </r>
  <r>
    <n v="476"/>
    <x v="87"/>
    <s v="EQ Intraday"/>
    <s v="CIPLA"/>
    <n v="-32.2926298750005"/>
  </r>
  <r>
    <n v="477"/>
    <x v="87"/>
    <s v="EQ Intraday"/>
    <s v="BANKBARODA"/>
    <n v="-42.085096687499998"/>
  </r>
  <r>
    <n v="478"/>
    <x v="88"/>
    <s v="EQ Intraday"/>
    <s v="GMRINFRA"/>
    <n v="-64.488072656250395"/>
  </r>
  <r>
    <n v="479"/>
    <x v="89"/>
    <s v="EQ Intraday"/>
    <s v="COALINDIA"/>
    <n v="-4.9010420625000339"/>
  </r>
  <r>
    <n v="480"/>
    <x v="89"/>
    <s v="EQ Intraday"/>
    <s v="Edelweiss"/>
    <n v="-11.2725643125"/>
  </r>
  <r>
    <n v="481"/>
    <x v="89"/>
    <s v="EQ Intraday"/>
    <s v="FORTIS"/>
    <n v="8.9160453749999657"/>
  </r>
  <r>
    <n v="482"/>
    <x v="90"/>
    <s v="EQ Intraday"/>
    <s v="M&amp;M"/>
    <n v="-7.9779711562499545"/>
  </r>
  <r>
    <n v="483"/>
    <x v="90"/>
    <s v="EQ Intraday"/>
    <s v="GODREJPROP"/>
    <n v="-5.7992555625001367"/>
  </r>
  <r>
    <n v="484"/>
    <x v="90"/>
    <s v="EQ Intraday"/>
    <s v="CENTRALBK"/>
    <n v="-6.1593289999999996"/>
  </r>
  <r>
    <n v="485"/>
    <x v="90"/>
    <s v="EQ Intraday"/>
    <s v="ABFRL"/>
    <n v="-9.396633562500103"/>
  </r>
  <r>
    <n v="486"/>
    <x v="90"/>
    <s v="EQ Intraday"/>
    <s v="BAJAJELEC"/>
    <n v="-10.873232812499932"/>
  </r>
  <r>
    <n v="487"/>
    <x v="90"/>
    <s v="EQ Intraday"/>
    <s v="HAVELLS"/>
    <n v="28.270342437499977"/>
  </r>
  <r>
    <n v="488"/>
    <x v="91"/>
    <s v="EQ Intraday"/>
    <s v="UPL"/>
    <n v="-6.1666671250000231"/>
  </r>
  <r>
    <n v="489"/>
    <x v="91"/>
    <s v="EQ Intraday"/>
    <s v="ICICIPRULI"/>
    <n v="116.42929068749989"/>
  </r>
  <r>
    <n v="490"/>
    <x v="92"/>
    <s v="EQ Intraday"/>
    <s v="SNOWMAN"/>
    <n v="-3.6093961849999987"/>
  </r>
  <r>
    <n v="491"/>
    <x v="92"/>
    <s v="EQ Intraday"/>
    <s v="VTL"/>
    <n v="52.099035765000224"/>
  </r>
  <r>
    <n v="492"/>
    <x v="93"/>
    <s v="EQ Intraday"/>
    <s v="JKCEMENT"/>
    <n v="-5.9556166900000687"/>
  </r>
  <r>
    <n v="493"/>
    <x v="93"/>
    <s v="EQ Intraday"/>
    <s v="JYOTHYLAB"/>
    <n v="-2.6939014375000454"/>
  </r>
  <r>
    <n v="494"/>
    <x v="94"/>
    <s v="EQ Intraday"/>
    <s v="CANBK"/>
    <n v="-1.7789065374999544"/>
  </r>
  <r>
    <n v="495"/>
    <x v="94"/>
    <s v="EQ Intraday"/>
    <s v="TATAMOTORS"/>
    <n v="1.1033422749999773"/>
  </r>
  <r>
    <n v="496"/>
    <x v="95"/>
    <s v="EQ Intraday"/>
    <s v="PVR"/>
    <n v="-9.4273024075000453"/>
  </r>
  <r>
    <n v="497"/>
    <x v="95"/>
    <s v="EQ Intraday"/>
    <s v="GRASIM"/>
    <n v="-1.5722618450000454"/>
  </r>
  <r>
    <n v="498"/>
    <x v="95"/>
    <s v="EQ Intraday"/>
    <s v="THOMASCOOK"/>
    <n v="-1.9190356325"/>
  </r>
  <r>
    <n v="499"/>
    <x v="96"/>
    <s v="EQ Intraday"/>
    <s v="FORTIS"/>
    <n v="1.6386903575"/>
  </r>
  <r>
    <n v="500"/>
    <x v="97"/>
    <s v="EQ Intraday"/>
    <s v="HINDZINC"/>
    <n v="3.0146373549999885"/>
  </r>
  <r>
    <n v="501"/>
    <x v="97"/>
    <s v="EQ Intraday"/>
    <s v="RECLTD"/>
    <n v="-75.232759967500513"/>
  </r>
  <r>
    <n v="502"/>
    <x v="98"/>
    <s v="EQ Intraday"/>
    <s v="TATACOMM"/>
    <n v="-43.897084749999223"/>
  </r>
  <r>
    <n v="503"/>
    <x v="99"/>
    <s v="EQ Intraday"/>
    <s v="SADBHAV"/>
    <n v="3.3938226400000113"/>
  </r>
  <r>
    <n v="504"/>
    <x v="99"/>
    <s v="EQ Intraday"/>
    <s v="APOLLOHOSP"/>
    <n v="-7.4564312462500908"/>
  </r>
  <r>
    <n v="505"/>
    <x v="100"/>
    <s v="EQ Intraday"/>
    <s v="TATACOMM"/>
    <n v="-7.0528090200000229"/>
  </r>
  <r>
    <n v="506"/>
    <x v="100"/>
    <s v="EQ Intraday"/>
    <s v="PIIND"/>
    <n v="-9.5396512500000004"/>
  </r>
  <r>
    <n v="507"/>
    <x v="100"/>
    <s v="EQ Intraday"/>
    <s v="TV18BRDCST"/>
    <n v="-0.57806878249999716"/>
  </r>
  <r>
    <n v="508"/>
    <x v="100"/>
    <s v="EQ Intraday"/>
    <s v="NATIONALALUM"/>
    <n v="-0.74976692000000289"/>
  </r>
  <r>
    <n v="509"/>
    <x v="100"/>
    <s v="EQ Intraday"/>
    <s v="INOXWIND"/>
    <n v="-1.3606599625"/>
  </r>
  <r>
    <n v="510"/>
    <x v="100"/>
    <s v="EQ Intraday"/>
    <s v="BHARTIARTL"/>
    <n v="2.7553696437500341"/>
  </r>
  <r>
    <n v="511"/>
    <x v="100"/>
    <s v="EQ Intraday"/>
    <s v="UJJIVAN"/>
    <n v="-2.5365209950000116"/>
  </r>
  <r>
    <n v="512"/>
    <x v="100"/>
    <s v="EQ Intraday"/>
    <s v="RBLBANK"/>
    <n v="-2.6731742949999546"/>
  </r>
  <r>
    <n v="513"/>
    <x v="100"/>
    <s v="EQ Intraday"/>
    <s v="CAPF"/>
    <n v="-5.1133856150000225"/>
  </r>
  <r>
    <n v="514"/>
    <x v="100"/>
    <s v="EQ Intraday"/>
    <s v="BHARATFIN"/>
    <n v="6.4092990000022776E-2"/>
  </r>
  <r>
    <n v="515"/>
    <x v="100"/>
    <s v="EQ Intraday"/>
    <s v="AATRIIND"/>
    <n v="-2.3808908950000456"/>
  </r>
  <r>
    <n v="516"/>
    <x v="100"/>
    <s v="EQ Intraday"/>
    <s v="NATCOPHARMA"/>
    <n v="-9.4394689374999992"/>
  </r>
  <r>
    <n v="517"/>
    <x v="100"/>
    <s v="EQ Intraday"/>
    <s v="SYNGENE"/>
    <n v="-3.8413674250000001"/>
  </r>
  <r>
    <n v="518"/>
    <x v="101"/>
    <s v="EQ Intraday"/>
    <s v="GODREJPROP"/>
    <n v="-3.3494986500000001"/>
  </r>
  <r>
    <n v="519"/>
    <x v="102"/>
    <s v="EQ Intraday"/>
    <s v="BIOCON"/>
    <n v="35.660613989999952"/>
  </r>
  <r>
    <n v="520"/>
    <x v="102"/>
    <s v="EQ Intraday"/>
    <s v="HINDALCO"/>
    <n v="-6.6565326099999833"/>
  </r>
  <r>
    <n v="521"/>
    <x v="102"/>
    <s v="EQ Intraday"/>
    <s v="INDUSINDBK"/>
    <n v="-3.0272057175000455"/>
  </r>
  <r>
    <n v="522"/>
    <x v="103"/>
    <s v="EQ Intraday"/>
    <s v="GPPL"/>
    <n v="-0.79903764499998864"/>
  </r>
  <r>
    <n v="523"/>
    <x v="104"/>
    <s v="EQ Intraday"/>
    <s v="HINDZINC"/>
    <n v="-1.6903374149999999"/>
  </r>
  <r>
    <n v="524"/>
    <x v="104"/>
    <s v="EQ Intraday"/>
    <s v="PNB"/>
    <n v="-0.95731079749999437"/>
  </r>
  <r>
    <n v="525"/>
    <x v="104"/>
    <s v="EQ Intraday"/>
    <s v="SUNPHARMA"/>
    <n v="-2.2013914949999545"/>
  </r>
  <r>
    <n v="526"/>
    <x v="104"/>
    <s v="EQ Intraday"/>
    <s v="CIPLA"/>
    <n v="13.130496806666599"/>
  </r>
  <r>
    <n v="527"/>
    <x v="104"/>
    <s v="EQ Intraday"/>
    <s v="VEDL"/>
    <n v="-3.6165952500022747E-2"/>
  </r>
  <r>
    <n v="528"/>
    <x v="104"/>
    <s v="EQ Intraday"/>
    <s v="FORTIS"/>
    <n v="-0.65559721250001135"/>
  </r>
  <r>
    <n v="529"/>
    <x v="105"/>
    <s v="EQ Intraday"/>
    <s v="DHFL"/>
    <n v="-2.8736491425000112"/>
  </r>
  <r>
    <n v="530"/>
    <x v="105"/>
    <s v="EQ Intraday"/>
    <s v="MOTHERSUMI"/>
    <n v="-2.4738404625000001"/>
  </r>
  <r>
    <n v="531"/>
    <x v="105"/>
    <s v="EQ Intraday"/>
    <s v="SRTTRANSFIN"/>
    <n v="2.0846044675000002"/>
  </r>
  <r>
    <n v="532"/>
    <x v="105"/>
    <s v="EQ Intraday"/>
    <s v="SNOWMAN"/>
    <n v="-0.18938066250000568"/>
  </r>
  <r>
    <n v="533"/>
    <x v="105"/>
    <s v="EQ Intraday"/>
    <s v="DHFL"/>
    <n v="-1.0162523200000915"/>
  </r>
  <r>
    <n v="534"/>
    <x v="105"/>
    <s v="EQ Intraday"/>
    <s v="SRTTRANSFIN"/>
    <n v="-1.7161565924999544"/>
  </r>
  <r>
    <n v="535"/>
    <x v="106"/>
    <s v="EQ Intraday"/>
    <s v="ZEEL"/>
    <n v="-10.746172694999796"/>
  </r>
  <r>
    <n v="536"/>
    <x v="106"/>
    <s v="EQ Intraday"/>
    <s v="BANKINDIA"/>
    <n v="27.863893239999911"/>
  </r>
  <r>
    <n v="537"/>
    <x v="106"/>
    <s v="EQ Intraday"/>
    <s v="RELIANCE"/>
    <n v="17.843434817500047"/>
  </r>
  <r>
    <n v="538"/>
    <x v="107"/>
    <s v="EQ Intraday"/>
    <s v="BANKINDIA"/>
    <n v="-2.0726332849996143"/>
  </r>
  <r>
    <n v="539"/>
    <x v="107"/>
    <s v="EQ Intraday"/>
    <s v="INOXWIND"/>
    <n v="36.964117199999635"/>
  </r>
  <r>
    <n v="540"/>
    <x v="107"/>
    <s v="EQ Intraday"/>
    <s v="AJANTPHARM"/>
    <n v="-4.3306523724999089"/>
  </r>
  <r>
    <n v="541"/>
    <x v="108"/>
    <s v="EQ Intraday"/>
    <s v="CRISIL"/>
    <n v="-11.746779927500045"/>
  </r>
  <r>
    <n v="542"/>
    <x v="108"/>
    <s v="EQ Intraday"/>
    <s v="INOXWIND"/>
    <n v="-6.4855704650002899"/>
  </r>
  <r>
    <n v="543"/>
    <x v="108"/>
    <s v="EQ Intraday"/>
    <s v="COALINDIA"/>
    <n v="-39.673376194165698"/>
  </r>
  <r>
    <n v="544"/>
    <x v="108"/>
    <s v="EQ Intraday"/>
    <s v="BANKINDIA"/>
    <n v="-24.501149775000002"/>
  </r>
  <r>
    <n v="545"/>
    <x v="109"/>
    <s v="EQ Intraday"/>
    <s v="AJANTPHARM"/>
    <n v="-0.78537082999995445"/>
  </r>
  <r>
    <n v="546"/>
    <x v="109"/>
    <s v="EQ Intraday"/>
    <s v="JINDALSTEL"/>
    <n v="-14.342735549999874"/>
  </r>
  <r>
    <n v="547"/>
    <x v="109"/>
    <s v="EQ Intraday"/>
    <s v="NIITTECH"/>
    <n v="-15.924597502500136"/>
  </r>
  <r>
    <n v="548"/>
    <x v="109"/>
    <s v="EQ Intraday"/>
    <s v="SUNPHARMA"/>
    <n v="-38.991651699999998"/>
  </r>
  <r>
    <n v="549"/>
    <x v="109"/>
    <s v="EQ Intraday"/>
    <s v="YESBANK"/>
    <n v="12.174694269999863"/>
  </r>
  <r>
    <n v="550"/>
    <x v="110"/>
    <s v="EQ Intraday"/>
    <s v="YESBANK"/>
    <n v="191.241590745"/>
  </r>
  <r>
    <n v="551"/>
    <x v="111"/>
    <s v="EQ Intraday"/>
    <s v="BHARATFIN"/>
    <n v="-82.213876732499585"/>
  </r>
  <r>
    <n v="552"/>
    <x v="111"/>
    <s v="EQ Intraday"/>
    <s v="L&amp;TFH"/>
    <n v="227.28536325999977"/>
  </r>
  <r>
    <n v="553"/>
    <x v="112"/>
    <s v="EQ Intraday"/>
    <s v="LUPIN"/>
    <n v="-32.899244429999271"/>
  </r>
  <r>
    <n v="554"/>
    <x v="112"/>
    <s v="EQ Intraday"/>
    <s v="CANBK"/>
    <n v="-87.415443865000427"/>
  </r>
  <r>
    <n v="555"/>
    <x v="113"/>
    <s v="EQ Intraday"/>
    <s v="IBREALEST"/>
    <n v="10.394055269999591"/>
  </r>
  <r>
    <n v="556"/>
    <x v="114"/>
    <s v="EQ Intraday"/>
    <s v="Edelweiss"/>
    <n v="82.027299747500237"/>
  </r>
  <r>
    <n v="557"/>
    <x v="115"/>
    <s v="EQ Intraday"/>
    <s v="IBREALEST"/>
    <n v="-13.559749280000158"/>
  </r>
  <r>
    <n v="558"/>
    <x v="115"/>
    <s v="EQ Intraday"/>
    <s v="LUPIN"/>
    <n v="-70.391697412499795"/>
  </r>
  <r>
    <n v="559"/>
    <x v="115"/>
    <s v="EQ Intraday"/>
    <s v="Edelweiss"/>
    <n v="-42.085276484999923"/>
  </r>
  <r>
    <n v="560"/>
    <x v="115"/>
    <s v="EQ Intraday"/>
    <s v="LUPIN"/>
    <n v="57.545398750000636"/>
  </r>
  <r>
    <n v="561"/>
    <x v="116"/>
    <s v="EQ Intraday"/>
    <s v="HDIL"/>
    <n v="-60.035523300000342"/>
  </r>
  <r>
    <n v="562"/>
    <x v="116"/>
    <s v="EQ Intraday"/>
    <s v="HDIL"/>
    <n v="105.01454200000086"/>
  </r>
  <r>
    <n v="563"/>
    <x v="117"/>
    <s v="EQ Intraday"/>
    <s v="ARVIND"/>
    <n v="-53.36665823000039"/>
  </r>
  <r>
    <n v="564"/>
    <x v="117"/>
    <s v="EQ Intraday"/>
    <s v="Edelweiss"/>
    <n v="-116.83121239499999"/>
  </r>
  <r>
    <n v="565"/>
    <x v="117"/>
    <s v="EQ Intraday"/>
    <s v="HDIL"/>
    <n v="171.43343425000086"/>
  </r>
  <r>
    <n v="566"/>
    <x v="118"/>
    <s v="EQ Intraday"/>
    <s v="LUPIN"/>
    <n v="-182.56757320000023"/>
  </r>
  <r>
    <n v="567"/>
    <x v="118"/>
    <s v="EQ Intraday"/>
    <s v="NATCOPHARM"/>
    <n v="250.48031655000011"/>
  </r>
  <r>
    <n v="568"/>
    <x v="119"/>
    <s v="EQ Intraday"/>
    <s v="NATCOPHARM"/>
    <n v="-147.18869416333359"/>
  </r>
  <r>
    <n v="569"/>
    <x v="119"/>
    <s v="EQ Intraday"/>
    <s v="NATCOPHARM"/>
    <n v="-30.283007009999455"/>
  </r>
  <r>
    <n v="570"/>
    <x v="119"/>
    <s v="EQ Intraday"/>
    <s v="NATCOPHARM"/>
    <n v="-102.72907015000068"/>
  </r>
  <r>
    <n v="571"/>
    <x v="119"/>
    <s v="EQ Intraday"/>
    <s v="NATCOPHARM"/>
    <n v="128.06716785500046"/>
  </r>
  <r>
    <n v="572"/>
    <x v="119"/>
    <s v="EQ Intraday"/>
    <s v="NATCOPHARM"/>
    <n v="12.927223047500819"/>
  </r>
  <r>
    <n v="573"/>
    <x v="119"/>
    <s v="EQ Intraday"/>
    <s v="NATCOPHARM"/>
    <n v="-23.897174849999772"/>
  </r>
  <r>
    <n v="574"/>
    <x v="119"/>
    <s v="EQ Intraday"/>
    <s v="HDIL"/>
    <n v="-91.630542383333989"/>
  </r>
  <r>
    <n v="575"/>
    <x v="119"/>
    <s v="EQ Intraday"/>
    <s v="NATCOPHARM"/>
    <n v="159.51085440000091"/>
  </r>
  <r>
    <n v="576"/>
    <x v="119"/>
    <s v="EQ Intraday"/>
    <s v="NATCOPHARM"/>
    <n v="-26.23983437500091"/>
  </r>
  <r>
    <n v="577"/>
    <x v="119"/>
    <s v="EQ Intraday"/>
    <s v="HDIL"/>
    <n v="81.001364750000135"/>
  </r>
  <r>
    <n v="578"/>
    <x v="120"/>
    <s v="EQ Intraday"/>
    <s v="SUNTV"/>
    <n v="-17.730006100000089"/>
  </r>
  <r>
    <n v="579"/>
    <x v="121"/>
    <s v="EQ Intraday"/>
    <s v="ADANIENT"/>
    <n v="-24.829775525000084"/>
  </r>
  <r>
    <n v="580"/>
    <x v="121"/>
    <s v="EQ Intraday"/>
    <s v="ADANIENT"/>
    <n v="-14.626048508333248"/>
  </r>
  <r>
    <n v="581"/>
    <x v="122"/>
    <s v="EQ Intraday"/>
    <s v="KWALITY"/>
    <n v="-84.135130875000002"/>
  </r>
  <r>
    <n v="582"/>
    <x v="123"/>
    <s v="EQ Intraday"/>
    <s v="GODREJPROP"/>
    <n v="-380.93924447648646"/>
  </r>
  <r>
    <n v="583"/>
    <x v="123"/>
    <s v="EQ Intraday"/>
    <s v="AUTOAXLES"/>
    <n v="-1946.7206051129963"/>
  </r>
  <r>
    <n v="584"/>
    <x v="123"/>
    <s v="EQ Intraday"/>
    <s v="WOCKPHARMA"/>
    <n v="-1474.7407016152697"/>
  </r>
  <r>
    <n v="585"/>
    <x v="123"/>
    <s v="EQ Intraday"/>
    <s v="WOCKPHARMA"/>
    <n v="124.46748624303419"/>
  </r>
  <r>
    <n v="586"/>
    <x v="123"/>
    <s v="EQ Intraday"/>
    <s v="AUTOAXLES"/>
    <n v="-142.39857194167371"/>
  </r>
  <r>
    <n v="587"/>
    <x v="124"/>
    <s v="EQ Intraday"/>
    <s v="DIVISLAB"/>
    <n v="101.38724825"/>
  </r>
  <r>
    <n v="588"/>
    <x v="125"/>
    <s v="EQ Intraday"/>
    <s v="EDELWEISS"/>
    <n v="-205.32339567481847"/>
  </r>
  <r>
    <n v="589"/>
    <x v="125"/>
    <s v="EQ Intraday"/>
    <s v="DIVISLAB"/>
    <n v="461.26637533664996"/>
  </r>
  <r>
    <n v="590"/>
    <x v="126"/>
    <s v="EQ Intraday"/>
    <s v="RELCAPITAL"/>
    <n v="0.14022550500055786"/>
  </r>
  <r>
    <n v="591"/>
    <x v="127"/>
    <s v="EQ Intraday"/>
    <s v="ABAN"/>
    <n v="-217.07770640999814"/>
  </r>
  <r>
    <n v="592"/>
    <x v="127"/>
    <s v="EQ Intraday"/>
    <s v="INFIBEAM"/>
    <n v="-1105.0848483900027"/>
  </r>
  <r>
    <n v="593"/>
    <x v="128"/>
    <s v="EQ Intraday"/>
    <s v="INOXWIND"/>
    <n v="-160.36016456426489"/>
  </r>
  <r>
    <n v="594"/>
    <x v="129"/>
    <s v="EQ Intraday"/>
    <s v="JETAIRWAYS"/>
    <n v="-77.974868455000504"/>
  </r>
  <r>
    <n v="595"/>
    <x v="129"/>
    <s v="EQ Intraday"/>
    <s v="JustDial"/>
    <n v="-58.516430925000115"/>
  </r>
  <r>
    <n v="596"/>
    <x v="129"/>
    <s v="EQ Intraday"/>
    <s v="IBREALEST"/>
    <n v="41.92745859750012"/>
  </r>
  <r>
    <n v="597"/>
    <x v="130"/>
    <s v="EQ Intraday"/>
    <s v="JustDial"/>
    <n v="-25.602676275000057"/>
  </r>
  <r>
    <n v="598"/>
    <x v="130"/>
    <s v="EQ Intraday"/>
    <s v="DLF"/>
    <n v="4.4276972499999996"/>
  </r>
  <r>
    <n v="599"/>
    <x v="130"/>
    <s v="EQ Intraday"/>
    <s v="AXISBANK"/>
    <n v="-3.3532628175000001"/>
  </r>
  <r>
    <n v="600"/>
    <x v="0"/>
    <m/>
    <m/>
    <n v="0"/>
  </r>
  <r>
    <n v="601"/>
    <x v="0"/>
    <m/>
    <m/>
    <n v="0"/>
  </r>
  <r>
    <n v="602"/>
    <x v="0"/>
    <m/>
    <m/>
    <n v="0"/>
  </r>
  <r>
    <n v="603"/>
    <x v="0"/>
    <m/>
    <m/>
    <n v="0"/>
  </r>
  <r>
    <n v="604"/>
    <x v="0"/>
    <m/>
    <m/>
    <n v="0"/>
  </r>
  <r>
    <n v="605"/>
    <x v="0"/>
    <m/>
    <m/>
    <n v="0"/>
  </r>
  <r>
    <n v="606"/>
    <x v="0"/>
    <m/>
    <m/>
    <n v="0"/>
  </r>
  <r>
    <n v="607"/>
    <x v="0"/>
    <m/>
    <m/>
    <n v="0"/>
  </r>
  <r>
    <n v="608"/>
    <x v="0"/>
    <m/>
    <m/>
    <n v="0"/>
  </r>
  <r>
    <n v="609"/>
    <x v="0"/>
    <m/>
    <m/>
    <n v="0"/>
  </r>
  <r>
    <n v="610"/>
    <x v="0"/>
    <m/>
    <m/>
    <n v="0"/>
  </r>
  <r>
    <n v="611"/>
    <x v="0"/>
    <m/>
    <m/>
    <n v="0"/>
  </r>
  <r>
    <n v="612"/>
    <x v="0"/>
    <m/>
    <m/>
    <n v="0"/>
  </r>
  <r>
    <n v="613"/>
    <x v="0"/>
    <m/>
    <m/>
    <n v="0"/>
  </r>
  <r>
    <n v="614"/>
    <x v="0"/>
    <m/>
    <m/>
    <n v="0"/>
  </r>
  <r>
    <n v="615"/>
    <x v="0"/>
    <m/>
    <m/>
    <n v="0"/>
  </r>
  <r>
    <n v="616"/>
    <x v="0"/>
    <m/>
    <m/>
    <n v="0"/>
  </r>
  <r>
    <n v="617"/>
    <x v="0"/>
    <m/>
    <m/>
    <n v="0"/>
  </r>
  <r>
    <n v="618"/>
    <x v="0"/>
    <m/>
    <m/>
    <n v="0"/>
  </r>
  <r>
    <n v="619"/>
    <x v="0"/>
    <m/>
    <m/>
    <n v="0"/>
  </r>
  <r>
    <n v="620"/>
    <x v="0"/>
    <m/>
    <m/>
    <n v="0"/>
  </r>
  <r>
    <n v="621"/>
    <x v="0"/>
    <m/>
    <m/>
    <n v="0"/>
  </r>
  <r>
    <n v="622"/>
    <x v="0"/>
    <m/>
    <m/>
    <n v="0"/>
  </r>
  <r>
    <n v="623"/>
    <x v="0"/>
    <m/>
    <m/>
    <n v="0"/>
  </r>
  <r>
    <n v="624"/>
    <x v="0"/>
    <m/>
    <m/>
    <n v="0"/>
  </r>
  <r>
    <n v="625"/>
    <x v="0"/>
    <m/>
    <m/>
    <n v="0"/>
  </r>
  <r>
    <n v="626"/>
    <x v="0"/>
    <m/>
    <m/>
    <n v="0"/>
  </r>
  <r>
    <n v="627"/>
    <x v="0"/>
    <m/>
    <m/>
    <n v="0"/>
  </r>
  <r>
    <n v="628"/>
    <x v="0"/>
    <m/>
    <m/>
    <n v="0"/>
  </r>
  <r>
    <n v="629"/>
    <x v="0"/>
    <m/>
    <m/>
    <n v="0"/>
  </r>
  <r>
    <n v="630"/>
    <x v="0"/>
    <m/>
    <m/>
    <n v="0"/>
  </r>
  <r>
    <n v="631"/>
    <x v="0"/>
    <m/>
    <m/>
    <n v="0"/>
  </r>
  <r>
    <n v="632"/>
    <x v="0"/>
    <m/>
    <m/>
    <n v="0"/>
  </r>
  <r>
    <n v="633"/>
    <x v="0"/>
    <m/>
    <m/>
    <n v="0"/>
  </r>
  <r>
    <n v="634"/>
    <x v="0"/>
    <m/>
    <m/>
    <n v="0"/>
  </r>
  <r>
    <n v="635"/>
    <x v="0"/>
    <m/>
    <m/>
    <n v="0"/>
  </r>
  <r>
    <n v="636"/>
    <x v="0"/>
    <m/>
    <m/>
    <n v="0"/>
  </r>
  <r>
    <n v="637"/>
    <x v="0"/>
    <m/>
    <m/>
    <n v="0"/>
  </r>
  <r>
    <n v="638"/>
    <x v="0"/>
    <m/>
    <m/>
    <n v="0"/>
  </r>
  <r>
    <n v="639"/>
    <x v="0"/>
    <m/>
    <m/>
    <n v="0"/>
  </r>
  <r>
    <n v="640"/>
    <x v="0"/>
    <m/>
    <m/>
    <n v="0"/>
  </r>
  <r>
    <n v="641"/>
    <x v="0"/>
    <m/>
    <m/>
    <n v="0"/>
  </r>
  <r>
    <n v="642"/>
    <x v="0"/>
    <m/>
    <m/>
    <n v="0"/>
  </r>
  <r>
    <n v="643"/>
    <x v="0"/>
    <m/>
    <m/>
    <n v="0"/>
  </r>
  <r>
    <n v="644"/>
    <x v="0"/>
    <m/>
    <m/>
    <n v="0"/>
  </r>
  <r>
    <n v="645"/>
    <x v="0"/>
    <m/>
    <m/>
    <n v="0"/>
  </r>
  <r>
    <n v="646"/>
    <x v="0"/>
    <m/>
    <m/>
    <n v="0"/>
  </r>
  <r>
    <n v="647"/>
    <x v="0"/>
    <m/>
    <m/>
    <n v="0"/>
  </r>
  <r>
    <n v="648"/>
    <x v="0"/>
    <m/>
    <m/>
    <n v="0"/>
  </r>
  <r>
    <n v="649"/>
    <x v="0"/>
    <m/>
    <m/>
    <n v="0"/>
  </r>
  <r>
    <n v="650"/>
    <x v="0"/>
    <m/>
    <m/>
    <n v="0"/>
  </r>
  <r>
    <n v="651"/>
    <x v="0"/>
    <m/>
    <m/>
    <n v="0"/>
  </r>
  <r>
    <n v="652"/>
    <x v="0"/>
    <m/>
    <m/>
    <n v="0"/>
  </r>
  <r>
    <n v="653"/>
    <x v="0"/>
    <m/>
    <m/>
    <n v="0"/>
  </r>
  <r>
    <n v="654"/>
    <x v="0"/>
    <m/>
    <m/>
    <n v="0"/>
  </r>
  <r>
    <n v="655"/>
    <x v="0"/>
    <m/>
    <m/>
    <n v="0"/>
  </r>
  <r>
    <n v="656"/>
    <x v="0"/>
    <m/>
    <m/>
    <n v="0"/>
  </r>
  <r>
    <n v="657"/>
    <x v="0"/>
    <m/>
    <m/>
    <n v="0"/>
  </r>
  <r>
    <n v="658"/>
    <x v="0"/>
    <m/>
    <m/>
    <n v="0"/>
  </r>
  <r>
    <n v="659"/>
    <x v="0"/>
    <m/>
    <m/>
    <n v="0"/>
  </r>
  <r>
    <n v="660"/>
    <x v="0"/>
    <m/>
    <m/>
    <n v="0"/>
  </r>
  <r>
    <n v="661"/>
    <x v="0"/>
    <m/>
    <m/>
    <n v="0"/>
  </r>
  <r>
    <n v="662"/>
    <x v="0"/>
    <m/>
    <m/>
    <n v="0"/>
  </r>
  <r>
    <n v="663"/>
    <x v="0"/>
    <m/>
    <m/>
    <n v="0"/>
  </r>
  <r>
    <n v="664"/>
    <x v="0"/>
    <m/>
    <m/>
    <n v="0"/>
  </r>
  <r>
    <n v="665"/>
    <x v="0"/>
    <m/>
    <m/>
    <n v="0"/>
  </r>
  <r>
    <n v="666"/>
    <x v="0"/>
    <m/>
    <m/>
    <n v="0"/>
  </r>
  <r>
    <n v="667"/>
    <x v="0"/>
    <m/>
    <m/>
    <n v="0"/>
  </r>
  <r>
    <n v="668"/>
    <x v="0"/>
    <m/>
    <m/>
    <n v="0"/>
  </r>
  <r>
    <n v="669"/>
    <x v="0"/>
    <m/>
    <m/>
    <n v="0"/>
  </r>
  <r>
    <n v="670"/>
    <x v="0"/>
    <m/>
    <m/>
    <n v="0"/>
  </r>
  <r>
    <n v="671"/>
    <x v="0"/>
    <m/>
    <m/>
    <n v="0"/>
  </r>
  <r>
    <n v="672"/>
    <x v="0"/>
    <m/>
    <m/>
    <n v="0"/>
  </r>
  <r>
    <n v="673"/>
    <x v="0"/>
    <m/>
    <m/>
    <n v="0"/>
  </r>
  <r>
    <n v="674"/>
    <x v="0"/>
    <m/>
    <m/>
    <n v="0"/>
  </r>
  <r>
    <n v="675"/>
    <x v="0"/>
    <m/>
    <m/>
    <n v="0"/>
  </r>
  <r>
    <n v="676"/>
    <x v="0"/>
    <m/>
    <m/>
    <n v="0"/>
  </r>
  <r>
    <n v="677"/>
    <x v="0"/>
    <m/>
    <m/>
    <n v="0"/>
  </r>
  <r>
    <n v="678"/>
    <x v="0"/>
    <m/>
    <m/>
    <n v="0"/>
  </r>
  <r>
    <n v="679"/>
    <x v="0"/>
    <m/>
    <m/>
    <n v="0"/>
  </r>
  <r>
    <n v="680"/>
    <x v="0"/>
    <m/>
    <m/>
    <n v="0"/>
  </r>
  <r>
    <n v="681"/>
    <x v="0"/>
    <m/>
    <m/>
    <n v="0"/>
  </r>
  <r>
    <n v="682"/>
    <x v="0"/>
    <m/>
    <m/>
    <n v="0"/>
  </r>
  <r>
    <n v="683"/>
    <x v="0"/>
    <m/>
    <m/>
    <n v="0"/>
  </r>
  <r>
    <n v="684"/>
    <x v="0"/>
    <m/>
    <m/>
    <n v="0"/>
  </r>
  <r>
    <n v="685"/>
    <x v="0"/>
    <m/>
    <m/>
    <n v="0"/>
  </r>
  <r>
    <n v="686"/>
    <x v="0"/>
    <m/>
    <m/>
    <n v="0"/>
  </r>
  <r>
    <n v="687"/>
    <x v="0"/>
    <m/>
    <m/>
    <n v="0"/>
  </r>
  <r>
    <n v="688"/>
    <x v="0"/>
    <m/>
    <m/>
    <n v="0"/>
  </r>
  <r>
    <n v="689"/>
    <x v="0"/>
    <m/>
    <m/>
    <n v="0"/>
  </r>
  <r>
    <n v="690"/>
    <x v="0"/>
    <m/>
    <m/>
    <n v="0"/>
  </r>
  <r>
    <n v="691"/>
    <x v="0"/>
    <m/>
    <m/>
    <n v="0"/>
  </r>
  <r>
    <n v="692"/>
    <x v="0"/>
    <m/>
    <m/>
    <n v="0"/>
  </r>
  <r>
    <n v="693"/>
    <x v="0"/>
    <m/>
    <m/>
    <n v="0"/>
  </r>
  <r>
    <n v="694"/>
    <x v="0"/>
    <m/>
    <m/>
    <n v="0"/>
  </r>
  <r>
    <n v="695"/>
    <x v="0"/>
    <m/>
    <m/>
    <n v="0"/>
  </r>
  <r>
    <n v="696"/>
    <x v="0"/>
    <m/>
    <m/>
    <n v="0"/>
  </r>
  <r>
    <n v="697"/>
    <x v="0"/>
    <m/>
    <m/>
    <n v="0"/>
  </r>
  <r>
    <n v="698"/>
    <x v="0"/>
    <m/>
    <m/>
    <n v="0"/>
  </r>
  <r>
    <n v="699"/>
    <x v="0"/>
    <m/>
    <m/>
    <n v="0"/>
  </r>
  <r>
    <n v="700"/>
    <x v="0"/>
    <m/>
    <m/>
    <n v="0"/>
  </r>
  <r>
    <n v="701"/>
    <x v="0"/>
    <m/>
    <m/>
    <n v="0"/>
  </r>
  <r>
    <n v="702"/>
    <x v="0"/>
    <m/>
    <m/>
    <n v="0"/>
  </r>
  <r>
    <n v="703"/>
    <x v="0"/>
    <m/>
    <m/>
    <n v="0"/>
  </r>
  <r>
    <n v="704"/>
    <x v="0"/>
    <m/>
    <m/>
    <n v="0"/>
  </r>
  <r>
    <n v="705"/>
    <x v="0"/>
    <m/>
    <m/>
    <n v="0"/>
  </r>
  <r>
    <n v="706"/>
    <x v="0"/>
    <m/>
    <m/>
    <n v="0"/>
  </r>
  <r>
    <n v="707"/>
    <x v="0"/>
    <m/>
    <m/>
    <n v="0"/>
  </r>
  <r>
    <n v="708"/>
    <x v="0"/>
    <m/>
    <m/>
    <n v="0"/>
  </r>
  <r>
    <n v="709"/>
    <x v="0"/>
    <m/>
    <m/>
    <n v="0"/>
  </r>
  <r>
    <n v="710"/>
    <x v="0"/>
    <m/>
    <m/>
    <n v="0"/>
  </r>
  <r>
    <n v="711"/>
    <x v="0"/>
    <m/>
    <m/>
    <n v="0"/>
  </r>
  <r>
    <n v="712"/>
    <x v="0"/>
    <m/>
    <m/>
    <n v="0"/>
  </r>
  <r>
    <n v="713"/>
    <x v="0"/>
    <m/>
    <m/>
    <n v="0"/>
  </r>
  <r>
    <n v="714"/>
    <x v="0"/>
    <m/>
    <m/>
    <n v="0"/>
  </r>
  <r>
    <n v="715"/>
    <x v="0"/>
    <m/>
    <m/>
    <n v="0"/>
  </r>
  <r>
    <n v="716"/>
    <x v="0"/>
    <m/>
    <m/>
    <n v="0"/>
  </r>
  <r>
    <n v="717"/>
    <x v="0"/>
    <m/>
    <m/>
    <n v="0"/>
  </r>
  <r>
    <n v="718"/>
    <x v="0"/>
    <m/>
    <m/>
    <n v="0"/>
  </r>
  <r>
    <n v="719"/>
    <x v="0"/>
    <m/>
    <m/>
    <n v="0"/>
  </r>
  <r>
    <n v="720"/>
    <x v="0"/>
    <m/>
    <m/>
    <n v="0"/>
  </r>
  <r>
    <n v="721"/>
    <x v="0"/>
    <m/>
    <m/>
    <n v="0"/>
  </r>
  <r>
    <n v="722"/>
    <x v="0"/>
    <m/>
    <m/>
    <n v="0"/>
  </r>
  <r>
    <n v="723"/>
    <x v="0"/>
    <m/>
    <m/>
    <n v="0"/>
  </r>
  <r>
    <n v="724"/>
    <x v="0"/>
    <m/>
    <m/>
    <n v="0"/>
  </r>
  <r>
    <n v="725"/>
    <x v="0"/>
    <m/>
    <m/>
    <n v="0"/>
  </r>
  <r>
    <n v="726"/>
    <x v="0"/>
    <m/>
    <m/>
    <n v="0"/>
  </r>
  <r>
    <n v="727"/>
    <x v="0"/>
    <m/>
    <m/>
    <n v="0"/>
  </r>
  <r>
    <n v="728"/>
    <x v="0"/>
    <m/>
    <m/>
    <n v="0"/>
  </r>
  <r>
    <n v="729"/>
    <x v="0"/>
    <m/>
    <m/>
    <n v="0"/>
  </r>
  <r>
    <n v="730"/>
    <x v="0"/>
    <m/>
    <m/>
    <n v="0"/>
  </r>
  <r>
    <n v="731"/>
    <x v="0"/>
    <m/>
    <m/>
    <n v="0"/>
  </r>
  <r>
    <n v="732"/>
    <x v="0"/>
    <m/>
    <m/>
    <n v="0"/>
  </r>
  <r>
    <n v="733"/>
    <x v="0"/>
    <m/>
    <m/>
    <n v="0"/>
  </r>
  <r>
    <n v="734"/>
    <x v="0"/>
    <m/>
    <m/>
    <n v="0"/>
  </r>
  <r>
    <n v="735"/>
    <x v="0"/>
    <m/>
    <m/>
    <n v="0"/>
  </r>
  <r>
    <n v="736"/>
    <x v="0"/>
    <m/>
    <m/>
    <n v="0"/>
  </r>
  <r>
    <n v="737"/>
    <x v="0"/>
    <m/>
    <m/>
    <n v="0"/>
  </r>
  <r>
    <n v="738"/>
    <x v="0"/>
    <m/>
    <m/>
    <n v="0"/>
  </r>
  <r>
    <n v="739"/>
    <x v="0"/>
    <m/>
    <m/>
    <n v="0"/>
  </r>
  <r>
    <n v="740"/>
    <x v="0"/>
    <m/>
    <m/>
    <n v="0"/>
  </r>
  <r>
    <n v="741"/>
    <x v="0"/>
    <m/>
    <m/>
    <n v="0"/>
  </r>
  <r>
    <n v="742"/>
    <x v="0"/>
    <m/>
    <m/>
    <n v="0"/>
  </r>
  <r>
    <n v="743"/>
    <x v="0"/>
    <m/>
    <m/>
    <n v="0"/>
  </r>
  <r>
    <n v="744"/>
    <x v="0"/>
    <m/>
    <m/>
    <n v="0"/>
  </r>
  <r>
    <n v="745"/>
    <x v="0"/>
    <m/>
    <m/>
    <n v="0"/>
  </r>
  <r>
    <n v="746"/>
    <x v="0"/>
    <m/>
    <m/>
    <n v="0"/>
  </r>
  <r>
    <n v="747"/>
    <x v="0"/>
    <m/>
    <m/>
    <n v="0"/>
  </r>
  <r>
    <n v="748"/>
    <x v="0"/>
    <m/>
    <m/>
    <n v="0"/>
  </r>
  <r>
    <n v="749"/>
    <x v="0"/>
    <m/>
    <m/>
    <n v="0"/>
  </r>
  <r>
    <n v="750"/>
    <x v="0"/>
    <m/>
    <m/>
    <n v="0"/>
  </r>
  <r>
    <n v="751"/>
    <x v="0"/>
    <m/>
    <m/>
    <n v="0"/>
  </r>
  <r>
    <n v="752"/>
    <x v="0"/>
    <m/>
    <m/>
    <n v="0"/>
  </r>
  <r>
    <n v="753"/>
    <x v="0"/>
    <m/>
    <m/>
    <n v="0"/>
  </r>
  <r>
    <n v="754"/>
    <x v="0"/>
    <m/>
    <m/>
    <n v="0"/>
  </r>
  <r>
    <n v="755"/>
    <x v="0"/>
    <m/>
    <m/>
    <n v="0"/>
  </r>
  <r>
    <n v="756"/>
    <x v="0"/>
    <m/>
    <m/>
    <n v="0"/>
  </r>
  <r>
    <n v="757"/>
    <x v="0"/>
    <m/>
    <m/>
    <n v="0"/>
  </r>
  <r>
    <n v="758"/>
    <x v="0"/>
    <m/>
    <m/>
    <n v="0"/>
  </r>
  <r>
    <n v="759"/>
    <x v="0"/>
    <m/>
    <m/>
    <n v="0"/>
  </r>
  <r>
    <n v="760"/>
    <x v="0"/>
    <m/>
    <m/>
    <n v="0"/>
  </r>
  <r>
    <n v="761"/>
    <x v="0"/>
    <m/>
    <m/>
    <n v="0"/>
  </r>
  <r>
    <n v="762"/>
    <x v="0"/>
    <m/>
    <m/>
    <n v="0"/>
  </r>
  <r>
    <n v="763"/>
    <x v="0"/>
    <m/>
    <m/>
    <n v="0"/>
  </r>
  <r>
    <n v="764"/>
    <x v="0"/>
    <m/>
    <m/>
    <n v="0"/>
  </r>
  <r>
    <n v="765"/>
    <x v="0"/>
    <m/>
    <m/>
    <n v="0"/>
  </r>
  <r>
    <n v="766"/>
    <x v="0"/>
    <m/>
    <m/>
    <n v="0"/>
  </r>
  <r>
    <n v="767"/>
    <x v="0"/>
    <m/>
    <m/>
    <n v="0"/>
  </r>
  <r>
    <n v="768"/>
    <x v="0"/>
    <m/>
    <m/>
    <n v="0"/>
  </r>
  <r>
    <n v="769"/>
    <x v="0"/>
    <m/>
    <m/>
    <n v="0"/>
  </r>
  <r>
    <n v="770"/>
    <x v="0"/>
    <m/>
    <m/>
    <n v="0"/>
  </r>
  <r>
    <n v="771"/>
    <x v="0"/>
    <m/>
    <m/>
    <n v="0"/>
  </r>
  <r>
    <n v="772"/>
    <x v="0"/>
    <m/>
    <m/>
    <n v="0"/>
  </r>
  <r>
    <n v="773"/>
    <x v="0"/>
    <m/>
    <m/>
    <n v="0"/>
  </r>
  <r>
    <n v="774"/>
    <x v="0"/>
    <m/>
    <m/>
    <n v="0"/>
  </r>
  <r>
    <n v="775"/>
    <x v="0"/>
    <m/>
    <m/>
    <n v="0"/>
  </r>
  <r>
    <n v="776"/>
    <x v="0"/>
    <m/>
    <m/>
    <n v="0"/>
  </r>
  <r>
    <n v="777"/>
    <x v="0"/>
    <m/>
    <m/>
    <n v="0"/>
  </r>
  <r>
    <n v="778"/>
    <x v="0"/>
    <m/>
    <m/>
    <n v="0"/>
  </r>
  <r>
    <n v="779"/>
    <x v="0"/>
    <m/>
    <m/>
    <n v="0"/>
  </r>
  <r>
    <n v="780"/>
    <x v="0"/>
    <m/>
    <m/>
    <n v="0"/>
  </r>
  <r>
    <n v="781"/>
    <x v="0"/>
    <m/>
    <m/>
    <n v="0"/>
  </r>
  <r>
    <n v="782"/>
    <x v="0"/>
    <m/>
    <m/>
    <n v="0"/>
  </r>
  <r>
    <n v="783"/>
    <x v="0"/>
    <m/>
    <m/>
    <n v="0"/>
  </r>
  <r>
    <n v="784"/>
    <x v="0"/>
    <m/>
    <m/>
    <n v="0"/>
  </r>
  <r>
    <n v="785"/>
    <x v="0"/>
    <m/>
    <m/>
    <n v="0"/>
  </r>
  <r>
    <n v="786"/>
    <x v="0"/>
    <m/>
    <m/>
    <n v="0"/>
  </r>
  <r>
    <n v="787"/>
    <x v="0"/>
    <m/>
    <m/>
    <n v="0"/>
  </r>
  <r>
    <n v="788"/>
    <x v="0"/>
    <m/>
    <m/>
    <n v="0"/>
  </r>
  <r>
    <n v="789"/>
    <x v="0"/>
    <m/>
    <m/>
    <n v="0"/>
  </r>
  <r>
    <n v="790"/>
    <x v="0"/>
    <m/>
    <m/>
    <n v="0"/>
  </r>
  <r>
    <n v="791"/>
    <x v="0"/>
    <m/>
    <m/>
    <n v="0"/>
  </r>
  <r>
    <n v="792"/>
    <x v="0"/>
    <m/>
    <m/>
    <n v="0"/>
  </r>
  <r>
    <n v="793"/>
    <x v="0"/>
    <m/>
    <m/>
    <n v="0"/>
  </r>
  <r>
    <n v="794"/>
    <x v="0"/>
    <m/>
    <m/>
    <n v="0"/>
  </r>
  <r>
    <n v="795"/>
    <x v="0"/>
    <m/>
    <m/>
    <n v="0"/>
  </r>
  <r>
    <n v="796"/>
    <x v="0"/>
    <m/>
    <m/>
    <n v="0"/>
  </r>
  <r>
    <n v="797"/>
    <x v="0"/>
    <m/>
    <m/>
    <n v="0"/>
  </r>
  <r>
    <n v="798"/>
    <x v="0"/>
    <m/>
    <m/>
    <n v="0"/>
  </r>
  <r>
    <n v="799"/>
    <x v="0"/>
    <m/>
    <m/>
    <n v="0"/>
  </r>
  <r>
    <n v="800"/>
    <x v="0"/>
    <m/>
    <m/>
    <n v="0"/>
  </r>
  <r>
    <n v="801"/>
    <x v="0"/>
    <m/>
    <m/>
    <n v="0"/>
  </r>
  <r>
    <n v="802"/>
    <x v="0"/>
    <m/>
    <m/>
    <n v="0"/>
  </r>
  <r>
    <n v="803"/>
    <x v="0"/>
    <m/>
    <m/>
    <n v="0"/>
  </r>
  <r>
    <n v="804"/>
    <x v="0"/>
    <m/>
    <m/>
    <n v="0"/>
  </r>
  <r>
    <n v="805"/>
    <x v="0"/>
    <m/>
    <m/>
    <n v="0"/>
  </r>
  <r>
    <n v="806"/>
    <x v="0"/>
    <m/>
    <m/>
    <n v="0"/>
  </r>
  <r>
    <n v="807"/>
    <x v="0"/>
    <m/>
    <m/>
    <n v="0"/>
  </r>
  <r>
    <n v="808"/>
    <x v="0"/>
    <m/>
    <m/>
    <n v="0"/>
  </r>
  <r>
    <n v="809"/>
    <x v="0"/>
    <m/>
    <m/>
    <n v="0"/>
  </r>
  <r>
    <n v="810"/>
    <x v="0"/>
    <m/>
    <m/>
    <n v="0"/>
  </r>
  <r>
    <n v="811"/>
    <x v="0"/>
    <m/>
    <m/>
    <n v="0"/>
  </r>
  <r>
    <n v="812"/>
    <x v="0"/>
    <m/>
    <m/>
    <n v="0"/>
  </r>
  <r>
    <n v="813"/>
    <x v="0"/>
    <m/>
    <m/>
    <n v="0"/>
  </r>
  <r>
    <n v="814"/>
    <x v="0"/>
    <m/>
    <m/>
    <n v="0"/>
  </r>
  <r>
    <n v="815"/>
    <x v="0"/>
    <m/>
    <m/>
    <n v="0"/>
  </r>
  <r>
    <n v="816"/>
    <x v="0"/>
    <m/>
    <m/>
    <n v="0"/>
  </r>
  <r>
    <n v="817"/>
    <x v="0"/>
    <m/>
    <m/>
    <n v="0"/>
  </r>
  <r>
    <n v="818"/>
    <x v="0"/>
    <m/>
    <m/>
    <n v="0"/>
  </r>
  <r>
    <n v="819"/>
    <x v="0"/>
    <m/>
    <m/>
    <n v="0"/>
  </r>
  <r>
    <n v="820"/>
    <x v="0"/>
    <m/>
    <m/>
    <n v="0"/>
  </r>
  <r>
    <n v="821"/>
    <x v="0"/>
    <m/>
    <m/>
    <n v="0"/>
  </r>
  <r>
    <n v="822"/>
    <x v="0"/>
    <m/>
    <m/>
    <n v="0"/>
  </r>
  <r>
    <n v="823"/>
    <x v="0"/>
    <m/>
    <m/>
    <n v="0"/>
  </r>
  <r>
    <n v="824"/>
    <x v="0"/>
    <m/>
    <m/>
    <n v="0"/>
  </r>
  <r>
    <n v="825"/>
    <x v="0"/>
    <m/>
    <m/>
    <n v="0"/>
  </r>
  <r>
    <n v="826"/>
    <x v="0"/>
    <m/>
    <m/>
    <n v="0"/>
  </r>
  <r>
    <n v="827"/>
    <x v="0"/>
    <m/>
    <m/>
    <n v="0"/>
  </r>
  <r>
    <n v="828"/>
    <x v="0"/>
    <m/>
    <m/>
    <n v="0"/>
  </r>
  <r>
    <n v="829"/>
    <x v="0"/>
    <m/>
    <m/>
    <n v="0"/>
  </r>
  <r>
    <n v="830"/>
    <x v="0"/>
    <m/>
    <m/>
    <n v="0"/>
  </r>
  <r>
    <n v="831"/>
    <x v="0"/>
    <m/>
    <m/>
    <n v="0"/>
  </r>
  <r>
    <n v="832"/>
    <x v="0"/>
    <m/>
    <m/>
    <n v="0"/>
  </r>
  <r>
    <n v="833"/>
    <x v="0"/>
    <m/>
    <m/>
    <n v="0"/>
  </r>
  <r>
    <n v="834"/>
    <x v="0"/>
    <m/>
    <m/>
    <n v="0"/>
  </r>
  <r>
    <n v="835"/>
    <x v="0"/>
    <m/>
    <m/>
    <n v="0"/>
  </r>
  <r>
    <n v="836"/>
    <x v="0"/>
    <m/>
    <m/>
    <n v="0"/>
  </r>
  <r>
    <n v="837"/>
    <x v="0"/>
    <m/>
    <m/>
    <n v="0"/>
  </r>
  <r>
    <n v="838"/>
    <x v="0"/>
    <m/>
    <m/>
    <n v="0"/>
  </r>
  <r>
    <n v="839"/>
    <x v="0"/>
    <m/>
    <m/>
    <n v="0"/>
  </r>
  <r>
    <n v="840"/>
    <x v="0"/>
    <m/>
    <m/>
    <n v="0"/>
  </r>
  <r>
    <n v="841"/>
    <x v="0"/>
    <m/>
    <m/>
    <n v="0"/>
  </r>
  <r>
    <n v="842"/>
    <x v="0"/>
    <m/>
    <m/>
    <n v="0"/>
  </r>
  <r>
    <n v="843"/>
    <x v="0"/>
    <m/>
    <m/>
    <n v="0"/>
  </r>
  <r>
    <n v="844"/>
    <x v="0"/>
    <m/>
    <m/>
    <n v="0"/>
  </r>
  <r>
    <n v="845"/>
    <x v="0"/>
    <m/>
    <m/>
    <n v="0"/>
  </r>
  <r>
    <n v="846"/>
    <x v="0"/>
    <m/>
    <m/>
    <n v="0"/>
  </r>
  <r>
    <n v="847"/>
    <x v="0"/>
    <m/>
    <m/>
    <n v="0"/>
  </r>
  <r>
    <n v="848"/>
    <x v="0"/>
    <m/>
    <m/>
    <n v="0"/>
  </r>
  <r>
    <n v="849"/>
    <x v="0"/>
    <m/>
    <m/>
    <n v="0"/>
  </r>
  <r>
    <n v="850"/>
    <x v="0"/>
    <m/>
    <m/>
    <n v="0"/>
  </r>
  <r>
    <n v="851"/>
    <x v="0"/>
    <m/>
    <m/>
    <n v="0"/>
  </r>
  <r>
    <n v="852"/>
    <x v="0"/>
    <m/>
    <m/>
    <n v="0"/>
  </r>
  <r>
    <n v="853"/>
    <x v="0"/>
    <m/>
    <m/>
    <n v="0"/>
  </r>
  <r>
    <n v="854"/>
    <x v="0"/>
    <m/>
    <m/>
    <n v="0"/>
  </r>
  <r>
    <n v="855"/>
    <x v="0"/>
    <m/>
    <m/>
    <n v="0"/>
  </r>
  <r>
    <n v="856"/>
    <x v="0"/>
    <m/>
    <m/>
    <n v="0"/>
  </r>
  <r>
    <n v="857"/>
    <x v="0"/>
    <m/>
    <m/>
    <n v="0"/>
  </r>
  <r>
    <n v="858"/>
    <x v="0"/>
    <m/>
    <m/>
    <n v="0"/>
  </r>
  <r>
    <n v="859"/>
    <x v="0"/>
    <m/>
    <m/>
    <n v="0"/>
  </r>
  <r>
    <n v="860"/>
    <x v="0"/>
    <m/>
    <m/>
    <n v="0"/>
  </r>
  <r>
    <n v="861"/>
    <x v="0"/>
    <m/>
    <m/>
    <n v="0"/>
  </r>
  <r>
    <n v="862"/>
    <x v="0"/>
    <m/>
    <m/>
    <n v="0"/>
  </r>
  <r>
    <n v="863"/>
    <x v="0"/>
    <m/>
    <m/>
    <n v="0"/>
  </r>
  <r>
    <n v="864"/>
    <x v="0"/>
    <m/>
    <m/>
    <n v="0"/>
  </r>
  <r>
    <n v="865"/>
    <x v="0"/>
    <m/>
    <m/>
    <n v="0"/>
  </r>
  <r>
    <n v="866"/>
    <x v="0"/>
    <m/>
    <m/>
    <n v="0"/>
  </r>
  <r>
    <n v="867"/>
    <x v="0"/>
    <m/>
    <m/>
    <n v="0"/>
  </r>
  <r>
    <n v="868"/>
    <x v="0"/>
    <m/>
    <m/>
    <n v="0"/>
  </r>
  <r>
    <n v="869"/>
    <x v="0"/>
    <m/>
    <m/>
    <n v="0"/>
  </r>
  <r>
    <n v="870"/>
    <x v="0"/>
    <m/>
    <m/>
    <n v="0"/>
  </r>
  <r>
    <n v="871"/>
    <x v="0"/>
    <m/>
    <m/>
    <n v="0"/>
  </r>
  <r>
    <n v="872"/>
    <x v="0"/>
    <m/>
    <m/>
    <n v="0"/>
  </r>
  <r>
    <n v="873"/>
    <x v="0"/>
    <m/>
    <m/>
    <n v="0"/>
  </r>
  <r>
    <n v="874"/>
    <x v="0"/>
    <m/>
    <m/>
    <n v="0"/>
  </r>
  <r>
    <n v="875"/>
    <x v="0"/>
    <m/>
    <m/>
    <n v="0"/>
  </r>
  <r>
    <n v="876"/>
    <x v="0"/>
    <m/>
    <m/>
    <n v="0"/>
  </r>
  <r>
    <n v="877"/>
    <x v="0"/>
    <m/>
    <m/>
    <n v="0"/>
  </r>
  <r>
    <n v="878"/>
    <x v="0"/>
    <m/>
    <m/>
    <n v="0"/>
  </r>
  <r>
    <n v="879"/>
    <x v="0"/>
    <m/>
    <m/>
    <n v="0"/>
  </r>
  <r>
    <n v="880"/>
    <x v="0"/>
    <m/>
    <m/>
    <n v="0"/>
  </r>
  <r>
    <n v="881"/>
    <x v="0"/>
    <m/>
    <m/>
    <n v="0"/>
  </r>
  <r>
    <n v="882"/>
    <x v="0"/>
    <m/>
    <m/>
    <n v="0"/>
  </r>
  <r>
    <n v="883"/>
    <x v="0"/>
    <m/>
    <m/>
    <n v="0"/>
  </r>
  <r>
    <n v="884"/>
    <x v="0"/>
    <m/>
    <m/>
    <n v="0"/>
  </r>
  <r>
    <n v="885"/>
    <x v="0"/>
    <m/>
    <m/>
    <n v="0"/>
  </r>
  <r>
    <n v="886"/>
    <x v="0"/>
    <m/>
    <m/>
    <n v="0"/>
  </r>
  <r>
    <n v="887"/>
    <x v="0"/>
    <m/>
    <m/>
    <n v="0"/>
  </r>
  <r>
    <n v="888"/>
    <x v="0"/>
    <m/>
    <m/>
    <n v="0"/>
  </r>
  <r>
    <n v="889"/>
    <x v="0"/>
    <m/>
    <m/>
    <n v="0"/>
  </r>
  <r>
    <n v="890"/>
    <x v="0"/>
    <m/>
    <m/>
    <n v="0"/>
  </r>
  <r>
    <n v="891"/>
    <x v="0"/>
    <m/>
    <m/>
    <n v="0"/>
  </r>
  <r>
    <n v="892"/>
    <x v="0"/>
    <m/>
    <m/>
    <n v="0"/>
  </r>
  <r>
    <n v="893"/>
    <x v="0"/>
    <m/>
    <m/>
    <n v="0"/>
  </r>
  <r>
    <n v="894"/>
    <x v="0"/>
    <m/>
    <m/>
    <n v="0"/>
  </r>
  <r>
    <n v="895"/>
    <x v="0"/>
    <m/>
    <m/>
    <n v="0"/>
  </r>
  <r>
    <n v="896"/>
    <x v="0"/>
    <m/>
    <m/>
    <n v="0"/>
  </r>
  <r>
    <n v="897"/>
    <x v="0"/>
    <m/>
    <m/>
    <n v="0"/>
  </r>
  <r>
    <n v="898"/>
    <x v="0"/>
    <m/>
    <m/>
    <n v="0"/>
  </r>
  <r>
    <n v="899"/>
    <x v="0"/>
    <m/>
    <m/>
    <n v="0"/>
  </r>
  <r>
    <n v="900"/>
    <x v="0"/>
    <m/>
    <m/>
    <n v="0"/>
  </r>
  <r>
    <n v="901"/>
    <x v="0"/>
    <m/>
    <m/>
    <n v="0"/>
  </r>
  <r>
    <n v="902"/>
    <x v="0"/>
    <m/>
    <m/>
    <n v="0"/>
  </r>
  <r>
    <n v="903"/>
    <x v="0"/>
    <m/>
    <m/>
    <n v="0"/>
  </r>
  <r>
    <n v="904"/>
    <x v="0"/>
    <m/>
    <m/>
    <n v="0"/>
  </r>
  <r>
    <n v="905"/>
    <x v="0"/>
    <m/>
    <m/>
    <n v="0"/>
  </r>
  <r>
    <n v="906"/>
    <x v="0"/>
    <m/>
    <m/>
    <n v="0"/>
  </r>
  <r>
    <n v="907"/>
    <x v="0"/>
    <m/>
    <m/>
    <n v="0"/>
  </r>
  <r>
    <n v="908"/>
    <x v="0"/>
    <m/>
    <m/>
    <n v="0"/>
  </r>
  <r>
    <n v="909"/>
    <x v="0"/>
    <m/>
    <m/>
    <n v="0"/>
  </r>
  <r>
    <n v="910"/>
    <x v="0"/>
    <m/>
    <m/>
    <n v="0"/>
  </r>
  <r>
    <n v="911"/>
    <x v="0"/>
    <m/>
    <m/>
    <n v="0"/>
  </r>
  <r>
    <n v="912"/>
    <x v="0"/>
    <m/>
    <m/>
    <n v="0"/>
  </r>
  <r>
    <n v="913"/>
    <x v="0"/>
    <m/>
    <m/>
    <n v="0"/>
  </r>
  <r>
    <n v="914"/>
    <x v="0"/>
    <m/>
    <m/>
    <n v="0"/>
  </r>
  <r>
    <n v="915"/>
    <x v="0"/>
    <m/>
    <m/>
    <n v="0"/>
  </r>
  <r>
    <n v="916"/>
    <x v="0"/>
    <m/>
    <m/>
    <n v="0"/>
  </r>
  <r>
    <n v="917"/>
    <x v="0"/>
    <m/>
    <m/>
    <n v="0"/>
  </r>
  <r>
    <n v="918"/>
    <x v="0"/>
    <m/>
    <m/>
    <n v="0"/>
  </r>
  <r>
    <n v="919"/>
    <x v="0"/>
    <m/>
    <m/>
    <n v="0"/>
  </r>
  <r>
    <n v="920"/>
    <x v="0"/>
    <m/>
    <m/>
    <n v="0"/>
  </r>
  <r>
    <n v="921"/>
    <x v="0"/>
    <m/>
    <m/>
    <n v="0"/>
  </r>
  <r>
    <n v="922"/>
    <x v="0"/>
    <m/>
    <m/>
    <n v="0"/>
  </r>
  <r>
    <n v="923"/>
    <x v="0"/>
    <m/>
    <m/>
    <n v="0"/>
  </r>
  <r>
    <n v="924"/>
    <x v="0"/>
    <m/>
    <m/>
    <n v="0"/>
  </r>
  <r>
    <n v="925"/>
    <x v="0"/>
    <m/>
    <m/>
    <n v="0"/>
  </r>
  <r>
    <n v="926"/>
    <x v="0"/>
    <m/>
    <m/>
    <n v="0"/>
  </r>
  <r>
    <n v="927"/>
    <x v="0"/>
    <m/>
    <m/>
    <n v="0"/>
  </r>
  <r>
    <n v="928"/>
    <x v="0"/>
    <m/>
    <m/>
    <n v="0"/>
  </r>
  <r>
    <n v="929"/>
    <x v="0"/>
    <m/>
    <m/>
    <n v="0"/>
  </r>
  <r>
    <n v="930"/>
    <x v="0"/>
    <m/>
    <m/>
    <n v="0"/>
  </r>
  <r>
    <n v="931"/>
    <x v="0"/>
    <m/>
    <m/>
    <n v="0"/>
  </r>
  <r>
    <n v="932"/>
    <x v="0"/>
    <m/>
    <m/>
    <n v="0"/>
  </r>
  <r>
    <n v="933"/>
    <x v="0"/>
    <m/>
    <m/>
    <n v="0"/>
  </r>
  <r>
    <n v="934"/>
    <x v="0"/>
    <m/>
    <m/>
    <n v="0"/>
  </r>
  <r>
    <n v="935"/>
    <x v="0"/>
    <m/>
    <m/>
    <n v="0"/>
  </r>
  <r>
    <n v="936"/>
    <x v="0"/>
    <m/>
    <m/>
    <n v="0"/>
  </r>
  <r>
    <n v="937"/>
    <x v="0"/>
    <m/>
    <m/>
    <n v="0"/>
  </r>
  <r>
    <n v="938"/>
    <x v="0"/>
    <m/>
    <m/>
    <n v="0"/>
  </r>
  <r>
    <n v="939"/>
    <x v="0"/>
    <m/>
    <m/>
    <n v="0"/>
  </r>
  <r>
    <n v="940"/>
    <x v="0"/>
    <m/>
    <m/>
    <n v="0"/>
  </r>
  <r>
    <n v="941"/>
    <x v="0"/>
    <m/>
    <m/>
    <n v="0"/>
  </r>
  <r>
    <n v="942"/>
    <x v="0"/>
    <m/>
    <m/>
    <n v="0"/>
  </r>
  <r>
    <n v="943"/>
    <x v="0"/>
    <m/>
    <m/>
    <n v="0"/>
  </r>
  <r>
    <n v="944"/>
    <x v="0"/>
    <m/>
    <m/>
    <n v="0"/>
  </r>
  <r>
    <n v="945"/>
    <x v="0"/>
    <m/>
    <m/>
    <n v="0"/>
  </r>
  <r>
    <n v="946"/>
    <x v="0"/>
    <m/>
    <m/>
    <n v="0"/>
  </r>
  <r>
    <n v="947"/>
    <x v="0"/>
    <m/>
    <m/>
    <n v="0"/>
  </r>
  <r>
    <n v="948"/>
    <x v="0"/>
    <m/>
    <m/>
    <n v="0"/>
  </r>
  <r>
    <n v="949"/>
    <x v="0"/>
    <m/>
    <m/>
    <n v="0"/>
  </r>
  <r>
    <n v="950"/>
    <x v="0"/>
    <m/>
    <m/>
    <n v="0"/>
  </r>
  <r>
    <n v="951"/>
    <x v="0"/>
    <m/>
    <m/>
    <n v="0"/>
  </r>
  <r>
    <n v="952"/>
    <x v="0"/>
    <m/>
    <m/>
    <n v="0"/>
  </r>
  <r>
    <n v="953"/>
    <x v="0"/>
    <m/>
    <m/>
    <n v="0"/>
  </r>
  <r>
    <n v="954"/>
    <x v="0"/>
    <m/>
    <m/>
    <n v="0"/>
  </r>
  <r>
    <n v="955"/>
    <x v="0"/>
    <m/>
    <m/>
    <n v="0"/>
  </r>
  <r>
    <n v="956"/>
    <x v="0"/>
    <m/>
    <m/>
    <n v="0"/>
  </r>
  <r>
    <n v="957"/>
    <x v="0"/>
    <m/>
    <m/>
    <n v="0"/>
  </r>
  <r>
    <n v="958"/>
    <x v="0"/>
    <m/>
    <m/>
    <n v="0"/>
  </r>
  <r>
    <n v="959"/>
    <x v="0"/>
    <m/>
    <m/>
    <n v="0"/>
  </r>
  <r>
    <n v="960"/>
    <x v="0"/>
    <m/>
    <m/>
    <n v="0"/>
  </r>
  <r>
    <n v="961"/>
    <x v="0"/>
    <m/>
    <m/>
    <n v="0"/>
  </r>
  <r>
    <n v="962"/>
    <x v="0"/>
    <m/>
    <m/>
    <n v="0"/>
  </r>
  <r>
    <n v="963"/>
    <x v="0"/>
    <m/>
    <m/>
    <n v="0"/>
  </r>
  <r>
    <n v="964"/>
    <x v="0"/>
    <m/>
    <m/>
    <n v="0"/>
  </r>
  <r>
    <n v="965"/>
    <x v="0"/>
    <m/>
    <m/>
    <n v="0"/>
  </r>
  <r>
    <n v="966"/>
    <x v="0"/>
    <m/>
    <m/>
    <n v="0"/>
  </r>
  <r>
    <n v="967"/>
    <x v="0"/>
    <m/>
    <m/>
    <n v="0"/>
  </r>
  <r>
    <n v="968"/>
    <x v="0"/>
    <m/>
    <m/>
    <n v="0"/>
  </r>
  <r>
    <n v="969"/>
    <x v="0"/>
    <m/>
    <m/>
    <n v="0"/>
  </r>
  <r>
    <n v="970"/>
    <x v="0"/>
    <m/>
    <m/>
    <n v="0"/>
  </r>
  <r>
    <n v="971"/>
    <x v="0"/>
    <m/>
    <m/>
    <n v="0"/>
  </r>
  <r>
    <n v="972"/>
    <x v="0"/>
    <m/>
    <m/>
    <n v="0"/>
  </r>
  <r>
    <n v="973"/>
    <x v="0"/>
    <m/>
    <m/>
    <n v="0"/>
  </r>
  <r>
    <n v="974"/>
    <x v="0"/>
    <m/>
    <m/>
    <n v="0"/>
  </r>
  <r>
    <n v="975"/>
    <x v="0"/>
    <m/>
    <m/>
    <n v="0"/>
  </r>
  <r>
    <n v="976"/>
    <x v="0"/>
    <m/>
    <m/>
    <n v="0"/>
  </r>
  <r>
    <n v="977"/>
    <x v="0"/>
    <m/>
    <m/>
    <n v="0"/>
  </r>
  <r>
    <n v="978"/>
    <x v="0"/>
    <m/>
    <m/>
    <n v="0"/>
  </r>
  <r>
    <n v="979"/>
    <x v="0"/>
    <m/>
    <m/>
    <n v="0"/>
  </r>
  <r>
    <n v="980"/>
    <x v="0"/>
    <m/>
    <m/>
    <n v="0"/>
  </r>
  <r>
    <n v="981"/>
    <x v="0"/>
    <m/>
    <m/>
    <n v="0"/>
  </r>
  <r>
    <n v="982"/>
    <x v="0"/>
    <m/>
    <m/>
    <n v="0"/>
  </r>
  <r>
    <n v="983"/>
    <x v="0"/>
    <m/>
    <m/>
    <n v="0"/>
  </r>
  <r>
    <n v="984"/>
    <x v="0"/>
    <m/>
    <m/>
    <n v="0"/>
  </r>
  <r>
    <n v="985"/>
    <x v="0"/>
    <m/>
    <m/>
    <n v="0"/>
  </r>
  <r>
    <n v="986"/>
    <x v="0"/>
    <m/>
    <m/>
    <n v="0"/>
  </r>
  <r>
    <n v="987"/>
    <x v="0"/>
    <m/>
    <m/>
    <n v="0"/>
  </r>
  <r>
    <n v="988"/>
    <x v="0"/>
    <m/>
    <m/>
    <n v="0"/>
  </r>
  <r>
    <n v="989"/>
    <x v="0"/>
    <m/>
    <m/>
    <n v="0"/>
  </r>
  <r>
    <n v="990"/>
    <x v="0"/>
    <m/>
    <m/>
    <n v="0"/>
  </r>
  <r>
    <n v="991"/>
    <x v="0"/>
    <m/>
    <m/>
    <n v="0"/>
  </r>
  <r>
    <n v="992"/>
    <x v="0"/>
    <m/>
    <m/>
    <n v="0"/>
  </r>
  <r>
    <n v="993"/>
    <x v="0"/>
    <m/>
    <m/>
    <n v="0"/>
  </r>
  <r>
    <n v="994"/>
    <x v="0"/>
    <m/>
    <m/>
    <n v="0"/>
  </r>
  <r>
    <n v="995"/>
    <x v="0"/>
    <m/>
    <m/>
    <n v="0"/>
  </r>
  <r>
    <n v="996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33" firstHeaderRow="1" firstDataRow="1" firstDataCol="1"/>
  <pivotFields count="5">
    <pivotField showAll="0"/>
    <pivotField axis="axisRow" showAll="0">
      <items count="13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17"/>
        <item x="0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9"/>
        <item x="50"/>
        <item x="44"/>
        <item x="45"/>
        <item x="46"/>
        <item x="47"/>
        <item x="48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dataField="1" showAll="0" defaultSubtotal="0"/>
  </pivotFields>
  <rowFields count="1">
    <field x="1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Items count="1">
    <i/>
  </colItems>
  <dataFields count="1">
    <dataField name="Sum of Net P&amp;L" fld="4" baseField="1" baseItem="14"/>
  </dataFields>
  <chartFormats count="1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C15"/>
  <sheetViews>
    <sheetView workbookViewId="0">
      <selection activeCell="B16" sqref="B16"/>
    </sheetView>
  </sheetViews>
  <sheetFormatPr defaultRowHeight="15" x14ac:dyDescent="0.25"/>
  <cols>
    <col min="2" max="2" width="60.42578125" bestFit="1" customWidth="1"/>
    <col min="3" max="3" width="31.5703125" customWidth="1"/>
  </cols>
  <sheetData>
    <row r="5" spans="1:3" ht="15" customHeight="1" x14ac:dyDescent="0.25">
      <c r="A5" s="48" t="s">
        <v>106</v>
      </c>
      <c r="B5" s="48"/>
      <c r="C5" s="48"/>
    </row>
    <row r="6" spans="1:3" x14ac:dyDescent="0.25">
      <c r="A6" s="48"/>
      <c r="B6" s="48"/>
      <c r="C6" s="48"/>
    </row>
    <row r="7" spans="1:3" x14ac:dyDescent="0.25">
      <c r="A7" s="48"/>
      <c r="B7" s="48"/>
      <c r="C7" s="48"/>
    </row>
    <row r="8" spans="1:3" x14ac:dyDescent="0.25">
      <c r="A8" s="31">
        <v>1</v>
      </c>
      <c r="B8" t="s">
        <v>108</v>
      </c>
      <c r="C8" s="31"/>
    </row>
    <row r="9" spans="1:3" x14ac:dyDescent="0.25">
      <c r="A9" s="31">
        <v>2</v>
      </c>
      <c r="B9" s="31" t="s">
        <v>107</v>
      </c>
      <c r="C9" s="31"/>
    </row>
    <row r="10" spans="1:3" x14ac:dyDescent="0.25">
      <c r="A10" s="31">
        <v>3</v>
      </c>
      <c r="B10" s="32" t="s">
        <v>93</v>
      </c>
      <c r="C10" s="34" t="s">
        <v>86</v>
      </c>
    </row>
    <row r="11" spans="1:3" x14ac:dyDescent="0.25">
      <c r="A11" s="31">
        <v>4</v>
      </c>
      <c r="B11" s="31" t="s">
        <v>109</v>
      </c>
      <c r="C11" s="31"/>
    </row>
    <row r="12" spans="1:3" x14ac:dyDescent="0.25">
      <c r="A12" s="31">
        <v>7</v>
      </c>
      <c r="B12" s="31" t="s">
        <v>110</v>
      </c>
      <c r="C12" s="31"/>
    </row>
    <row r="13" spans="1:3" x14ac:dyDescent="0.25">
      <c r="A13" s="31">
        <v>8</v>
      </c>
      <c r="B13" s="31" t="s">
        <v>111</v>
      </c>
      <c r="C13" s="31"/>
    </row>
    <row r="14" spans="1:3" x14ac:dyDescent="0.25">
      <c r="A14" s="31">
        <v>9</v>
      </c>
      <c r="B14" s="31" t="s">
        <v>112</v>
      </c>
      <c r="C14" s="31"/>
    </row>
    <row r="15" spans="1:3" x14ac:dyDescent="0.25">
      <c r="A15" s="31">
        <v>10</v>
      </c>
      <c r="B15" s="31" t="s">
        <v>113</v>
      </c>
      <c r="C15" s="31"/>
    </row>
  </sheetData>
  <mergeCells count="1">
    <mergeCell ref="A5:C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States!$A$3:$A$38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1000"/>
  <sheetViews>
    <sheetView tabSelected="1" workbookViewId="0">
      <pane ySplit="3" topLeftCell="A588" activePane="bottomLeft" state="frozen"/>
      <selection pane="bottomLeft" activeCell="E602" sqref="E600:E602"/>
    </sheetView>
  </sheetViews>
  <sheetFormatPr defaultRowHeight="15" x14ac:dyDescent="0.25"/>
  <cols>
    <col min="1" max="1" width="5.5703125" style="42" bestFit="1" customWidth="1"/>
    <col min="2" max="2" width="8.42578125" style="43" bestFit="1" customWidth="1"/>
    <col min="3" max="3" width="12.28515625" style="42" bestFit="1" customWidth="1"/>
    <col min="4" max="4" width="16.85546875" style="42" bestFit="1" customWidth="1"/>
    <col min="5" max="5" width="8.140625" style="47" bestFit="1" customWidth="1"/>
    <col min="6" max="6" width="11" style="5" customWidth="1"/>
    <col min="7" max="7" width="11" style="4" customWidth="1"/>
    <col min="8" max="8" width="9.140625" style="46"/>
    <col min="9" max="12" width="9.140625" style="42"/>
    <col min="13" max="13" width="9.140625" style="44"/>
    <col min="14" max="14" width="14.28515625" style="5" customWidth="1"/>
    <col min="15" max="15" width="13.28515625" style="4" bestFit="1" customWidth="1"/>
    <col min="16" max="16" width="9.140625" style="5"/>
    <col min="17" max="17" width="9.140625" style="42"/>
    <col min="18" max="18" width="9.140625" style="2"/>
    <col min="19" max="19" width="9.140625" style="42"/>
    <col min="20" max="20" width="9.140625" style="2"/>
    <col min="21" max="21" width="9.140625" style="44"/>
    <col min="22" max="22" width="14.28515625" style="5" bestFit="1" customWidth="1"/>
    <col min="23" max="23" width="13.28515625" style="4" bestFit="1" customWidth="1"/>
    <col min="24" max="24" width="10.42578125" style="14" bestFit="1" customWidth="1"/>
    <col min="25" max="25" width="10.42578125" style="5" customWidth="1"/>
    <col min="26" max="26" width="10.42578125" style="2" customWidth="1"/>
    <col min="27" max="27" width="10.42578125" style="4" customWidth="1"/>
    <col min="28" max="28" width="9.140625" style="14"/>
    <col min="29" max="29" width="15.140625" style="4" bestFit="1" customWidth="1"/>
    <col min="30" max="30" width="11.140625" style="20" bestFit="1" customWidth="1"/>
    <col min="31" max="31" width="1.85546875" style="30" customWidth="1"/>
    <col min="32" max="32" width="18.42578125" style="28" customWidth="1"/>
    <col min="33" max="33" width="16.42578125" style="2" customWidth="1"/>
    <col min="34" max="34" width="20.5703125" style="2" customWidth="1"/>
    <col min="35" max="35" width="11.140625" style="2" customWidth="1"/>
    <col min="36" max="36" width="15.85546875" style="2" customWidth="1"/>
    <col min="37" max="37" width="16.140625" style="2" customWidth="1"/>
    <col min="38" max="38" width="17.42578125" style="2" customWidth="1"/>
    <col min="39" max="39" width="17.42578125" style="26" customWidth="1"/>
    <col min="40" max="40" width="18.140625" style="3" customWidth="1"/>
    <col min="41" max="41" width="12.7109375" style="3" customWidth="1"/>
    <col min="42" max="42" width="18.85546875" style="3" bestFit="1" customWidth="1"/>
    <col min="43" max="45" width="12.7109375" style="3" customWidth="1"/>
    <col min="46" max="46" width="15.5703125" style="3" bestFit="1" customWidth="1"/>
    <col min="47" max="47" width="11.42578125" style="3" customWidth="1"/>
    <col min="48" max="48" width="22.28515625" style="3" customWidth="1"/>
    <col min="49" max="49" width="12.28515625" style="3" customWidth="1"/>
    <col min="50" max="50" width="18.85546875" style="3" bestFit="1" customWidth="1"/>
    <col min="51" max="53" width="12.28515625" style="3" customWidth="1"/>
    <col min="54" max="54" width="15.5703125" style="3" bestFit="1" customWidth="1"/>
    <col min="55" max="55" width="12.28515625" style="3" customWidth="1"/>
    <col min="56" max="56" width="18.28515625" style="3" bestFit="1" customWidth="1"/>
    <col min="57" max="57" width="17.28515625" style="3" customWidth="1"/>
    <col min="58" max="58" width="18.85546875" style="3" bestFit="1" customWidth="1"/>
    <col min="59" max="59" width="21.42578125" style="3" bestFit="1" customWidth="1"/>
    <col min="60" max="60" width="10.85546875" style="3" bestFit="1" customWidth="1"/>
    <col min="61" max="61" width="12.140625" style="3" bestFit="1" customWidth="1"/>
    <col min="62" max="62" width="15.5703125" style="3" bestFit="1" customWidth="1"/>
    <col min="63" max="63" width="8.85546875" style="3" customWidth="1"/>
    <col min="64" max="16384" width="9.140625" style="3"/>
  </cols>
  <sheetData>
    <row r="1" spans="1:66" s="1" customFormat="1" ht="30" customHeight="1" x14ac:dyDescent="0.25">
      <c r="A1" s="56" t="s">
        <v>0</v>
      </c>
      <c r="B1" s="56" t="s">
        <v>1</v>
      </c>
      <c r="C1" s="56" t="s">
        <v>2</v>
      </c>
      <c r="D1" s="56" t="s">
        <v>15</v>
      </c>
      <c r="E1" s="77" t="s">
        <v>13</v>
      </c>
      <c r="F1" s="63" t="s">
        <v>10</v>
      </c>
      <c r="G1" s="70" t="s">
        <v>11</v>
      </c>
      <c r="H1" s="67" t="s">
        <v>3</v>
      </c>
      <c r="I1" s="68"/>
      <c r="J1" s="68"/>
      <c r="K1" s="68"/>
      <c r="L1" s="68"/>
      <c r="M1" s="68"/>
      <c r="N1" s="68"/>
      <c r="O1" s="69"/>
      <c r="P1" s="80" t="s">
        <v>8</v>
      </c>
      <c r="Q1" s="81"/>
      <c r="R1" s="81"/>
      <c r="S1" s="81"/>
      <c r="T1" s="81"/>
      <c r="U1" s="81"/>
      <c r="V1" s="81"/>
      <c r="W1" s="82"/>
      <c r="X1" s="61" t="s">
        <v>19</v>
      </c>
      <c r="Y1" s="72" t="s">
        <v>18</v>
      </c>
      <c r="Z1" s="73"/>
      <c r="AA1" s="74"/>
      <c r="AB1" s="60" t="s">
        <v>12</v>
      </c>
      <c r="AC1" s="50" t="s">
        <v>14</v>
      </c>
      <c r="AD1" s="50" t="s">
        <v>21</v>
      </c>
      <c r="AE1" s="29"/>
      <c r="AF1" s="53" t="s">
        <v>46</v>
      </c>
      <c r="AG1" s="54"/>
      <c r="AH1" s="54"/>
      <c r="AI1" s="54"/>
      <c r="AJ1" s="54"/>
      <c r="AK1" s="54"/>
      <c r="AL1" s="54"/>
      <c r="AM1" s="55"/>
      <c r="AN1" s="49" t="s">
        <v>36</v>
      </c>
      <c r="AO1" s="49"/>
      <c r="AP1" s="49"/>
      <c r="AQ1" s="49"/>
      <c r="AR1" s="49"/>
      <c r="AS1" s="49"/>
      <c r="AT1" s="49"/>
      <c r="AU1" s="49"/>
      <c r="AV1" s="49" t="s">
        <v>43</v>
      </c>
      <c r="AW1" s="49"/>
      <c r="AX1" s="49"/>
      <c r="AY1" s="49"/>
      <c r="AZ1" s="49"/>
      <c r="BA1" s="49"/>
      <c r="BB1" s="49"/>
      <c r="BC1" s="49"/>
      <c r="BD1" s="49" t="s">
        <v>48</v>
      </c>
      <c r="BE1" s="49"/>
      <c r="BF1" s="49"/>
      <c r="BG1" s="49"/>
      <c r="BH1" s="49"/>
      <c r="BI1" s="49"/>
      <c r="BJ1" s="49"/>
      <c r="BK1" s="49"/>
      <c r="BL1" s="49" t="s">
        <v>169</v>
      </c>
      <c r="BM1" s="49" t="s">
        <v>170</v>
      </c>
      <c r="BN1" s="49" t="s">
        <v>171</v>
      </c>
    </row>
    <row r="2" spans="1:66" s="1" customFormat="1" ht="18" customHeight="1" x14ac:dyDescent="0.25">
      <c r="A2" s="56"/>
      <c r="B2" s="56"/>
      <c r="C2" s="56"/>
      <c r="D2" s="56"/>
      <c r="E2" s="78"/>
      <c r="F2" s="63"/>
      <c r="G2" s="70"/>
      <c r="H2" s="65" t="s">
        <v>4</v>
      </c>
      <c r="I2" s="66"/>
      <c r="J2" s="66" t="s">
        <v>5</v>
      </c>
      <c r="K2" s="66"/>
      <c r="L2" s="66" t="s">
        <v>6</v>
      </c>
      <c r="M2" s="66"/>
      <c r="N2" s="67" t="s">
        <v>9</v>
      </c>
      <c r="O2" s="69" t="s">
        <v>7</v>
      </c>
      <c r="P2" s="65" t="s">
        <v>4</v>
      </c>
      <c r="Q2" s="66"/>
      <c r="R2" s="66" t="s">
        <v>5</v>
      </c>
      <c r="S2" s="66"/>
      <c r="T2" s="66" t="s">
        <v>6</v>
      </c>
      <c r="U2" s="66"/>
      <c r="V2" s="75" t="s">
        <v>9</v>
      </c>
      <c r="W2" s="58" t="s">
        <v>7</v>
      </c>
      <c r="X2" s="61"/>
      <c r="Y2" s="63" t="s">
        <v>4</v>
      </c>
      <c r="Z2" s="56" t="s">
        <v>5</v>
      </c>
      <c r="AA2" s="70" t="s">
        <v>6</v>
      </c>
      <c r="AB2" s="61"/>
      <c r="AC2" s="51"/>
      <c r="AD2" s="51"/>
      <c r="AE2" s="29"/>
      <c r="AF2" s="27" t="s">
        <v>25</v>
      </c>
      <c r="AG2" s="22" t="s">
        <v>26</v>
      </c>
      <c r="AH2" s="22" t="s">
        <v>28</v>
      </c>
      <c r="AI2" s="49" t="s">
        <v>33</v>
      </c>
      <c r="AJ2" s="22" t="s">
        <v>290</v>
      </c>
      <c r="AK2" s="22" t="s">
        <v>30</v>
      </c>
      <c r="AL2" s="22" t="s">
        <v>34</v>
      </c>
      <c r="AM2" s="49" t="s">
        <v>41</v>
      </c>
      <c r="AN2" s="25" t="s">
        <v>25</v>
      </c>
      <c r="AO2" s="22" t="s">
        <v>26</v>
      </c>
      <c r="AP2" s="22" t="s">
        <v>28</v>
      </c>
      <c r="AQ2" s="49" t="s">
        <v>37</v>
      </c>
      <c r="AR2" s="22" t="s">
        <v>290</v>
      </c>
      <c r="AS2" s="22" t="s">
        <v>30</v>
      </c>
      <c r="AT2" s="22" t="s">
        <v>34</v>
      </c>
      <c r="AU2" s="49" t="s">
        <v>42</v>
      </c>
      <c r="AV2" s="25" t="s">
        <v>25</v>
      </c>
      <c r="AW2" s="22" t="s">
        <v>26</v>
      </c>
      <c r="AX2" s="22" t="s">
        <v>28</v>
      </c>
      <c r="AY2" s="49" t="s">
        <v>37</v>
      </c>
      <c r="AZ2" s="22" t="s">
        <v>290</v>
      </c>
      <c r="BA2" s="22" t="s">
        <v>30</v>
      </c>
      <c r="BB2" s="22" t="s">
        <v>34</v>
      </c>
      <c r="BC2" s="49" t="s">
        <v>42</v>
      </c>
      <c r="BD2" s="25" t="s">
        <v>25</v>
      </c>
      <c r="BE2" s="22" t="s">
        <v>26</v>
      </c>
      <c r="BF2" s="22" t="s">
        <v>28</v>
      </c>
      <c r="BG2" s="49" t="s">
        <v>33</v>
      </c>
      <c r="BH2" s="22" t="s">
        <v>290</v>
      </c>
      <c r="BI2" s="22" t="s">
        <v>30</v>
      </c>
      <c r="BJ2" s="22" t="s">
        <v>34</v>
      </c>
      <c r="BK2" s="49" t="s">
        <v>41</v>
      </c>
      <c r="BL2" s="49"/>
      <c r="BM2" s="49"/>
      <c r="BN2" s="49"/>
    </row>
    <row r="3" spans="1:66" s="12" customFormat="1" ht="30.75" customHeight="1" thickBot="1" x14ac:dyDescent="0.3">
      <c r="A3" s="57"/>
      <c r="B3" s="57"/>
      <c r="C3" s="57"/>
      <c r="D3" s="57"/>
      <c r="E3" s="79"/>
      <c r="F3" s="64"/>
      <c r="G3" s="71"/>
      <c r="H3" s="8" t="s">
        <v>16</v>
      </c>
      <c r="I3" s="9" t="s">
        <v>17</v>
      </c>
      <c r="J3" s="9" t="s">
        <v>16</v>
      </c>
      <c r="K3" s="9" t="s">
        <v>17</v>
      </c>
      <c r="L3" s="9" t="s">
        <v>16</v>
      </c>
      <c r="M3" s="11" t="s">
        <v>17</v>
      </c>
      <c r="N3" s="67"/>
      <c r="O3" s="69"/>
      <c r="P3" s="8" t="s">
        <v>16</v>
      </c>
      <c r="Q3" s="9" t="s">
        <v>17</v>
      </c>
      <c r="R3" s="9" t="s">
        <v>16</v>
      </c>
      <c r="S3" s="9" t="s">
        <v>17</v>
      </c>
      <c r="T3" s="9" t="s">
        <v>16</v>
      </c>
      <c r="U3" s="11" t="s">
        <v>17</v>
      </c>
      <c r="V3" s="76"/>
      <c r="W3" s="59"/>
      <c r="X3" s="62"/>
      <c r="Y3" s="64"/>
      <c r="Z3" s="57"/>
      <c r="AA3" s="71"/>
      <c r="AB3" s="62"/>
      <c r="AC3" s="52"/>
      <c r="AD3" s="52"/>
      <c r="AE3" s="29"/>
      <c r="AF3" s="27" t="s">
        <v>35</v>
      </c>
      <c r="AG3" s="21" t="s">
        <v>27</v>
      </c>
      <c r="AH3" s="23" t="s">
        <v>29</v>
      </c>
      <c r="AI3" s="49"/>
      <c r="AJ3" s="21" t="s">
        <v>291</v>
      </c>
      <c r="AK3" s="21" t="s">
        <v>31</v>
      </c>
      <c r="AL3" s="24" t="s">
        <v>32</v>
      </c>
      <c r="AM3" s="49"/>
      <c r="AN3" s="25" t="s">
        <v>38</v>
      </c>
      <c r="AO3" s="25" t="s">
        <v>39</v>
      </c>
      <c r="AP3" s="23" t="s">
        <v>40</v>
      </c>
      <c r="AQ3" s="49"/>
      <c r="AR3" s="25" t="s">
        <v>291</v>
      </c>
      <c r="AS3" s="25" t="s">
        <v>31</v>
      </c>
      <c r="AT3" s="24" t="s">
        <v>32</v>
      </c>
      <c r="AU3" s="49"/>
      <c r="AV3" s="25" t="s">
        <v>35</v>
      </c>
      <c r="AW3" s="25" t="s">
        <v>44</v>
      </c>
      <c r="AX3" s="23" t="s">
        <v>45</v>
      </c>
      <c r="AY3" s="49"/>
      <c r="AZ3" s="25" t="s">
        <v>291</v>
      </c>
      <c r="BA3" s="25" t="s">
        <v>31</v>
      </c>
      <c r="BB3" s="24" t="s">
        <v>32</v>
      </c>
      <c r="BC3" s="49"/>
      <c r="BD3" s="25" t="s">
        <v>47</v>
      </c>
      <c r="BE3" s="25" t="s">
        <v>49</v>
      </c>
      <c r="BF3" s="23" t="s">
        <v>29</v>
      </c>
      <c r="BG3" s="49"/>
      <c r="BH3" s="25" t="s">
        <v>291</v>
      </c>
      <c r="BI3" s="25" t="s">
        <v>31</v>
      </c>
      <c r="BJ3" s="24" t="s">
        <v>32</v>
      </c>
      <c r="BK3" s="49"/>
      <c r="BL3" s="49"/>
      <c r="BM3" s="49"/>
      <c r="BN3" s="49"/>
    </row>
    <row r="4" spans="1:66" x14ac:dyDescent="0.25">
      <c r="A4" s="39">
        <v>1</v>
      </c>
      <c r="B4" s="40">
        <v>42717</v>
      </c>
      <c r="C4" s="39" t="s">
        <v>50</v>
      </c>
      <c r="D4" s="39" t="s">
        <v>114</v>
      </c>
      <c r="E4" s="6">
        <f>G4-AB4</f>
        <v>-183.10480312500511</v>
      </c>
      <c r="F4" s="6" t="str">
        <f>IF(G4&gt;0,"Win",IF(G4=0,"Break Even","Loss"))</f>
        <v>Loss</v>
      </c>
      <c r="G4" s="10">
        <f>SUM(Y4,Z4,AA4)</f>
        <v>-135.00000000000512</v>
      </c>
      <c r="H4" s="45">
        <v>300</v>
      </c>
      <c r="I4" s="39">
        <v>236.55</v>
      </c>
      <c r="J4" s="39"/>
      <c r="K4" s="39"/>
      <c r="L4" s="39"/>
      <c r="M4" s="41"/>
      <c r="N4" s="6">
        <f>SUM(H4,J4,L4)</f>
        <v>300</v>
      </c>
      <c r="O4" s="10">
        <f>AVERAGE(M4,K4,I4)</f>
        <v>236.55</v>
      </c>
      <c r="P4" s="6">
        <f t="shared" ref="P4:P67" si="0">H4</f>
        <v>300</v>
      </c>
      <c r="Q4" s="39">
        <v>236.1</v>
      </c>
      <c r="R4" s="7">
        <f>J4</f>
        <v>0</v>
      </c>
      <c r="S4" s="39"/>
      <c r="T4" s="7">
        <f>L4</f>
        <v>0</v>
      </c>
      <c r="U4" s="41"/>
      <c r="V4" s="6">
        <f>SUM(P4,R4,T4)</f>
        <v>300</v>
      </c>
      <c r="W4" s="10">
        <f>AVERAGE(Q4,S4,U4)</f>
        <v>236.1</v>
      </c>
      <c r="X4" s="13">
        <f>MAX(Q4,S4,U4)-MIN(I4,K4,M4)</f>
        <v>-0.45000000000001705</v>
      </c>
      <c r="Y4" s="6">
        <f>P4*(Q4-I4)</f>
        <v>-135.00000000000512</v>
      </c>
      <c r="Z4" s="7">
        <f t="shared" ref="Z4:Z67" si="1">R4*(S4-K4)</f>
        <v>0</v>
      </c>
      <c r="AA4" s="10">
        <f t="shared" ref="AA4:AA67" si="2">T4*(U4-M4)</f>
        <v>0</v>
      </c>
      <c r="AB4" s="13">
        <f t="shared" ref="AB4:AB67" si="3">IF(C4="EQ Intraday",AM4,IF(C4="Index Option",AU4,IF(C4="Index Future",BC4,IF(C4="EQ Delivery",BK4,IF(C4="Stock Option",AU4,IF(C4="Stock Future",BC4,IF(C4="",0,"Error")))))))</f>
        <v>48.104803124999997</v>
      </c>
      <c r="AC4" s="10">
        <f>SUM($E$4:E4)</f>
        <v>-183.10480312500511</v>
      </c>
      <c r="AD4" s="19">
        <f>SUM($AB$4:AB4)</f>
        <v>48.104803124999997</v>
      </c>
      <c r="AF4" s="28">
        <f t="shared" ref="AF4:AF67" si="4">MIN(IF(ISBLANK(U4)=FALSE,120,IF(ISBLANK(S4)=FALSE,80,40)),(((V4*W4)+(N4*O4))*0.0001))</f>
        <v>14.179500000000001</v>
      </c>
      <c r="AG4" s="2">
        <f t="shared" ref="AG4:AG67" si="5">(0.00025*V4*W4)</f>
        <v>17.7075</v>
      </c>
      <c r="AH4" s="2">
        <f t="shared" ref="AH4:AH67" si="6">(0.0000325*((V4*W4)+(N4*O4)))</f>
        <v>4.6083374999999993</v>
      </c>
      <c r="AI4" s="2">
        <f>AH4+AF4</f>
        <v>18.787837500000002</v>
      </c>
      <c r="AJ4" s="2">
        <f>0.15*AI4</f>
        <v>2.8181756250000003</v>
      </c>
      <c r="AK4" s="2">
        <f t="shared" ref="AK4:AK67" si="7">(((V4*W4)+(N4*O4))/10000000)*20</f>
        <v>0.28359000000000001</v>
      </c>
      <c r="AL4" s="2">
        <f t="shared" ref="AL4:AL67" si="8">0.00006*((V4*W4)+(N4*O4))</f>
        <v>8.5076999999999998</v>
      </c>
      <c r="AM4" s="2">
        <f>SUM(AF4:AH4,AJ4:AL4)</f>
        <v>48.104803124999997</v>
      </c>
      <c r="AN4" s="2">
        <f t="shared" ref="AN4:AN67" si="9">COUNT(H4,J4,L4)*40</f>
        <v>40</v>
      </c>
      <c r="AO4" s="2">
        <f t="shared" ref="AO4:AO67" si="10">0.0005*V4*W4</f>
        <v>35.414999999999999</v>
      </c>
      <c r="AP4" s="2">
        <f t="shared" ref="AP4:AP67" si="11">0.00053*((N4*O4)+(V4*W4))</f>
        <v>75.151349999999994</v>
      </c>
      <c r="AQ4" s="2">
        <f>AN4+AP4</f>
        <v>115.15134999999999</v>
      </c>
      <c r="AR4" s="2">
        <f>0.15*AQ4</f>
        <v>17.272702499999998</v>
      </c>
      <c r="AS4" s="2">
        <f t="shared" ref="AS4:AS67" si="12">(((V4*W4)+(N4*O4))/10000000)*20</f>
        <v>0.28359000000000001</v>
      </c>
      <c r="AT4" s="2">
        <f t="shared" ref="AT4:AT67" si="13">0.00006*((V4*W4)+(N4*O4))</f>
        <v>8.5076999999999998</v>
      </c>
      <c r="AU4" s="2">
        <f>SUM(AN4:AP4,AR4:AT4)</f>
        <v>176.63034250000001</v>
      </c>
      <c r="AV4" s="2">
        <f t="shared" ref="AV4:AV67" si="14">MIN(IF(ISBLANK(U4)=FALSE,120,IF(ISBLANK(S4)=FALSE,80,40)),(((V4*W4)+(N4*O4))*0.0001))</f>
        <v>14.179500000000001</v>
      </c>
      <c r="AW4" s="2">
        <f t="shared" ref="AW4:AW67" si="15">0.0001*V4*W4</f>
        <v>7.0830000000000002</v>
      </c>
      <c r="AX4" s="2">
        <f t="shared" ref="AX4:AX67" si="16">0.000021*((N4*O4)+(V4*W4))</f>
        <v>2.9776949999999998</v>
      </c>
      <c r="AY4" s="2">
        <f>AV4+AX4</f>
        <v>17.157195000000002</v>
      </c>
      <c r="AZ4" s="2">
        <f>0.15*AY4</f>
        <v>2.5735792500000003</v>
      </c>
      <c r="BA4" s="2">
        <f t="shared" ref="BA4:BA67" si="17">(((V4*W4)+(N4*O4))/10000000)*20</f>
        <v>0.28359000000000001</v>
      </c>
      <c r="BB4" s="2">
        <f t="shared" ref="BB4:BB67" si="18">0.00006*((V4*W4)+(N4*O4))</f>
        <v>8.5076999999999998</v>
      </c>
      <c r="BC4" s="2">
        <f>SUM(AV4:AX4,AZ4:BB4)</f>
        <v>35.605064250000005</v>
      </c>
      <c r="BD4" s="2">
        <v>0</v>
      </c>
      <c r="BE4" s="2">
        <f t="shared" ref="BE4:BE67" si="19">0.001*((N4*O4)+(V4*W4))</f>
        <v>141.79500000000002</v>
      </c>
      <c r="BF4" s="2">
        <f t="shared" ref="BF4:BF67" si="20">(0.0000325*((V4*W4)+(N4*O4)))</f>
        <v>4.6083374999999993</v>
      </c>
      <c r="BG4" s="2">
        <f>BD4+BF4</f>
        <v>4.6083374999999993</v>
      </c>
      <c r="BH4" s="2">
        <f>0.15*BG4</f>
        <v>0.6912506249999999</v>
      </c>
      <c r="BI4" s="2">
        <f t="shared" ref="BI4:BI67" si="21">(((V4*W4)+(N4*O4))/10000000)*20</f>
        <v>0.28359000000000001</v>
      </c>
      <c r="BJ4" s="2">
        <f t="shared" ref="BJ4:BJ67" si="22">0.00006*((V4*W4)+(N4*O4))</f>
        <v>8.5076999999999998</v>
      </c>
      <c r="BK4" s="2">
        <f>SUM(BD4:BF4,BH4:BJ4)</f>
        <v>155.88587812500003</v>
      </c>
      <c r="BL4" s="2">
        <f t="shared" ref="BL4:BL67" si="23">N4*O4</f>
        <v>70965</v>
      </c>
      <c r="BM4" s="2">
        <f t="shared" ref="BM4:BM67" si="24">V4*W4</f>
        <v>70830</v>
      </c>
      <c r="BN4" s="2">
        <f>BM4+BL4</f>
        <v>141795</v>
      </c>
    </row>
    <row r="5" spans="1:66" x14ac:dyDescent="0.25">
      <c r="A5" s="42">
        <v>2</v>
      </c>
      <c r="B5" s="43">
        <v>42717</v>
      </c>
      <c r="C5" s="42" t="s">
        <v>50</v>
      </c>
      <c r="D5" s="42" t="s">
        <v>114</v>
      </c>
      <c r="E5" s="6">
        <f t="shared" ref="E5:E68" si="25">G5-AB5</f>
        <v>-78.05175000000682</v>
      </c>
      <c r="F5" s="5" t="str">
        <f>IF(G5&gt;0,"Win",IF(G5=0,"Break Even","Loss"))</f>
        <v>Loss</v>
      </c>
      <c r="G5" s="4">
        <f>SUM(Y5,Z5,AA5)</f>
        <v>-30.000000000006821</v>
      </c>
      <c r="H5" s="46">
        <v>300</v>
      </c>
      <c r="I5" s="42">
        <v>236.05</v>
      </c>
      <c r="N5" s="5">
        <f>SUM(H5,J5,L5)</f>
        <v>300</v>
      </c>
      <c r="O5" s="4">
        <f>AVERAGE(M5,K5,I5)</f>
        <v>236.05</v>
      </c>
      <c r="P5" s="5">
        <f t="shared" si="0"/>
        <v>300</v>
      </c>
      <c r="Q5" s="42">
        <v>235.95</v>
      </c>
      <c r="R5" s="2">
        <f t="shared" ref="R5:R11" si="26">J5</f>
        <v>0</v>
      </c>
      <c r="T5" s="2">
        <f t="shared" ref="T5:T68" si="27">L5</f>
        <v>0</v>
      </c>
      <c r="V5" s="5">
        <f>SUM(P5,R5,T5)</f>
        <v>300</v>
      </c>
      <c r="W5" s="4">
        <f>AVERAGE(Q5,S5,U5)</f>
        <v>235.95</v>
      </c>
      <c r="X5" s="14">
        <f>MAX(Q5,S5,U5)-MIN(I5,K5,M5)</f>
        <v>-0.10000000000002274</v>
      </c>
      <c r="Y5" s="5">
        <f>P5*(Q5-I5)</f>
        <v>-30.000000000006821</v>
      </c>
      <c r="Z5" s="2">
        <f t="shared" si="1"/>
        <v>0</v>
      </c>
      <c r="AA5" s="4">
        <f t="shared" si="2"/>
        <v>0</v>
      </c>
      <c r="AB5" s="13">
        <f t="shared" si="3"/>
        <v>48.051750000000006</v>
      </c>
      <c r="AC5" s="10">
        <f>SUM($E$4:E5)</f>
        <v>-261.1565531250119</v>
      </c>
      <c r="AD5" s="20">
        <f>SUM($AB$4:AB5)</f>
        <v>96.156553125000002</v>
      </c>
      <c r="AF5" s="28">
        <f t="shared" si="4"/>
        <v>14.16</v>
      </c>
      <c r="AG5" s="2">
        <f t="shared" si="5"/>
        <v>17.696249999999999</v>
      </c>
      <c r="AH5" s="2">
        <f t="shared" si="6"/>
        <v>4.6019999999999994</v>
      </c>
      <c r="AI5" s="2">
        <f t="shared" ref="AI5:AI68" si="28">AH5+AF5</f>
        <v>18.762</v>
      </c>
      <c r="AJ5" s="2">
        <f t="shared" ref="AJ5:AJ68" si="29">0.15*AI5</f>
        <v>2.8142999999999998</v>
      </c>
      <c r="AK5" s="2">
        <f t="shared" si="7"/>
        <v>0.28320000000000001</v>
      </c>
      <c r="AL5" s="2">
        <f t="shared" si="8"/>
        <v>8.4960000000000004</v>
      </c>
      <c r="AM5" s="2">
        <f t="shared" ref="AM5:AM68" si="30">SUM(AF5:AH5,AJ5:AL5)</f>
        <v>48.051750000000006</v>
      </c>
      <c r="AN5" s="2">
        <f t="shared" si="9"/>
        <v>40</v>
      </c>
      <c r="AO5" s="2">
        <f t="shared" si="10"/>
        <v>35.392499999999998</v>
      </c>
      <c r="AP5" s="2">
        <f t="shared" si="11"/>
        <v>75.048000000000002</v>
      </c>
      <c r="AQ5" s="2">
        <f t="shared" ref="AQ5:AQ68" si="31">AN5+AP5</f>
        <v>115.048</v>
      </c>
      <c r="AR5" s="2">
        <f t="shared" ref="AR5:AR68" si="32">0.15*AQ5</f>
        <v>17.257200000000001</v>
      </c>
      <c r="AS5" s="2">
        <f t="shared" si="12"/>
        <v>0.28320000000000001</v>
      </c>
      <c r="AT5" s="2">
        <f t="shared" si="13"/>
        <v>8.4960000000000004</v>
      </c>
      <c r="AU5" s="2">
        <f t="shared" ref="AU5:AU68" si="33">SUM(AN5:AP5,AR5:AT5)</f>
        <v>176.4769</v>
      </c>
      <c r="AV5" s="2">
        <f t="shared" si="14"/>
        <v>14.16</v>
      </c>
      <c r="AW5" s="2">
        <f t="shared" si="15"/>
        <v>7.0785</v>
      </c>
      <c r="AX5" s="2">
        <f t="shared" si="16"/>
        <v>2.9735999999999998</v>
      </c>
      <c r="AY5" s="2">
        <f t="shared" ref="AY5:AY68" si="34">AV5+AX5</f>
        <v>17.133600000000001</v>
      </c>
      <c r="AZ5" s="2">
        <f t="shared" ref="AZ5:AZ68" si="35">0.15*AY5</f>
        <v>2.5700400000000001</v>
      </c>
      <c r="BA5" s="2">
        <f t="shared" si="17"/>
        <v>0.28320000000000001</v>
      </c>
      <c r="BB5" s="2">
        <f t="shared" si="18"/>
        <v>8.4960000000000004</v>
      </c>
      <c r="BC5" s="2">
        <f t="shared" ref="BC5:BC68" si="36">SUM(AV5:AX5,AZ5:BB5)</f>
        <v>35.561340000000001</v>
      </c>
      <c r="BD5" s="2">
        <v>0</v>
      </c>
      <c r="BE5" s="2">
        <f t="shared" si="19"/>
        <v>141.6</v>
      </c>
      <c r="BF5" s="2">
        <f t="shared" si="20"/>
        <v>4.6019999999999994</v>
      </c>
      <c r="BG5" s="2">
        <f t="shared" ref="BG5:BG68" si="37">BD5+BF5</f>
        <v>4.6019999999999994</v>
      </c>
      <c r="BH5" s="2">
        <f t="shared" ref="BH5:BH68" si="38">0.15*BG5</f>
        <v>0.69029999999999991</v>
      </c>
      <c r="BI5" s="2">
        <f t="shared" si="21"/>
        <v>0.28320000000000001</v>
      </c>
      <c r="BJ5" s="2">
        <f t="shared" si="22"/>
        <v>8.4960000000000004</v>
      </c>
      <c r="BK5" s="2">
        <f t="shared" ref="BK5:BK68" si="39">SUM(BD5:BF5,BH5:BJ5)</f>
        <v>155.67150000000001</v>
      </c>
      <c r="BL5" s="2">
        <f t="shared" si="23"/>
        <v>70815</v>
      </c>
      <c r="BM5" s="2">
        <f t="shared" si="24"/>
        <v>70785</v>
      </c>
      <c r="BN5" s="2">
        <f t="shared" ref="BN5:BN68" si="40">BM5+BL5</f>
        <v>141600</v>
      </c>
    </row>
    <row r="6" spans="1:66" x14ac:dyDescent="0.25">
      <c r="A6" s="42">
        <v>3</v>
      </c>
      <c r="B6" s="43">
        <v>42717</v>
      </c>
      <c r="C6" s="42" t="s">
        <v>50</v>
      </c>
      <c r="D6" s="42" t="s">
        <v>114</v>
      </c>
      <c r="E6" s="6">
        <f t="shared" si="25"/>
        <v>-153.02710312499829</v>
      </c>
      <c r="F6" s="5" t="str">
        <f t="shared" ref="F6:F69" si="41">IF(G6&gt;0,"Win",IF(G6=0,"Break Even","Loss"))</f>
        <v>Loss</v>
      </c>
      <c r="G6" s="4">
        <f t="shared" ref="G6:G69" si="42">SUM(Y6,Z6,AA6)</f>
        <v>-104.99999999999829</v>
      </c>
      <c r="H6" s="46">
        <v>300</v>
      </c>
      <c r="I6" s="42">
        <v>236.1</v>
      </c>
      <c r="N6" s="5">
        <f t="shared" ref="N6:N69" si="43">SUM(H6,J6,L6)</f>
        <v>300</v>
      </c>
      <c r="O6" s="4">
        <f>AVERAGE(M6,K6,I6)</f>
        <v>236.1</v>
      </c>
      <c r="P6" s="5">
        <f t="shared" si="0"/>
        <v>300</v>
      </c>
      <c r="Q6" s="42">
        <v>235.75</v>
      </c>
      <c r="R6" s="2">
        <f t="shared" si="26"/>
        <v>0</v>
      </c>
      <c r="T6" s="2">
        <f t="shared" si="27"/>
        <v>0</v>
      </c>
      <c r="V6" s="5">
        <f>SUM(P6,R6,T6)</f>
        <v>300</v>
      </c>
      <c r="W6" s="4">
        <f>AVERAGE(Q6,S6,U6)</f>
        <v>235.75</v>
      </c>
      <c r="X6" s="14">
        <f>MAX(Q6,S6,U6)-MIN(I6,K6,M6)</f>
        <v>-0.34999999999999432</v>
      </c>
      <c r="Y6" s="5">
        <f>P6*(Q6-I6)</f>
        <v>-104.99999999999829</v>
      </c>
      <c r="Z6" s="2">
        <f t="shared" si="1"/>
        <v>0</v>
      </c>
      <c r="AA6" s="4">
        <f t="shared" si="2"/>
        <v>0</v>
      </c>
      <c r="AB6" s="13">
        <f t="shared" si="3"/>
        <v>48.027103124999996</v>
      </c>
      <c r="AC6" s="10">
        <f>SUM($E$4:E6)</f>
        <v>-414.18365625001019</v>
      </c>
      <c r="AD6" s="20">
        <f>SUM($AB$4:AB6)</f>
        <v>144.18365625000001</v>
      </c>
      <c r="AF6" s="28">
        <f t="shared" si="4"/>
        <v>14.1555</v>
      </c>
      <c r="AG6" s="2">
        <f t="shared" si="5"/>
        <v>17.681249999999999</v>
      </c>
      <c r="AH6" s="2">
        <f t="shared" si="6"/>
        <v>4.6005374999999997</v>
      </c>
      <c r="AI6" s="2">
        <f t="shared" si="28"/>
        <v>18.756037499999998</v>
      </c>
      <c r="AJ6" s="2">
        <f t="shared" si="29"/>
        <v>2.8134056249999997</v>
      </c>
      <c r="AK6" s="2">
        <f t="shared" si="7"/>
        <v>0.28310999999999997</v>
      </c>
      <c r="AL6" s="2">
        <f t="shared" si="8"/>
        <v>8.4932999999999996</v>
      </c>
      <c r="AM6" s="2">
        <f t="shared" si="30"/>
        <v>48.027103124999996</v>
      </c>
      <c r="AN6" s="2">
        <f t="shared" si="9"/>
        <v>40</v>
      </c>
      <c r="AO6" s="2">
        <f t="shared" si="10"/>
        <v>35.362499999999997</v>
      </c>
      <c r="AP6" s="2">
        <f t="shared" si="11"/>
        <v>75.024149999999992</v>
      </c>
      <c r="AQ6" s="2">
        <f t="shared" si="31"/>
        <v>115.02414999999999</v>
      </c>
      <c r="AR6" s="2">
        <f t="shared" si="32"/>
        <v>17.253622499999999</v>
      </c>
      <c r="AS6" s="2">
        <f t="shared" si="12"/>
        <v>0.28310999999999997</v>
      </c>
      <c r="AT6" s="2">
        <f t="shared" si="13"/>
        <v>8.4932999999999996</v>
      </c>
      <c r="AU6" s="2">
        <f t="shared" si="33"/>
        <v>176.41668249999998</v>
      </c>
      <c r="AV6" s="2">
        <f t="shared" si="14"/>
        <v>14.1555</v>
      </c>
      <c r="AW6" s="2">
        <f t="shared" si="15"/>
        <v>7.0725000000000007</v>
      </c>
      <c r="AX6" s="2">
        <f t="shared" si="16"/>
        <v>2.972655</v>
      </c>
      <c r="AY6" s="2">
        <f t="shared" si="34"/>
        <v>17.128155</v>
      </c>
      <c r="AZ6" s="2">
        <f t="shared" si="35"/>
        <v>2.5692232499999998</v>
      </c>
      <c r="BA6" s="2">
        <f t="shared" si="17"/>
        <v>0.28310999999999997</v>
      </c>
      <c r="BB6" s="2">
        <f t="shared" si="18"/>
        <v>8.4932999999999996</v>
      </c>
      <c r="BC6" s="2">
        <f t="shared" si="36"/>
        <v>35.546288250000003</v>
      </c>
      <c r="BD6" s="2">
        <v>0</v>
      </c>
      <c r="BE6" s="2">
        <f t="shared" si="19"/>
        <v>141.55500000000001</v>
      </c>
      <c r="BF6" s="2">
        <f t="shared" si="20"/>
        <v>4.6005374999999997</v>
      </c>
      <c r="BG6" s="2">
        <f t="shared" si="37"/>
        <v>4.6005374999999997</v>
      </c>
      <c r="BH6" s="2">
        <f t="shared" si="38"/>
        <v>0.69008062499999989</v>
      </c>
      <c r="BI6" s="2">
        <f t="shared" si="21"/>
        <v>0.28310999999999997</v>
      </c>
      <c r="BJ6" s="2">
        <f t="shared" si="22"/>
        <v>8.4932999999999996</v>
      </c>
      <c r="BK6" s="2">
        <f t="shared" si="39"/>
        <v>155.62202812500001</v>
      </c>
      <c r="BL6" s="2">
        <f t="shared" si="23"/>
        <v>70830</v>
      </c>
      <c r="BM6" s="2">
        <f t="shared" si="24"/>
        <v>70725</v>
      </c>
      <c r="BN6" s="2">
        <f t="shared" si="40"/>
        <v>141555</v>
      </c>
    </row>
    <row r="7" spans="1:66" x14ac:dyDescent="0.25">
      <c r="A7" s="42">
        <v>4</v>
      </c>
      <c r="B7" s="43">
        <v>42717</v>
      </c>
      <c r="C7" s="42" t="s">
        <v>50</v>
      </c>
      <c r="D7" s="42" t="s">
        <v>114</v>
      </c>
      <c r="E7" s="6">
        <f t="shared" si="25"/>
        <v>-0.26007068749999429</v>
      </c>
      <c r="F7" s="5" t="str">
        <f t="shared" si="41"/>
        <v>Loss</v>
      </c>
      <c r="G7" s="4">
        <f t="shared" si="42"/>
        <v>-9.9999999999994316E-2</v>
      </c>
      <c r="H7" s="46">
        <v>1</v>
      </c>
      <c r="I7" s="42">
        <v>235.9</v>
      </c>
      <c r="N7" s="5">
        <f t="shared" si="43"/>
        <v>1</v>
      </c>
      <c r="O7" s="4">
        <f>AVERAGE(M7,K7,I7)</f>
        <v>235.9</v>
      </c>
      <c r="P7" s="5">
        <f t="shared" si="0"/>
        <v>1</v>
      </c>
      <c r="Q7" s="42">
        <v>235.8</v>
      </c>
      <c r="R7" s="2">
        <f t="shared" si="26"/>
        <v>0</v>
      </c>
      <c r="T7" s="2">
        <f t="shared" si="27"/>
        <v>0</v>
      </c>
      <c r="V7" s="5">
        <f t="shared" ref="V7:V69" si="44">SUM(P7,R7,T7)</f>
        <v>1</v>
      </c>
      <c r="W7" s="4">
        <f>AVERAGE(Q7,S7,U7)</f>
        <v>235.8</v>
      </c>
      <c r="X7" s="14">
        <f>MAX(Q7,S7,U7)-MIN(I7,K7,M7)</f>
        <v>-9.9999999999994316E-2</v>
      </c>
      <c r="Y7" s="5">
        <f>P7*(Q7-I7)</f>
        <v>-9.9999999999994316E-2</v>
      </c>
      <c r="Z7" s="2">
        <f t="shared" si="1"/>
        <v>0</v>
      </c>
      <c r="AA7" s="4">
        <f t="shared" si="2"/>
        <v>0</v>
      </c>
      <c r="AB7" s="13">
        <f t="shared" si="3"/>
        <v>0.1600706875</v>
      </c>
      <c r="AC7" s="10">
        <f>SUM($E$4:E7)</f>
        <v>-414.44372693751018</v>
      </c>
      <c r="AD7" s="20">
        <f>SUM($AB$4:AB7)</f>
        <v>144.34372693750001</v>
      </c>
      <c r="AF7" s="28">
        <f t="shared" si="4"/>
        <v>4.7170000000000004E-2</v>
      </c>
      <c r="AG7" s="2">
        <f t="shared" si="5"/>
        <v>5.8950000000000002E-2</v>
      </c>
      <c r="AH7" s="2">
        <f t="shared" si="6"/>
        <v>1.533025E-2</v>
      </c>
      <c r="AI7" s="2">
        <f t="shared" si="28"/>
        <v>6.2500250000000007E-2</v>
      </c>
      <c r="AJ7" s="2">
        <f t="shared" si="29"/>
        <v>9.3750375000000007E-3</v>
      </c>
      <c r="AK7" s="2">
        <f t="shared" si="7"/>
        <v>9.4340000000000005E-4</v>
      </c>
      <c r="AL7" s="2">
        <f t="shared" si="8"/>
        <v>2.8302000000000004E-2</v>
      </c>
      <c r="AM7" s="2">
        <f t="shared" si="30"/>
        <v>0.1600706875</v>
      </c>
      <c r="AN7" s="2">
        <f t="shared" si="9"/>
        <v>40</v>
      </c>
      <c r="AO7" s="2">
        <f t="shared" si="10"/>
        <v>0.1179</v>
      </c>
      <c r="AP7" s="2">
        <f t="shared" si="11"/>
        <v>0.25000100000000003</v>
      </c>
      <c r="AQ7" s="2">
        <f t="shared" si="31"/>
        <v>40.250000999999997</v>
      </c>
      <c r="AR7" s="2">
        <f t="shared" si="32"/>
        <v>6.0375001499999996</v>
      </c>
      <c r="AS7" s="2">
        <f t="shared" si="12"/>
        <v>9.4340000000000005E-4</v>
      </c>
      <c r="AT7" s="2">
        <f t="shared" si="13"/>
        <v>2.8302000000000004E-2</v>
      </c>
      <c r="AU7" s="2">
        <f t="shared" si="33"/>
        <v>46.434646549999989</v>
      </c>
      <c r="AV7" s="2">
        <f t="shared" si="14"/>
        <v>4.7170000000000004E-2</v>
      </c>
      <c r="AW7" s="2">
        <f t="shared" si="15"/>
        <v>2.3580000000000004E-2</v>
      </c>
      <c r="AX7" s="2">
        <f t="shared" si="16"/>
        <v>9.9056999999999999E-3</v>
      </c>
      <c r="AY7" s="2">
        <f t="shared" si="34"/>
        <v>5.7075700000000007E-2</v>
      </c>
      <c r="AZ7" s="2">
        <f t="shared" si="35"/>
        <v>8.5613550000000014E-3</v>
      </c>
      <c r="BA7" s="2">
        <f t="shared" si="17"/>
        <v>9.4340000000000005E-4</v>
      </c>
      <c r="BB7" s="2">
        <f t="shared" si="18"/>
        <v>2.8302000000000004E-2</v>
      </c>
      <c r="BC7" s="2">
        <f t="shared" si="36"/>
        <v>0.11846245500000002</v>
      </c>
      <c r="BD7" s="2">
        <v>0</v>
      </c>
      <c r="BE7" s="2">
        <f t="shared" si="19"/>
        <v>0.47170000000000006</v>
      </c>
      <c r="BF7" s="2">
        <f t="shared" si="20"/>
        <v>1.533025E-2</v>
      </c>
      <c r="BG7" s="2">
        <f t="shared" si="37"/>
        <v>1.533025E-2</v>
      </c>
      <c r="BH7" s="2">
        <f t="shared" si="38"/>
        <v>2.2995375000000001E-3</v>
      </c>
      <c r="BI7" s="2">
        <f t="shared" si="21"/>
        <v>9.4340000000000005E-4</v>
      </c>
      <c r="BJ7" s="2">
        <f t="shared" si="22"/>
        <v>2.8302000000000004E-2</v>
      </c>
      <c r="BK7" s="2">
        <f t="shared" si="39"/>
        <v>0.51857518750000009</v>
      </c>
      <c r="BL7" s="2">
        <f t="shared" si="23"/>
        <v>235.9</v>
      </c>
      <c r="BM7" s="2">
        <f t="shared" si="24"/>
        <v>235.8</v>
      </c>
      <c r="BN7" s="2">
        <f t="shared" si="40"/>
        <v>471.70000000000005</v>
      </c>
    </row>
    <row r="8" spans="1:66" x14ac:dyDescent="0.25">
      <c r="A8" s="42">
        <v>5</v>
      </c>
      <c r="B8" s="43">
        <v>42717</v>
      </c>
      <c r="C8" s="42" t="s">
        <v>50</v>
      </c>
      <c r="D8" s="42" t="s">
        <v>114</v>
      </c>
      <c r="E8" s="6">
        <f t="shared" si="25"/>
        <v>-151.67889187499611</v>
      </c>
      <c r="F8" s="5" t="str">
        <f t="shared" si="41"/>
        <v>Loss</v>
      </c>
      <c r="G8" s="4">
        <f t="shared" si="42"/>
        <v>-103.89999999999611</v>
      </c>
      <c r="H8" s="46">
        <v>71</v>
      </c>
      <c r="I8" s="42">
        <v>235.8</v>
      </c>
      <c r="J8" s="42">
        <v>228</v>
      </c>
      <c r="K8" s="42">
        <v>235.6</v>
      </c>
      <c r="N8" s="5">
        <f t="shared" si="43"/>
        <v>299</v>
      </c>
      <c r="O8" s="4">
        <f>AVERAGE(M8,K8,I8)</f>
        <v>235.7</v>
      </c>
      <c r="P8" s="5">
        <f t="shared" si="0"/>
        <v>71</v>
      </c>
      <c r="Q8" s="42">
        <v>235.3</v>
      </c>
      <c r="R8" s="2">
        <f>J8</f>
        <v>228</v>
      </c>
      <c r="S8" s="42">
        <v>235.3</v>
      </c>
      <c r="T8" s="2">
        <f t="shared" si="27"/>
        <v>0</v>
      </c>
      <c r="V8" s="5">
        <f t="shared" si="44"/>
        <v>299</v>
      </c>
      <c r="W8" s="4">
        <f>AVERAGE(Q8,S8,U8)</f>
        <v>235.3</v>
      </c>
      <c r="X8" s="14">
        <f>MAX(Q8,S8,U8)-MIN(I8,K8,M8)</f>
        <v>-0.29999999999998295</v>
      </c>
      <c r="Y8" s="5">
        <f>P8*(Q8-I8)</f>
        <v>-35.5</v>
      </c>
      <c r="Z8" s="2">
        <f t="shared" si="1"/>
        <v>-68.399999999996112</v>
      </c>
      <c r="AA8" s="4">
        <f t="shared" si="2"/>
        <v>0</v>
      </c>
      <c r="AB8" s="13">
        <f t="shared" si="3"/>
        <v>47.778891874999999</v>
      </c>
      <c r="AC8" s="10">
        <f>SUM($E$4:E8)</f>
        <v>-566.12261881250629</v>
      </c>
      <c r="AD8" s="20">
        <f>SUM($AB$4:AB8)</f>
        <v>192.12261881250001</v>
      </c>
      <c r="AF8" s="28">
        <f t="shared" si="4"/>
        <v>14.0829</v>
      </c>
      <c r="AG8" s="2">
        <f t="shared" si="5"/>
        <v>17.588674999999999</v>
      </c>
      <c r="AH8" s="2">
        <f t="shared" si="6"/>
        <v>4.5769424999999995</v>
      </c>
      <c r="AI8" s="2">
        <f t="shared" si="28"/>
        <v>18.6598425</v>
      </c>
      <c r="AJ8" s="2">
        <f t="shared" si="29"/>
        <v>2.7989763750000001</v>
      </c>
      <c r="AK8" s="2">
        <f t="shared" si="7"/>
        <v>0.28165800000000002</v>
      </c>
      <c r="AL8" s="2">
        <f t="shared" si="8"/>
        <v>8.4497400000000003</v>
      </c>
      <c r="AM8" s="2">
        <f t="shared" si="30"/>
        <v>47.778891874999999</v>
      </c>
      <c r="AN8" s="2">
        <f t="shared" si="9"/>
        <v>80</v>
      </c>
      <c r="AO8" s="2">
        <f t="shared" si="10"/>
        <v>35.177349999999997</v>
      </c>
      <c r="AP8" s="2">
        <f t="shared" si="11"/>
        <v>74.63937</v>
      </c>
      <c r="AQ8" s="2">
        <f t="shared" si="31"/>
        <v>154.63936999999999</v>
      </c>
      <c r="AR8" s="2">
        <f t="shared" si="32"/>
        <v>23.195905499999999</v>
      </c>
      <c r="AS8" s="2">
        <f t="shared" si="12"/>
        <v>0.28165800000000002</v>
      </c>
      <c r="AT8" s="2">
        <f t="shared" si="13"/>
        <v>8.4497400000000003</v>
      </c>
      <c r="AU8" s="2">
        <f t="shared" si="33"/>
        <v>221.74402349999997</v>
      </c>
      <c r="AV8" s="2">
        <f t="shared" si="14"/>
        <v>14.0829</v>
      </c>
      <c r="AW8" s="2">
        <f t="shared" si="15"/>
        <v>7.035470000000001</v>
      </c>
      <c r="AX8" s="2">
        <f t="shared" si="16"/>
        <v>2.9574089999999997</v>
      </c>
      <c r="AY8" s="2">
        <f t="shared" si="34"/>
        <v>17.040309000000001</v>
      </c>
      <c r="AZ8" s="2">
        <f t="shared" si="35"/>
        <v>2.5560463499999999</v>
      </c>
      <c r="BA8" s="2">
        <f t="shared" si="17"/>
        <v>0.28165800000000002</v>
      </c>
      <c r="BB8" s="2">
        <f t="shared" si="18"/>
        <v>8.4497400000000003</v>
      </c>
      <c r="BC8" s="2">
        <f t="shared" si="36"/>
        <v>35.363223349999998</v>
      </c>
      <c r="BD8" s="2">
        <v>0</v>
      </c>
      <c r="BE8" s="2">
        <f t="shared" si="19"/>
        <v>140.82900000000001</v>
      </c>
      <c r="BF8" s="2">
        <f t="shared" si="20"/>
        <v>4.5769424999999995</v>
      </c>
      <c r="BG8" s="2">
        <f t="shared" si="37"/>
        <v>4.5769424999999995</v>
      </c>
      <c r="BH8" s="2">
        <f t="shared" si="38"/>
        <v>0.6865413749999999</v>
      </c>
      <c r="BI8" s="2">
        <f t="shared" si="21"/>
        <v>0.28165800000000002</v>
      </c>
      <c r="BJ8" s="2">
        <f t="shared" si="22"/>
        <v>8.4497400000000003</v>
      </c>
      <c r="BK8" s="2">
        <f t="shared" si="39"/>
        <v>154.82388187499998</v>
      </c>
      <c r="BL8" s="2">
        <f t="shared" si="23"/>
        <v>70474.3</v>
      </c>
      <c r="BM8" s="2">
        <f t="shared" si="24"/>
        <v>70354.7</v>
      </c>
      <c r="BN8" s="2">
        <f t="shared" si="40"/>
        <v>140829</v>
      </c>
    </row>
    <row r="9" spans="1:66" x14ac:dyDescent="0.25">
      <c r="A9" s="42">
        <v>6</v>
      </c>
      <c r="B9" s="43">
        <v>42717</v>
      </c>
      <c r="C9" s="42" t="s">
        <v>50</v>
      </c>
      <c r="D9" s="42" t="s">
        <v>114</v>
      </c>
      <c r="E9" s="6">
        <f t="shared" si="25"/>
        <v>-34.1335047968753</v>
      </c>
      <c r="F9" s="5" t="str">
        <f t="shared" si="41"/>
        <v>Loss</v>
      </c>
      <c r="G9" s="4">
        <f t="shared" si="42"/>
        <v>-22.800000000000296</v>
      </c>
      <c r="H9" s="46">
        <v>41</v>
      </c>
      <c r="I9" s="42">
        <v>235.4</v>
      </c>
      <c r="J9" s="42">
        <v>30</v>
      </c>
      <c r="K9" s="42">
        <v>235.4</v>
      </c>
      <c r="N9" s="5">
        <f t="shared" si="43"/>
        <v>71</v>
      </c>
      <c r="O9" s="4">
        <f t="shared" ref="O9:O69" si="45">AVERAGE(M9,K9,I9)</f>
        <v>235.4</v>
      </c>
      <c r="P9" s="5">
        <f t="shared" si="0"/>
        <v>41</v>
      </c>
      <c r="Q9" s="42">
        <v>235.1</v>
      </c>
      <c r="R9" s="2">
        <f t="shared" si="26"/>
        <v>30</v>
      </c>
      <c r="S9" s="42">
        <v>235.05</v>
      </c>
      <c r="T9" s="2">
        <f t="shared" si="27"/>
        <v>0</v>
      </c>
      <c r="V9" s="5">
        <f t="shared" si="44"/>
        <v>71</v>
      </c>
      <c r="W9" s="4">
        <f t="shared" ref="W9:W69" si="46">AVERAGE(Q9,S9,U9)</f>
        <v>235.07499999999999</v>
      </c>
      <c r="X9" s="14">
        <f t="shared" ref="X9:X67" si="47">MAX(Q9,S9,U9)-MIN(I9,K9,M9)</f>
        <v>-0.30000000000001137</v>
      </c>
      <c r="Y9" s="5">
        <f t="shared" ref="Y9:Y67" si="48">P9*(Q9-I9)</f>
        <v>-12.300000000000466</v>
      </c>
      <c r="Z9" s="2">
        <f t="shared" si="1"/>
        <v>-10.499999999999829</v>
      </c>
      <c r="AA9" s="4">
        <f t="shared" si="2"/>
        <v>0</v>
      </c>
      <c r="AB9" s="13">
        <f t="shared" si="3"/>
        <v>11.333504796875001</v>
      </c>
      <c r="AC9" s="10">
        <f>SUM($E$4:E9)</f>
        <v>-600.25612360938158</v>
      </c>
      <c r="AD9" s="20">
        <f>SUM($AB$4:AB9)</f>
        <v>203.456123609375</v>
      </c>
      <c r="AF9" s="28">
        <f t="shared" si="4"/>
        <v>3.3403725000000009</v>
      </c>
      <c r="AG9" s="2">
        <f t="shared" si="5"/>
        <v>4.1725812500000004</v>
      </c>
      <c r="AH9" s="2">
        <f t="shared" si="6"/>
        <v>1.0856210625</v>
      </c>
      <c r="AI9" s="2">
        <f t="shared" si="28"/>
        <v>4.4259935625000004</v>
      </c>
      <c r="AJ9" s="2">
        <f t="shared" si="29"/>
        <v>0.66389903437500009</v>
      </c>
      <c r="AK9" s="2">
        <f t="shared" si="7"/>
        <v>6.6807450000000004E-2</v>
      </c>
      <c r="AL9" s="2">
        <f t="shared" si="8"/>
        <v>2.0042235000000006</v>
      </c>
      <c r="AM9" s="2">
        <f t="shared" si="30"/>
        <v>11.333504796875001</v>
      </c>
      <c r="AN9" s="2">
        <f t="shared" si="9"/>
        <v>80</v>
      </c>
      <c r="AO9" s="2">
        <f t="shared" si="10"/>
        <v>8.3451625000000007</v>
      </c>
      <c r="AP9" s="2">
        <f t="shared" si="11"/>
        <v>17.703974250000002</v>
      </c>
      <c r="AQ9" s="2">
        <f t="shared" si="31"/>
        <v>97.703974250000002</v>
      </c>
      <c r="AR9" s="2">
        <f t="shared" si="32"/>
        <v>14.6555961375</v>
      </c>
      <c r="AS9" s="2">
        <f t="shared" si="12"/>
        <v>6.6807450000000004E-2</v>
      </c>
      <c r="AT9" s="2">
        <f t="shared" si="13"/>
        <v>2.0042235000000006</v>
      </c>
      <c r="AU9" s="2">
        <f t="shared" si="33"/>
        <v>122.77576383749999</v>
      </c>
      <c r="AV9" s="2">
        <f t="shared" si="14"/>
        <v>3.3403725000000009</v>
      </c>
      <c r="AW9" s="2">
        <f t="shared" si="15"/>
        <v>1.6690324999999999</v>
      </c>
      <c r="AX9" s="2">
        <f t="shared" si="16"/>
        <v>0.70147822500000012</v>
      </c>
      <c r="AY9" s="2">
        <f t="shared" si="34"/>
        <v>4.0418507250000006</v>
      </c>
      <c r="AZ9" s="2">
        <f t="shared" si="35"/>
        <v>0.60627760875000003</v>
      </c>
      <c r="BA9" s="2">
        <f t="shared" si="17"/>
        <v>6.6807450000000004E-2</v>
      </c>
      <c r="BB9" s="2">
        <f t="shared" si="18"/>
        <v>2.0042235000000006</v>
      </c>
      <c r="BC9" s="2">
        <f t="shared" si="36"/>
        <v>8.3881917837500009</v>
      </c>
      <c r="BD9" s="2">
        <v>0</v>
      </c>
      <c r="BE9" s="2">
        <f t="shared" si="19"/>
        <v>33.403725000000009</v>
      </c>
      <c r="BF9" s="2">
        <f t="shared" si="20"/>
        <v>1.0856210625</v>
      </c>
      <c r="BG9" s="2">
        <f t="shared" si="37"/>
        <v>1.0856210625</v>
      </c>
      <c r="BH9" s="2">
        <f t="shared" si="38"/>
        <v>0.16284315937499999</v>
      </c>
      <c r="BI9" s="2">
        <f t="shared" si="21"/>
        <v>6.6807450000000004E-2</v>
      </c>
      <c r="BJ9" s="2">
        <f t="shared" si="22"/>
        <v>2.0042235000000006</v>
      </c>
      <c r="BK9" s="2">
        <f t="shared" si="39"/>
        <v>36.723220171875013</v>
      </c>
      <c r="BL9" s="2">
        <f t="shared" si="23"/>
        <v>16713.400000000001</v>
      </c>
      <c r="BM9" s="2">
        <f t="shared" si="24"/>
        <v>16690.325000000001</v>
      </c>
      <c r="BN9" s="2">
        <f t="shared" si="40"/>
        <v>33403.725000000006</v>
      </c>
    </row>
    <row r="10" spans="1:66" x14ac:dyDescent="0.25">
      <c r="A10" s="42">
        <v>7</v>
      </c>
      <c r="B10" s="43">
        <v>42718</v>
      </c>
      <c r="C10" s="42" t="s">
        <v>50</v>
      </c>
      <c r="D10" s="42" t="s">
        <v>115</v>
      </c>
      <c r="E10" s="6">
        <f t="shared" si="25"/>
        <v>-360.54093749999998</v>
      </c>
      <c r="F10" s="5" t="str">
        <f t="shared" si="41"/>
        <v>Loss</v>
      </c>
      <c r="G10" s="4">
        <f t="shared" si="42"/>
        <v>-300</v>
      </c>
      <c r="H10" s="46">
        <v>300</v>
      </c>
      <c r="I10" s="42">
        <v>298</v>
      </c>
      <c r="N10" s="5">
        <f t="shared" si="43"/>
        <v>300</v>
      </c>
      <c r="O10" s="4">
        <f t="shared" si="45"/>
        <v>298</v>
      </c>
      <c r="P10" s="5">
        <f t="shared" si="0"/>
        <v>300</v>
      </c>
      <c r="Q10" s="42">
        <v>297</v>
      </c>
      <c r="R10" s="2">
        <f>J10</f>
        <v>0</v>
      </c>
      <c r="T10" s="2">
        <f t="shared" si="27"/>
        <v>0</v>
      </c>
      <c r="V10" s="5">
        <f t="shared" si="44"/>
        <v>300</v>
      </c>
      <c r="W10" s="4">
        <f t="shared" si="46"/>
        <v>297</v>
      </c>
      <c r="X10" s="14">
        <f t="shared" si="47"/>
        <v>-1</v>
      </c>
      <c r="Y10" s="5">
        <f t="shared" si="48"/>
        <v>-300</v>
      </c>
      <c r="Z10" s="2">
        <f t="shared" si="1"/>
        <v>0</v>
      </c>
      <c r="AA10" s="4">
        <f t="shared" si="2"/>
        <v>0</v>
      </c>
      <c r="AB10" s="13">
        <f t="shared" si="3"/>
        <v>60.540937499999998</v>
      </c>
      <c r="AC10" s="10">
        <f>SUM($E$4:E10)</f>
        <v>-960.7970611093815</v>
      </c>
      <c r="AD10" s="20">
        <f>SUM($AB$4:AB10)</f>
        <v>263.99706110937501</v>
      </c>
      <c r="AF10" s="28">
        <f t="shared" si="4"/>
        <v>17.850000000000001</v>
      </c>
      <c r="AG10" s="2">
        <f t="shared" si="5"/>
        <v>22.274999999999999</v>
      </c>
      <c r="AH10" s="2">
        <f t="shared" si="6"/>
        <v>5.8012499999999996</v>
      </c>
      <c r="AI10" s="2">
        <f t="shared" si="28"/>
        <v>23.651250000000001</v>
      </c>
      <c r="AJ10" s="2">
        <f t="shared" si="29"/>
        <v>3.5476874999999999</v>
      </c>
      <c r="AK10" s="2">
        <f t="shared" si="7"/>
        <v>0.35700000000000004</v>
      </c>
      <c r="AL10" s="2">
        <f t="shared" si="8"/>
        <v>10.71</v>
      </c>
      <c r="AM10" s="2">
        <f t="shared" si="30"/>
        <v>60.540937499999998</v>
      </c>
      <c r="AN10" s="2">
        <f t="shared" si="9"/>
        <v>40</v>
      </c>
      <c r="AO10" s="2">
        <f t="shared" si="10"/>
        <v>44.55</v>
      </c>
      <c r="AP10" s="2">
        <f t="shared" si="11"/>
        <v>94.60499999999999</v>
      </c>
      <c r="AQ10" s="2">
        <f t="shared" si="31"/>
        <v>134.60499999999999</v>
      </c>
      <c r="AR10" s="2">
        <f t="shared" si="32"/>
        <v>20.190749999999998</v>
      </c>
      <c r="AS10" s="2">
        <f t="shared" si="12"/>
        <v>0.35700000000000004</v>
      </c>
      <c r="AT10" s="2">
        <f t="shared" si="13"/>
        <v>10.71</v>
      </c>
      <c r="AU10" s="2">
        <f t="shared" si="33"/>
        <v>210.41274999999999</v>
      </c>
      <c r="AV10" s="2">
        <f t="shared" si="14"/>
        <v>17.850000000000001</v>
      </c>
      <c r="AW10" s="2">
        <f t="shared" si="15"/>
        <v>8.91</v>
      </c>
      <c r="AX10" s="2">
        <f t="shared" si="16"/>
        <v>3.7484999999999999</v>
      </c>
      <c r="AY10" s="2">
        <f t="shared" si="34"/>
        <v>21.598500000000001</v>
      </c>
      <c r="AZ10" s="2">
        <f t="shared" si="35"/>
        <v>3.2397750000000003</v>
      </c>
      <c r="BA10" s="2">
        <f t="shared" si="17"/>
        <v>0.35700000000000004</v>
      </c>
      <c r="BB10" s="2">
        <f t="shared" si="18"/>
        <v>10.71</v>
      </c>
      <c r="BC10" s="2">
        <f t="shared" si="36"/>
        <v>44.815275</v>
      </c>
      <c r="BD10" s="2">
        <v>0</v>
      </c>
      <c r="BE10" s="2">
        <f t="shared" si="19"/>
        <v>178.5</v>
      </c>
      <c r="BF10" s="2">
        <f t="shared" si="20"/>
        <v>5.8012499999999996</v>
      </c>
      <c r="BG10" s="2">
        <f t="shared" si="37"/>
        <v>5.8012499999999996</v>
      </c>
      <c r="BH10" s="2">
        <f t="shared" si="38"/>
        <v>0.87018749999999989</v>
      </c>
      <c r="BI10" s="2">
        <f t="shared" si="21"/>
        <v>0.35700000000000004</v>
      </c>
      <c r="BJ10" s="2">
        <f t="shared" si="22"/>
        <v>10.71</v>
      </c>
      <c r="BK10" s="2">
        <f t="shared" si="39"/>
        <v>196.2384375</v>
      </c>
      <c r="BL10" s="2">
        <f t="shared" si="23"/>
        <v>89400</v>
      </c>
      <c r="BM10" s="2">
        <f t="shared" si="24"/>
        <v>89100</v>
      </c>
      <c r="BN10" s="2">
        <f t="shared" si="40"/>
        <v>178500</v>
      </c>
    </row>
    <row r="11" spans="1:66" x14ac:dyDescent="0.25">
      <c r="A11" s="42">
        <v>8</v>
      </c>
      <c r="B11" s="43">
        <v>42718</v>
      </c>
      <c r="C11" s="42" t="s">
        <v>50</v>
      </c>
      <c r="D11" s="42" t="s">
        <v>116</v>
      </c>
      <c r="E11" s="6">
        <f t="shared" si="25"/>
        <v>-304.94749999999999</v>
      </c>
      <c r="F11" s="5" t="str">
        <f t="shared" si="41"/>
        <v>Loss</v>
      </c>
      <c r="G11" s="4">
        <f t="shared" si="42"/>
        <v>-250</v>
      </c>
      <c r="H11" s="46">
        <v>250</v>
      </c>
      <c r="I11" s="42">
        <v>324.5</v>
      </c>
      <c r="N11" s="5">
        <f t="shared" si="43"/>
        <v>250</v>
      </c>
      <c r="O11" s="4">
        <f t="shared" si="45"/>
        <v>324.5</v>
      </c>
      <c r="P11" s="5">
        <f t="shared" si="0"/>
        <v>250</v>
      </c>
      <c r="Q11" s="42">
        <v>323.5</v>
      </c>
      <c r="R11" s="2">
        <f t="shared" si="26"/>
        <v>0</v>
      </c>
      <c r="T11" s="2">
        <f t="shared" si="27"/>
        <v>0</v>
      </c>
      <c r="V11" s="5">
        <f t="shared" si="44"/>
        <v>250</v>
      </c>
      <c r="W11" s="4">
        <f t="shared" si="46"/>
        <v>323.5</v>
      </c>
      <c r="X11" s="14">
        <f t="shared" si="47"/>
        <v>-1</v>
      </c>
      <c r="Y11" s="5">
        <f t="shared" si="48"/>
        <v>-250</v>
      </c>
      <c r="Z11" s="2">
        <f t="shared" si="1"/>
        <v>0</v>
      </c>
      <c r="AA11" s="4">
        <f t="shared" si="2"/>
        <v>0</v>
      </c>
      <c r="AB11" s="13">
        <f t="shared" si="3"/>
        <v>54.947499999999998</v>
      </c>
      <c r="AC11" s="10">
        <f>SUM($E$4:E11)</f>
        <v>-1265.7445611093815</v>
      </c>
      <c r="AD11" s="20">
        <f>SUM($AB$4:AB11)</f>
        <v>318.944561109375</v>
      </c>
      <c r="AF11" s="28">
        <f t="shared" si="4"/>
        <v>16.2</v>
      </c>
      <c r="AG11" s="2">
        <f t="shared" si="5"/>
        <v>20.21875</v>
      </c>
      <c r="AH11" s="2">
        <f t="shared" si="6"/>
        <v>5.2649999999999997</v>
      </c>
      <c r="AI11" s="2">
        <f t="shared" si="28"/>
        <v>21.465</v>
      </c>
      <c r="AJ11" s="2">
        <f t="shared" si="29"/>
        <v>3.2197499999999999</v>
      </c>
      <c r="AK11" s="2">
        <f t="shared" si="7"/>
        <v>0.32399999999999995</v>
      </c>
      <c r="AL11" s="2">
        <f t="shared" si="8"/>
        <v>9.7200000000000006</v>
      </c>
      <c r="AM11" s="2">
        <f t="shared" si="30"/>
        <v>54.947499999999998</v>
      </c>
      <c r="AN11" s="2">
        <f t="shared" si="9"/>
        <v>40</v>
      </c>
      <c r="AO11" s="2">
        <f t="shared" si="10"/>
        <v>40.4375</v>
      </c>
      <c r="AP11" s="2">
        <f t="shared" si="11"/>
        <v>85.86</v>
      </c>
      <c r="AQ11" s="2">
        <f t="shared" si="31"/>
        <v>125.86</v>
      </c>
      <c r="AR11" s="2">
        <f t="shared" si="32"/>
        <v>18.878999999999998</v>
      </c>
      <c r="AS11" s="2">
        <f t="shared" si="12"/>
        <v>0.32399999999999995</v>
      </c>
      <c r="AT11" s="2">
        <f t="shared" si="13"/>
        <v>9.7200000000000006</v>
      </c>
      <c r="AU11" s="2">
        <f t="shared" si="33"/>
        <v>195.22050000000002</v>
      </c>
      <c r="AV11" s="2">
        <f t="shared" si="14"/>
        <v>16.2</v>
      </c>
      <c r="AW11" s="2">
        <f t="shared" si="15"/>
        <v>8.0875000000000004</v>
      </c>
      <c r="AX11" s="2">
        <f t="shared" si="16"/>
        <v>3.4019999999999997</v>
      </c>
      <c r="AY11" s="2">
        <f t="shared" si="34"/>
        <v>19.602</v>
      </c>
      <c r="AZ11" s="2">
        <f t="shared" si="35"/>
        <v>2.9403000000000001</v>
      </c>
      <c r="BA11" s="2">
        <f t="shared" si="17"/>
        <v>0.32399999999999995</v>
      </c>
      <c r="BB11" s="2">
        <f t="shared" si="18"/>
        <v>9.7200000000000006</v>
      </c>
      <c r="BC11" s="2">
        <f t="shared" si="36"/>
        <v>40.673800000000007</v>
      </c>
      <c r="BD11" s="2">
        <v>0</v>
      </c>
      <c r="BE11" s="2">
        <f t="shared" si="19"/>
        <v>162</v>
      </c>
      <c r="BF11" s="2">
        <f t="shared" si="20"/>
        <v>5.2649999999999997</v>
      </c>
      <c r="BG11" s="2">
        <f t="shared" si="37"/>
        <v>5.2649999999999997</v>
      </c>
      <c r="BH11" s="2">
        <f t="shared" si="38"/>
        <v>0.78974999999999995</v>
      </c>
      <c r="BI11" s="2">
        <f t="shared" si="21"/>
        <v>0.32399999999999995</v>
      </c>
      <c r="BJ11" s="2">
        <f t="shared" si="22"/>
        <v>9.7200000000000006</v>
      </c>
      <c r="BK11" s="2">
        <f t="shared" si="39"/>
        <v>178.09875</v>
      </c>
      <c r="BL11" s="2">
        <f t="shared" si="23"/>
        <v>81125</v>
      </c>
      <c r="BM11" s="2">
        <f t="shared" si="24"/>
        <v>80875</v>
      </c>
      <c r="BN11" s="2">
        <f t="shared" si="40"/>
        <v>162000</v>
      </c>
    </row>
    <row r="12" spans="1:66" x14ac:dyDescent="0.25">
      <c r="A12" s="42">
        <v>9</v>
      </c>
      <c r="B12" s="43">
        <v>42718</v>
      </c>
      <c r="C12" s="42" t="s">
        <v>50</v>
      </c>
      <c r="D12" s="42" t="s">
        <v>117</v>
      </c>
      <c r="E12" s="6">
        <f t="shared" si="25"/>
        <v>58.720990093750224</v>
      </c>
      <c r="F12" s="5" t="str">
        <f t="shared" si="41"/>
        <v>Win</v>
      </c>
      <c r="G12" s="4">
        <f t="shared" si="42"/>
        <v>60.850000000000222</v>
      </c>
      <c r="H12" s="46">
        <v>11</v>
      </c>
      <c r="I12" s="42">
        <v>171.95</v>
      </c>
      <c r="J12" s="42">
        <v>7</v>
      </c>
      <c r="K12" s="42">
        <v>171.95</v>
      </c>
      <c r="N12" s="5">
        <f t="shared" si="43"/>
        <v>18</v>
      </c>
      <c r="O12" s="4">
        <f t="shared" si="45"/>
        <v>171.95</v>
      </c>
      <c r="P12" s="5">
        <f t="shared" si="0"/>
        <v>11</v>
      </c>
      <c r="Q12" s="42">
        <v>175.35</v>
      </c>
      <c r="R12" s="2">
        <f>J12</f>
        <v>7</v>
      </c>
      <c r="S12" s="42">
        <v>175.3</v>
      </c>
      <c r="T12" s="2">
        <f t="shared" si="27"/>
        <v>0</v>
      </c>
      <c r="V12" s="5">
        <f t="shared" si="44"/>
        <v>18</v>
      </c>
      <c r="W12" s="4">
        <f t="shared" si="46"/>
        <v>175.32499999999999</v>
      </c>
      <c r="X12" s="14">
        <f t="shared" si="47"/>
        <v>3.4000000000000057</v>
      </c>
      <c r="Y12" s="5">
        <f t="shared" si="48"/>
        <v>37.400000000000063</v>
      </c>
      <c r="Z12" s="2">
        <f t="shared" si="1"/>
        <v>23.450000000000159</v>
      </c>
      <c r="AA12" s="4">
        <f t="shared" si="2"/>
        <v>0</v>
      </c>
      <c r="AB12" s="13">
        <f t="shared" si="3"/>
        <v>2.1290099062499999</v>
      </c>
      <c r="AC12" s="10">
        <f>SUM($E$4:E12)</f>
        <v>-1207.0235710156312</v>
      </c>
      <c r="AD12" s="20">
        <f>SUM($AB$4:AB12)</f>
        <v>321.07357101562502</v>
      </c>
      <c r="AF12" s="28">
        <f t="shared" si="4"/>
        <v>0.62509499999999996</v>
      </c>
      <c r="AG12" s="2">
        <f t="shared" si="5"/>
        <v>0.78896250000000001</v>
      </c>
      <c r="AH12" s="2">
        <f t="shared" si="6"/>
        <v>0.20315587499999999</v>
      </c>
      <c r="AI12" s="2">
        <f t="shared" si="28"/>
        <v>0.82825087499999994</v>
      </c>
      <c r="AJ12" s="2">
        <f t="shared" si="29"/>
        <v>0.12423763124999998</v>
      </c>
      <c r="AK12" s="2">
        <f t="shared" si="7"/>
        <v>1.25019E-2</v>
      </c>
      <c r="AL12" s="2">
        <f t="shared" si="8"/>
        <v>0.37505699999999997</v>
      </c>
      <c r="AM12" s="2">
        <f t="shared" si="30"/>
        <v>2.1290099062499999</v>
      </c>
      <c r="AN12" s="2">
        <f t="shared" si="9"/>
        <v>80</v>
      </c>
      <c r="AO12" s="2">
        <f t="shared" si="10"/>
        <v>1.577925</v>
      </c>
      <c r="AP12" s="2">
        <f t="shared" si="11"/>
        <v>3.3130034999999998</v>
      </c>
      <c r="AQ12" s="2">
        <f t="shared" si="31"/>
        <v>83.313003499999994</v>
      </c>
      <c r="AR12" s="2">
        <f t="shared" si="32"/>
        <v>12.496950524999999</v>
      </c>
      <c r="AS12" s="2">
        <f t="shared" si="12"/>
        <v>1.25019E-2</v>
      </c>
      <c r="AT12" s="2">
        <f t="shared" si="13"/>
        <v>0.37505699999999997</v>
      </c>
      <c r="AU12" s="2">
        <f t="shared" si="33"/>
        <v>97.775437924999991</v>
      </c>
      <c r="AV12" s="2">
        <f t="shared" si="14"/>
        <v>0.62509499999999996</v>
      </c>
      <c r="AW12" s="2">
        <f t="shared" si="15"/>
        <v>0.315585</v>
      </c>
      <c r="AX12" s="2">
        <f t="shared" si="16"/>
        <v>0.13126995</v>
      </c>
      <c r="AY12" s="2">
        <f t="shared" si="34"/>
        <v>0.75636494999999992</v>
      </c>
      <c r="AZ12" s="2">
        <f t="shared" si="35"/>
        <v>0.11345474249999998</v>
      </c>
      <c r="BA12" s="2">
        <f t="shared" si="17"/>
        <v>1.25019E-2</v>
      </c>
      <c r="BB12" s="2">
        <f t="shared" si="18"/>
        <v>0.37505699999999997</v>
      </c>
      <c r="BC12" s="2">
        <f t="shared" si="36"/>
        <v>1.5729635925000001</v>
      </c>
      <c r="BD12" s="2">
        <v>0</v>
      </c>
      <c r="BE12" s="2">
        <f t="shared" si="19"/>
        <v>6.2509499999999996</v>
      </c>
      <c r="BF12" s="2">
        <f t="shared" si="20"/>
        <v>0.20315587499999999</v>
      </c>
      <c r="BG12" s="2">
        <f t="shared" si="37"/>
        <v>0.20315587499999999</v>
      </c>
      <c r="BH12" s="2">
        <f t="shared" si="38"/>
        <v>3.0473381249999997E-2</v>
      </c>
      <c r="BI12" s="2">
        <f t="shared" si="21"/>
        <v>1.25019E-2</v>
      </c>
      <c r="BJ12" s="2">
        <f t="shared" si="22"/>
        <v>0.37505699999999997</v>
      </c>
      <c r="BK12" s="2">
        <f t="shared" si="39"/>
        <v>6.8721381562500001</v>
      </c>
      <c r="BL12" s="2">
        <f t="shared" si="23"/>
        <v>3095.1</v>
      </c>
      <c r="BM12" s="2">
        <f t="shared" si="24"/>
        <v>3155.85</v>
      </c>
      <c r="BN12" s="2">
        <f t="shared" si="40"/>
        <v>6250.95</v>
      </c>
    </row>
    <row r="13" spans="1:66" x14ac:dyDescent="0.25">
      <c r="A13" s="42">
        <v>10</v>
      </c>
      <c r="B13" s="43">
        <v>42718</v>
      </c>
      <c r="C13" s="42" t="s">
        <v>50</v>
      </c>
      <c r="D13" s="42" t="s">
        <v>117</v>
      </c>
      <c r="E13" s="6">
        <f t="shared" si="25"/>
        <v>-29.162176875</v>
      </c>
      <c r="F13" s="5" t="str">
        <f t="shared" si="41"/>
        <v>Loss</v>
      </c>
      <c r="G13" s="4">
        <f t="shared" si="42"/>
        <v>-27</v>
      </c>
      <c r="H13" s="46">
        <v>18</v>
      </c>
      <c r="I13" s="42">
        <v>178</v>
      </c>
      <c r="N13" s="5">
        <f t="shared" si="43"/>
        <v>18</v>
      </c>
      <c r="O13" s="4">
        <f t="shared" si="45"/>
        <v>178</v>
      </c>
      <c r="P13" s="5">
        <f t="shared" si="0"/>
        <v>18</v>
      </c>
      <c r="Q13" s="42">
        <v>176.5</v>
      </c>
      <c r="R13" s="2">
        <f>J13</f>
        <v>0</v>
      </c>
      <c r="T13" s="2">
        <f t="shared" si="27"/>
        <v>0</v>
      </c>
      <c r="V13" s="5">
        <f t="shared" si="44"/>
        <v>18</v>
      </c>
      <c r="W13" s="4">
        <f t="shared" si="46"/>
        <v>176.5</v>
      </c>
      <c r="X13" s="14">
        <f t="shared" si="47"/>
        <v>-1.5</v>
      </c>
      <c r="Y13" s="5">
        <f t="shared" si="48"/>
        <v>-27</v>
      </c>
      <c r="Z13" s="2">
        <f t="shared" si="1"/>
        <v>0</v>
      </c>
      <c r="AA13" s="4">
        <f t="shared" si="2"/>
        <v>0</v>
      </c>
      <c r="AB13" s="13">
        <f t="shared" si="3"/>
        <v>2.1621768750000001</v>
      </c>
      <c r="AC13" s="10">
        <f>SUM($E$4:E13)</f>
        <v>-1236.1857478906313</v>
      </c>
      <c r="AD13" s="20">
        <f>SUM($AB$4:AB13)</f>
        <v>323.23574789062502</v>
      </c>
      <c r="AF13" s="28">
        <f t="shared" si="4"/>
        <v>0.6381</v>
      </c>
      <c r="AG13" s="2">
        <f t="shared" si="5"/>
        <v>0.79425000000000012</v>
      </c>
      <c r="AH13" s="2">
        <f t="shared" si="6"/>
        <v>0.20738249999999997</v>
      </c>
      <c r="AI13" s="2">
        <f t="shared" si="28"/>
        <v>0.84548249999999991</v>
      </c>
      <c r="AJ13" s="2">
        <f t="shared" si="29"/>
        <v>0.12682237499999999</v>
      </c>
      <c r="AK13" s="2">
        <f t="shared" si="7"/>
        <v>1.2761999999999999E-2</v>
      </c>
      <c r="AL13" s="2">
        <f t="shared" si="8"/>
        <v>0.38286000000000003</v>
      </c>
      <c r="AM13" s="2">
        <f t="shared" si="30"/>
        <v>2.1621768750000001</v>
      </c>
      <c r="AN13" s="2">
        <f t="shared" si="9"/>
        <v>40</v>
      </c>
      <c r="AO13" s="2">
        <f t="shared" si="10"/>
        <v>1.5885000000000002</v>
      </c>
      <c r="AP13" s="2">
        <f t="shared" si="11"/>
        <v>3.3819299999999997</v>
      </c>
      <c r="AQ13" s="2">
        <f t="shared" si="31"/>
        <v>43.381929999999997</v>
      </c>
      <c r="AR13" s="2">
        <f t="shared" si="32"/>
        <v>6.5072894999999997</v>
      </c>
      <c r="AS13" s="2">
        <f t="shared" si="12"/>
        <v>1.2761999999999999E-2</v>
      </c>
      <c r="AT13" s="2">
        <f t="shared" si="13"/>
        <v>0.38286000000000003</v>
      </c>
      <c r="AU13" s="2">
        <f t="shared" si="33"/>
        <v>51.873341500000002</v>
      </c>
      <c r="AV13" s="2">
        <f t="shared" si="14"/>
        <v>0.6381</v>
      </c>
      <c r="AW13" s="2">
        <f t="shared" si="15"/>
        <v>0.31770000000000004</v>
      </c>
      <c r="AX13" s="2">
        <f t="shared" si="16"/>
        <v>0.13400099999999998</v>
      </c>
      <c r="AY13" s="2">
        <f t="shared" si="34"/>
        <v>0.77210099999999993</v>
      </c>
      <c r="AZ13" s="2">
        <f t="shared" si="35"/>
        <v>0.11581514999999998</v>
      </c>
      <c r="BA13" s="2">
        <f t="shared" si="17"/>
        <v>1.2761999999999999E-2</v>
      </c>
      <c r="BB13" s="2">
        <f t="shared" si="18"/>
        <v>0.38286000000000003</v>
      </c>
      <c r="BC13" s="2">
        <f t="shared" si="36"/>
        <v>1.6012381499999999</v>
      </c>
      <c r="BD13" s="2">
        <v>0</v>
      </c>
      <c r="BE13" s="2">
        <f t="shared" si="19"/>
        <v>6.3810000000000002</v>
      </c>
      <c r="BF13" s="2">
        <f t="shared" si="20"/>
        <v>0.20738249999999997</v>
      </c>
      <c r="BG13" s="2">
        <f t="shared" si="37"/>
        <v>0.20738249999999997</v>
      </c>
      <c r="BH13" s="2">
        <f t="shared" si="38"/>
        <v>3.1107374999999993E-2</v>
      </c>
      <c r="BI13" s="2">
        <f t="shared" si="21"/>
        <v>1.2761999999999999E-2</v>
      </c>
      <c r="BJ13" s="2">
        <f t="shared" si="22"/>
        <v>0.38286000000000003</v>
      </c>
      <c r="BK13" s="2">
        <f t="shared" si="39"/>
        <v>7.0151118750000006</v>
      </c>
      <c r="BL13" s="2">
        <f t="shared" si="23"/>
        <v>3204</v>
      </c>
      <c r="BM13" s="2">
        <f t="shared" si="24"/>
        <v>3177</v>
      </c>
      <c r="BN13" s="2">
        <f t="shared" si="40"/>
        <v>6381</v>
      </c>
    </row>
    <row r="14" spans="1:66" x14ac:dyDescent="0.25">
      <c r="A14" s="42">
        <v>11</v>
      </c>
      <c r="B14" s="43">
        <v>42718</v>
      </c>
      <c r="C14" s="42" t="s">
        <v>50</v>
      </c>
      <c r="D14" s="42" t="s">
        <v>118</v>
      </c>
      <c r="E14" s="6">
        <f t="shared" si="25"/>
        <v>-350.76693749999998</v>
      </c>
      <c r="F14" s="5" t="str">
        <f t="shared" si="41"/>
        <v>Loss</v>
      </c>
      <c r="G14" s="4">
        <f t="shared" si="42"/>
        <v>-300</v>
      </c>
      <c r="H14" s="46">
        <v>150</v>
      </c>
      <c r="I14" s="42">
        <v>500</v>
      </c>
      <c r="N14" s="5">
        <f t="shared" si="43"/>
        <v>150</v>
      </c>
      <c r="O14" s="4">
        <f t="shared" si="45"/>
        <v>500</v>
      </c>
      <c r="P14" s="5">
        <f t="shared" si="0"/>
        <v>150</v>
      </c>
      <c r="Q14" s="42">
        <v>498</v>
      </c>
      <c r="R14" s="2">
        <f t="shared" ref="R14:R24" si="49">J14</f>
        <v>0</v>
      </c>
      <c r="T14" s="2">
        <f t="shared" si="27"/>
        <v>0</v>
      </c>
      <c r="V14" s="5">
        <f t="shared" si="44"/>
        <v>150</v>
      </c>
      <c r="W14" s="4">
        <f t="shared" si="46"/>
        <v>498</v>
      </c>
      <c r="X14" s="14">
        <f t="shared" si="47"/>
        <v>-2</v>
      </c>
      <c r="Y14" s="5">
        <f t="shared" si="48"/>
        <v>-300</v>
      </c>
      <c r="Z14" s="2">
        <f t="shared" si="1"/>
        <v>0</v>
      </c>
      <c r="AA14" s="4">
        <f t="shared" si="2"/>
        <v>0</v>
      </c>
      <c r="AB14" s="13">
        <f t="shared" si="3"/>
        <v>50.766937499999997</v>
      </c>
      <c r="AC14" s="10">
        <f>SUM($E$4:E14)</f>
        <v>-1586.9526853906314</v>
      </c>
      <c r="AD14" s="20">
        <f>SUM($AB$4:AB14)</f>
        <v>374.002685390625</v>
      </c>
      <c r="AF14" s="28">
        <f t="shared" si="4"/>
        <v>14.97</v>
      </c>
      <c r="AG14" s="2">
        <f t="shared" si="5"/>
        <v>18.675000000000001</v>
      </c>
      <c r="AH14" s="2">
        <f t="shared" si="6"/>
        <v>4.8652499999999996</v>
      </c>
      <c r="AI14" s="2">
        <f t="shared" si="28"/>
        <v>19.835250000000002</v>
      </c>
      <c r="AJ14" s="2">
        <f t="shared" si="29"/>
        <v>2.9752875000000003</v>
      </c>
      <c r="AK14" s="2">
        <f t="shared" si="7"/>
        <v>0.2994</v>
      </c>
      <c r="AL14" s="2">
        <f t="shared" si="8"/>
        <v>8.9820000000000011</v>
      </c>
      <c r="AM14" s="2">
        <f t="shared" si="30"/>
        <v>50.766937499999997</v>
      </c>
      <c r="AN14" s="2">
        <f t="shared" si="9"/>
        <v>40</v>
      </c>
      <c r="AO14" s="2">
        <f t="shared" si="10"/>
        <v>37.35</v>
      </c>
      <c r="AP14" s="2">
        <f t="shared" si="11"/>
        <v>79.340999999999994</v>
      </c>
      <c r="AQ14" s="2">
        <f t="shared" si="31"/>
        <v>119.34099999999999</v>
      </c>
      <c r="AR14" s="2">
        <f t="shared" si="32"/>
        <v>17.901149999999998</v>
      </c>
      <c r="AS14" s="2">
        <f t="shared" si="12"/>
        <v>0.2994</v>
      </c>
      <c r="AT14" s="2">
        <f t="shared" si="13"/>
        <v>8.9820000000000011</v>
      </c>
      <c r="AU14" s="2">
        <f t="shared" si="33"/>
        <v>183.87354999999997</v>
      </c>
      <c r="AV14" s="2">
        <f t="shared" si="14"/>
        <v>14.97</v>
      </c>
      <c r="AW14" s="2">
        <f t="shared" si="15"/>
        <v>7.4700000000000006</v>
      </c>
      <c r="AX14" s="2">
        <f t="shared" si="16"/>
        <v>3.1436999999999999</v>
      </c>
      <c r="AY14" s="2">
        <f t="shared" si="34"/>
        <v>18.113700000000001</v>
      </c>
      <c r="AZ14" s="2">
        <f t="shared" si="35"/>
        <v>2.7170550000000002</v>
      </c>
      <c r="BA14" s="2">
        <f t="shared" si="17"/>
        <v>0.2994</v>
      </c>
      <c r="BB14" s="2">
        <f t="shared" si="18"/>
        <v>8.9820000000000011</v>
      </c>
      <c r="BC14" s="2">
        <f t="shared" si="36"/>
        <v>37.582155</v>
      </c>
      <c r="BD14" s="2">
        <v>0</v>
      </c>
      <c r="BE14" s="2">
        <f t="shared" si="19"/>
        <v>149.70000000000002</v>
      </c>
      <c r="BF14" s="2">
        <f t="shared" si="20"/>
        <v>4.8652499999999996</v>
      </c>
      <c r="BG14" s="2">
        <f t="shared" si="37"/>
        <v>4.8652499999999996</v>
      </c>
      <c r="BH14" s="2">
        <f t="shared" si="38"/>
        <v>0.72978749999999992</v>
      </c>
      <c r="BI14" s="2">
        <f t="shared" si="21"/>
        <v>0.2994</v>
      </c>
      <c r="BJ14" s="2">
        <f t="shared" si="22"/>
        <v>8.9820000000000011</v>
      </c>
      <c r="BK14" s="2">
        <f t="shared" si="39"/>
        <v>164.5764375</v>
      </c>
      <c r="BL14" s="2">
        <f t="shared" si="23"/>
        <v>75000</v>
      </c>
      <c r="BM14" s="2">
        <f t="shared" si="24"/>
        <v>74700</v>
      </c>
      <c r="BN14" s="2">
        <f t="shared" si="40"/>
        <v>149700</v>
      </c>
    </row>
    <row r="15" spans="1:66" x14ac:dyDescent="0.25">
      <c r="A15" s="42">
        <v>12</v>
      </c>
      <c r="B15" s="43">
        <v>42718</v>
      </c>
      <c r="C15" s="42" t="s">
        <v>50</v>
      </c>
      <c r="D15" s="42" t="s">
        <v>119</v>
      </c>
      <c r="E15" s="6">
        <f t="shared" si="25"/>
        <v>11.835956953124954</v>
      </c>
      <c r="F15" s="5" t="str">
        <f t="shared" si="41"/>
        <v>Win</v>
      </c>
      <c r="G15" s="4">
        <f t="shared" si="42"/>
        <v>13.799999999999955</v>
      </c>
      <c r="H15" s="46">
        <v>1</v>
      </c>
      <c r="I15" s="42">
        <v>961.3</v>
      </c>
      <c r="J15" s="42">
        <v>2</v>
      </c>
      <c r="K15" s="42">
        <v>961.45</v>
      </c>
      <c r="N15" s="5">
        <f t="shared" si="43"/>
        <v>3</v>
      </c>
      <c r="O15" s="4">
        <f t="shared" si="45"/>
        <v>961.375</v>
      </c>
      <c r="P15" s="5">
        <f t="shared" si="0"/>
        <v>1</v>
      </c>
      <c r="Q15" s="42">
        <v>966</v>
      </c>
      <c r="R15" s="2">
        <f t="shared" si="49"/>
        <v>2</v>
      </c>
      <c r="S15" s="42">
        <v>966</v>
      </c>
      <c r="T15" s="2">
        <f t="shared" si="27"/>
        <v>0</v>
      </c>
      <c r="V15" s="5">
        <f t="shared" si="44"/>
        <v>3</v>
      </c>
      <c r="W15" s="4">
        <f t="shared" si="46"/>
        <v>966</v>
      </c>
      <c r="X15" s="14">
        <f t="shared" si="47"/>
        <v>4.7000000000000455</v>
      </c>
      <c r="Y15" s="5">
        <f t="shared" si="48"/>
        <v>4.7000000000000455</v>
      </c>
      <c r="Z15" s="2">
        <f t="shared" si="1"/>
        <v>9.0999999999999091</v>
      </c>
      <c r="AA15" s="4">
        <f t="shared" si="2"/>
        <v>0</v>
      </c>
      <c r="AB15" s="13">
        <f t="shared" si="3"/>
        <v>1.9640430468750001</v>
      </c>
      <c r="AC15" s="10">
        <f>SUM($E$4:E15)</f>
        <v>-1575.1167284375065</v>
      </c>
      <c r="AD15" s="20">
        <f>SUM($AB$4:AB15)</f>
        <v>375.96672843750002</v>
      </c>
      <c r="AF15" s="28">
        <f t="shared" si="4"/>
        <v>0.57821250000000002</v>
      </c>
      <c r="AG15" s="2">
        <f t="shared" si="5"/>
        <v>0.72450000000000003</v>
      </c>
      <c r="AH15" s="2">
        <f t="shared" si="6"/>
        <v>0.18791906249999998</v>
      </c>
      <c r="AI15" s="2">
        <f t="shared" si="28"/>
        <v>0.76613156250000003</v>
      </c>
      <c r="AJ15" s="2">
        <f t="shared" si="29"/>
        <v>0.114919734375</v>
      </c>
      <c r="AK15" s="2">
        <f t="shared" si="7"/>
        <v>1.156425E-2</v>
      </c>
      <c r="AL15" s="2">
        <f t="shared" si="8"/>
        <v>0.3469275</v>
      </c>
      <c r="AM15" s="2">
        <f t="shared" si="30"/>
        <v>1.9640430468750001</v>
      </c>
      <c r="AN15" s="2">
        <f t="shared" si="9"/>
        <v>80</v>
      </c>
      <c r="AO15" s="2">
        <f t="shared" si="10"/>
        <v>1.4490000000000001</v>
      </c>
      <c r="AP15" s="2">
        <f t="shared" si="11"/>
        <v>3.0645262499999997</v>
      </c>
      <c r="AQ15" s="2">
        <f t="shared" si="31"/>
        <v>83.06452625</v>
      </c>
      <c r="AR15" s="2">
        <f t="shared" si="32"/>
        <v>12.4596789375</v>
      </c>
      <c r="AS15" s="2">
        <f t="shared" si="12"/>
        <v>1.156425E-2</v>
      </c>
      <c r="AT15" s="2">
        <f t="shared" si="13"/>
        <v>0.3469275</v>
      </c>
      <c r="AU15" s="2">
        <f t="shared" si="33"/>
        <v>97.331696937500013</v>
      </c>
      <c r="AV15" s="2">
        <f t="shared" si="14"/>
        <v>0.57821250000000002</v>
      </c>
      <c r="AW15" s="2">
        <f t="shared" si="15"/>
        <v>0.2898</v>
      </c>
      <c r="AX15" s="2">
        <f t="shared" si="16"/>
        <v>0.12142462499999999</v>
      </c>
      <c r="AY15" s="2">
        <f t="shared" si="34"/>
        <v>0.69963712499999997</v>
      </c>
      <c r="AZ15" s="2">
        <f t="shared" si="35"/>
        <v>0.10494556875</v>
      </c>
      <c r="BA15" s="2">
        <f t="shared" si="17"/>
        <v>1.156425E-2</v>
      </c>
      <c r="BB15" s="2">
        <f t="shared" si="18"/>
        <v>0.3469275</v>
      </c>
      <c r="BC15" s="2">
        <f t="shared" si="36"/>
        <v>1.4528744437500001</v>
      </c>
      <c r="BD15" s="2">
        <v>0</v>
      </c>
      <c r="BE15" s="2">
        <f t="shared" si="19"/>
        <v>5.7821249999999997</v>
      </c>
      <c r="BF15" s="2">
        <f t="shared" si="20"/>
        <v>0.18791906249999998</v>
      </c>
      <c r="BG15" s="2">
        <f t="shared" si="37"/>
        <v>0.18791906249999998</v>
      </c>
      <c r="BH15" s="2">
        <f t="shared" si="38"/>
        <v>2.8187859374999995E-2</v>
      </c>
      <c r="BI15" s="2">
        <f t="shared" si="21"/>
        <v>1.156425E-2</v>
      </c>
      <c r="BJ15" s="2">
        <f t="shared" si="22"/>
        <v>0.3469275</v>
      </c>
      <c r="BK15" s="2">
        <f t="shared" si="39"/>
        <v>6.3567236718749989</v>
      </c>
      <c r="BL15" s="2">
        <f t="shared" si="23"/>
        <v>2884.125</v>
      </c>
      <c r="BM15" s="2">
        <f t="shared" si="24"/>
        <v>2898</v>
      </c>
      <c r="BN15" s="2">
        <f t="shared" si="40"/>
        <v>5782.125</v>
      </c>
    </row>
    <row r="16" spans="1:66" x14ac:dyDescent="0.25">
      <c r="A16" s="42">
        <v>13</v>
      </c>
      <c r="B16" s="43">
        <v>42718</v>
      </c>
      <c r="C16" s="42" t="s">
        <v>50</v>
      </c>
      <c r="D16" s="42" t="s">
        <v>115</v>
      </c>
      <c r="E16" s="6">
        <f t="shared" si="25"/>
        <v>-70.104109375003418</v>
      </c>
      <c r="F16" s="5" t="str">
        <f t="shared" si="41"/>
        <v>Loss</v>
      </c>
      <c r="G16" s="4">
        <f t="shared" si="42"/>
        <v>-20.550000000003422</v>
      </c>
      <c r="H16" s="46">
        <v>111</v>
      </c>
      <c r="I16" s="42">
        <v>292.05</v>
      </c>
      <c r="J16" s="42">
        <v>117</v>
      </c>
      <c r="K16" s="42">
        <v>292.10000000000002</v>
      </c>
      <c r="L16" s="42">
        <v>22</v>
      </c>
      <c r="M16" s="44">
        <v>292.14999999999998</v>
      </c>
      <c r="N16" s="5">
        <f t="shared" si="43"/>
        <v>250</v>
      </c>
      <c r="O16" s="4">
        <f t="shared" si="45"/>
        <v>292.09999999999997</v>
      </c>
      <c r="P16" s="5">
        <f t="shared" si="0"/>
        <v>111</v>
      </c>
      <c r="Q16" s="42">
        <v>292</v>
      </c>
      <c r="R16" s="2">
        <f t="shared" si="49"/>
        <v>117</v>
      </c>
      <c r="S16" s="42">
        <v>292</v>
      </c>
      <c r="T16" s="2">
        <f t="shared" si="27"/>
        <v>22</v>
      </c>
      <c r="U16" s="44">
        <v>292</v>
      </c>
      <c r="V16" s="5">
        <f t="shared" si="44"/>
        <v>250</v>
      </c>
      <c r="W16" s="4">
        <f t="shared" si="46"/>
        <v>292</v>
      </c>
      <c r="X16" s="14">
        <f t="shared" si="47"/>
        <v>-5.0000000000011369E-2</v>
      </c>
      <c r="Y16" s="5">
        <f t="shared" si="48"/>
        <v>-5.5500000000012619</v>
      </c>
      <c r="Z16" s="2">
        <f t="shared" si="1"/>
        <v>-11.70000000000266</v>
      </c>
      <c r="AA16" s="4">
        <f t="shared" si="2"/>
        <v>-3.2999999999994998</v>
      </c>
      <c r="AB16" s="13">
        <f t="shared" si="3"/>
        <v>49.554109375000003</v>
      </c>
      <c r="AC16" s="10">
        <f>SUM($E$4:E16)</f>
        <v>-1645.2208378125099</v>
      </c>
      <c r="AD16" s="20">
        <f>SUM($AB$4:AB16)</f>
        <v>425.52083781250002</v>
      </c>
      <c r="AF16" s="28">
        <f t="shared" si="4"/>
        <v>14.602500000000001</v>
      </c>
      <c r="AG16" s="2">
        <f t="shared" si="5"/>
        <v>18.25</v>
      </c>
      <c r="AH16" s="2">
        <f t="shared" si="6"/>
        <v>4.7458124999999995</v>
      </c>
      <c r="AI16" s="2">
        <f t="shared" si="28"/>
        <v>19.348312499999999</v>
      </c>
      <c r="AJ16" s="2">
        <f t="shared" si="29"/>
        <v>2.9022468749999999</v>
      </c>
      <c r="AK16" s="2">
        <f t="shared" si="7"/>
        <v>0.29204999999999998</v>
      </c>
      <c r="AL16" s="2">
        <f t="shared" si="8"/>
        <v>8.7614999999999998</v>
      </c>
      <c r="AM16" s="2">
        <f t="shared" si="30"/>
        <v>49.554109375000003</v>
      </c>
      <c r="AN16" s="2">
        <f t="shared" si="9"/>
        <v>120</v>
      </c>
      <c r="AO16" s="2">
        <f t="shared" si="10"/>
        <v>36.5</v>
      </c>
      <c r="AP16" s="2">
        <f t="shared" si="11"/>
        <v>77.393249999999995</v>
      </c>
      <c r="AQ16" s="2">
        <f t="shared" si="31"/>
        <v>197.39324999999999</v>
      </c>
      <c r="AR16" s="2">
        <f t="shared" si="32"/>
        <v>29.608987499999998</v>
      </c>
      <c r="AS16" s="2">
        <f t="shared" si="12"/>
        <v>0.29204999999999998</v>
      </c>
      <c r="AT16" s="2">
        <f t="shared" si="13"/>
        <v>8.7614999999999998</v>
      </c>
      <c r="AU16" s="2">
        <f t="shared" si="33"/>
        <v>272.55578750000001</v>
      </c>
      <c r="AV16" s="2">
        <f t="shared" si="14"/>
        <v>14.602500000000001</v>
      </c>
      <c r="AW16" s="2">
        <f t="shared" si="15"/>
        <v>7.3000000000000007</v>
      </c>
      <c r="AX16" s="2">
        <f t="shared" si="16"/>
        <v>3.0665249999999999</v>
      </c>
      <c r="AY16" s="2">
        <f t="shared" si="34"/>
        <v>17.669025000000001</v>
      </c>
      <c r="AZ16" s="2">
        <f t="shared" si="35"/>
        <v>2.6503537500000003</v>
      </c>
      <c r="BA16" s="2">
        <f t="shared" si="17"/>
        <v>0.29204999999999998</v>
      </c>
      <c r="BB16" s="2">
        <f t="shared" si="18"/>
        <v>8.7614999999999998</v>
      </c>
      <c r="BC16" s="2">
        <f t="shared" si="36"/>
        <v>36.672928750000004</v>
      </c>
      <c r="BD16" s="2">
        <v>0</v>
      </c>
      <c r="BE16" s="2">
        <f t="shared" si="19"/>
        <v>146.02500000000001</v>
      </c>
      <c r="BF16" s="2">
        <f t="shared" si="20"/>
        <v>4.7458124999999995</v>
      </c>
      <c r="BG16" s="2">
        <f t="shared" si="37"/>
        <v>4.7458124999999995</v>
      </c>
      <c r="BH16" s="2">
        <f t="shared" si="38"/>
        <v>0.71187187499999993</v>
      </c>
      <c r="BI16" s="2">
        <f t="shared" si="21"/>
        <v>0.29204999999999998</v>
      </c>
      <c r="BJ16" s="2">
        <f t="shared" si="22"/>
        <v>8.7614999999999998</v>
      </c>
      <c r="BK16" s="2">
        <f t="shared" si="39"/>
        <v>160.53623437500002</v>
      </c>
      <c r="BL16" s="2">
        <f t="shared" si="23"/>
        <v>73024.999999999985</v>
      </c>
      <c r="BM16" s="2">
        <f t="shared" si="24"/>
        <v>73000</v>
      </c>
      <c r="BN16" s="2">
        <f t="shared" si="40"/>
        <v>146025</v>
      </c>
    </row>
    <row r="17" spans="1:66" x14ac:dyDescent="0.25">
      <c r="A17" s="42">
        <v>14</v>
      </c>
      <c r="B17" s="43">
        <v>42719</v>
      </c>
      <c r="C17" s="42" t="s">
        <v>50</v>
      </c>
      <c r="D17" s="42" t="s">
        <v>20</v>
      </c>
      <c r="E17" s="6">
        <f t="shared" si="25"/>
        <v>410.94956250000638</v>
      </c>
      <c r="F17" s="5" t="str">
        <f t="shared" si="41"/>
        <v>Win</v>
      </c>
      <c r="G17" s="4">
        <f t="shared" si="42"/>
        <v>450.00000000000637</v>
      </c>
      <c r="H17" s="46">
        <v>750</v>
      </c>
      <c r="I17" s="42">
        <v>76.3</v>
      </c>
      <c r="N17" s="5">
        <f t="shared" si="43"/>
        <v>750</v>
      </c>
      <c r="O17" s="4">
        <f t="shared" si="45"/>
        <v>76.3</v>
      </c>
      <c r="P17" s="5">
        <f t="shared" si="0"/>
        <v>750</v>
      </c>
      <c r="Q17" s="42">
        <v>76.900000000000006</v>
      </c>
      <c r="R17" s="2">
        <f t="shared" si="49"/>
        <v>0</v>
      </c>
      <c r="T17" s="2">
        <f t="shared" si="27"/>
        <v>0</v>
      </c>
      <c r="V17" s="5">
        <f t="shared" si="44"/>
        <v>750</v>
      </c>
      <c r="W17" s="4">
        <f t="shared" si="46"/>
        <v>76.900000000000006</v>
      </c>
      <c r="X17" s="14">
        <f t="shared" si="47"/>
        <v>0.60000000000000853</v>
      </c>
      <c r="Y17" s="5">
        <f t="shared" si="48"/>
        <v>450.00000000000637</v>
      </c>
      <c r="Z17" s="2">
        <f t="shared" si="1"/>
        <v>0</v>
      </c>
      <c r="AA17" s="4">
        <f t="shared" si="2"/>
        <v>0</v>
      </c>
      <c r="AB17" s="13">
        <f t="shared" si="3"/>
        <v>39.050437500000001</v>
      </c>
      <c r="AC17" s="10">
        <f>SUM($E$4:E17)</f>
        <v>-1234.2712753125036</v>
      </c>
      <c r="AD17" s="20">
        <f>SUM($AB$4:AB17)</f>
        <v>464.57127531250001</v>
      </c>
      <c r="AF17" s="28">
        <f t="shared" si="4"/>
        <v>11.49</v>
      </c>
      <c r="AG17" s="2">
        <f t="shared" si="5"/>
        <v>14.418750000000001</v>
      </c>
      <c r="AH17" s="2">
        <f t="shared" si="6"/>
        <v>3.7342499999999998</v>
      </c>
      <c r="AI17" s="2">
        <f t="shared" si="28"/>
        <v>15.22425</v>
      </c>
      <c r="AJ17" s="2">
        <f t="shared" si="29"/>
        <v>2.2836374999999998</v>
      </c>
      <c r="AK17" s="2">
        <f t="shared" si="7"/>
        <v>0.2298</v>
      </c>
      <c r="AL17" s="2">
        <f t="shared" si="8"/>
        <v>6.8940000000000001</v>
      </c>
      <c r="AM17" s="2">
        <f t="shared" si="30"/>
        <v>39.050437500000001</v>
      </c>
      <c r="AN17" s="2">
        <f t="shared" si="9"/>
        <v>40</v>
      </c>
      <c r="AO17" s="2">
        <f t="shared" si="10"/>
        <v>28.837500000000002</v>
      </c>
      <c r="AP17" s="2">
        <f t="shared" si="11"/>
        <v>60.896999999999998</v>
      </c>
      <c r="AQ17" s="2">
        <f t="shared" si="31"/>
        <v>100.89699999999999</v>
      </c>
      <c r="AR17" s="2">
        <f t="shared" si="32"/>
        <v>15.134549999999997</v>
      </c>
      <c r="AS17" s="2">
        <f t="shared" si="12"/>
        <v>0.2298</v>
      </c>
      <c r="AT17" s="2">
        <f t="shared" si="13"/>
        <v>6.8940000000000001</v>
      </c>
      <c r="AU17" s="2">
        <f t="shared" si="33"/>
        <v>151.99285</v>
      </c>
      <c r="AV17" s="2">
        <f t="shared" si="14"/>
        <v>11.49</v>
      </c>
      <c r="AW17" s="2">
        <f t="shared" si="15"/>
        <v>5.7675000000000001</v>
      </c>
      <c r="AX17" s="2">
        <f t="shared" si="16"/>
        <v>2.4129</v>
      </c>
      <c r="AY17" s="2">
        <f t="shared" si="34"/>
        <v>13.902900000000001</v>
      </c>
      <c r="AZ17" s="2">
        <f t="shared" si="35"/>
        <v>2.0854349999999999</v>
      </c>
      <c r="BA17" s="2">
        <f t="shared" si="17"/>
        <v>0.2298</v>
      </c>
      <c r="BB17" s="2">
        <f t="shared" si="18"/>
        <v>6.8940000000000001</v>
      </c>
      <c r="BC17" s="2">
        <f t="shared" si="36"/>
        <v>28.879635</v>
      </c>
      <c r="BD17" s="2">
        <v>0</v>
      </c>
      <c r="BE17" s="2">
        <f t="shared" si="19"/>
        <v>114.9</v>
      </c>
      <c r="BF17" s="2">
        <f t="shared" si="20"/>
        <v>3.7342499999999998</v>
      </c>
      <c r="BG17" s="2">
        <f t="shared" si="37"/>
        <v>3.7342499999999998</v>
      </c>
      <c r="BH17" s="2">
        <f t="shared" si="38"/>
        <v>0.56013749999999995</v>
      </c>
      <c r="BI17" s="2">
        <f t="shared" si="21"/>
        <v>0.2298</v>
      </c>
      <c r="BJ17" s="2">
        <f t="shared" si="22"/>
        <v>6.8940000000000001</v>
      </c>
      <c r="BK17" s="2">
        <f t="shared" si="39"/>
        <v>126.31818750000001</v>
      </c>
      <c r="BL17" s="2">
        <f t="shared" si="23"/>
        <v>57225</v>
      </c>
      <c r="BM17" s="2">
        <f t="shared" si="24"/>
        <v>57675.000000000007</v>
      </c>
      <c r="BN17" s="2">
        <f t="shared" si="40"/>
        <v>114900</v>
      </c>
    </row>
    <row r="18" spans="1:66" x14ac:dyDescent="0.25">
      <c r="A18" s="42">
        <v>15</v>
      </c>
      <c r="B18" s="43">
        <v>42719</v>
      </c>
      <c r="C18" s="42" t="s">
        <v>50</v>
      </c>
      <c r="D18" s="42" t="s">
        <v>120</v>
      </c>
      <c r="E18" s="6">
        <f t="shared" si="25"/>
        <v>-501.67011718750001</v>
      </c>
      <c r="F18" s="5" t="str">
        <f t="shared" si="41"/>
        <v>Loss</v>
      </c>
      <c r="G18" s="4">
        <f t="shared" si="42"/>
        <v>-449</v>
      </c>
      <c r="H18" s="46">
        <v>352</v>
      </c>
      <c r="I18" s="42">
        <v>62.25</v>
      </c>
      <c r="J18" s="42">
        <v>898</v>
      </c>
      <c r="K18" s="42">
        <v>62.25</v>
      </c>
      <c r="N18" s="5">
        <f t="shared" si="43"/>
        <v>1250</v>
      </c>
      <c r="O18" s="4">
        <f t="shared" si="45"/>
        <v>62.25</v>
      </c>
      <c r="P18" s="5">
        <f t="shared" si="0"/>
        <v>352</v>
      </c>
      <c r="Q18" s="42">
        <v>62.25</v>
      </c>
      <c r="R18" s="2">
        <f t="shared" si="49"/>
        <v>898</v>
      </c>
      <c r="S18" s="42">
        <v>61.75</v>
      </c>
      <c r="T18" s="2">
        <f t="shared" si="27"/>
        <v>0</v>
      </c>
      <c r="V18" s="5">
        <f t="shared" si="44"/>
        <v>1250</v>
      </c>
      <c r="W18" s="4">
        <f t="shared" si="46"/>
        <v>62</v>
      </c>
      <c r="X18" s="14">
        <f t="shared" si="47"/>
        <v>0</v>
      </c>
      <c r="Y18" s="5">
        <f t="shared" si="48"/>
        <v>0</v>
      </c>
      <c r="Z18" s="2">
        <f t="shared" si="1"/>
        <v>-449</v>
      </c>
      <c r="AA18" s="4">
        <f t="shared" si="2"/>
        <v>0</v>
      </c>
      <c r="AB18" s="13">
        <f t="shared" si="3"/>
        <v>52.670117187500004</v>
      </c>
      <c r="AC18" s="10">
        <f>SUM($E$4:E18)</f>
        <v>-1735.9413925000035</v>
      </c>
      <c r="AD18" s="20">
        <f>SUM($AB$4:AB18)</f>
        <v>517.24139249999996</v>
      </c>
      <c r="AF18" s="28">
        <f t="shared" si="4"/>
        <v>15.53125</v>
      </c>
      <c r="AG18" s="2">
        <f t="shared" si="5"/>
        <v>19.375</v>
      </c>
      <c r="AH18" s="2">
        <f t="shared" si="6"/>
        <v>5.0476562499999993</v>
      </c>
      <c r="AI18" s="2">
        <f t="shared" si="28"/>
        <v>20.578906249999999</v>
      </c>
      <c r="AJ18" s="2">
        <f t="shared" si="29"/>
        <v>3.0868359374999996</v>
      </c>
      <c r="AK18" s="2">
        <f t="shared" si="7"/>
        <v>0.31062499999999998</v>
      </c>
      <c r="AL18" s="2">
        <f t="shared" si="8"/>
        <v>9.3187499999999996</v>
      </c>
      <c r="AM18" s="2">
        <f t="shared" si="30"/>
        <v>52.670117187500004</v>
      </c>
      <c r="AN18" s="2">
        <f t="shared" si="9"/>
        <v>80</v>
      </c>
      <c r="AO18" s="2">
        <f t="shared" si="10"/>
        <v>38.75</v>
      </c>
      <c r="AP18" s="2">
        <f t="shared" si="11"/>
        <v>82.315624999999997</v>
      </c>
      <c r="AQ18" s="2">
        <f t="shared" si="31"/>
        <v>162.31562500000001</v>
      </c>
      <c r="AR18" s="2">
        <f t="shared" si="32"/>
        <v>24.34734375</v>
      </c>
      <c r="AS18" s="2">
        <f t="shared" si="12"/>
        <v>0.31062499999999998</v>
      </c>
      <c r="AT18" s="2">
        <f t="shared" si="13"/>
        <v>9.3187499999999996</v>
      </c>
      <c r="AU18" s="2">
        <f t="shared" si="33"/>
        <v>235.04234374999999</v>
      </c>
      <c r="AV18" s="2">
        <f t="shared" si="14"/>
        <v>15.53125</v>
      </c>
      <c r="AW18" s="2">
        <f t="shared" si="15"/>
        <v>7.75</v>
      </c>
      <c r="AX18" s="2">
        <f t="shared" si="16"/>
        <v>3.2615624999999997</v>
      </c>
      <c r="AY18" s="2">
        <f t="shared" si="34"/>
        <v>18.7928125</v>
      </c>
      <c r="AZ18" s="2">
        <f t="shared" si="35"/>
        <v>2.818921875</v>
      </c>
      <c r="BA18" s="2">
        <f t="shared" si="17"/>
        <v>0.31062499999999998</v>
      </c>
      <c r="BB18" s="2">
        <f t="shared" si="18"/>
        <v>9.3187499999999996</v>
      </c>
      <c r="BC18" s="2">
        <f t="shared" si="36"/>
        <v>38.991109375000001</v>
      </c>
      <c r="BD18" s="2">
        <v>0</v>
      </c>
      <c r="BE18" s="2">
        <f t="shared" si="19"/>
        <v>155.3125</v>
      </c>
      <c r="BF18" s="2">
        <f t="shared" si="20"/>
        <v>5.0476562499999993</v>
      </c>
      <c r="BG18" s="2">
        <f t="shared" si="37"/>
        <v>5.0476562499999993</v>
      </c>
      <c r="BH18" s="2">
        <f t="shared" si="38"/>
        <v>0.75714843749999983</v>
      </c>
      <c r="BI18" s="2">
        <f t="shared" si="21"/>
        <v>0.31062499999999998</v>
      </c>
      <c r="BJ18" s="2">
        <f t="shared" si="22"/>
        <v>9.3187499999999996</v>
      </c>
      <c r="BK18" s="2">
        <f t="shared" si="39"/>
        <v>170.74667968749998</v>
      </c>
      <c r="BL18" s="2">
        <f t="shared" si="23"/>
        <v>77812.5</v>
      </c>
      <c r="BM18" s="2">
        <f t="shared" si="24"/>
        <v>77500</v>
      </c>
      <c r="BN18" s="2">
        <f t="shared" si="40"/>
        <v>155312.5</v>
      </c>
    </row>
    <row r="19" spans="1:66" x14ac:dyDescent="0.25">
      <c r="A19" s="42">
        <v>16</v>
      </c>
      <c r="B19" s="43">
        <v>42719</v>
      </c>
      <c r="C19" s="42" t="s">
        <v>50</v>
      </c>
      <c r="D19" s="42" t="s">
        <v>20</v>
      </c>
      <c r="E19" s="6">
        <f t="shared" si="25"/>
        <v>-256.9985890625</v>
      </c>
      <c r="F19" s="5" t="str">
        <f t="shared" si="41"/>
        <v>Loss</v>
      </c>
      <c r="G19" s="4">
        <f t="shared" si="42"/>
        <v>-212.5</v>
      </c>
      <c r="H19" s="46">
        <v>850</v>
      </c>
      <c r="I19" s="42">
        <v>77.3</v>
      </c>
      <c r="N19" s="5">
        <f t="shared" si="43"/>
        <v>850</v>
      </c>
      <c r="O19" s="4">
        <f t="shared" si="45"/>
        <v>77.3</v>
      </c>
      <c r="P19" s="5">
        <f t="shared" si="0"/>
        <v>850</v>
      </c>
      <c r="Q19" s="42">
        <v>77.05</v>
      </c>
      <c r="R19" s="2">
        <f t="shared" si="49"/>
        <v>0</v>
      </c>
      <c r="T19" s="2">
        <f t="shared" si="27"/>
        <v>0</v>
      </c>
      <c r="V19" s="5">
        <f t="shared" si="44"/>
        <v>850</v>
      </c>
      <c r="W19" s="4">
        <f t="shared" si="46"/>
        <v>77.05</v>
      </c>
      <c r="X19" s="14">
        <f t="shared" si="47"/>
        <v>-0.25</v>
      </c>
      <c r="Y19" s="5">
        <f t="shared" si="48"/>
        <v>-212.5</v>
      </c>
      <c r="Z19" s="2">
        <f t="shared" si="1"/>
        <v>0</v>
      </c>
      <c r="AA19" s="4">
        <f t="shared" si="2"/>
        <v>0</v>
      </c>
      <c r="AB19" s="13">
        <f t="shared" si="3"/>
        <v>44.498589062500002</v>
      </c>
      <c r="AC19" s="10">
        <f>SUM($E$4:E19)</f>
        <v>-1992.9399815625036</v>
      </c>
      <c r="AD19" s="20">
        <f>SUM($AB$4:AB19)</f>
        <v>561.73998156249991</v>
      </c>
      <c r="AF19" s="28">
        <f t="shared" si="4"/>
        <v>13.11975</v>
      </c>
      <c r="AG19" s="2">
        <f t="shared" si="5"/>
        <v>16.373124999999998</v>
      </c>
      <c r="AH19" s="2">
        <f t="shared" si="6"/>
        <v>4.2639187499999993</v>
      </c>
      <c r="AI19" s="2">
        <f t="shared" si="28"/>
        <v>17.383668749999998</v>
      </c>
      <c r="AJ19" s="2">
        <f t="shared" si="29"/>
        <v>2.6075503124999995</v>
      </c>
      <c r="AK19" s="2">
        <f t="shared" si="7"/>
        <v>0.26239499999999999</v>
      </c>
      <c r="AL19" s="2">
        <f t="shared" si="8"/>
        <v>7.8718500000000002</v>
      </c>
      <c r="AM19" s="2">
        <f t="shared" si="30"/>
        <v>44.498589062500002</v>
      </c>
      <c r="AN19" s="2">
        <f t="shared" si="9"/>
        <v>40</v>
      </c>
      <c r="AO19" s="2">
        <f t="shared" si="10"/>
        <v>32.746249999999996</v>
      </c>
      <c r="AP19" s="2">
        <f t="shared" si="11"/>
        <v>69.534674999999993</v>
      </c>
      <c r="AQ19" s="2">
        <f t="shared" si="31"/>
        <v>109.53467499999999</v>
      </c>
      <c r="AR19" s="2">
        <f t="shared" si="32"/>
        <v>16.43020125</v>
      </c>
      <c r="AS19" s="2">
        <f t="shared" si="12"/>
        <v>0.26239499999999999</v>
      </c>
      <c r="AT19" s="2">
        <f t="shared" si="13"/>
        <v>7.8718500000000002</v>
      </c>
      <c r="AU19" s="2">
        <f t="shared" si="33"/>
        <v>166.84537125</v>
      </c>
      <c r="AV19" s="2">
        <f t="shared" si="14"/>
        <v>13.11975</v>
      </c>
      <c r="AW19" s="2">
        <f t="shared" si="15"/>
        <v>6.5492499999999998</v>
      </c>
      <c r="AX19" s="2">
        <f t="shared" si="16"/>
        <v>2.7551474999999996</v>
      </c>
      <c r="AY19" s="2">
        <f t="shared" si="34"/>
        <v>15.874897499999999</v>
      </c>
      <c r="AZ19" s="2">
        <f t="shared" si="35"/>
        <v>2.3812346249999998</v>
      </c>
      <c r="BA19" s="2">
        <f t="shared" si="17"/>
        <v>0.26239499999999999</v>
      </c>
      <c r="BB19" s="2">
        <f t="shared" si="18"/>
        <v>7.8718500000000002</v>
      </c>
      <c r="BC19" s="2">
        <f t="shared" si="36"/>
        <v>32.939627125000001</v>
      </c>
      <c r="BD19" s="2">
        <v>0</v>
      </c>
      <c r="BE19" s="2">
        <f t="shared" si="19"/>
        <v>131.19749999999999</v>
      </c>
      <c r="BF19" s="2">
        <f t="shared" si="20"/>
        <v>4.2639187499999993</v>
      </c>
      <c r="BG19" s="2">
        <f t="shared" si="37"/>
        <v>4.2639187499999993</v>
      </c>
      <c r="BH19" s="2">
        <f t="shared" si="38"/>
        <v>0.63958781249999985</v>
      </c>
      <c r="BI19" s="2">
        <f t="shared" si="21"/>
        <v>0.26239499999999999</v>
      </c>
      <c r="BJ19" s="2">
        <f t="shared" si="22"/>
        <v>7.8718500000000002</v>
      </c>
      <c r="BK19" s="2">
        <f t="shared" si="39"/>
        <v>144.23525156249997</v>
      </c>
      <c r="BL19" s="2">
        <f t="shared" si="23"/>
        <v>65705</v>
      </c>
      <c r="BM19" s="2">
        <f t="shared" si="24"/>
        <v>65492.5</v>
      </c>
      <c r="BN19" s="2">
        <f t="shared" si="40"/>
        <v>131197.5</v>
      </c>
    </row>
    <row r="20" spans="1:66" x14ac:dyDescent="0.25">
      <c r="A20" s="42">
        <v>17</v>
      </c>
      <c r="B20" s="43">
        <v>42720</v>
      </c>
      <c r="C20" s="42" t="s">
        <v>50</v>
      </c>
      <c r="D20" s="42" t="s">
        <v>20</v>
      </c>
      <c r="E20" s="6">
        <f t="shared" si="25"/>
        <v>358.79059999999998</v>
      </c>
      <c r="F20" s="5" t="str">
        <f t="shared" si="41"/>
        <v>Win</v>
      </c>
      <c r="G20" s="4">
        <f t="shared" si="42"/>
        <v>400</v>
      </c>
      <c r="H20" s="46">
        <v>800</v>
      </c>
      <c r="I20" s="42">
        <v>75.55</v>
      </c>
      <c r="N20" s="5">
        <f t="shared" si="43"/>
        <v>800</v>
      </c>
      <c r="O20" s="4">
        <f t="shared" si="45"/>
        <v>75.55</v>
      </c>
      <c r="P20" s="5">
        <f t="shared" si="0"/>
        <v>800</v>
      </c>
      <c r="Q20" s="42">
        <v>76.05</v>
      </c>
      <c r="R20" s="2">
        <f t="shared" si="49"/>
        <v>0</v>
      </c>
      <c r="T20" s="2">
        <f t="shared" si="27"/>
        <v>0</v>
      </c>
      <c r="V20" s="5">
        <f t="shared" si="44"/>
        <v>800</v>
      </c>
      <c r="W20" s="4">
        <f t="shared" si="46"/>
        <v>76.05</v>
      </c>
      <c r="X20" s="14">
        <f t="shared" si="47"/>
        <v>0.5</v>
      </c>
      <c r="Y20" s="5">
        <f t="shared" si="48"/>
        <v>400</v>
      </c>
      <c r="Z20" s="2">
        <f t="shared" si="1"/>
        <v>0</v>
      </c>
      <c r="AA20" s="4">
        <f t="shared" si="2"/>
        <v>0</v>
      </c>
      <c r="AB20" s="13">
        <f t="shared" si="3"/>
        <v>41.209400000000002</v>
      </c>
      <c r="AC20" s="10">
        <f>SUM($E$4:E20)</f>
        <v>-1634.1493815625035</v>
      </c>
      <c r="AD20" s="20">
        <f>SUM($AB$4:AB20)</f>
        <v>602.94938156249987</v>
      </c>
      <c r="AF20" s="28">
        <f t="shared" si="4"/>
        <v>12.128</v>
      </c>
      <c r="AG20" s="2">
        <f t="shared" si="5"/>
        <v>15.21</v>
      </c>
      <c r="AH20" s="2">
        <f t="shared" si="6"/>
        <v>3.9415999999999998</v>
      </c>
      <c r="AI20" s="2">
        <f t="shared" si="28"/>
        <v>16.069600000000001</v>
      </c>
      <c r="AJ20" s="2">
        <f t="shared" si="29"/>
        <v>2.4104399999999999</v>
      </c>
      <c r="AK20" s="2">
        <f t="shared" si="7"/>
        <v>0.24256</v>
      </c>
      <c r="AL20" s="2">
        <f t="shared" si="8"/>
        <v>7.2768000000000006</v>
      </c>
      <c r="AM20" s="2">
        <f t="shared" si="30"/>
        <v>41.209400000000002</v>
      </c>
      <c r="AN20" s="2">
        <f t="shared" si="9"/>
        <v>40</v>
      </c>
      <c r="AO20" s="2">
        <f t="shared" si="10"/>
        <v>30.42</v>
      </c>
      <c r="AP20" s="2">
        <f t="shared" si="11"/>
        <v>64.278399999999991</v>
      </c>
      <c r="AQ20" s="2">
        <f t="shared" si="31"/>
        <v>104.27839999999999</v>
      </c>
      <c r="AR20" s="2">
        <f t="shared" si="32"/>
        <v>15.641759999999998</v>
      </c>
      <c r="AS20" s="2">
        <f t="shared" si="12"/>
        <v>0.24256</v>
      </c>
      <c r="AT20" s="2">
        <f t="shared" si="13"/>
        <v>7.2768000000000006</v>
      </c>
      <c r="AU20" s="2">
        <f t="shared" si="33"/>
        <v>157.85952</v>
      </c>
      <c r="AV20" s="2">
        <f t="shared" si="14"/>
        <v>12.128</v>
      </c>
      <c r="AW20" s="2">
        <f t="shared" si="15"/>
        <v>6.0839999999999996</v>
      </c>
      <c r="AX20" s="2">
        <f t="shared" si="16"/>
        <v>2.5468799999999998</v>
      </c>
      <c r="AY20" s="2">
        <f t="shared" si="34"/>
        <v>14.67488</v>
      </c>
      <c r="AZ20" s="2">
        <f t="shared" si="35"/>
        <v>2.2012320000000001</v>
      </c>
      <c r="BA20" s="2">
        <f t="shared" si="17"/>
        <v>0.24256</v>
      </c>
      <c r="BB20" s="2">
        <f t="shared" si="18"/>
        <v>7.2768000000000006</v>
      </c>
      <c r="BC20" s="2">
        <f t="shared" si="36"/>
        <v>30.479472000000001</v>
      </c>
      <c r="BD20" s="2">
        <v>0</v>
      </c>
      <c r="BE20" s="2">
        <f t="shared" si="19"/>
        <v>121.28</v>
      </c>
      <c r="BF20" s="2">
        <f t="shared" si="20"/>
        <v>3.9415999999999998</v>
      </c>
      <c r="BG20" s="2">
        <f t="shared" si="37"/>
        <v>3.9415999999999998</v>
      </c>
      <c r="BH20" s="2">
        <f t="shared" si="38"/>
        <v>0.59123999999999999</v>
      </c>
      <c r="BI20" s="2">
        <f t="shared" si="21"/>
        <v>0.24256</v>
      </c>
      <c r="BJ20" s="2">
        <f t="shared" si="22"/>
        <v>7.2768000000000006</v>
      </c>
      <c r="BK20" s="2">
        <f t="shared" si="39"/>
        <v>133.3322</v>
      </c>
      <c r="BL20" s="2">
        <f t="shared" si="23"/>
        <v>60440</v>
      </c>
      <c r="BM20" s="2">
        <f t="shared" si="24"/>
        <v>60840</v>
      </c>
      <c r="BN20" s="2">
        <f t="shared" si="40"/>
        <v>121280</v>
      </c>
    </row>
    <row r="21" spans="1:66" x14ac:dyDescent="0.25">
      <c r="A21" s="42">
        <v>18</v>
      </c>
      <c r="B21" s="43">
        <v>42723</v>
      </c>
      <c r="C21" s="42" t="s">
        <v>50</v>
      </c>
      <c r="D21" s="42" t="s">
        <v>20</v>
      </c>
      <c r="E21" s="6">
        <f t="shared" si="25"/>
        <v>-418.20354218749208</v>
      </c>
      <c r="F21" s="5" t="str">
        <f t="shared" si="41"/>
        <v>Loss</v>
      </c>
      <c r="G21" s="4">
        <f t="shared" si="42"/>
        <v>-369.9999999999921</v>
      </c>
      <c r="H21" s="46">
        <v>925</v>
      </c>
      <c r="I21" s="42">
        <v>77.05</v>
      </c>
      <c r="N21" s="5">
        <f t="shared" si="43"/>
        <v>925</v>
      </c>
      <c r="O21" s="4">
        <f t="shared" si="45"/>
        <v>77.05</v>
      </c>
      <c r="P21" s="5">
        <f t="shared" si="0"/>
        <v>925</v>
      </c>
      <c r="Q21" s="42">
        <v>76.650000000000006</v>
      </c>
      <c r="R21" s="2">
        <f t="shared" si="49"/>
        <v>0</v>
      </c>
      <c r="T21" s="2">
        <f t="shared" si="27"/>
        <v>0</v>
      </c>
      <c r="V21" s="5">
        <f t="shared" si="44"/>
        <v>925</v>
      </c>
      <c r="W21" s="4">
        <f t="shared" si="46"/>
        <v>76.650000000000006</v>
      </c>
      <c r="X21" s="14">
        <f t="shared" si="47"/>
        <v>-0.39999999999999147</v>
      </c>
      <c r="Y21" s="5">
        <f t="shared" si="48"/>
        <v>-369.9999999999921</v>
      </c>
      <c r="Z21" s="2">
        <f t="shared" si="1"/>
        <v>0</v>
      </c>
      <c r="AA21" s="4">
        <f t="shared" si="2"/>
        <v>0</v>
      </c>
      <c r="AB21" s="13">
        <f t="shared" si="3"/>
        <v>48.203542187500005</v>
      </c>
      <c r="AC21" s="10">
        <f>SUM($E$4:E21)</f>
        <v>-2052.3529237499956</v>
      </c>
      <c r="AD21" s="20">
        <f>SUM($AB$4:AB21)</f>
        <v>651.1529237499999</v>
      </c>
      <c r="AF21" s="28">
        <f t="shared" si="4"/>
        <v>14.21725</v>
      </c>
      <c r="AG21" s="2">
        <f t="shared" si="5"/>
        <v>17.725312500000001</v>
      </c>
      <c r="AH21" s="2">
        <f t="shared" si="6"/>
        <v>4.6206062499999998</v>
      </c>
      <c r="AI21" s="2">
        <f t="shared" si="28"/>
        <v>18.837856250000002</v>
      </c>
      <c r="AJ21" s="2">
        <f t="shared" si="29"/>
        <v>2.8256784375000001</v>
      </c>
      <c r="AK21" s="2">
        <f t="shared" si="7"/>
        <v>0.28434500000000001</v>
      </c>
      <c r="AL21" s="2">
        <f t="shared" si="8"/>
        <v>8.5303500000000003</v>
      </c>
      <c r="AM21" s="2">
        <f t="shared" si="30"/>
        <v>48.203542187500005</v>
      </c>
      <c r="AN21" s="2">
        <f t="shared" si="9"/>
        <v>40</v>
      </c>
      <c r="AO21" s="2">
        <f t="shared" si="10"/>
        <v>35.450625000000002</v>
      </c>
      <c r="AP21" s="2">
        <f t="shared" si="11"/>
        <v>75.351424999999992</v>
      </c>
      <c r="AQ21" s="2">
        <f t="shared" si="31"/>
        <v>115.35142499999999</v>
      </c>
      <c r="AR21" s="2">
        <f t="shared" si="32"/>
        <v>17.302713749999999</v>
      </c>
      <c r="AS21" s="2">
        <f t="shared" si="12"/>
        <v>0.28434500000000001</v>
      </c>
      <c r="AT21" s="2">
        <f t="shared" si="13"/>
        <v>8.5303500000000003</v>
      </c>
      <c r="AU21" s="2">
        <f t="shared" si="33"/>
        <v>176.91945875000002</v>
      </c>
      <c r="AV21" s="2">
        <f t="shared" si="14"/>
        <v>14.21725</v>
      </c>
      <c r="AW21" s="2">
        <f t="shared" si="15"/>
        <v>7.0901250000000005</v>
      </c>
      <c r="AX21" s="2">
        <f t="shared" si="16"/>
        <v>2.9856224999999998</v>
      </c>
      <c r="AY21" s="2">
        <f t="shared" si="34"/>
        <v>17.202872499999998</v>
      </c>
      <c r="AZ21" s="2">
        <f t="shared" si="35"/>
        <v>2.5804308749999998</v>
      </c>
      <c r="BA21" s="2">
        <f t="shared" si="17"/>
        <v>0.28434500000000001</v>
      </c>
      <c r="BB21" s="2">
        <f t="shared" si="18"/>
        <v>8.5303500000000003</v>
      </c>
      <c r="BC21" s="2">
        <f t="shared" si="36"/>
        <v>35.688123374999996</v>
      </c>
      <c r="BD21" s="2">
        <v>0</v>
      </c>
      <c r="BE21" s="2">
        <f t="shared" si="19"/>
        <v>142.17250000000001</v>
      </c>
      <c r="BF21" s="2">
        <f t="shared" si="20"/>
        <v>4.6206062499999998</v>
      </c>
      <c r="BG21" s="2">
        <f t="shared" si="37"/>
        <v>4.6206062499999998</v>
      </c>
      <c r="BH21" s="2">
        <f t="shared" si="38"/>
        <v>0.69309093749999995</v>
      </c>
      <c r="BI21" s="2">
        <f t="shared" si="21"/>
        <v>0.28434500000000001</v>
      </c>
      <c r="BJ21" s="2">
        <f t="shared" si="22"/>
        <v>8.5303500000000003</v>
      </c>
      <c r="BK21" s="2">
        <f t="shared" si="39"/>
        <v>156.30089218750001</v>
      </c>
      <c r="BL21" s="2">
        <f t="shared" si="23"/>
        <v>71271.25</v>
      </c>
      <c r="BM21" s="2">
        <f t="shared" si="24"/>
        <v>70901.25</v>
      </c>
      <c r="BN21" s="2">
        <f t="shared" si="40"/>
        <v>142172.5</v>
      </c>
    </row>
    <row r="22" spans="1:66" x14ac:dyDescent="0.25">
      <c r="A22" s="42">
        <v>19</v>
      </c>
      <c r="B22" s="43">
        <v>42723</v>
      </c>
      <c r="C22" s="42" t="s">
        <v>50</v>
      </c>
      <c r="D22" s="42" t="s">
        <v>121</v>
      </c>
      <c r="E22" s="6">
        <f t="shared" si="25"/>
        <v>-161.41590000000457</v>
      </c>
      <c r="F22" s="5" t="str">
        <f t="shared" si="41"/>
        <v>Loss</v>
      </c>
      <c r="G22" s="4">
        <f t="shared" si="42"/>
        <v>-120.00000000000455</v>
      </c>
      <c r="H22" s="46">
        <v>200</v>
      </c>
      <c r="I22" s="42">
        <v>305.5</v>
      </c>
      <c r="N22" s="5">
        <f t="shared" si="43"/>
        <v>200</v>
      </c>
      <c r="O22" s="4">
        <f t="shared" si="45"/>
        <v>305.5</v>
      </c>
      <c r="P22" s="5">
        <f t="shared" si="0"/>
        <v>200</v>
      </c>
      <c r="Q22" s="42">
        <v>304.89999999999998</v>
      </c>
      <c r="R22" s="2">
        <f t="shared" si="49"/>
        <v>0</v>
      </c>
      <c r="T22" s="2">
        <f t="shared" si="27"/>
        <v>0</v>
      </c>
      <c r="V22" s="5">
        <f t="shared" si="44"/>
        <v>200</v>
      </c>
      <c r="W22" s="4">
        <f t="shared" si="46"/>
        <v>304.89999999999998</v>
      </c>
      <c r="X22" s="14">
        <f t="shared" si="47"/>
        <v>-0.60000000000002274</v>
      </c>
      <c r="Y22" s="5">
        <f t="shared" si="48"/>
        <v>-120.00000000000455</v>
      </c>
      <c r="Z22" s="2">
        <f t="shared" si="1"/>
        <v>0</v>
      </c>
      <c r="AA22" s="4">
        <f t="shared" si="2"/>
        <v>0</v>
      </c>
      <c r="AB22" s="13">
        <f t="shared" si="3"/>
        <v>41.415900000000008</v>
      </c>
      <c r="AC22" s="10">
        <f>SUM($E$4:E22)</f>
        <v>-2213.7688237500001</v>
      </c>
      <c r="AD22" s="20">
        <f>SUM($AB$4:AB22)</f>
        <v>692.56882374999986</v>
      </c>
      <c r="AF22" s="28">
        <f t="shared" si="4"/>
        <v>12.208</v>
      </c>
      <c r="AG22" s="2">
        <f t="shared" si="5"/>
        <v>15.244999999999999</v>
      </c>
      <c r="AH22" s="2">
        <f t="shared" si="6"/>
        <v>3.9675999999999996</v>
      </c>
      <c r="AI22" s="2">
        <f t="shared" si="28"/>
        <v>16.175599999999999</v>
      </c>
      <c r="AJ22" s="2">
        <f t="shared" si="29"/>
        <v>2.4263399999999997</v>
      </c>
      <c r="AK22" s="2">
        <f t="shared" si="7"/>
        <v>0.24415999999999999</v>
      </c>
      <c r="AL22" s="2">
        <f t="shared" si="8"/>
        <v>7.3247999999999998</v>
      </c>
      <c r="AM22" s="2">
        <f t="shared" si="30"/>
        <v>41.415900000000008</v>
      </c>
      <c r="AN22" s="2">
        <f t="shared" si="9"/>
        <v>40</v>
      </c>
      <c r="AO22" s="2">
        <f t="shared" si="10"/>
        <v>30.49</v>
      </c>
      <c r="AP22" s="2">
        <f t="shared" si="11"/>
        <v>64.702399999999997</v>
      </c>
      <c r="AQ22" s="2">
        <f t="shared" si="31"/>
        <v>104.7024</v>
      </c>
      <c r="AR22" s="2">
        <f t="shared" si="32"/>
        <v>15.705359999999999</v>
      </c>
      <c r="AS22" s="2">
        <f t="shared" si="12"/>
        <v>0.24415999999999999</v>
      </c>
      <c r="AT22" s="2">
        <f t="shared" si="13"/>
        <v>7.3247999999999998</v>
      </c>
      <c r="AU22" s="2">
        <f t="shared" si="33"/>
        <v>158.46672000000001</v>
      </c>
      <c r="AV22" s="2">
        <f t="shared" si="14"/>
        <v>12.208</v>
      </c>
      <c r="AW22" s="2">
        <f t="shared" si="15"/>
        <v>6.0979999999999999</v>
      </c>
      <c r="AX22" s="2">
        <f t="shared" si="16"/>
        <v>2.5636799999999997</v>
      </c>
      <c r="AY22" s="2">
        <f t="shared" si="34"/>
        <v>14.77168</v>
      </c>
      <c r="AZ22" s="2">
        <f t="shared" si="35"/>
        <v>2.2157519999999997</v>
      </c>
      <c r="BA22" s="2">
        <f t="shared" si="17"/>
        <v>0.24415999999999999</v>
      </c>
      <c r="BB22" s="2">
        <f t="shared" si="18"/>
        <v>7.3247999999999998</v>
      </c>
      <c r="BC22" s="2">
        <f t="shared" si="36"/>
        <v>30.654392000000001</v>
      </c>
      <c r="BD22" s="2">
        <v>0</v>
      </c>
      <c r="BE22" s="2">
        <f t="shared" si="19"/>
        <v>122.08</v>
      </c>
      <c r="BF22" s="2">
        <f t="shared" si="20"/>
        <v>3.9675999999999996</v>
      </c>
      <c r="BG22" s="2">
        <f t="shared" si="37"/>
        <v>3.9675999999999996</v>
      </c>
      <c r="BH22" s="2">
        <f t="shared" si="38"/>
        <v>0.59513999999999989</v>
      </c>
      <c r="BI22" s="2">
        <f t="shared" si="21"/>
        <v>0.24415999999999999</v>
      </c>
      <c r="BJ22" s="2">
        <f t="shared" si="22"/>
        <v>7.3247999999999998</v>
      </c>
      <c r="BK22" s="2">
        <f t="shared" si="39"/>
        <v>134.21170000000001</v>
      </c>
      <c r="BL22" s="2">
        <f t="shared" si="23"/>
        <v>61100</v>
      </c>
      <c r="BM22" s="2">
        <f t="shared" si="24"/>
        <v>60979.999999999993</v>
      </c>
      <c r="BN22" s="2">
        <f t="shared" si="40"/>
        <v>122080</v>
      </c>
    </row>
    <row r="23" spans="1:66" x14ac:dyDescent="0.25">
      <c r="A23" s="42">
        <v>20</v>
      </c>
      <c r="B23" s="43">
        <v>42725</v>
      </c>
      <c r="C23" s="42" t="s">
        <v>50</v>
      </c>
      <c r="D23" s="42" t="s">
        <v>20</v>
      </c>
      <c r="E23" s="6">
        <f t="shared" si="25"/>
        <v>-224.98693750000285</v>
      </c>
      <c r="F23" s="5" t="str">
        <f t="shared" si="41"/>
        <v>Loss</v>
      </c>
      <c r="G23" s="4">
        <f t="shared" si="42"/>
        <v>-200.00000000000284</v>
      </c>
      <c r="H23" s="46">
        <v>500</v>
      </c>
      <c r="I23" s="42">
        <v>73.900000000000006</v>
      </c>
      <c r="N23" s="5">
        <f t="shared" si="43"/>
        <v>500</v>
      </c>
      <c r="O23" s="4">
        <f t="shared" si="45"/>
        <v>73.900000000000006</v>
      </c>
      <c r="P23" s="5">
        <f t="shared" si="0"/>
        <v>500</v>
      </c>
      <c r="Q23" s="42">
        <v>73.5</v>
      </c>
      <c r="R23" s="2">
        <f t="shared" si="49"/>
        <v>0</v>
      </c>
      <c r="T23" s="2">
        <f t="shared" si="27"/>
        <v>0</v>
      </c>
      <c r="V23" s="5">
        <f t="shared" si="44"/>
        <v>500</v>
      </c>
      <c r="W23" s="4">
        <f t="shared" si="46"/>
        <v>73.5</v>
      </c>
      <c r="X23" s="14">
        <f t="shared" si="47"/>
        <v>-0.40000000000000568</v>
      </c>
      <c r="Y23" s="5">
        <f t="shared" si="48"/>
        <v>-200.00000000000284</v>
      </c>
      <c r="Z23" s="2">
        <f t="shared" si="1"/>
        <v>0</v>
      </c>
      <c r="AA23" s="4">
        <f t="shared" si="2"/>
        <v>0</v>
      </c>
      <c r="AB23" s="13">
        <f t="shared" si="3"/>
        <v>24.986937500000003</v>
      </c>
      <c r="AC23" s="10">
        <f>SUM($E$4:E23)</f>
        <v>-2438.7557612500032</v>
      </c>
      <c r="AD23" s="20">
        <f>SUM($AB$4:AB23)</f>
        <v>717.55576124999982</v>
      </c>
      <c r="AF23" s="28">
        <f t="shared" si="4"/>
        <v>7.37</v>
      </c>
      <c r="AG23" s="2">
        <f t="shared" si="5"/>
        <v>9.1875</v>
      </c>
      <c r="AH23" s="2">
        <f t="shared" si="6"/>
        <v>2.3952499999999999</v>
      </c>
      <c r="AI23" s="2">
        <f t="shared" si="28"/>
        <v>9.76525</v>
      </c>
      <c r="AJ23" s="2">
        <f t="shared" si="29"/>
        <v>1.4647874999999999</v>
      </c>
      <c r="AK23" s="2">
        <f t="shared" si="7"/>
        <v>0.1474</v>
      </c>
      <c r="AL23" s="2">
        <f t="shared" si="8"/>
        <v>4.4219999999999997</v>
      </c>
      <c r="AM23" s="2">
        <f t="shared" si="30"/>
        <v>24.986937500000003</v>
      </c>
      <c r="AN23" s="2">
        <f t="shared" si="9"/>
        <v>40</v>
      </c>
      <c r="AO23" s="2">
        <f t="shared" si="10"/>
        <v>18.375</v>
      </c>
      <c r="AP23" s="2">
        <f t="shared" si="11"/>
        <v>39.061</v>
      </c>
      <c r="AQ23" s="2">
        <f t="shared" si="31"/>
        <v>79.061000000000007</v>
      </c>
      <c r="AR23" s="2">
        <f t="shared" si="32"/>
        <v>11.859150000000001</v>
      </c>
      <c r="AS23" s="2">
        <f t="shared" si="12"/>
        <v>0.1474</v>
      </c>
      <c r="AT23" s="2">
        <f t="shared" si="13"/>
        <v>4.4219999999999997</v>
      </c>
      <c r="AU23" s="2">
        <f t="shared" si="33"/>
        <v>113.86455000000001</v>
      </c>
      <c r="AV23" s="2">
        <f t="shared" si="14"/>
        <v>7.37</v>
      </c>
      <c r="AW23" s="2">
        <f t="shared" si="15"/>
        <v>3.6750000000000003</v>
      </c>
      <c r="AX23" s="2">
        <f t="shared" si="16"/>
        <v>1.5476999999999999</v>
      </c>
      <c r="AY23" s="2">
        <f t="shared" si="34"/>
        <v>8.9177</v>
      </c>
      <c r="AZ23" s="2">
        <f t="shared" si="35"/>
        <v>1.337655</v>
      </c>
      <c r="BA23" s="2">
        <f t="shared" si="17"/>
        <v>0.1474</v>
      </c>
      <c r="BB23" s="2">
        <f t="shared" si="18"/>
        <v>4.4219999999999997</v>
      </c>
      <c r="BC23" s="2">
        <f t="shared" si="36"/>
        <v>18.499755</v>
      </c>
      <c r="BD23" s="2">
        <v>0</v>
      </c>
      <c r="BE23" s="2">
        <f t="shared" si="19"/>
        <v>73.7</v>
      </c>
      <c r="BF23" s="2">
        <f t="shared" si="20"/>
        <v>2.3952499999999999</v>
      </c>
      <c r="BG23" s="2">
        <f t="shared" si="37"/>
        <v>2.3952499999999999</v>
      </c>
      <c r="BH23" s="2">
        <f t="shared" si="38"/>
        <v>0.35928749999999998</v>
      </c>
      <c r="BI23" s="2">
        <f t="shared" si="21"/>
        <v>0.1474</v>
      </c>
      <c r="BJ23" s="2">
        <f t="shared" si="22"/>
        <v>4.4219999999999997</v>
      </c>
      <c r="BK23" s="2">
        <f t="shared" si="39"/>
        <v>81.023937500000002</v>
      </c>
      <c r="BL23" s="2">
        <f t="shared" si="23"/>
        <v>36950</v>
      </c>
      <c r="BM23" s="2">
        <f t="shared" si="24"/>
        <v>36750</v>
      </c>
      <c r="BN23" s="2">
        <f t="shared" si="40"/>
        <v>73700</v>
      </c>
    </row>
    <row r="24" spans="1:66" x14ac:dyDescent="0.25">
      <c r="A24" s="42">
        <v>21</v>
      </c>
      <c r="B24" s="43">
        <v>42725</v>
      </c>
      <c r="C24" s="42" t="s">
        <v>122</v>
      </c>
      <c r="D24" s="42" t="s">
        <v>123</v>
      </c>
      <c r="E24" s="6">
        <f t="shared" si="25"/>
        <v>-1128.7156600000001</v>
      </c>
      <c r="F24" s="5" t="str">
        <f t="shared" si="41"/>
        <v>Loss</v>
      </c>
      <c r="G24" s="4">
        <f t="shared" si="42"/>
        <v>-1080</v>
      </c>
      <c r="H24" s="46">
        <v>1200</v>
      </c>
      <c r="I24" s="42">
        <v>1.8</v>
      </c>
      <c r="N24" s="5">
        <f t="shared" si="43"/>
        <v>1200</v>
      </c>
      <c r="O24" s="4">
        <f t="shared" si="45"/>
        <v>1.8</v>
      </c>
      <c r="P24" s="5">
        <f t="shared" si="0"/>
        <v>1200</v>
      </c>
      <c r="Q24" s="42">
        <v>0.9</v>
      </c>
      <c r="R24" s="2">
        <f t="shared" si="49"/>
        <v>0</v>
      </c>
      <c r="T24" s="2">
        <f t="shared" si="27"/>
        <v>0</v>
      </c>
      <c r="V24" s="5">
        <f t="shared" si="44"/>
        <v>1200</v>
      </c>
      <c r="W24" s="4">
        <f t="shared" si="46"/>
        <v>0.9</v>
      </c>
      <c r="X24" s="14">
        <f t="shared" si="47"/>
        <v>-0.9</v>
      </c>
      <c r="Y24" s="5">
        <f t="shared" si="48"/>
        <v>-1080</v>
      </c>
      <c r="Z24" s="2">
        <f t="shared" si="1"/>
        <v>0</v>
      </c>
      <c r="AA24" s="4">
        <f t="shared" si="2"/>
        <v>0</v>
      </c>
      <c r="AB24" s="13">
        <f t="shared" si="3"/>
        <v>48.71566</v>
      </c>
      <c r="AC24" s="10">
        <f>SUM($E$4:E24)</f>
        <v>-3567.471421250003</v>
      </c>
      <c r="AD24" s="20">
        <f>SUM($AB$4:AB24)</f>
        <v>766.27142124999978</v>
      </c>
      <c r="AF24" s="28">
        <f t="shared" si="4"/>
        <v>0.32400000000000001</v>
      </c>
      <c r="AG24" s="2">
        <f t="shared" si="5"/>
        <v>0.27</v>
      </c>
      <c r="AH24" s="2">
        <f t="shared" si="6"/>
        <v>0.10529999999999999</v>
      </c>
      <c r="AI24" s="2">
        <f t="shared" si="28"/>
        <v>0.42930000000000001</v>
      </c>
      <c r="AJ24" s="2">
        <f t="shared" si="29"/>
        <v>6.4394999999999994E-2</v>
      </c>
      <c r="AK24" s="2">
        <f t="shared" si="7"/>
        <v>6.4800000000000005E-3</v>
      </c>
      <c r="AL24" s="2">
        <f t="shared" si="8"/>
        <v>0.19440000000000002</v>
      </c>
      <c r="AM24" s="2">
        <f t="shared" si="30"/>
        <v>0.96457500000000007</v>
      </c>
      <c r="AN24" s="2">
        <f t="shared" si="9"/>
        <v>40</v>
      </c>
      <c r="AO24" s="2">
        <f t="shared" si="10"/>
        <v>0.54</v>
      </c>
      <c r="AP24" s="2">
        <f t="shared" si="11"/>
        <v>1.7171999999999998</v>
      </c>
      <c r="AQ24" s="2">
        <f t="shared" si="31"/>
        <v>41.717199999999998</v>
      </c>
      <c r="AR24" s="2">
        <f t="shared" si="32"/>
        <v>6.2575799999999999</v>
      </c>
      <c r="AS24" s="2">
        <f t="shared" si="12"/>
        <v>6.4800000000000005E-3</v>
      </c>
      <c r="AT24" s="2">
        <f t="shared" si="13"/>
        <v>0.19440000000000002</v>
      </c>
      <c r="AU24" s="2">
        <f t="shared" si="33"/>
        <v>48.71566</v>
      </c>
      <c r="AV24" s="2">
        <f t="shared" si="14"/>
        <v>0.32400000000000001</v>
      </c>
      <c r="AW24" s="2">
        <f t="shared" si="15"/>
        <v>0.10800000000000001</v>
      </c>
      <c r="AX24" s="2">
        <f t="shared" si="16"/>
        <v>6.8039999999999989E-2</v>
      </c>
      <c r="AY24" s="2">
        <f t="shared" si="34"/>
        <v>0.39204</v>
      </c>
      <c r="AZ24" s="2">
        <f t="shared" si="35"/>
        <v>5.8805999999999997E-2</v>
      </c>
      <c r="BA24" s="2">
        <f t="shared" si="17"/>
        <v>6.4800000000000005E-3</v>
      </c>
      <c r="BB24" s="2">
        <f t="shared" si="18"/>
        <v>0.19440000000000002</v>
      </c>
      <c r="BC24" s="2">
        <f t="shared" si="36"/>
        <v>0.75972600000000012</v>
      </c>
      <c r="BD24" s="2">
        <v>0</v>
      </c>
      <c r="BE24" s="2">
        <f t="shared" si="19"/>
        <v>3.24</v>
      </c>
      <c r="BF24" s="2">
        <f t="shared" si="20"/>
        <v>0.10529999999999999</v>
      </c>
      <c r="BG24" s="2">
        <f t="shared" si="37"/>
        <v>0.10529999999999999</v>
      </c>
      <c r="BH24" s="2">
        <f t="shared" si="38"/>
        <v>1.5794999999999997E-2</v>
      </c>
      <c r="BI24" s="2">
        <f t="shared" si="21"/>
        <v>6.4800000000000005E-3</v>
      </c>
      <c r="BJ24" s="2">
        <f t="shared" si="22"/>
        <v>0.19440000000000002</v>
      </c>
      <c r="BK24" s="2">
        <f t="shared" si="39"/>
        <v>3.5619749999999999</v>
      </c>
      <c r="BL24" s="2">
        <f t="shared" si="23"/>
        <v>2160</v>
      </c>
      <c r="BM24" s="2">
        <f t="shared" si="24"/>
        <v>1080</v>
      </c>
      <c r="BN24" s="2">
        <f t="shared" si="40"/>
        <v>3240</v>
      </c>
    </row>
    <row r="25" spans="1:66" x14ac:dyDescent="0.25">
      <c r="A25" s="42">
        <v>22</v>
      </c>
      <c r="B25" s="43">
        <v>42726</v>
      </c>
      <c r="C25" s="42" t="s">
        <v>122</v>
      </c>
      <c r="D25" s="42" t="s">
        <v>121</v>
      </c>
      <c r="E25" s="6">
        <f t="shared" si="25"/>
        <v>551.36195000000021</v>
      </c>
      <c r="F25" s="5" t="str">
        <f t="shared" si="41"/>
        <v>Win</v>
      </c>
      <c r="G25" s="4">
        <f t="shared" si="42"/>
        <v>600.00000000000023</v>
      </c>
      <c r="H25" s="46">
        <v>3000</v>
      </c>
      <c r="I25" s="42">
        <v>0.35</v>
      </c>
      <c r="N25" s="5">
        <f t="shared" si="43"/>
        <v>3000</v>
      </c>
      <c r="O25" s="4">
        <f t="shared" si="45"/>
        <v>0.35</v>
      </c>
      <c r="P25" s="5">
        <f t="shared" si="0"/>
        <v>3000</v>
      </c>
      <c r="Q25" s="42">
        <v>0.55000000000000004</v>
      </c>
      <c r="R25" s="2">
        <f>J25</f>
        <v>0</v>
      </c>
      <c r="T25" s="2">
        <f t="shared" si="27"/>
        <v>0</v>
      </c>
      <c r="V25" s="5">
        <f t="shared" si="44"/>
        <v>3000</v>
      </c>
      <c r="W25" s="4">
        <f t="shared" si="46"/>
        <v>0.55000000000000004</v>
      </c>
      <c r="X25" s="14">
        <f t="shared" si="47"/>
        <v>0.20000000000000007</v>
      </c>
      <c r="Y25" s="5">
        <f t="shared" si="48"/>
        <v>600.00000000000023</v>
      </c>
      <c r="Z25" s="2">
        <f t="shared" si="1"/>
        <v>0</v>
      </c>
      <c r="AA25" s="4">
        <f t="shared" si="2"/>
        <v>0</v>
      </c>
      <c r="AB25" s="13">
        <f t="shared" si="3"/>
        <v>48.63805</v>
      </c>
      <c r="AC25" s="10">
        <f>SUM($E$4:E25)</f>
        <v>-3016.1094712500026</v>
      </c>
      <c r="AD25" s="20">
        <f>SUM($AB$4:AB25)</f>
        <v>814.9094712499998</v>
      </c>
      <c r="AF25" s="28">
        <f t="shared" si="4"/>
        <v>0.27</v>
      </c>
      <c r="AG25" s="2">
        <f t="shared" si="5"/>
        <v>0.41250000000000003</v>
      </c>
      <c r="AH25" s="2">
        <f t="shared" si="6"/>
        <v>8.7749999999999995E-2</v>
      </c>
      <c r="AI25" s="2">
        <f t="shared" si="28"/>
        <v>0.35775000000000001</v>
      </c>
      <c r="AJ25" s="2">
        <f t="shared" si="29"/>
        <v>5.3662500000000002E-2</v>
      </c>
      <c r="AK25" s="2">
        <f t="shared" si="7"/>
        <v>5.4000000000000003E-3</v>
      </c>
      <c r="AL25" s="2">
        <f t="shared" si="8"/>
        <v>0.16200000000000001</v>
      </c>
      <c r="AM25" s="2">
        <f t="shared" si="30"/>
        <v>0.99131250000000004</v>
      </c>
      <c r="AN25" s="2">
        <f t="shared" si="9"/>
        <v>40</v>
      </c>
      <c r="AO25" s="2">
        <f t="shared" si="10"/>
        <v>0.82500000000000007</v>
      </c>
      <c r="AP25" s="2">
        <f t="shared" si="11"/>
        <v>1.431</v>
      </c>
      <c r="AQ25" s="2">
        <f t="shared" si="31"/>
        <v>41.430999999999997</v>
      </c>
      <c r="AR25" s="2">
        <f t="shared" si="32"/>
        <v>6.2146499999999998</v>
      </c>
      <c r="AS25" s="2">
        <f t="shared" si="12"/>
        <v>5.4000000000000003E-3</v>
      </c>
      <c r="AT25" s="2">
        <f t="shared" si="13"/>
        <v>0.16200000000000001</v>
      </c>
      <c r="AU25" s="2">
        <f t="shared" si="33"/>
        <v>48.63805</v>
      </c>
      <c r="AV25" s="2">
        <f t="shared" si="14"/>
        <v>0.27</v>
      </c>
      <c r="AW25" s="2">
        <f t="shared" si="15"/>
        <v>0.16500000000000001</v>
      </c>
      <c r="AX25" s="2">
        <f t="shared" si="16"/>
        <v>5.6699999999999993E-2</v>
      </c>
      <c r="AY25" s="2">
        <f t="shared" si="34"/>
        <v>0.32669999999999999</v>
      </c>
      <c r="AZ25" s="2">
        <f t="shared" si="35"/>
        <v>4.9005E-2</v>
      </c>
      <c r="BA25" s="2">
        <f t="shared" si="17"/>
        <v>5.4000000000000003E-3</v>
      </c>
      <c r="BB25" s="2">
        <f t="shared" si="18"/>
        <v>0.16200000000000001</v>
      </c>
      <c r="BC25" s="2">
        <f t="shared" si="36"/>
        <v>0.70810499999999998</v>
      </c>
      <c r="BD25" s="2">
        <v>0</v>
      </c>
      <c r="BE25" s="2">
        <f t="shared" si="19"/>
        <v>2.7</v>
      </c>
      <c r="BF25" s="2">
        <f t="shared" si="20"/>
        <v>8.7749999999999995E-2</v>
      </c>
      <c r="BG25" s="2">
        <f t="shared" si="37"/>
        <v>8.7749999999999995E-2</v>
      </c>
      <c r="BH25" s="2">
        <f t="shared" si="38"/>
        <v>1.3162499999999999E-2</v>
      </c>
      <c r="BI25" s="2">
        <f t="shared" si="21"/>
        <v>5.4000000000000003E-3</v>
      </c>
      <c r="BJ25" s="2">
        <f t="shared" si="22"/>
        <v>0.16200000000000001</v>
      </c>
      <c r="BK25" s="2">
        <f t="shared" si="39"/>
        <v>2.9683124999999997</v>
      </c>
      <c r="BL25" s="2">
        <f t="shared" si="23"/>
        <v>1050</v>
      </c>
      <c r="BM25" s="2">
        <f t="shared" si="24"/>
        <v>1650.0000000000002</v>
      </c>
      <c r="BN25" s="2">
        <f t="shared" si="40"/>
        <v>2700</v>
      </c>
    </row>
    <row r="26" spans="1:66" x14ac:dyDescent="0.25">
      <c r="A26" s="42">
        <v>23</v>
      </c>
      <c r="B26" s="43">
        <v>42727</v>
      </c>
      <c r="C26" s="42" t="s">
        <v>122</v>
      </c>
      <c r="D26" s="42" t="s">
        <v>124</v>
      </c>
      <c r="E26" s="6">
        <f t="shared" si="25"/>
        <v>999.86720000000003</v>
      </c>
      <c r="F26" s="5" t="str">
        <f t="shared" si="41"/>
        <v>Win</v>
      </c>
      <c r="G26" s="4">
        <f t="shared" si="42"/>
        <v>1050</v>
      </c>
      <c r="H26" s="46">
        <v>3500</v>
      </c>
      <c r="I26" s="42">
        <v>0.45</v>
      </c>
      <c r="N26" s="5">
        <f t="shared" si="43"/>
        <v>3500</v>
      </c>
      <c r="O26" s="4">
        <f t="shared" si="45"/>
        <v>0.45</v>
      </c>
      <c r="P26" s="5">
        <f t="shared" si="0"/>
        <v>3500</v>
      </c>
      <c r="Q26" s="42">
        <v>0.75</v>
      </c>
      <c r="R26" s="2">
        <f t="shared" ref="R26:R34" si="50">J26</f>
        <v>0</v>
      </c>
      <c r="T26" s="2">
        <f t="shared" si="27"/>
        <v>0</v>
      </c>
      <c r="V26" s="5">
        <f t="shared" si="44"/>
        <v>3500</v>
      </c>
      <c r="W26" s="4">
        <f t="shared" si="46"/>
        <v>0.75</v>
      </c>
      <c r="X26" s="14">
        <f t="shared" si="47"/>
        <v>0.3</v>
      </c>
      <c r="Y26" s="5">
        <f t="shared" si="48"/>
        <v>1050</v>
      </c>
      <c r="Z26" s="2">
        <f t="shared" si="1"/>
        <v>0</v>
      </c>
      <c r="AA26" s="4">
        <f t="shared" si="2"/>
        <v>0</v>
      </c>
      <c r="AB26" s="13">
        <f t="shared" si="3"/>
        <v>50.132800000000003</v>
      </c>
      <c r="AC26" s="10">
        <f>SUM($E$4:E26)</f>
        <v>-2016.2422712500024</v>
      </c>
      <c r="AD26" s="20">
        <f>SUM($AB$4:AB26)</f>
        <v>865.04227124999977</v>
      </c>
      <c r="AF26" s="28">
        <f t="shared" si="4"/>
        <v>0.42000000000000004</v>
      </c>
      <c r="AG26" s="2">
        <f t="shared" si="5"/>
        <v>0.65625</v>
      </c>
      <c r="AH26" s="2">
        <f t="shared" si="6"/>
        <v>0.13649999999999998</v>
      </c>
      <c r="AI26" s="2">
        <f t="shared" si="28"/>
        <v>0.55649999999999999</v>
      </c>
      <c r="AJ26" s="2">
        <f t="shared" si="29"/>
        <v>8.3474999999999994E-2</v>
      </c>
      <c r="AK26" s="2">
        <f t="shared" si="7"/>
        <v>8.4000000000000012E-3</v>
      </c>
      <c r="AL26" s="2">
        <f t="shared" si="8"/>
        <v>0.252</v>
      </c>
      <c r="AM26" s="2">
        <f t="shared" si="30"/>
        <v>1.5566249999999999</v>
      </c>
      <c r="AN26" s="2">
        <f t="shared" si="9"/>
        <v>40</v>
      </c>
      <c r="AO26" s="2">
        <f t="shared" si="10"/>
        <v>1.3125</v>
      </c>
      <c r="AP26" s="2">
        <f t="shared" si="11"/>
        <v>2.226</v>
      </c>
      <c r="AQ26" s="2">
        <f t="shared" si="31"/>
        <v>42.225999999999999</v>
      </c>
      <c r="AR26" s="2">
        <f t="shared" si="32"/>
        <v>6.3338999999999999</v>
      </c>
      <c r="AS26" s="2">
        <f t="shared" si="12"/>
        <v>8.4000000000000012E-3</v>
      </c>
      <c r="AT26" s="2">
        <f t="shared" si="13"/>
        <v>0.252</v>
      </c>
      <c r="AU26" s="2">
        <f t="shared" si="33"/>
        <v>50.132800000000003</v>
      </c>
      <c r="AV26" s="2">
        <f t="shared" si="14"/>
        <v>0.42000000000000004</v>
      </c>
      <c r="AW26" s="2">
        <f t="shared" si="15"/>
        <v>0.26250000000000001</v>
      </c>
      <c r="AX26" s="2">
        <f t="shared" si="16"/>
        <v>8.8200000000000001E-2</v>
      </c>
      <c r="AY26" s="2">
        <f t="shared" si="34"/>
        <v>0.50819999999999999</v>
      </c>
      <c r="AZ26" s="2">
        <f t="shared" si="35"/>
        <v>7.6229999999999992E-2</v>
      </c>
      <c r="BA26" s="2">
        <f t="shared" si="17"/>
        <v>8.4000000000000012E-3</v>
      </c>
      <c r="BB26" s="2">
        <f t="shared" si="18"/>
        <v>0.252</v>
      </c>
      <c r="BC26" s="2">
        <f t="shared" si="36"/>
        <v>1.1073300000000001</v>
      </c>
      <c r="BD26" s="2">
        <v>0</v>
      </c>
      <c r="BE26" s="2">
        <f t="shared" si="19"/>
        <v>4.2</v>
      </c>
      <c r="BF26" s="2">
        <f t="shared" si="20"/>
        <v>0.13649999999999998</v>
      </c>
      <c r="BG26" s="2">
        <f t="shared" si="37"/>
        <v>0.13649999999999998</v>
      </c>
      <c r="BH26" s="2">
        <f t="shared" si="38"/>
        <v>2.0474999999999997E-2</v>
      </c>
      <c r="BI26" s="2">
        <f t="shared" si="21"/>
        <v>8.4000000000000012E-3</v>
      </c>
      <c r="BJ26" s="2">
        <f t="shared" si="22"/>
        <v>0.252</v>
      </c>
      <c r="BK26" s="2">
        <f t="shared" si="39"/>
        <v>4.617375</v>
      </c>
      <c r="BL26" s="2">
        <f t="shared" si="23"/>
        <v>1575</v>
      </c>
      <c r="BM26" s="2">
        <f t="shared" si="24"/>
        <v>2625</v>
      </c>
      <c r="BN26" s="2">
        <f t="shared" si="40"/>
        <v>4200</v>
      </c>
    </row>
    <row r="27" spans="1:66" x14ac:dyDescent="0.25">
      <c r="A27" s="42">
        <v>24</v>
      </c>
      <c r="B27" s="43">
        <v>42727</v>
      </c>
      <c r="C27" s="42" t="s">
        <v>50</v>
      </c>
      <c r="D27" s="42" t="s">
        <v>125</v>
      </c>
      <c r="E27" s="6">
        <f t="shared" si="25"/>
        <v>-955.62323203124947</v>
      </c>
      <c r="F27" s="5" t="str">
        <f t="shared" si="41"/>
        <v>Loss</v>
      </c>
      <c r="G27" s="4">
        <f t="shared" si="42"/>
        <v>-941.24999999999943</v>
      </c>
      <c r="H27" s="46">
        <v>25</v>
      </c>
      <c r="I27" s="42">
        <v>872.8</v>
      </c>
      <c r="N27" s="5">
        <f t="shared" si="43"/>
        <v>25</v>
      </c>
      <c r="O27" s="4">
        <f t="shared" si="45"/>
        <v>872.8</v>
      </c>
      <c r="P27" s="5">
        <f t="shared" si="0"/>
        <v>25</v>
      </c>
      <c r="Q27" s="42">
        <v>835.15</v>
      </c>
      <c r="R27" s="2">
        <f t="shared" si="50"/>
        <v>0</v>
      </c>
      <c r="T27" s="2">
        <f t="shared" si="27"/>
        <v>0</v>
      </c>
      <c r="V27" s="5">
        <f t="shared" si="44"/>
        <v>25</v>
      </c>
      <c r="W27" s="4">
        <f t="shared" si="46"/>
        <v>835.15</v>
      </c>
      <c r="X27" s="14">
        <f t="shared" si="47"/>
        <v>-37.649999999999977</v>
      </c>
      <c r="Y27" s="5">
        <f t="shared" si="48"/>
        <v>-941.24999999999943</v>
      </c>
      <c r="Z27" s="2">
        <f t="shared" si="1"/>
        <v>0</v>
      </c>
      <c r="AA27" s="4">
        <f t="shared" si="2"/>
        <v>0</v>
      </c>
      <c r="AB27" s="13">
        <f t="shared" si="3"/>
        <v>14.37323203125</v>
      </c>
      <c r="AC27" s="10">
        <f>SUM($E$4:E27)</f>
        <v>-2971.8655032812521</v>
      </c>
      <c r="AD27" s="20">
        <f>SUM($AB$4:AB27)</f>
        <v>879.41550328124981</v>
      </c>
      <c r="AF27" s="28">
        <f t="shared" si="4"/>
        <v>4.2698749999999999</v>
      </c>
      <c r="AG27" s="2">
        <f t="shared" si="5"/>
        <v>5.2196875</v>
      </c>
      <c r="AH27" s="2">
        <f t="shared" si="6"/>
        <v>1.3877093749999998</v>
      </c>
      <c r="AI27" s="2">
        <f t="shared" si="28"/>
        <v>5.6575843749999999</v>
      </c>
      <c r="AJ27" s="2">
        <f t="shared" si="29"/>
        <v>0.84863765624999998</v>
      </c>
      <c r="AK27" s="2">
        <f t="shared" si="7"/>
        <v>8.5397500000000001E-2</v>
      </c>
      <c r="AL27" s="2">
        <f t="shared" si="8"/>
        <v>2.561925</v>
      </c>
      <c r="AM27" s="2">
        <f t="shared" si="30"/>
        <v>14.37323203125</v>
      </c>
      <c r="AN27" s="2">
        <f t="shared" si="9"/>
        <v>40</v>
      </c>
      <c r="AO27" s="2">
        <f t="shared" si="10"/>
        <v>10.439375</v>
      </c>
      <c r="AP27" s="2">
        <f t="shared" si="11"/>
        <v>22.6303375</v>
      </c>
      <c r="AQ27" s="2">
        <f t="shared" si="31"/>
        <v>62.630337499999996</v>
      </c>
      <c r="AR27" s="2">
        <f t="shared" si="32"/>
        <v>9.394550624999999</v>
      </c>
      <c r="AS27" s="2">
        <f t="shared" si="12"/>
        <v>8.5397500000000001E-2</v>
      </c>
      <c r="AT27" s="2">
        <f t="shared" si="13"/>
        <v>2.561925</v>
      </c>
      <c r="AU27" s="2">
        <f t="shared" si="33"/>
        <v>85.111585624999989</v>
      </c>
      <c r="AV27" s="2">
        <f t="shared" si="14"/>
        <v>4.2698749999999999</v>
      </c>
      <c r="AW27" s="2">
        <f t="shared" si="15"/>
        <v>2.0878749999999999</v>
      </c>
      <c r="AX27" s="2">
        <f t="shared" si="16"/>
        <v>0.89667374999999994</v>
      </c>
      <c r="AY27" s="2">
        <f t="shared" si="34"/>
        <v>5.1665487499999996</v>
      </c>
      <c r="AZ27" s="2">
        <f t="shared" si="35"/>
        <v>0.77498231249999994</v>
      </c>
      <c r="BA27" s="2">
        <f t="shared" si="17"/>
        <v>8.5397500000000001E-2</v>
      </c>
      <c r="BB27" s="2">
        <f t="shared" si="18"/>
        <v>2.561925</v>
      </c>
      <c r="BC27" s="2">
        <f t="shared" si="36"/>
        <v>10.676728562499999</v>
      </c>
      <c r="BD27" s="2">
        <v>0</v>
      </c>
      <c r="BE27" s="2">
        <f t="shared" si="19"/>
        <v>42.698750000000004</v>
      </c>
      <c r="BF27" s="2">
        <f t="shared" si="20"/>
        <v>1.3877093749999998</v>
      </c>
      <c r="BG27" s="2">
        <f t="shared" si="37"/>
        <v>1.3877093749999998</v>
      </c>
      <c r="BH27" s="2">
        <f t="shared" si="38"/>
        <v>0.20815640624999995</v>
      </c>
      <c r="BI27" s="2">
        <f t="shared" si="21"/>
        <v>8.5397500000000001E-2</v>
      </c>
      <c r="BJ27" s="2">
        <f t="shared" si="22"/>
        <v>2.561925</v>
      </c>
      <c r="BK27" s="2">
        <f t="shared" si="39"/>
        <v>46.941938281250003</v>
      </c>
      <c r="BL27" s="2">
        <f t="shared" si="23"/>
        <v>21820</v>
      </c>
      <c r="BM27" s="2">
        <f t="shared" si="24"/>
        <v>20878.75</v>
      </c>
      <c r="BN27" s="2">
        <f t="shared" si="40"/>
        <v>42698.75</v>
      </c>
    </row>
    <row r="28" spans="1:66" x14ac:dyDescent="0.25">
      <c r="A28" s="42">
        <v>25</v>
      </c>
      <c r="B28" s="43">
        <v>42730</v>
      </c>
      <c r="C28" s="42" t="s">
        <v>122</v>
      </c>
      <c r="D28" s="42" t="s">
        <v>124</v>
      </c>
      <c r="E28" s="6">
        <f t="shared" si="25"/>
        <v>126.53731250000016</v>
      </c>
      <c r="F28" s="5" t="str">
        <f t="shared" si="41"/>
        <v>Win</v>
      </c>
      <c r="G28" s="4">
        <f t="shared" si="42"/>
        <v>175.00000000000014</v>
      </c>
      <c r="H28" s="46">
        <v>3500</v>
      </c>
      <c r="I28" s="42">
        <v>0.35</v>
      </c>
      <c r="N28" s="5">
        <f t="shared" si="43"/>
        <v>3500</v>
      </c>
      <c r="O28" s="4">
        <f t="shared" si="45"/>
        <v>0.35</v>
      </c>
      <c r="P28" s="5">
        <f t="shared" si="0"/>
        <v>3500</v>
      </c>
      <c r="Q28" s="42">
        <v>0.4</v>
      </c>
      <c r="R28" s="2">
        <f t="shared" si="50"/>
        <v>0</v>
      </c>
      <c r="T28" s="2">
        <f t="shared" si="27"/>
        <v>0</v>
      </c>
      <c r="V28" s="5">
        <f t="shared" si="44"/>
        <v>3500</v>
      </c>
      <c r="W28" s="4">
        <f t="shared" si="46"/>
        <v>0.4</v>
      </c>
      <c r="X28" s="14">
        <f t="shared" si="47"/>
        <v>5.0000000000000044E-2</v>
      </c>
      <c r="Y28" s="5">
        <f t="shared" si="48"/>
        <v>175.00000000000014</v>
      </c>
      <c r="Z28" s="2">
        <f t="shared" si="1"/>
        <v>0</v>
      </c>
      <c r="AA28" s="4">
        <f t="shared" si="2"/>
        <v>0</v>
      </c>
      <c r="AB28" s="13">
        <f t="shared" si="3"/>
        <v>48.462687499999994</v>
      </c>
      <c r="AC28" s="10">
        <f>SUM($E$4:E28)</f>
        <v>-2845.328190781252</v>
      </c>
      <c r="AD28" s="20">
        <f>SUM($AB$4:AB28)</f>
        <v>927.87819078124983</v>
      </c>
      <c r="AF28" s="28">
        <f t="shared" si="4"/>
        <v>0.26250000000000001</v>
      </c>
      <c r="AG28" s="2">
        <f t="shared" si="5"/>
        <v>0.35000000000000003</v>
      </c>
      <c r="AH28" s="2">
        <f t="shared" si="6"/>
        <v>8.5312499999999999E-2</v>
      </c>
      <c r="AI28" s="2">
        <f t="shared" si="28"/>
        <v>0.34781250000000002</v>
      </c>
      <c r="AJ28" s="2">
        <f t="shared" si="29"/>
        <v>5.2171875E-2</v>
      </c>
      <c r="AK28" s="2">
        <f t="shared" si="7"/>
        <v>5.2499999999999995E-3</v>
      </c>
      <c r="AL28" s="2">
        <f t="shared" si="8"/>
        <v>0.1575</v>
      </c>
      <c r="AM28" s="2">
        <f t="shared" si="30"/>
        <v>0.91273437499999999</v>
      </c>
      <c r="AN28" s="2">
        <f t="shared" si="9"/>
        <v>40</v>
      </c>
      <c r="AO28" s="2">
        <f t="shared" si="10"/>
        <v>0.70000000000000007</v>
      </c>
      <c r="AP28" s="2">
        <f t="shared" si="11"/>
        <v>1.3912499999999999</v>
      </c>
      <c r="AQ28" s="2">
        <f t="shared" si="31"/>
        <v>41.391249999999999</v>
      </c>
      <c r="AR28" s="2">
        <f t="shared" si="32"/>
        <v>6.2086874999999999</v>
      </c>
      <c r="AS28" s="2">
        <f t="shared" si="12"/>
        <v>5.2499999999999995E-3</v>
      </c>
      <c r="AT28" s="2">
        <f t="shared" si="13"/>
        <v>0.1575</v>
      </c>
      <c r="AU28" s="2">
        <f t="shared" si="33"/>
        <v>48.462687499999994</v>
      </c>
      <c r="AV28" s="2">
        <f t="shared" si="14"/>
        <v>0.26250000000000001</v>
      </c>
      <c r="AW28" s="2">
        <f t="shared" si="15"/>
        <v>0.14000000000000001</v>
      </c>
      <c r="AX28" s="2">
        <f t="shared" si="16"/>
        <v>5.5125E-2</v>
      </c>
      <c r="AY28" s="2">
        <f t="shared" si="34"/>
        <v>0.31762499999999999</v>
      </c>
      <c r="AZ28" s="2">
        <f t="shared" si="35"/>
        <v>4.7643749999999999E-2</v>
      </c>
      <c r="BA28" s="2">
        <f t="shared" si="17"/>
        <v>5.2499999999999995E-3</v>
      </c>
      <c r="BB28" s="2">
        <f t="shared" si="18"/>
        <v>0.1575</v>
      </c>
      <c r="BC28" s="2">
        <f t="shared" si="36"/>
        <v>0.66801874999999999</v>
      </c>
      <c r="BD28" s="2">
        <v>0</v>
      </c>
      <c r="BE28" s="2">
        <f t="shared" si="19"/>
        <v>2.625</v>
      </c>
      <c r="BF28" s="2">
        <f t="shared" si="20"/>
        <v>8.5312499999999999E-2</v>
      </c>
      <c r="BG28" s="2">
        <f t="shared" si="37"/>
        <v>8.5312499999999999E-2</v>
      </c>
      <c r="BH28" s="2">
        <f t="shared" si="38"/>
        <v>1.2796874999999999E-2</v>
      </c>
      <c r="BI28" s="2">
        <f t="shared" si="21"/>
        <v>5.2499999999999995E-3</v>
      </c>
      <c r="BJ28" s="2">
        <f t="shared" si="22"/>
        <v>0.1575</v>
      </c>
      <c r="BK28" s="2">
        <f t="shared" si="39"/>
        <v>2.8858593750000003</v>
      </c>
      <c r="BL28" s="2">
        <f t="shared" si="23"/>
        <v>1225</v>
      </c>
      <c r="BM28" s="2">
        <f t="shared" si="24"/>
        <v>1400</v>
      </c>
      <c r="BN28" s="2">
        <f t="shared" si="40"/>
        <v>2625</v>
      </c>
    </row>
    <row r="29" spans="1:66" x14ac:dyDescent="0.25">
      <c r="A29" s="42">
        <v>26</v>
      </c>
      <c r="B29" s="43">
        <v>42730</v>
      </c>
      <c r="C29" s="42" t="s">
        <v>122</v>
      </c>
      <c r="D29" s="42" t="s">
        <v>124</v>
      </c>
      <c r="E29" s="6">
        <f t="shared" si="25"/>
        <v>-398.17017500000009</v>
      </c>
      <c r="F29" s="5" t="str">
        <f t="shared" si="41"/>
        <v>Loss</v>
      </c>
      <c r="G29" s="4">
        <f t="shared" si="42"/>
        <v>-350.00000000000011</v>
      </c>
      <c r="H29" s="46">
        <v>3500</v>
      </c>
      <c r="I29" s="42">
        <v>0.4</v>
      </c>
      <c r="N29" s="5">
        <f t="shared" si="43"/>
        <v>3500</v>
      </c>
      <c r="O29" s="4">
        <f t="shared" si="45"/>
        <v>0.4</v>
      </c>
      <c r="P29" s="5">
        <f t="shared" si="0"/>
        <v>3500</v>
      </c>
      <c r="Q29" s="42">
        <v>0.3</v>
      </c>
      <c r="R29" s="2">
        <f t="shared" si="50"/>
        <v>0</v>
      </c>
      <c r="T29" s="2">
        <f t="shared" si="27"/>
        <v>0</v>
      </c>
      <c r="V29" s="5">
        <f t="shared" si="44"/>
        <v>3500</v>
      </c>
      <c r="W29" s="4">
        <f t="shared" si="46"/>
        <v>0.3</v>
      </c>
      <c r="X29" s="14">
        <f t="shared" si="47"/>
        <v>-0.10000000000000003</v>
      </c>
      <c r="Y29" s="5">
        <f t="shared" si="48"/>
        <v>-350.00000000000011</v>
      </c>
      <c r="Z29" s="2">
        <f t="shared" si="1"/>
        <v>0</v>
      </c>
      <c r="AA29" s="4">
        <f t="shared" si="2"/>
        <v>0</v>
      </c>
      <c r="AB29" s="13">
        <f t="shared" si="3"/>
        <v>48.170174999999993</v>
      </c>
      <c r="AC29" s="10">
        <f>SUM($E$4:E29)</f>
        <v>-3243.4983657812522</v>
      </c>
      <c r="AD29" s="20">
        <f>SUM($AB$4:AB29)</f>
        <v>976.0483657812498</v>
      </c>
      <c r="AF29" s="28">
        <f t="shared" si="4"/>
        <v>0.24500000000000002</v>
      </c>
      <c r="AG29" s="2">
        <f t="shared" si="5"/>
        <v>0.26250000000000001</v>
      </c>
      <c r="AH29" s="2">
        <f t="shared" si="6"/>
        <v>7.9624999999999987E-2</v>
      </c>
      <c r="AI29" s="2">
        <f t="shared" si="28"/>
        <v>0.324625</v>
      </c>
      <c r="AJ29" s="2">
        <f t="shared" si="29"/>
        <v>4.8693750000000001E-2</v>
      </c>
      <c r="AK29" s="2">
        <f t="shared" si="7"/>
        <v>4.8999999999999998E-3</v>
      </c>
      <c r="AL29" s="2">
        <f t="shared" si="8"/>
        <v>0.14699999999999999</v>
      </c>
      <c r="AM29" s="2">
        <f t="shared" si="30"/>
        <v>0.78771875000000002</v>
      </c>
      <c r="AN29" s="2">
        <f t="shared" si="9"/>
        <v>40</v>
      </c>
      <c r="AO29" s="2">
        <f t="shared" si="10"/>
        <v>0.52500000000000002</v>
      </c>
      <c r="AP29" s="2">
        <f t="shared" si="11"/>
        <v>1.2985</v>
      </c>
      <c r="AQ29" s="2">
        <f t="shared" si="31"/>
        <v>41.298499999999997</v>
      </c>
      <c r="AR29" s="2">
        <f t="shared" si="32"/>
        <v>6.194774999999999</v>
      </c>
      <c r="AS29" s="2">
        <f t="shared" si="12"/>
        <v>4.8999999999999998E-3</v>
      </c>
      <c r="AT29" s="2">
        <f t="shared" si="13"/>
        <v>0.14699999999999999</v>
      </c>
      <c r="AU29" s="2">
        <f t="shared" si="33"/>
        <v>48.170174999999993</v>
      </c>
      <c r="AV29" s="2">
        <f t="shared" si="14"/>
        <v>0.24500000000000002</v>
      </c>
      <c r="AW29" s="2">
        <f t="shared" si="15"/>
        <v>0.10500000000000001</v>
      </c>
      <c r="AX29" s="2">
        <f t="shared" si="16"/>
        <v>5.1449999999999996E-2</v>
      </c>
      <c r="AY29" s="2">
        <f t="shared" si="34"/>
        <v>0.29644999999999999</v>
      </c>
      <c r="AZ29" s="2">
        <f t="shared" si="35"/>
        <v>4.44675E-2</v>
      </c>
      <c r="BA29" s="2">
        <f t="shared" si="17"/>
        <v>4.8999999999999998E-3</v>
      </c>
      <c r="BB29" s="2">
        <f t="shared" si="18"/>
        <v>0.14699999999999999</v>
      </c>
      <c r="BC29" s="2">
        <f t="shared" si="36"/>
        <v>0.5978175</v>
      </c>
      <c r="BD29" s="2">
        <v>0</v>
      </c>
      <c r="BE29" s="2">
        <f t="shared" si="19"/>
        <v>2.4500000000000002</v>
      </c>
      <c r="BF29" s="2">
        <f t="shared" si="20"/>
        <v>7.9624999999999987E-2</v>
      </c>
      <c r="BG29" s="2">
        <f t="shared" si="37"/>
        <v>7.9624999999999987E-2</v>
      </c>
      <c r="BH29" s="2">
        <f t="shared" si="38"/>
        <v>1.1943749999999998E-2</v>
      </c>
      <c r="BI29" s="2">
        <f t="shared" si="21"/>
        <v>4.8999999999999998E-3</v>
      </c>
      <c r="BJ29" s="2">
        <f t="shared" si="22"/>
        <v>0.14699999999999999</v>
      </c>
      <c r="BK29" s="2">
        <f t="shared" si="39"/>
        <v>2.6934687500000001</v>
      </c>
      <c r="BL29" s="2">
        <f t="shared" si="23"/>
        <v>1400</v>
      </c>
      <c r="BM29" s="2">
        <f t="shared" si="24"/>
        <v>1050</v>
      </c>
      <c r="BN29" s="2">
        <f t="shared" si="40"/>
        <v>2450</v>
      </c>
    </row>
    <row r="30" spans="1:66" x14ac:dyDescent="0.25">
      <c r="A30" s="42">
        <v>27</v>
      </c>
      <c r="B30" s="43">
        <v>42730</v>
      </c>
      <c r="C30" s="42" t="s">
        <v>122</v>
      </c>
      <c r="D30" s="42" t="s">
        <v>124</v>
      </c>
      <c r="E30" s="6">
        <f t="shared" si="25"/>
        <v>651.24479999999994</v>
      </c>
      <c r="F30" s="5" t="str">
        <f t="shared" si="41"/>
        <v>Win</v>
      </c>
      <c r="G30" s="4">
        <f t="shared" si="42"/>
        <v>700</v>
      </c>
      <c r="H30" s="46">
        <v>3500</v>
      </c>
      <c r="I30" s="42">
        <v>0.3</v>
      </c>
      <c r="N30" s="5">
        <f t="shared" si="43"/>
        <v>3500</v>
      </c>
      <c r="O30" s="4">
        <f t="shared" si="45"/>
        <v>0.3</v>
      </c>
      <c r="P30" s="5">
        <f t="shared" si="0"/>
        <v>3500</v>
      </c>
      <c r="Q30" s="42">
        <v>0.5</v>
      </c>
      <c r="R30" s="2">
        <f t="shared" si="50"/>
        <v>0</v>
      </c>
      <c r="T30" s="2">
        <f t="shared" si="27"/>
        <v>0</v>
      </c>
      <c r="V30" s="5">
        <f t="shared" si="44"/>
        <v>3500</v>
      </c>
      <c r="W30" s="4">
        <f t="shared" si="46"/>
        <v>0.5</v>
      </c>
      <c r="X30" s="14">
        <f t="shared" si="47"/>
        <v>0.2</v>
      </c>
      <c r="Y30" s="5">
        <f t="shared" si="48"/>
        <v>700</v>
      </c>
      <c r="Z30" s="2">
        <f t="shared" si="1"/>
        <v>0</v>
      </c>
      <c r="AA30" s="4">
        <f t="shared" si="2"/>
        <v>0</v>
      </c>
      <c r="AB30" s="13">
        <f t="shared" si="3"/>
        <v>48.755200000000002</v>
      </c>
      <c r="AC30" s="10">
        <f>SUM($E$4:E30)</f>
        <v>-2592.2535657812523</v>
      </c>
      <c r="AD30" s="20">
        <f>SUM($AB$4:AB30)</f>
        <v>1024.8035657812497</v>
      </c>
      <c r="AF30" s="28">
        <f t="shared" si="4"/>
        <v>0.28000000000000003</v>
      </c>
      <c r="AG30" s="2">
        <f t="shared" si="5"/>
        <v>0.4375</v>
      </c>
      <c r="AH30" s="2">
        <f t="shared" si="6"/>
        <v>9.0999999999999998E-2</v>
      </c>
      <c r="AI30" s="2">
        <f t="shared" si="28"/>
        <v>0.371</v>
      </c>
      <c r="AJ30" s="2">
        <f t="shared" si="29"/>
        <v>5.5649999999999998E-2</v>
      </c>
      <c r="AK30" s="2">
        <f t="shared" si="7"/>
        <v>5.5999999999999991E-3</v>
      </c>
      <c r="AL30" s="2">
        <f t="shared" si="8"/>
        <v>0.16800000000000001</v>
      </c>
      <c r="AM30" s="2">
        <f t="shared" si="30"/>
        <v>1.03775</v>
      </c>
      <c r="AN30" s="2">
        <f t="shared" si="9"/>
        <v>40</v>
      </c>
      <c r="AO30" s="2">
        <f t="shared" si="10"/>
        <v>0.875</v>
      </c>
      <c r="AP30" s="2">
        <f t="shared" si="11"/>
        <v>1.484</v>
      </c>
      <c r="AQ30" s="2">
        <f t="shared" si="31"/>
        <v>41.484000000000002</v>
      </c>
      <c r="AR30" s="2">
        <f t="shared" si="32"/>
        <v>6.2225999999999999</v>
      </c>
      <c r="AS30" s="2">
        <f t="shared" si="12"/>
        <v>5.5999999999999991E-3</v>
      </c>
      <c r="AT30" s="2">
        <f t="shared" si="13"/>
        <v>0.16800000000000001</v>
      </c>
      <c r="AU30" s="2">
        <f t="shared" si="33"/>
        <v>48.755200000000002</v>
      </c>
      <c r="AV30" s="2">
        <f t="shared" si="14"/>
        <v>0.28000000000000003</v>
      </c>
      <c r="AW30" s="2">
        <f t="shared" si="15"/>
        <v>0.17500000000000002</v>
      </c>
      <c r="AX30" s="2">
        <f t="shared" si="16"/>
        <v>5.8799999999999998E-2</v>
      </c>
      <c r="AY30" s="2">
        <f t="shared" si="34"/>
        <v>0.33880000000000005</v>
      </c>
      <c r="AZ30" s="2">
        <f t="shared" si="35"/>
        <v>5.0820000000000004E-2</v>
      </c>
      <c r="BA30" s="2">
        <f t="shared" si="17"/>
        <v>5.5999999999999991E-3</v>
      </c>
      <c r="BB30" s="2">
        <f t="shared" si="18"/>
        <v>0.16800000000000001</v>
      </c>
      <c r="BC30" s="2">
        <f t="shared" si="36"/>
        <v>0.7382200000000001</v>
      </c>
      <c r="BD30" s="2">
        <v>0</v>
      </c>
      <c r="BE30" s="2">
        <f t="shared" si="19"/>
        <v>2.8000000000000003</v>
      </c>
      <c r="BF30" s="2">
        <f t="shared" si="20"/>
        <v>9.0999999999999998E-2</v>
      </c>
      <c r="BG30" s="2">
        <f t="shared" si="37"/>
        <v>9.0999999999999998E-2</v>
      </c>
      <c r="BH30" s="2">
        <f t="shared" si="38"/>
        <v>1.3649999999999999E-2</v>
      </c>
      <c r="BI30" s="2">
        <f t="shared" si="21"/>
        <v>5.5999999999999991E-3</v>
      </c>
      <c r="BJ30" s="2">
        <f t="shared" si="22"/>
        <v>0.16800000000000001</v>
      </c>
      <c r="BK30" s="2">
        <f t="shared" si="39"/>
        <v>3.0782500000000006</v>
      </c>
      <c r="BL30" s="2">
        <f t="shared" si="23"/>
        <v>1050</v>
      </c>
      <c r="BM30" s="2">
        <f t="shared" si="24"/>
        <v>1750</v>
      </c>
      <c r="BN30" s="2">
        <f t="shared" si="40"/>
        <v>2800</v>
      </c>
    </row>
    <row r="31" spans="1:66" x14ac:dyDescent="0.25">
      <c r="A31" s="42">
        <v>28</v>
      </c>
      <c r="B31" s="43">
        <v>42730</v>
      </c>
      <c r="C31" s="42" t="s">
        <v>50</v>
      </c>
      <c r="D31" s="42" t="s">
        <v>125</v>
      </c>
      <c r="E31" s="6">
        <f t="shared" si="25"/>
        <v>103.75608750000001</v>
      </c>
      <c r="F31" s="5" t="str">
        <f t="shared" si="41"/>
        <v>Win</v>
      </c>
      <c r="G31" s="4">
        <f t="shared" si="42"/>
        <v>120</v>
      </c>
      <c r="H31" s="46">
        <v>30</v>
      </c>
      <c r="I31" s="42">
        <v>795</v>
      </c>
      <c r="N31" s="5">
        <f t="shared" si="43"/>
        <v>30</v>
      </c>
      <c r="O31" s="4">
        <f t="shared" si="45"/>
        <v>795</v>
      </c>
      <c r="P31" s="5">
        <f t="shared" si="0"/>
        <v>30</v>
      </c>
      <c r="Q31" s="42">
        <v>799</v>
      </c>
      <c r="R31" s="2">
        <f t="shared" si="50"/>
        <v>0</v>
      </c>
      <c r="T31" s="2">
        <f t="shared" si="27"/>
        <v>0</v>
      </c>
      <c r="V31" s="5">
        <f t="shared" si="44"/>
        <v>30</v>
      </c>
      <c r="W31" s="4">
        <f t="shared" si="46"/>
        <v>799</v>
      </c>
      <c r="X31" s="14">
        <f t="shared" si="47"/>
        <v>4</v>
      </c>
      <c r="Y31" s="5">
        <f t="shared" si="48"/>
        <v>120</v>
      </c>
      <c r="Z31" s="2">
        <f t="shared" si="1"/>
        <v>0</v>
      </c>
      <c r="AA31" s="4">
        <f t="shared" si="2"/>
        <v>0</v>
      </c>
      <c r="AB31" s="13">
        <f t="shared" si="3"/>
        <v>16.2439125</v>
      </c>
      <c r="AC31" s="10">
        <f>SUM($E$4:E31)</f>
        <v>-2488.4974782812524</v>
      </c>
      <c r="AD31" s="20">
        <f>SUM($AB$4:AB31)</f>
        <v>1041.0474782812498</v>
      </c>
      <c r="AF31" s="28">
        <f t="shared" si="4"/>
        <v>4.782</v>
      </c>
      <c r="AG31" s="2">
        <f t="shared" si="5"/>
        <v>5.9924999999999997</v>
      </c>
      <c r="AH31" s="2">
        <f t="shared" si="6"/>
        <v>1.5541499999999999</v>
      </c>
      <c r="AI31" s="2">
        <f t="shared" si="28"/>
        <v>6.3361499999999999</v>
      </c>
      <c r="AJ31" s="2">
        <f t="shared" si="29"/>
        <v>0.95042249999999995</v>
      </c>
      <c r="AK31" s="2">
        <f t="shared" si="7"/>
        <v>9.5640000000000003E-2</v>
      </c>
      <c r="AL31" s="2">
        <f t="shared" si="8"/>
        <v>2.8692000000000002</v>
      </c>
      <c r="AM31" s="2">
        <f t="shared" si="30"/>
        <v>16.2439125</v>
      </c>
      <c r="AN31" s="2">
        <f t="shared" si="9"/>
        <v>40</v>
      </c>
      <c r="AO31" s="2">
        <f t="shared" si="10"/>
        <v>11.984999999999999</v>
      </c>
      <c r="AP31" s="2">
        <f t="shared" si="11"/>
        <v>25.3446</v>
      </c>
      <c r="AQ31" s="2">
        <f t="shared" si="31"/>
        <v>65.3446</v>
      </c>
      <c r="AR31" s="2">
        <f t="shared" si="32"/>
        <v>9.8016899999999989</v>
      </c>
      <c r="AS31" s="2">
        <f t="shared" si="12"/>
        <v>9.5640000000000003E-2</v>
      </c>
      <c r="AT31" s="2">
        <f t="shared" si="13"/>
        <v>2.8692000000000002</v>
      </c>
      <c r="AU31" s="2">
        <f t="shared" si="33"/>
        <v>90.096130000000002</v>
      </c>
      <c r="AV31" s="2">
        <f t="shared" si="14"/>
        <v>4.782</v>
      </c>
      <c r="AW31" s="2">
        <f t="shared" si="15"/>
        <v>2.3970000000000002</v>
      </c>
      <c r="AX31" s="2">
        <f t="shared" si="16"/>
        <v>1.0042199999999999</v>
      </c>
      <c r="AY31" s="2">
        <f t="shared" si="34"/>
        <v>5.7862200000000001</v>
      </c>
      <c r="AZ31" s="2">
        <f t="shared" si="35"/>
        <v>0.86793299999999995</v>
      </c>
      <c r="BA31" s="2">
        <f t="shared" si="17"/>
        <v>9.5640000000000003E-2</v>
      </c>
      <c r="BB31" s="2">
        <f t="shared" si="18"/>
        <v>2.8692000000000002</v>
      </c>
      <c r="BC31" s="2">
        <f t="shared" si="36"/>
        <v>12.015993000000002</v>
      </c>
      <c r="BD31" s="2">
        <v>0</v>
      </c>
      <c r="BE31" s="2">
        <f t="shared" si="19"/>
        <v>47.82</v>
      </c>
      <c r="BF31" s="2">
        <f t="shared" si="20"/>
        <v>1.5541499999999999</v>
      </c>
      <c r="BG31" s="2">
        <f t="shared" si="37"/>
        <v>1.5541499999999999</v>
      </c>
      <c r="BH31" s="2">
        <f t="shared" si="38"/>
        <v>0.23312249999999998</v>
      </c>
      <c r="BI31" s="2">
        <f t="shared" si="21"/>
        <v>9.5640000000000003E-2</v>
      </c>
      <c r="BJ31" s="2">
        <f t="shared" si="22"/>
        <v>2.8692000000000002</v>
      </c>
      <c r="BK31" s="2">
        <f t="shared" si="39"/>
        <v>52.572112500000003</v>
      </c>
      <c r="BL31" s="2">
        <f t="shared" si="23"/>
        <v>23850</v>
      </c>
      <c r="BM31" s="2">
        <f t="shared" si="24"/>
        <v>23970</v>
      </c>
      <c r="BN31" s="2">
        <f t="shared" si="40"/>
        <v>47820</v>
      </c>
    </row>
    <row r="32" spans="1:66" x14ac:dyDescent="0.25">
      <c r="A32" s="42">
        <v>29</v>
      </c>
      <c r="B32" s="43">
        <v>42730</v>
      </c>
      <c r="C32" s="42" t="s">
        <v>50</v>
      </c>
      <c r="D32" s="42" t="s">
        <v>125</v>
      </c>
      <c r="E32" s="6">
        <f t="shared" si="25"/>
        <v>-184.2185512500009</v>
      </c>
      <c r="F32" s="5" t="str">
        <f t="shared" si="41"/>
        <v>Loss</v>
      </c>
      <c r="G32" s="4">
        <f t="shared" si="42"/>
        <v>-174.00000000000091</v>
      </c>
      <c r="H32" s="46">
        <v>20</v>
      </c>
      <c r="I32" s="42">
        <v>758.7</v>
      </c>
      <c r="N32" s="5">
        <f t="shared" si="43"/>
        <v>20</v>
      </c>
      <c r="O32" s="4">
        <f t="shared" si="45"/>
        <v>758.7</v>
      </c>
      <c r="P32" s="5">
        <f t="shared" si="0"/>
        <v>20</v>
      </c>
      <c r="Q32" s="42">
        <v>750</v>
      </c>
      <c r="R32" s="2">
        <f t="shared" si="50"/>
        <v>0</v>
      </c>
      <c r="T32" s="2">
        <f t="shared" si="27"/>
        <v>0</v>
      </c>
      <c r="V32" s="5">
        <f t="shared" si="44"/>
        <v>20</v>
      </c>
      <c r="W32" s="4">
        <f t="shared" si="46"/>
        <v>750</v>
      </c>
      <c r="X32" s="14">
        <f t="shared" si="47"/>
        <v>-8.7000000000000455</v>
      </c>
      <c r="Y32" s="5">
        <f t="shared" si="48"/>
        <v>-174.00000000000091</v>
      </c>
      <c r="Z32" s="2">
        <f t="shared" si="1"/>
        <v>0</v>
      </c>
      <c r="AA32" s="4">
        <f t="shared" si="2"/>
        <v>0</v>
      </c>
      <c r="AB32" s="13">
        <f t="shared" si="3"/>
        <v>10.218551249999999</v>
      </c>
      <c r="AC32" s="10">
        <f>SUM($E$4:E32)</f>
        <v>-2672.7160295312533</v>
      </c>
      <c r="AD32" s="20">
        <f>SUM($AB$4:AB32)</f>
        <v>1051.2660295312498</v>
      </c>
      <c r="AF32" s="28">
        <f t="shared" si="4"/>
        <v>3.0174000000000003</v>
      </c>
      <c r="AG32" s="2">
        <f t="shared" si="5"/>
        <v>3.75</v>
      </c>
      <c r="AH32" s="2">
        <f t="shared" si="6"/>
        <v>0.98065499999999994</v>
      </c>
      <c r="AI32" s="2">
        <f t="shared" si="28"/>
        <v>3.9980550000000004</v>
      </c>
      <c r="AJ32" s="2">
        <f t="shared" si="29"/>
        <v>0.59970825000000005</v>
      </c>
      <c r="AK32" s="2">
        <f t="shared" si="7"/>
        <v>6.0347999999999999E-2</v>
      </c>
      <c r="AL32" s="2">
        <f t="shared" si="8"/>
        <v>1.81044</v>
      </c>
      <c r="AM32" s="2">
        <f t="shared" si="30"/>
        <v>10.218551249999999</v>
      </c>
      <c r="AN32" s="2">
        <f t="shared" si="9"/>
        <v>40</v>
      </c>
      <c r="AO32" s="2">
        <f t="shared" si="10"/>
        <v>7.5</v>
      </c>
      <c r="AP32" s="2">
        <f t="shared" si="11"/>
        <v>15.99222</v>
      </c>
      <c r="AQ32" s="2">
        <f t="shared" si="31"/>
        <v>55.992220000000003</v>
      </c>
      <c r="AR32" s="2">
        <f t="shared" si="32"/>
        <v>8.3988329999999998</v>
      </c>
      <c r="AS32" s="2">
        <f t="shared" si="12"/>
        <v>6.0347999999999999E-2</v>
      </c>
      <c r="AT32" s="2">
        <f t="shared" si="13"/>
        <v>1.81044</v>
      </c>
      <c r="AU32" s="2">
        <f t="shared" si="33"/>
        <v>73.761841000000004</v>
      </c>
      <c r="AV32" s="2">
        <f t="shared" si="14"/>
        <v>3.0174000000000003</v>
      </c>
      <c r="AW32" s="2">
        <f t="shared" si="15"/>
        <v>1.5</v>
      </c>
      <c r="AX32" s="2">
        <f t="shared" si="16"/>
        <v>0.63365399999999994</v>
      </c>
      <c r="AY32" s="2">
        <f t="shared" si="34"/>
        <v>3.6510540000000002</v>
      </c>
      <c r="AZ32" s="2">
        <f t="shared" si="35"/>
        <v>0.54765810000000004</v>
      </c>
      <c r="BA32" s="2">
        <f t="shared" si="17"/>
        <v>6.0347999999999999E-2</v>
      </c>
      <c r="BB32" s="2">
        <f t="shared" si="18"/>
        <v>1.81044</v>
      </c>
      <c r="BC32" s="2">
        <f t="shared" si="36"/>
        <v>7.5695001</v>
      </c>
      <c r="BD32" s="2">
        <v>0</v>
      </c>
      <c r="BE32" s="2">
        <f t="shared" si="19"/>
        <v>30.173999999999999</v>
      </c>
      <c r="BF32" s="2">
        <f t="shared" si="20"/>
        <v>0.98065499999999994</v>
      </c>
      <c r="BG32" s="2">
        <f t="shared" si="37"/>
        <v>0.98065499999999994</v>
      </c>
      <c r="BH32" s="2">
        <f t="shared" si="38"/>
        <v>0.14709824999999999</v>
      </c>
      <c r="BI32" s="2">
        <f t="shared" si="21"/>
        <v>6.0347999999999999E-2</v>
      </c>
      <c r="BJ32" s="2">
        <f t="shared" si="22"/>
        <v>1.81044</v>
      </c>
      <c r="BK32" s="2">
        <f t="shared" si="39"/>
        <v>33.172541250000002</v>
      </c>
      <c r="BL32" s="2">
        <f t="shared" si="23"/>
        <v>15174</v>
      </c>
      <c r="BM32" s="2">
        <f t="shared" si="24"/>
        <v>15000</v>
      </c>
      <c r="BN32" s="2">
        <f t="shared" si="40"/>
        <v>30174</v>
      </c>
    </row>
    <row r="33" spans="1:66" x14ac:dyDescent="0.25">
      <c r="A33" s="42">
        <v>30</v>
      </c>
      <c r="B33" s="43">
        <v>42730</v>
      </c>
      <c r="C33" s="42" t="s">
        <v>50</v>
      </c>
      <c r="D33" s="42" t="s">
        <v>126</v>
      </c>
      <c r="E33" s="6">
        <f t="shared" si="25"/>
        <v>-75.193868750000007</v>
      </c>
      <c r="F33" s="5" t="str">
        <f t="shared" si="41"/>
        <v>Loss</v>
      </c>
      <c r="G33" s="4">
        <f t="shared" si="42"/>
        <v>-70</v>
      </c>
      <c r="H33" s="46">
        <v>10</v>
      </c>
      <c r="I33" s="42">
        <v>770</v>
      </c>
      <c r="N33" s="5">
        <f t="shared" si="43"/>
        <v>10</v>
      </c>
      <c r="O33" s="4">
        <f t="shared" si="45"/>
        <v>770</v>
      </c>
      <c r="P33" s="5">
        <f t="shared" si="0"/>
        <v>10</v>
      </c>
      <c r="Q33" s="42">
        <v>763</v>
      </c>
      <c r="R33" s="2">
        <f t="shared" si="50"/>
        <v>0</v>
      </c>
      <c r="T33" s="2">
        <f t="shared" si="27"/>
        <v>0</v>
      </c>
      <c r="V33" s="5">
        <f t="shared" si="44"/>
        <v>10</v>
      </c>
      <c r="W33" s="4">
        <f t="shared" si="46"/>
        <v>763</v>
      </c>
      <c r="X33" s="14">
        <f t="shared" si="47"/>
        <v>-7</v>
      </c>
      <c r="Y33" s="5">
        <f t="shared" si="48"/>
        <v>-70</v>
      </c>
      <c r="Z33" s="2">
        <f t="shared" si="1"/>
        <v>0</v>
      </c>
      <c r="AA33" s="4">
        <f t="shared" si="2"/>
        <v>0</v>
      </c>
      <c r="AB33" s="13">
        <f t="shared" si="3"/>
        <v>5.1938687500000009</v>
      </c>
      <c r="AC33" s="10">
        <f>SUM($E$4:E33)</f>
        <v>-2747.9098982812534</v>
      </c>
      <c r="AD33" s="20">
        <f>SUM($AB$4:AB33)</f>
        <v>1056.4598982812499</v>
      </c>
      <c r="AF33" s="28">
        <f t="shared" si="4"/>
        <v>1.5330000000000001</v>
      </c>
      <c r="AG33" s="2">
        <f t="shared" si="5"/>
        <v>1.9075</v>
      </c>
      <c r="AH33" s="2">
        <f t="shared" si="6"/>
        <v>0.49822499999999997</v>
      </c>
      <c r="AI33" s="2">
        <f t="shared" si="28"/>
        <v>2.0312250000000001</v>
      </c>
      <c r="AJ33" s="2">
        <f t="shared" si="29"/>
        <v>0.30468374999999998</v>
      </c>
      <c r="AK33" s="2">
        <f t="shared" si="7"/>
        <v>3.066E-2</v>
      </c>
      <c r="AL33" s="2">
        <f t="shared" si="8"/>
        <v>0.91980000000000006</v>
      </c>
      <c r="AM33" s="2">
        <f t="shared" si="30"/>
        <v>5.1938687500000009</v>
      </c>
      <c r="AN33" s="2">
        <f t="shared" si="9"/>
        <v>40</v>
      </c>
      <c r="AO33" s="2">
        <f t="shared" si="10"/>
        <v>3.8149999999999999</v>
      </c>
      <c r="AP33" s="2">
        <f t="shared" si="11"/>
        <v>8.1249000000000002</v>
      </c>
      <c r="AQ33" s="2">
        <f t="shared" si="31"/>
        <v>48.124899999999997</v>
      </c>
      <c r="AR33" s="2">
        <f t="shared" si="32"/>
        <v>7.2187349999999988</v>
      </c>
      <c r="AS33" s="2">
        <f t="shared" si="12"/>
        <v>3.066E-2</v>
      </c>
      <c r="AT33" s="2">
        <f t="shared" si="13"/>
        <v>0.91980000000000006</v>
      </c>
      <c r="AU33" s="2">
        <f t="shared" si="33"/>
        <v>60.109094999999989</v>
      </c>
      <c r="AV33" s="2">
        <f t="shared" si="14"/>
        <v>1.5330000000000001</v>
      </c>
      <c r="AW33" s="2">
        <f t="shared" si="15"/>
        <v>0.76300000000000001</v>
      </c>
      <c r="AX33" s="2">
        <f t="shared" si="16"/>
        <v>0.32192999999999999</v>
      </c>
      <c r="AY33" s="2">
        <f t="shared" si="34"/>
        <v>1.8549300000000002</v>
      </c>
      <c r="AZ33" s="2">
        <f t="shared" si="35"/>
        <v>0.27823950000000003</v>
      </c>
      <c r="BA33" s="2">
        <f t="shared" si="17"/>
        <v>3.066E-2</v>
      </c>
      <c r="BB33" s="2">
        <f t="shared" si="18"/>
        <v>0.91980000000000006</v>
      </c>
      <c r="BC33" s="2">
        <f t="shared" si="36"/>
        <v>3.8466295000000006</v>
      </c>
      <c r="BD33" s="2">
        <v>0</v>
      </c>
      <c r="BE33" s="2">
        <f t="shared" si="19"/>
        <v>15.33</v>
      </c>
      <c r="BF33" s="2">
        <f t="shared" si="20"/>
        <v>0.49822499999999997</v>
      </c>
      <c r="BG33" s="2">
        <f t="shared" si="37"/>
        <v>0.49822499999999997</v>
      </c>
      <c r="BH33" s="2">
        <f t="shared" si="38"/>
        <v>7.4733749999999988E-2</v>
      </c>
      <c r="BI33" s="2">
        <f t="shared" si="21"/>
        <v>3.066E-2</v>
      </c>
      <c r="BJ33" s="2">
        <f t="shared" si="22"/>
        <v>0.91980000000000006</v>
      </c>
      <c r="BK33" s="2">
        <f t="shared" si="39"/>
        <v>16.853418749999999</v>
      </c>
      <c r="BL33" s="2">
        <f t="shared" si="23"/>
        <v>7700</v>
      </c>
      <c r="BM33" s="2">
        <f t="shared" si="24"/>
        <v>7630</v>
      </c>
      <c r="BN33" s="2">
        <f t="shared" si="40"/>
        <v>15330</v>
      </c>
    </row>
    <row r="34" spans="1:66" x14ac:dyDescent="0.25">
      <c r="A34" s="42">
        <v>31</v>
      </c>
      <c r="B34" s="43">
        <v>42730</v>
      </c>
      <c r="C34" s="42" t="s">
        <v>50</v>
      </c>
      <c r="D34" s="42" t="s">
        <v>127</v>
      </c>
      <c r="E34" s="6">
        <f t="shared" si="25"/>
        <v>-25.985678437499658</v>
      </c>
      <c r="F34" s="5" t="str">
        <f t="shared" si="41"/>
        <v>Loss</v>
      </c>
      <c r="G34" s="4">
        <f t="shared" si="42"/>
        <v>-20.999999999999659</v>
      </c>
      <c r="H34" s="46">
        <v>15</v>
      </c>
      <c r="I34" s="42">
        <v>490.65</v>
      </c>
      <c r="N34" s="5">
        <f t="shared" si="43"/>
        <v>15</v>
      </c>
      <c r="O34" s="4">
        <f t="shared" si="45"/>
        <v>490.65</v>
      </c>
      <c r="P34" s="5">
        <f t="shared" si="0"/>
        <v>15</v>
      </c>
      <c r="Q34" s="42">
        <v>489.25</v>
      </c>
      <c r="R34" s="2">
        <f t="shared" si="50"/>
        <v>0</v>
      </c>
      <c r="T34" s="2">
        <f t="shared" si="27"/>
        <v>0</v>
      </c>
      <c r="V34" s="5">
        <f t="shared" si="44"/>
        <v>15</v>
      </c>
      <c r="W34" s="4">
        <f t="shared" si="46"/>
        <v>489.25</v>
      </c>
      <c r="X34" s="14">
        <f t="shared" si="47"/>
        <v>-1.3999999999999773</v>
      </c>
      <c r="Y34" s="5">
        <f t="shared" si="48"/>
        <v>-20.999999999999659</v>
      </c>
      <c r="Z34" s="2">
        <f t="shared" si="1"/>
        <v>0</v>
      </c>
      <c r="AA34" s="4">
        <f t="shared" si="2"/>
        <v>0</v>
      </c>
      <c r="AB34" s="13">
        <f t="shared" si="3"/>
        <v>4.9856784375000007</v>
      </c>
      <c r="AC34" s="10">
        <f>SUM($E$4:E34)</f>
        <v>-2773.8955767187531</v>
      </c>
      <c r="AD34" s="20">
        <f>SUM($AB$4:AB34)</f>
        <v>1061.4455767187499</v>
      </c>
      <c r="AF34" s="28">
        <f t="shared" si="4"/>
        <v>1.4698500000000001</v>
      </c>
      <c r="AG34" s="2">
        <f t="shared" si="5"/>
        <v>1.8346875</v>
      </c>
      <c r="AH34" s="2">
        <f t="shared" si="6"/>
        <v>0.47770124999999997</v>
      </c>
      <c r="AI34" s="2">
        <f t="shared" si="28"/>
        <v>1.9475512500000001</v>
      </c>
      <c r="AJ34" s="2">
        <f t="shared" si="29"/>
        <v>0.29213268749999999</v>
      </c>
      <c r="AK34" s="2">
        <f t="shared" si="7"/>
        <v>2.9397E-2</v>
      </c>
      <c r="AL34" s="2">
        <f t="shared" si="8"/>
        <v>0.88190999999999997</v>
      </c>
      <c r="AM34" s="2">
        <f t="shared" si="30"/>
        <v>4.9856784375000007</v>
      </c>
      <c r="AN34" s="2">
        <f t="shared" si="9"/>
        <v>40</v>
      </c>
      <c r="AO34" s="2">
        <f t="shared" si="10"/>
        <v>3.6693750000000001</v>
      </c>
      <c r="AP34" s="2">
        <f t="shared" si="11"/>
        <v>7.7902049999999994</v>
      </c>
      <c r="AQ34" s="2">
        <f t="shared" si="31"/>
        <v>47.790205</v>
      </c>
      <c r="AR34" s="2">
        <f t="shared" si="32"/>
        <v>7.1685307499999995</v>
      </c>
      <c r="AS34" s="2">
        <f t="shared" si="12"/>
        <v>2.9397E-2</v>
      </c>
      <c r="AT34" s="2">
        <f t="shared" si="13"/>
        <v>0.88190999999999997</v>
      </c>
      <c r="AU34" s="2">
        <f t="shared" si="33"/>
        <v>59.539417750000005</v>
      </c>
      <c r="AV34" s="2">
        <f t="shared" si="14"/>
        <v>1.4698500000000001</v>
      </c>
      <c r="AW34" s="2">
        <f t="shared" si="15"/>
        <v>0.73387500000000006</v>
      </c>
      <c r="AX34" s="2">
        <f t="shared" si="16"/>
        <v>0.30866849999999996</v>
      </c>
      <c r="AY34" s="2">
        <f t="shared" si="34"/>
        <v>1.7785185000000001</v>
      </c>
      <c r="AZ34" s="2">
        <f t="shared" si="35"/>
        <v>0.26677777499999999</v>
      </c>
      <c r="BA34" s="2">
        <f t="shared" si="17"/>
        <v>2.9397E-2</v>
      </c>
      <c r="BB34" s="2">
        <f t="shared" si="18"/>
        <v>0.88190999999999997</v>
      </c>
      <c r="BC34" s="2">
        <f t="shared" si="36"/>
        <v>3.6904782750000003</v>
      </c>
      <c r="BD34" s="2">
        <v>0</v>
      </c>
      <c r="BE34" s="2">
        <f t="shared" si="19"/>
        <v>14.698500000000001</v>
      </c>
      <c r="BF34" s="2">
        <f t="shared" si="20"/>
        <v>0.47770124999999997</v>
      </c>
      <c r="BG34" s="2">
        <f t="shared" si="37"/>
        <v>0.47770124999999997</v>
      </c>
      <c r="BH34" s="2">
        <f t="shared" si="38"/>
        <v>7.1655187499999995E-2</v>
      </c>
      <c r="BI34" s="2">
        <f t="shared" si="21"/>
        <v>2.9397E-2</v>
      </c>
      <c r="BJ34" s="2">
        <f t="shared" si="22"/>
        <v>0.88190999999999997</v>
      </c>
      <c r="BK34" s="2">
        <f t="shared" si="39"/>
        <v>16.159163437500002</v>
      </c>
      <c r="BL34" s="2">
        <f t="shared" si="23"/>
        <v>7359.75</v>
      </c>
      <c r="BM34" s="2">
        <f t="shared" si="24"/>
        <v>7338.75</v>
      </c>
      <c r="BN34" s="2">
        <f t="shared" si="40"/>
        <v>14698.5</v>
      </c>
    </row>
    <row r="35" spans="1:66" x14ac:dyDescent="0.25">
      <c r="A35" s="42">
        <v>32</v>
      </c>
      <c r="B35" s="43">
        <v>42730</v>
      </c>
      <c r="C35" s="42" t="s">
        <v>50</v>
      </c>
      <c r="D35" s="42" t="s">
        <v>126</v>
      </c>
      <c r="E35" s="6">
        <f t="shared" si="25"/>
        <v>-15.79942545833331</v>
      </c>
      <c r="F35" s="5" t="str">
        <f t="shared" si="41"/>
        <v>Loss</v>
      </c>
      <c r="G35" s="4">
        <f t="shared" si="42"/>
        <v>-13.649999999999977</v>
      </c>
      <c r="H35" s="46">
        <v>1</v>
      </c>
      <c r="I35" s="42">
        <v>794</v>
      </c>
      <c r="J35" s="42">
        <v>1</v>
      </c>
      <c r="K35" s="42">
        <v>794</v>
      </c>
      <c r="L35" s="42">
        <v>2</v>
      </c>
      <c r="M35" s="44">
        <v>794</v>
      </c>
      <c r="N35" s="5">
        <f t="shared" si="43"/>
        <v>4</v>
      </c>
      <c r="O35" s="4">
        <f t="shared" si="45"/>
        <v>794</v>
      </c>
      <c r="P35" s="5">
        <f t="shared" si="0"/>
        <v>1</v>
      </c>
      <c r="Q35" s="42">
        <v>790.75</v>
      </c>
      <c r="R35" s="2">
        <f>J35</f>
        <v>1</v>
      </c>
      <c r="S35" s="42">
        <v>790.6</v>
      </c>
      <c r="T35" s="2">
        <f t="shared" si="27"/>
        <v>2</v>
      </c>
      <c r="U35" s="44">
        <v>790.5</v>
      </c>
      <c r="V35" s="5">
        <f t="shared" si="44"/>
        <v>4</v>
      </c>
      <c r="W35" s="4">
        <f t="shared" si="46"/>
        <v>790.61666666666667</v>
      </c>
      <c r="X35" s="14">
        <f t="shared" si="47"/>
        <v>-3.25</v>
      </c>
      <c r="Y35" s="5">
        <f t="shared" si="48"/>
        <v>-3.25</v>
      </c>
      <c r="Z35" s="2">
        <f t="shared" si="1"/>
        <v>-3.3999999999999773</v>
      </c>
      <c r="AA35" s="4">
        <f t="shared" si="2"/>
        <v>-7</v>
      </c>
      <c r="AB35" s="13">
        <f t="shared" si="3"/>
        <v>2.1494254583333339</v>
      </c>
      <c r="AC35" s="10">
        <f>SUM($E$4:E35)</f>
        <v>-2789.6950021770863</v>
      </c>
      <c r="AD35" s="20">
        <f>SUM($AB$4:AB35)</f>
        <v>1063.5950021770832</v>
      </c>
      <c r="AF35" s="28">
        <f t="shared" si="4"/>
        <v>0.63384666666666678</v>
      </c>
      <c r="AG35" s="2">
        <f t="shared" si="5"/>
        <v>0.79061666666666675</v>
      </c>
      <c r="AH35" s="2">
        <f t="shared" si="6"/>
        <v>0.20600016666666665</v>
      </c>
      <c r="AI35" s="2">
        <f t="shared" si="28"/>
        <v>0.83984683333333343</v>
      </c>
      <c r="AJ35" s="2">
        <f t="shared" si="29"/>
        <v>0.12597702500000002</v>
      </c>
      <c r="AK35" s="2">
        <f t="shared" si="7"/>
        <v>1.2676933333333334E-2</v>
      </c>
      <c r="AL35" s="2">
        <f t="shared" si="8"/>
        <v>0.38030800000000003</v>
      </c>
      <c r="AM35" s="2">
        <f t="shared" si="30"/>
        <v>2.1494254583333339</v>
      </c>
      <c r="AN35" s="2">
        <f t="shared" si="9"/>
        <v>120</v>
      </c>
      <c r="AO35" s="2">
        <f t="shared" si="10"/>
        <v>1.5812333333333335</v>
      </c>
      <c r="AP35" s="2">
        <f t="shared" si="11"/>
        <v>3.3593873333333333</v>
      </c>
      <c r="AQ35" s="2">
        <f t="shared" si="31"/>
        <v>123.35938733333333</v>
      </c>
      <c r="AR35" s="2">
        <f t="shared" si="32"/>
        <v>18.5039081</v>
      </c>
      <c r="AS35" s="2">
        <f t="shared" si="12"/>
        <v>1.2676933333333334E-2</v>
      </c>
      <c r="AT35" s="2">
        <f t="shared" si="13"/>
        <v>0.38030800000000003</v>
      </c>
      <c r="AU35" s="2">
        <f t="shared" si="33"/>
        <v>143.83751369999999</v>
      </c>
      <c r="AV35" s="2">
        <f t="shared" si="14"/>
        <v>0.63384666666666678</v>
      </c>
      <c r="AW35" s="2">
        <f t="shared" si="15"/>
        <v>0.31624666666666668</v>
      </c>
      <c r="AX35" s="2">
        <f t="shared" si="16"/>
        <v>0.1331078</v>
      </c>
      <c r="AY35" s="2">
        <f t="shared" si="34"/>
        <v>0.76695446666666678</v>
      </c>
      <c r="AZ35" s="2">
        <f t="shared" si="35"/>
        <v>0.11504317000000001</v>
      </c>
      <c r="BA35" s="2">
        <f t="shared" si="17"/>
        <v>1.2676933333333334E-2</v>
      </c>
      <c r="BB35" s="2">
        <f t="shared" si="18"/>
        <v>0.38030800000000003</v>
      </c>
      <c r="BC35" s="2">
        <f t="shared" si="36"/>
        <v>1.5912292366666672</v>
      </c>
      <c r="BD35" s="2">
        <v>0</v>
      </c>
      <c r="BE35" s="2">
        <f t="shared" si="19"/>
        <v>6.3384666666666671</v>
      </c>
      <c r="BF35" s="2">
        <f t="shared" si="20"/>
        <v>0.20600016666666665</v>
      </c>
      <c r="BG35" s="2">
        <f t="shared" si="37"/>
        <v>0.20600016666666665</v>
      </c>
      <c r="BH35" s="2">
        <f t="shared" si="38"/>
        <v>3.0900024999999998E-2</v>
      </c>
      <c r="BI35" s="2">
        <f t="shared" si="21"/>
        <v>1.2676933333333334E-2</v>
      </c>
      <c r="BJ35" s="2">
        <f t="shared" si="22"/>
        <v>0.38030800000000003</v>
      </c>
      <c r="BK35" s="2">
        <f t="shared" si="39"/>
        <v>6.9683517916666675</v>
      </c>
      <c r="BL35" s="2">
        <f t="shared" si="23"/>
        <v>3176</v>
      </c>
      <c r="BM35" s="2">
        <f t="shared" si="24"/>
        <v>3162.4666666666667</v>
      </c>
      <c r="BN35" s="2">
        <f t="shared" si="40"/>
        <v>6338.4666666666672</v>
      </c>
    </row>
    <row r="36" spans="1:66" x14ac:dyDescent="0.25">
      <c r="A36" s="42">
        <v>33</v>
      </c>
      <c r="B36" s="43">
        <v>42730</v>
      </c>
      <c r="C36" s="42" t="s">
        <v>50</v>
      </c>
      <c r="D36" s="42" t="s">
        <v>126</v>
      </c>
      <c r="E36" s="6">
        <f t="shared" si="25"/>
        <v>-46.609302437500503</v>
      </c>
      <c r="F36" s="5" t="str">
        <f t="shared" si="41"/>
        <v>Loss</v>
      </c>
      <c r="G36" s="4">
        <f t="shared" si="42"/>
        <v>-40.7000000000005</v>
      </c>
      <c r="H36" s="46">
        <v>11</v>
      </c>
      <c r="I36" s="42">
        <v>794</v>
      </c>
      <c r="N36" s="5">
        <f t="shared" si="43"/>
        <v>11</v>
      </c>
      <c r="O36" s="4">
        <f t="shared" si="45"/>
        <v>794</v>
      </c>
      <c r="P36" s="5">
        <f t="shared" si="0"/>
        <v>11</v>
      </c>
      <c r="Q36" s="42">
        <v>790.3</v>
      </c>
      <c r="R36" s="2">
        <f>J36</f>
        <v>0</v>
      </c>
      <c r="T36" s="2">
        <f t="shared" si="27"/>
        <v>0</v>
      </c>
      <c r="V36" s="5">
        <f t="shared" si="44"/>
        <v>11</v>
      </c>
      <c r="W36" s="4">
        <f t="shared" si="46"/>
        <v>790.3</v>
      </c>
      <c r="X36" s="14">
        <f t="shared" si="47"/>
        <v>-3.7000000000000455</v>
      </c>
      <c r="Y36" s="5">
        <f t="shared" si="48"/>
        <v>-40.7000000000005</v>
      </c>
      <c r="Z36" s="2">
        <f t="shared" si="1"/>
        <v>0</v>
      </c>
      <c r="AA36" s="4">
        <f t="shared" si="2"/>
        <v>0</v>
      </c>
      <c r="AB36" s="13">
        <f t="shared" si="3"/>
        <v>5.9093024375000001</v>
      </c>
      <c r="AC36" s="10">
        <f>SUM($E$4:E36)</f>
        <v>-2836.3043046145867</v>
      </c>
      <c r="AD36" s="20">
        <f>SUM($AB$4:AB36)</f>
        <v>1069.5043046145831</v>
      </c>
      <c r="AF36" s="28">
        <f t="shared" si="4"/>
        <v>1.7427300000000001</v>
      </c>
      <c r="AG36" s="2">
        <f t="shared" si="5"/>
        <v>2.1733249999999997</v>
      </c>
      <c r="AH36" s="2">
        <f t="shared" si="6"/>
        <v>0.5663872499999999</v>
      </c>
      <c r="AI36" s="2">
        <f t="shared" si="28"/>
        <v>2.3091172499999999</v>
      </c>
      <c r="AJ36" s="2">
        <f t="shared" si="29"/>
        <v>0.34636758749999996</v>
      </c>
      <c r="AK36" s="2">
        <f t="shared" si="7"/>
        <v>3.4854599999999999E-2</v>
      </c>
      <c r="AL36" s="2">
        <f t="shared" si="8"/>
        <v>1.0456380000000001</v>
      </c>
      <c r="AM36" s="2">
        <f t="shared" si="30"/>
        <v>5.9093024375000001</v>
      </c>
      <c r="AN36" s="2">
        <f t="shared" si="9"/>
        <v>40</v>
      </c>
      <c r="AO36" s="2">
        <f t="shared" si="10"/>
        <v>4.3466499999999995</v>
      </c>
      <c r="AP36" s="2">
        <f t="shared" si="11"/>
        <v>9.2364689999999996</v>
      </c>
      <c r="AQ36" s="2">
        <f t="shared" si="31"/>
        <v>49.236469</v>
      </c>
      <c r="AR36" s="2">
        <f t="shared" si="32"/>
        <v>7.3854703499999994</v>
      </c>
      <c r="AS36" s="2">
        <f t="shared" si="12"/>
        <v>3.4854599999999999E-2</v>
      </c>
      <c r="AT36" s="2">
        <f t="shared" si="13"/>
        <v>1.0456380000000001</v>
      </c>
      <c r="AU36" s="2">
        <f t="shared" si="33"/>
        <v>62.049081949999994</v>
      </c>
      <c r="AV36" s="2">
        <f t="shared" si="14"/>
        <v>1.7427300000000001</v>
      </c>
      <c r="AW36" s="2">
        <f t="shared" si="15"/>
        <v>0.86933000000000005</v>
      </c>
      <c r="AX36" s="2">
        <f t="shared" si="16"/>
        <v>0.36597329999999995</v>
      </c>
      <c r="AY36" s="2">
        <f t="shared" si="34"/>
        <v>2.1087033000000002</v>
      </c>
      <c r="AZ36" s="2">
        <f t="shared" si="35"/>
        <v>0.31630549499999999</v>
      </c>
      <c r="BA36" s="2">
        <f t="shared" si="17"/>
        <v>3.4854599999999999E-2</v>
      </c>
      <c r="BB36" s="2">
        <f t="shared" si="18"/>
        <v>1.0456380000000001</v>
      </c>
      <c r="BC36" s="2">
        <f t="shared" si="36"/>
        <v>4.3748313950000002</v>
      </c>
      <c r="BD36" s="2">
        <v>0</v>
      </c>
      <c r="BE36" s="2">
        <f t="shared" si="19"/>
        <v>17.427299999999999</v>
      </c>
      <c r="BF36" s="2">
        <f t="shared" si="20"/>
        <v>0.5663872499999999</v>
      </c>
      <c r="BG36" s="2">
        <f t="shared" si="37"/>
        <v>0.5663872499999999</v>
      </c>
      <c r="BH36" s="2">
        <f t="shared" si="38"/>
        <v>8.4958087499999987E-2</v>
      </c>
      <c r="BI36" s="2">
        <f t="shared" si="21"/>
        <v>3.4854599999999999E-2</v>
      </c>
      <c r="BJ36" s="2">
        <f t="shared" si="22"/>
        <v>1.0456380000000001</v>
      </c>
      <c r="BK36" s="2">
        <f t="shared" si="39"/>
        <v>19.159137937499995</v>
      </c>
      <c r="BL36" s="2">
        <f t="shared" si="23"/>
        <v>8734</v>
      </c>
      <c r="BM36" s="2">
        <f t="shared" si="24"/>
        <v>8693.2999999999993</v>
      </c>
      <c r="BN36" s="2">
        <f t="shared" si="40"/>
        <v>17427.3</v>
      </c>
    </row>
    <row r="37" spans="1:66" x14ac:dyDescent="0.25">
      <c r="A37" s="42">
        <v>34</v>
      </c>
      <c r="B37" s="43">
        <v>42731</v>
      </c>
      <c r="C37" s="42" t="s">
        <v>122</v>
      </c>
      <c r="D37" s="42" t="s">
        <v>125</v>
      </c>
      <c r="E37" s="6">
        <f t="shared" si="25"/>
        <v>-347.52841000000001</v>
      </c>
      <c r="F37" s="5" t="str">
        <f t="shared" si="41"/>
        <v>Loss</v>
      </c>
      <c r="G37" s="4">
        <f t="shared" si="42"/>
        <v>-300</v>
      </c>
      <c r="H37" s="46">
        <v>600</v>
      </c>
      <c r="I37" s="42">
        <v>1.7</v>
      </c>
      <c r="N37" s="5">
        <f t="shared" si="43"/>
        <v>600</v>
      </c>
      <c r="O37" s="4">
        <f t="shared" si="45"/>
        <v>1.7</v>
      </c>
      <c r="P37" s="5">
        <f t="shared" si="0"/>
        <v>600</v>
      </c>
      <c r="Q37" s="42">
        <v>1.2</v>
      </c>
      <c r="R37" s="2">
        <f>J37</f>
        <v>0</v>
      </c>
      <c r="T37" s="2">
        <f t="shared" si="27"/>
        <v>0</v>
      </c>
      <c r="V37" s="5">
        <f t="shared" si="44"/>
        <v>600</v>
      </c>
      <c r="W37" s="4">
        <f t="shared" si="46"/>
        <v>1.2</v>
      </c>
      <c r="X37" s="14">
        <f t="shared" si="47"/>
        <v>-0.5</v>
      </c>
      <c r="Y37" s="5">
        <f t="shared" si="48"/>
        <v>-300</v>
      </c>
      <c r="Z37" s="2">
        <f t="shared" si="1"/>
        <v>0</v>
      </c>
      <c r="AA37" s="4">
        <f t="shared" si="2"/>
        <v>0</v>
      </c>
      <c r="AB37" s="13">
        <f t="shared" si="3"/>
        <v>47.528409999999994</v>
      </c>
      <c r="AC37" s="10">
        <f>SUM($E$4:E37)</f>
        <v>-3183.8327146145866</v>
      </c>
      <c r="AD37" s="20">
        <f>SUM($AB$4:AB37)</f>
        <v>1117.032714614583</v>
      </c>
      <c r="AF37" s="28">
        <f t="shared" si="4"/>
        <v>0.17400000000000002</v>
      </c>
      <c r="AG37" s="2">
        <f t="shared" si="5"/>
        <v>0.18</v>
      </c>
      <c r="AH37" s="2">
        <f t="shared" si="6"/>
        <v>5.6549999999999996E-2</v>
      </c>
      <c r="AI37" s="2">
        <f t="shared" si="28"/>
        <v>0.23055</v>
      </c>
      <c r="AJ37" s="2">
        <f t="shared" si="29"/>
        <v>3.4582500000000002E-2</v>
      </c>
      <c r="AK37" s="2">
        <f t="shared" si="7"/>
        <v>3.48E-3</v>
      </c>
      <c r="AL37" s="2">
        <f t="shared" si="8"/>
        <v>0.10440000000000001</v>
      </c>
      <c r="AM37" s="2">
        <f t="shared" si="30"/>
        <v>0.55301250000000002</v>
      </c>
      <c r="AN37" s="2">
        <f t="shared" si="9"/>
        <v>40</v>
      </c>
      <c r="AO37" s="2">
        <f t="shared" si="10"/>
        <v>0.36</v>
      </c>
      <c r="AP37" s="2">
        <f t="shared" si="11"/>
        <v>0.92220000000000002</v>
      </c>
      <c r="AQ37" s="2">
        <f t="shared" si="31"/>
        <v>40.922199999999997</v>
      </c>
      <c r="AR37" s="2">
        <f t="shared" si="32"/>
        <v>6.138329999999999</v>
      </c>
      <c r="AS37" s="2">
        <f t="shared" si="12"/>
        <v>3.48E-3</v>
      </c>
      <c r="AT37" s="2">
        <f t="shared" si="13"/>
        <v>0.10440000000000001</v>
      </c>
      <c r="AU37" s="2">
        <f t="shared" si="33"/>
        <v>47.528409999999994</v>
      </c>
      <c r="AV37" s="2">
        <f t="shared" si="14"/>
        <v>0.17400000000000002</v>
      </c>
      <c r="AW37" s="2">
        <f t="shared" si="15"/>
        <v>7.2000000000000008E-2</v>
      </c>
      <c r="AX37" s="2">
        <f t="shared" si="16"/>
        <v>3.6539999999999996E-2</v>
      </c>
      <c r="AY37" s="2">
        <f t="shared" si="34"/>
        <v>0.21054</v>
      </c>
      <c r="AZ37" s="2">
        <f t="shared" si="35"/>
        <v>3.1580999999999998E-2</v>
      </c>
      <c r="BA37" s="2">
        <f t="shared" si="17"/>
        <v>3.48E-3</v>
      </c>
      <c r="BB37" s="2">
        <f t="shared" si="18"/>
        <v>0.10440000000000001</v>
      </c>
      <c r="BC37" s="2">
        <f t="shared" si="36"/>
        <v>0.42200099999999996</v>
      </c>
      <c r="BD37" s="2">
        <v>0</v>
      </c>
      <c r="BE37" s="2">
        <f t="shared" si="19"/>
        <v>1.74</v>
      </c>
      <c r="BF37" s="2">
        <f t="shared" si="20"/>
        <v>5.6549999999999996E-2</v>
      </c>
      <c r="BG37" s="2">
        <f t="shared" si="37"/>
        <v>5.6549999999999996E-2</v>
      </c>
      <c r="BH37" s="2">
        <f t="shared" si="38"/>
        <v>8.4824999999999987E-3</v>
      </c>
      <c r="BI37" s="2">
        <f t="shared" si="21"/>
        <v>3.48E-3</v>
      </c>
      <c r="BJ37" s="2">
        <f t="shared" si="22"/>
        <v>0.10440000000000001</v>
      </c>
      <c r="BK37" s="2">
        <f t="shared" si="39"/>
        <v>1.9129125</v>
      </c>
      <c r="BL37" s="2">
        <f t="shared" si="23"/>
        <v>1020</v>
      </c>
      <c r="BM37" s="2">
        <f t="shared" si="24"/>
        <v>720</v>
      </c>
      <c r="BN37" s="2">
        <f t="shared" si="40"/>
        <v>1740</v>
      </c>
    </row>
    <row r="38" spans="1:66" x14ac:dyDescent="0.25">
      <c r="A38" s="42">
        <v>35</v>
      </c>
      <c r="B38" s="43">
        <v>42731</v>
      </c>
      <c r="C38" s="42" t="s">
        <v>122</v>
      </c>
      <c r="D38" s="42" t="s">
        <v>124</v>
      </c>
      <c r="E38" s="6">
        <f t="shared" si="25"/>
        <v>126.21478749999997</v>
      </c>
      <c r="F38" s="5" t="str">
        <f t="shared" si="41"/>
        <v>Win</v>
      </c>
      <c r="G38" s="4">
        <f t="shared" si="42"/>
        <v>174.99999999999997</v>
      </c>
      <c r="H38" s="46">
        <v>3500</v>
      </c>
      <c r="I38" s="42">
        <v>0.4</v>
      </c>
      <c r="N38" s="5">
        <f t="shared" si="43"/>
        <v>3500</v>
      </c>
      <c r="O38" s="4">
        <f t="shared" si="45"/>
        <v>0.4</v>
      </c>
      <c r="P38" s="5">
        <f t="shared" si="0"/>
        <v>3500</v>
      </c>
      <c r="Q38" s="42">
        <v>0.45</v>
      </c>
      <c r="R38" s="2">
        <f>J38</f>
        <v>0</v>
      </c>
      <c r="T38" s="2">
        <f t="shared" si="27"/>
        <v>0</v>
      </c>
      <c r="V38" s="5">
        <f t="shared" si="44"/>
        <v>3500</v>
      </c>
      <c r="W38" s="4">
        <f t="shared" si="46"/>
        <v>0.45</v>
      </c>
      <c r="X38" s="14">
        <f t="shared" si="47"/>
        <v>4.9999999999999989E-2</v>
      </c>
      <c r="Y38" s="5">
        <f t="shared" si="48"/>
        <v>174.99999999999997</v>
      </c>
      <c r="Z38" s="2">
        <f t="shared" si="1"/>
        <v>0</v>
      </c>
      <c r="AA38" s="4">
        <f t="shared" si="2"/>
        <v>0</v>
      </c>
      <c r="AB38" s="13">
        <f t="shared" si="3"/>
        <v>48.785212499999993</v>
      </c>
      <c r="AC38" s="10">
        <f>SUM($E$4:E38)</f>
        <v>-3057.6179271145866</v>
      </c>
      <c r="AD38" s="20">
        <f>SUM($AB$4:AB38)</f>
        <v>1165.817927114583</v>
      </c>
      <c r="AF38" s="28">
        <f t="shared" si="4"/>
        <v>0.29749999999999999</v>
      </c>
      <c r="AG38" s="2">
        <f t="shared" si="5"/>
        <v>0.39374999999999999</v>
      </c>
      <c r="AH38" s="2">
        <f t="shared" si="6"/>
        <v>9.6687499999999996E-2</v>
      </c>
      <c r="AI38" s="2">
        <f t="shared" si="28"/>
        <v>0.39418749999999997</v>
      </c>
      <c r="AJ38" s="2">
        <f t="shared" si="29"/>
        <v>5.912812499999999E-2</v>
      </c>
      <c r="AK38" s="2">
        <f t="shared" si="7"/>
        <v>5.9500000000000004E-3</v>
      </c>
      <c r="AL38" s="2">
        <f t="shared" si="8"/>
        <v>0.17849999999999999</v>
      </c>
      <c r="AM38" s="2">
        <f t="shared" si="30"/>
        <v>1.0315156249999999</v>
      </c>
      <c r="AN38" s="2">
        <f t="shared" si="9"/>
        <v>40</v>
      </c>
      <c r="AO38" s="2">
        <f t="shared" si="10"/>
        <v>0.78749999999999998</v>
      </c>
      <c r="AP38" s="2">
        <f t="shared" si="11"/>
        <v>1.5767499999999999</v>
      </c>
      <c r="AQ38" s="2">
        <f t="shared" si="31"/>
        <v>41.576749999999997</v>
      </c>
      <c r="AR38" s="2">
        <f t="shared" si="32"/>
        <v>6.236512499999999</v>
      </c>
      <c r="AS38" s="2">
        <f t="shared" si="12"/>
        <v>5.9500000000000004E-3</v>
      </c>
      <c r="AT38" s="2">
        <f t="shared" si="13"/>
        <v>0.17849999999999999</v>
      </c>
      <c r="AU38" s="2">
        <f t="shared" si="33"/>
        <v>48.785212499999993</v>
      </c>
      <c r="AV38" s="2">
        <f t="shared" si="14"/>
        <v>0.29749999999999999</v>
      </c>
      <c r="AW38" s="2">
        <f t="shared" si="15"/>
        <v>0.15750000000000003</v>
      </c>
      <c r="AX38" s="2">
        <f t="shared" si="16"/>
        <v>6.2474999999999996E-2</v>
      </c>
      <c r="AY38" s="2">
        <f t="shared" si="34"/>
        <v>0.35997499999999999</v>
      </c>
      <c r="AZ38" s="2">
        <f t="shared" si="35"/>
        <v>5.3996249999999996E-2</v>
      </c>
      <c r="BA38" s="2">
        <f t="shared" si="17"/>
        <v>5.9500000000000004E-3</v>
      </c>
      <c r="BB38" s="2">
        <f t="shared" si="18"/>
        <v>0.17849999999999999</v>
      </c>
      <c r="BC38" s="2">
        <f t="shared" si="36"/>
        <v>0.75592124999999999</v>
      </c>
      <c r="BD38" s="2">
        <v>0</v>
      </c>
      <c r="BE38" s="2">
        <f t="shared" si="19"/>
        <v>2.9750000000000001</v>
      </c>
      <c r="BF38" s="2">
        <f t="shared" si="20"/>
        <v>9.6687499999999996E-2</v>
      </c>
      <c r="BG38" s="2">
        <f t="shared" si="37"/>
        <v>9.6687499999999996E-2</v>
      </c>
      <c r="BH38" s="2">
        <f t="shared" si="38"/>
        <v>1.4503124999999999E-2</v>
      </c>
      <c r="BI38" s="2">
        <f t="shared" si="21"/>
        <v>5.9500000000000004E-3</v>
      </c>
      <c r="BJ38" s="2">
        <f t="shared" si="22"/>
        <v>0.17849999999999999</v>
      </c>
      <c r="BK38" s="2">
        <f t="shared" si="39"/>
        <v>3.270640625</v>
      </c>
      <c r="BL38" s="2">
        <f t="shared" si="23"/>
        <v>1400</v>
      </c>
      <c r="BM38" s="2">
        <f t="shared" si="24"/>
        <v>1575</v>
      </c>
      <c r="BN38" s="2">
        <f t="shared" si="40"/>
        <v>2975</v>
      </c>
    </row>
    <row r="39" spans="1:66" x14ac:dyDescent="0.25">
      <c r="A39" s="42">
        <v>36</v>
      </c>
      <c r="B39" s="43">
        <v>42731</v>
      </c>
      <c r="C39" s="42" t="s">
        <v>50</v>
      </c>
      <c r="D39" s="42" t="s">
        <v>125</v>
      </c>
      <c r="E39" s="6">
        <f t="shared" si="25"/>
        <v>-237.85688398437526</v>
      </c>
      <c r="F39" s="5" t="str">
        <f t="shared" si="41"/>
        <v>Loss</v>
      </c>
      <c r="G39" s="4">
        <f t="shared" si="42"/>
        <v>-224.70000000000027</v>
      </c>
      <c r="H39" s="46">
        <v>6</v>
      </c>
      <c r="I39" s="42">
        <v>781.5</v>
      </c>
      <c r="J39" s="42">
        <v>19</v>
      </c>
      <c r="K39" s="42">
        <v>781.5</v>
      </c>
      <c r="N39" s="5">
        <f t="shared" si="43"/>
        <v>25</v>
      </c>
      <c r="O39" s="4">
        <f t="shared" si="45"/>
        <v>781.5</v>
      </c>
      <c r="P39" s="5">
        <f t="shared" si="0"/>
        <v>6</v>
      </c>
      <c r="Q39" s="42">
        <v>772.55</v>
      </c>
      <c r="R39" s="2">
        <f>J39</f>
        <v>19</v>
      </c>
      <c r="S39" s="42">
        <v>772.5</v>
      </c>
      <c r="T39" s="2">
        <f t="shared" si="27"/>
        <v>0</v>
      </c>
      <c r="V39" s="5">
        <f t="shared" si="44"/>
        <v>25</v>
      </c>
      <c r="W39" s="4">
        <f t="shared" si="46"/>
        <v>772.52499999999998</v>
      </c>
      <c r="X39" s="14">
        <f t="shared" si="47"/>
        <v>-8.9500000000000455</v>
      </c>
      <c r="Y39" s="5">
        <f t="shared" si="48"/>
        <v>-53.700000000000273</v>
      </c>
      <c r="Z39" s="2">
        <f t="shared" si="1"/>
        <v>-171</v>
      </c>
      <c r="AA39" s="4">
        <f t="shared" si="2"/>
        <v>0</v>
      </c>
      <c r="AB39" s="13">
        <f t="shared" si="3"/>
        <v>13.156883984375</v>
      </c>
      <c r="AC39" s="10">
        <f>SUM($E$4:E39)</f>
        <v>-3295.4748110989617</v>
      </c>
      <c r="AD39" s="20">
        <f>SUM($AB$4:AB39)</f>
        <v>1178.9748110989581</v>
      </c>
      <c r="AF39" s="28">
        <f t="shared" si="4"/>
        <v>3.8850625000000001</v>
      </c>
      <c r="AG39" s="2">
        <f t="shared" si="5"/>
        <v>4.8282812499999999</v>
      </c>
      <c r="AH39" s="2">
        <f t="shared" si="6"/>
        <v>1.2626453124999999</v>
      </c>
      <c r="AI39" s="2">
        <f t="shared" si="28"/>
        <v>5.1477078125000002</v>
      </c>
      <c r="AJ39" s="2">
        <f t="shared" si="29"/>
        <v>0.77215617187499996</v>
      </c>
      <c r="AK39" s="2">
        <f t="shared" si="7"/>
        <v>7.7701249999999999E-2</v>
      </c>
      <c r="AL39" s="2">
        <f t="shared" si="8"/>
        <v>2.3310374999999999</v>
      </c>
      <c r="AM39" s="2">
        <f t="shared" si="30"/>
        <v>13.156883984375</v>
      </c>
      <c r="AN39" s="2">
        <f t="shared" si="9"/>
        <v>80</v>
      </c>
      <c r="AO39" s="2">
        <f t="shared" si="10"/>
        <v>9.6565624999999997</v>
      </c>
      <c r="AP39" s="2">
        <f t="shared" si="11"/>
        <v>20.590831250000001</v>
      </c>
      <c r="AQ39" s="2">
        <f t="shared" si="31"/>
        <v>100.59083125000001</v>
      </c>
      <c r="AR39" s="2">
        <f t="shared" si="32"/>
        <v>15.088624687500001</v>
      </c>
      <c r="AS39" s="2">
        <f t="shared" si="12"/>
        <v>7.7701249999999999E-2</v>
      </c>
      <c r="AT39" s="2">
        <f t="shared" si="13"/>
        <v>2.3310374999999999</v>
      </c>
      <c r="AU39" s="2">
        <f t="shared" si="33"/>
        <v>127.74475718750001</v>
      </c>
      <c r="AV39" s="2">
        <f t="shared" si="14"/>
        <v>3.8850625000000001</v>
      </c>
      <c r="AW39" s="2">
        <f t="shared" si="15"/>
        <v>1.9313125</v>
      </c>
      <c r="AX39" s="2">
        <f t="shared" si="16"/>
        <v>0.81586312499999991</v>
      </c>
      <c r="AY39" s="2">
        <f t="shared" si="34"/>
        <v>4.700925625</v>
      </c>
      <c r="AZ39" s="2">
        <f t="shared" si="35"/>
        <v>0.70513884375000002</v>
      </c>
      <c r="BA39" s="2">
        <f t="shared" si="17"/>
        <v>7.7701249999999999E-2</v>
      </c>
      <c r="BB39" s="2">
        <f t="shared" si="18"/>
        <v>2.3310374999999999</v>
      </c>
      <c r="BC39" s="2">
        <f t="shared" si="36"/>
        <v>9.7461157187499996</v>
      </c>
      <c r="BD39" s="2">
        <v>0</v>
      </c>
      <c r="BE39" s="2">
        <f t="shared" si="19"/>
        <v>38.850625000000001</v>
      </c>
      <c r="BF39" s="2">
        <f t="shared" si="20"/>
        <v>1.2626453124999999</v>
      </c>
      <c r="BG39" s="2">
        <f t="shared" si="37"/>
        <v>1.2626453124999999</v>
      </c>
      <c r="BH39" s="2">
        <f t="shared" si="38"/>
        <v>0.18939679687499997</v>
      </c>
      <c r="BI39" s="2">
        <f t="shared" si="21"/>
        <v>7.7701249999999999E-2</v>
      </c>
      <c r="BJ39" s="2">
        <f t="shared" si="22"/>
        <v>2.3310374999999999</v>
      </c>
      <c r="BK39" s="2">
        <f t="shared" si="39"/>
        <v>42.711405859374999</v>
      </c>
      <c r="BL39" s="2">
        <f t="shared" si="23"/>
        <v>19537.5</v>
      </c>
      <c r="BM39" s="2">
        <f t="shared" si="24"/>
        <v>19313.125</v>
      </c>
      <c r="BN39" s="2">
        <f t="shared" si="40"/>
        <v>38850.625</v>
      </c>
    </row>
    <row r="40" spans="1:66" x14ac:dyDescent="0.25">
      <c r="A40" s="42">
        <v>37</v>
      </c>
      <c r="B40" s="43">
        <v>42731</v>
      </c>
      <c r="C40" s="42" t="s">
        <v>50</v>
      </c>
      <c r="D40" s="42" t="s">
        <v>128</v>
      </c>
      <c r="E40" s="6">
        <f t="shared" si="25"/>
        <v>-139.8373162499993</v>
      </c>
      <c r="F40" s="5" t="str">
        <f t="shared" si="41"/>
        <v>Loss</v>
      </c>
      <c r="G40" s="4">
        <f t="shared" si="42"/>
        <v>-131.99999999999932</v>
      </c>
      <c r="H40" s="46">
        <v>15</v>
      </c>
      <c r="I40" s="42">
        <v>387.9</v>
      </c>
      <c r="J40" s="42">
        <v>15</v>
      </c>
      <c r="K40" s="42">
        <v>387.9</v>
      </c>
      <c r="N40" s="5">
        <f t="shared" si="43"/>
        <v>30</v>
      </c>
      <c r="O40" s="4">
        <f t="shared" si="45"/>
        <v>387.9</v>
      </c>
      <c r="P40" s="5">
        <f t="shared" si="0"/>
        <v>15</v>
      </c>
      <c r="Q40" s="42">
        <v>385</v>
      </c>
      <c r="R40" s="2">
        <f t="shared" ref="R40:R103" si="51">J40</f>
        <v>15</v>
      </c>
      <c r="S40" s="42">
        <v>382</v>
      </c>
      <c r="T40" s="2">
        <f t="shared" si="27"/>
        <v>0</v>
      </c>
      <c r="V40" s="5">
        <f t="shared" si="44"/>
        <v>30</v>
      </c>
      <c r="W40" s="4">
        <f t="shared" si="46"/>
        <v>383.5</v>
      </c>
      <c r="X40" s="14">
        <f t="shared" si="47"/>
        <v>-2.8999999999999773</v>
      </c>
      <c r="Y40" s="5">
        <f t="shared" si="48"/>
        <v>-43.499999999999659</v>
      </c>
      <c r="Z40" s="2">
        <f t="shared" si="1"/>
        <v>-88.499999999999659</v>
      </c>
      <c r="AA40" s="4">
        <f t="shared" si="2"/>
        <v>0</v>
      </c>
      <c r="AB40" s="13">
        <f t="shared" si="3"/>
        <v>7.8373162499999998</v>
      </c>
      <c r="AC40" s="10">
        <f>SUM($E$4:E40)</f>
        <v>-3435.312127348961</v>
      </c>
      <c r="AD40" s="20">
        <f>SUM($AB$4:AB40)</f>
        <v>1186.812127348958</v>
      </c>
      <c r="AF40" s="28">
        <f t="shared" si="4"/>
        <v>2.3142</v>
      </c>
      <c r="AG40" s="2">
        <f t="shared" si="5"/>
        <v>2.8762499999999998</v>
      </c>
      <c r="AH40" s="2">
        <f t="shared" si="6"/>
        <v>0.75211499999999998</v>
      </c>
      <c r="AI40" s="2">
        <f t="shared" si="28"/>
        <v>3.0663149999999999</v>
      </c>
      <c r="AJ40" s="2">
        <f t="shared" si="29"/>
        <v>0.45994724999999997</v>
      </c>
      <c r="AK40" s="2">
        <f t="shared" si="7"/>
        <v>4.6284000000000006E-2</v>
      </c>
      <c r="AL40" s="2">
        <f t="shared" si="8"/>
        <v>1.38852</v>
      </c>
      <c r="AM40" s="2">
        <f t="shared" si="30"/>
        <v>7.8373162499999998</v>
      </c>
      <c r="AN40" s="2">
        <f t="shared" si="9"/>
        <v>80</v>
      </c>
      <c r="AO40" s="2">
        <f t="shared" si="10"/>
        <v>5.7524999999999995</v>
      </c>
      <c r="AP40" s="2">
        <f t="shared" si="11"/>
        <v>12.26526</v>
      </c>
      <c r="AQ40" s="2">
        <f t="shared" si="31"/>
        <v>92.265259999999998</v>
      </c>
      <c r="AR40" s="2">
        <f t="shared" si="32"/>
        <v>13.839789</v>
      </c>
      <c r="AS40" s="2">
        <f t="shared" si="12"/>
        <v>4.6284000000000006E-2</v>
      </c>
      <c r="AT40" s="2">
        <f t="shared" si="13"/>
        <v>1.38852</v>
      </c>
      <c r="AU40" s="2">
        <f t="shared" si="33"/>
        <v>113.29235299999999</v>
      </c>
      <c r="AV40" s="2">
        <f t="shared" si="14"/>
        <v>2.3142</v>
      </c>
      <c r="AW40" s="2">
        <f t="shared" si="15"/>
        <v>1.1505000000000001</v>
      </c>
      <c r="AX40" s="2">
        <f t="shared" si="16"/>
        <v>0.48598199999999997</v>
      </c>
      <c r="AY40" s="2">
        <f t="shared" si="34"/>
        <v>2.8001819999999999</v>
      </c>
      <c r="AZ40" s="2">
        <f t="shared" si="35"/>
        <v>0.42002729999999999</v>
      </c>
      <c r="BA40" s="2">
        <f t="shared" si="17"/>
        <v>4.6284000000000006E-2</v>
      </c>
      <c r="BB40" s="2">
        <f t="shared" si="18"/>
        <v>1.38852</v>
      </c>
      <c r="BC40" s="2">
        <f t="shared" si="36"/>
        <v>5.8055132999999994</v>
      </c>
      <c r="BD40" s="2">
        <v>0</v>
      </c>
      <c r="BE40" s="2">
        <f t="shared" si="19"/>
        <v>23.141999999999999</v>
      </c>
      <c r="BF40" s="2">
        <f t="shared" si="20"/>
        <v>0.75211499999999998</v>
      </c>
      <c r="BG40" s="2">
        <f t="shared" si="37"/>
        <v>0.75211499999999998</v>
      </c>
      <c r="BH40" s="2">
        <f t="shared" si="38"/>
        <v>0.11281724999999999</v>
      </c>
      <c r="BI40" s="2">
        <f t="shared" si="21"/>
        <v>4.6284000000000006E-2</v>
      </c>
      <c r="BJ40" s="2">
        <f t="shared" si="22"/>
        <v>1.38852</v>
      </c>
      <c r="BK40" s="2">
        <f t="shared" si="39"/>
        <v>25.441736249999998</v>
      </c>
      <c r="BL40" s="2">
        <f t="shared" si="23"/>
        <v>11637</v>
      </c>
      <c r="BM40" s="2">
        <f t="shared" si="24"/>
        <v>11505</v>
      </c>
      <c r="BN40" s="2">
        <f t="shared" si="40"/>
        <v>23142</v>
      </c>
    </row>
    <row r="41" spans="1:66" x14ac:dyDescent="0.25">
      <c r="A41" s="42">
        <v>38</v>
      </c>
      <c r="B41" s="43">
        <v>42731</v>
      </c>
      <c r="C41" s="42" t="s">
        <v>50</v>
      </c>
      <c r="D41" s="42" t="s">
        <v>129</v>
      </c>
      <c r="E41" s="6">
        <f t="shared" si="25"/>
        <v>-148.0153640624992</v>
      </c>
      <c r="F41" s="5" t="str">
        <f t="shared" si="41"/>
        <v>Loss</v>
      </c>
      <c r="G41" s="4">
        <f t="shared" si="42"/>
        <v>-128.9999999999992</v>
      </c>
      <c r="H41" s="46">
        <v>80</v>
      </c>
      <c r="I41" s="42">
        <v>187.5</v>
      </c>
      <c r="J41" s="42">
        <v>70</v>
      </c>
      <c r="K41" s="42">
        <v>187.2</v>
      </c>
      <c r="N41" s="5">
        <f t="shared" si="43"/>
        <v>150</v>
      </c>
      <c r="O41" s="4">
        <f t="shared" si="45"/>
        <v>187.35</v>
      </c>
      <c r="P41" s="5">
        <f t="shared" si="0"/>
        <v>80</v>
      </c>
      <c r="Q41" s="42">
        <v>186.5</v>
      </c>
      <c r="R41" s="2">
        <f t="shared" si="51"/>
        <v>70</v>
      </c>
      <c r="S41" s="42">
        <v>186.5</v>
      </c>
      <c r="T41" s="2">
        <f t="shared" si="27"/>
        <v>0</v>
      </c>
      <c r="V41" s="5">
        <f t="shared" si="44"/>
        <v>150</v>
      </c>
      <c r="W41" s="4">
        <f t="shared" si="46"/>
        <v>186.5</v>
      </c>
      <c r="X41" s="14">
        <f t="shared" si="47"/>
        <v>-0.69999999999998863</v>
      </c>
      <c r="Y41" s="5">
        <f t="shared" si="48"/>
        <v>-80</v>
      </c>
      <c r="Z41" s="2">
        <f t="shared" si="1"/>
        <v>-48.999999999999204</v>
      </c>
      <c r="AA41" s="4">
        <f t="shared" si="2"/>
        <v>0</v>
      </c>
      <c r="AB41" s="13">
        <f t="shared" si="3"/>
        <v>19.015364062499998</v>
      </c>
      <c r="AC41" s="10">
        <f>SUM($E$4:E41)</f>
        <v>-3583.32749141146</v>
      </c>
      <c r="AD41" s="20">
        <f>SUM($AB$4:AB41)</f>
        <v>1205.8274914114581</v>
      </c>
      <c r="AF41" s="28">
        <f t="shared" si="4"/>
        <v>5.6077500000000002</v>
      </c>
      <c r="AG41" s="2">
        <f t="shared" si="5"/>
        <v>6.9937499999999995</v>
      </c>
      <c r="AH41" s="2">
        <f t="shared" si="6"/>
        <v>1.8225187499999997</v>
      </c>
      <c r="AI41" s="2">
        <f t="shared" si="28"/>
        <v>7.4302687499999998</v>
      </c>
      <c r="AJ41" s="2">
        <f t="shared" si="29"/>
        <v>1.1145403125</v>
      </c>
      <c r="AK41" s="2">
        <f t="shared" si="7"/>
        <v>0.112155</v>
      </c>
      <c r="AL41" s="2">
        <f t="shared" si="8"/>
        <v>3.3646500000000001</v>
      </c>
      <c r="AM41" s="2">
        <f t="shared" si="30"/>
        <v>19.015364062499998</v>
      </c>
      <c r="AN41" s="2">
        <f t="shared" si="9"/>
        <v>80</v>
      </c>
      <c r="AO41" s="2">
        <f t="shared" si="10"/>
        <v>13.987499999999999</v>
      </c>
      <c r="AP41" s="2">
        <f t="shared" si="11"/>
        <v>29.721074999999999</v>
      </c>
      <c r="AQ41" s="2">
        <f t="shared" si="31"/>
        <v>109.721075</v>
      </c>
      <c r="AR41" s="2">
        <f t="shared" si="32"/>
        <v>16.45816125</v>
      </c>
      <c r="AS41" s="2">
        <f t="shared" si="12"/>
        <v>0.112155</v>
      </c>
      <c r="AT41" s="2">
        <f t="shared" si="13"/>
        <v>3.3646500000000001</v>
      </c>
      <c r="AU41" s="2">
        <f t="shared" si="33"/>
        <v>143.64354125</v>
      </c>
      <c r="AV41" s="2">
        <f t="shared" si="14"/>
        <v>5.6077500000000002</v>
      </c>
      <c r="AW41" s="2">
        <f t="shared" si="15"/>
        <v>2.7975000000000003</v>
      </c>
      <c r="AX41" s="2">
        <f t="shared" si="16"/>
        <v>1.1776274999999998</v>
      </c>
      <c r="AY41" s="2">
        <f t="shared" si="34"/>
        <v>6.7853775000000001</v>
      </c>
      <c r="AZ41" s="2">
        <f t="shared" si="35"/>
        <v>1.017806625</v>
      </c>
      <c r="BA41" s="2">
        <f t="shared" si="17"/>
        <v>0.112155</v>
      </c>
      <c r="BB41" s="2">
        <f t="shared" si="18"/>
        <v>3.3646500000000001</v>
      </c>
      <c r="BC41" s="2">
        <f t="shared" si="36"/>
        <v>14.077489125</v>
      </c>
      <c r="BD41" s="2">
        <v>0</v>
      </c>
      <c r="BE41" s="2">
        <f t="shared" si="19"/>
        <v>56.077500000000001</v>
      </c>
      <c r="BF41" s="2">
        <f t="shared" si="20"/>
        <v>1.8225187499999997</v>
      </c>
      <c r="BG41" s="2">
        <f t="shared" si="37"/>
        <v>1.8225187499999997</v>
      </c>
      <c r="BH41" s="2">
        <f t="shared" si="38"/>
        <v>0.27337781249999993</v>
      </c>
      <c r="BI41" s="2">
        <f t="shared" si="21"/>
        <v>0.112155</v>
      </c>
      <c r="BJ41" s="2">
        <f t="shared" si="22"/>
        <v>3.3646500000000001</v>
      </c>
      <c r="BK41" s="2">
        <f t="shared" si="39"/>
        <v>61.650201562500001</v>
      </c>
      <c r="BL41" s="2">
        <f t="shared" si="23"/>
        <v>28102.5</v>
      </c>
      <c r="BM41" s="2">
        <f t="shared" si="24"/>
        <v>27975</v>
      </c>
      <c r="BN41" s="2">
        <f t="shared" si="40"/>
        <v>56077.5</v>
      </c>
    </row>
    <row r="42" spans="1:66" x14ac:dyDescent="0.25">
      <c r="A42" s="42">
        <v>39</v>
      </c>
      <c r="B42" s="43">
        <v>42732</v>
      </c>
      <c r="C42" s="42" t="s">
        <v>50</v>
      </c>
      <c r="D42" s="42" t="s">
        <v>130</v>
      </c>
      <c r="E42" s="6">
        <f t="shared" si="25"/>
        <v>110.42556875</v>
      </c>
      <c r="F42" s="5" t="str">
        <f t="shared" si="41"/>
        <v>Win</v>
      </c>
      <c r="G42" s="4">
        <f t="shared" si="42"/>
        <v>130</v>
      </c>
      <c r="H42" s="46">
        <v>10</v>
      </c>
      <c r="I42" s="42">
        <v>2875</v>
      </c>
      <c r="N42" s="5">
        <f t="shared" si="43"/>
        <v>10</v>
      </c>
      <c r="O42" s="4">
        <f t="shared" si="45"/>
        <v>2875</v>
      </c>
      <c r="P42" s="5">
        <f t="shared" si="0"/>
        <v>10</v>
      </c>
      <c r="Q42" s="42">
        <v>2888</v>
      </c>
      <c r="R42" s="2">
        <f t="shared" si="51"/>
        <v>0</v>
      </c>
      <c r="T42" s="2">
        <f t="shared" si="27"/>
        <v>0</v>
      </c>
      <c r="V42" s="5">
        <f t="shared" si="44"/>
        <v>10</v>
      </c>
      <c r="W42" s="4">
        <f t="shared" si="46"/>
        <v>2888</v>
      </c>
      <c r="X42" s="14">
        <f t="shared" si="47"/>
        <v>13</v>
      </c>
      <c r="Y42" s="5">
        <f t="shared" si="48"/>
        <v>130</v>
      </c>
      <c r="Z42" s="2">
        <f t="shared" si="1"/>
        <v>0</v>
      </c>
      <c r="AA42" s="4">
        <f t="shared" si="2"/>
        <v>0</v>
      </c>
      <c r="AB42" s="13">
        <f t="shared" si="3"/>
        <v>19.57443125</v>
      </c>
      <c r="AC42" s="10">
        <f>SUM($E$4:E42)</f>
        <v>-3472.90192266146</v>
      </c>
      <c r="AD42" s="20">
        <f>SUM($AB$4:AB42)</f>
        <v>1225.4019226614582</v>
      </c>
      <c r="AF42" s="28">
        <f t="shared" si="4"/>
        <v>5.7629999999999999</v>
      </c>
      <c r="AG42" s="2">
        <f t="shared" si="5"/>
        <v>7.22</v>
      </c>
      <c r="AH42" s="2">
        <f t="shared" si="6"/>
        <v>1.8729749999999998</v>
      </c>
      <c r="AI42" s="2">
        <f t="shared" si="28"/>
        <v>7.6359750000000002</v>
      </c>
      <c r="AJ42" s="2">
        <f t="shared" si="29"/>
        <v>1.1453962499999999</v>
      </c>
      <c r="AK42" s="2">
        <f t="shared" si="7"/>
        <v>0.11526</v>
      </c>
      <c r="AL42" s="2">
        <f t="shared" si="8"/>
        <v>3.4578000000000002</v>
      </c>
      <c r="AM42" s="2">
        <f t="shared" si="30"/>
        <v>19.57443125</v>
      </c>
      <c r="AN42" s="2">
        <f t="shared" si="9"/>
        <v>40</v>
      </c>
      <c r="AO42" s="2">
        <f t="shared" si="10"/>
        <v>14.44</v>
      </c>
      <c r="AP42" s="2">
        <f t="shared" si="11"/>
        <v>30.543899999999997</v>
      </c>
      <c r="AQ42" s="2">
        <f t="shared" si="31"/>
        <v>70.543899999999994</v>
      </c>
      <c r="AR42" s="2">
        <f t="shared" si="32"/>
        <v>10.581584999999999</v>
      </c>
      <c r="AS42" s="2">
        <f t="shared" si="12"/>
        <v>0.11526</v>
      </c>
      <c r="AT42" s="2">
        <f t="shared" si="13"/>
        <v>3.4578000000000002</v>
      </c>
      <c r="AU42" s="2">
        <f t="shared" si="33"/>
        <v>99.138545000000008</v>
      </c>
      <c r="AV42" s="2">
        <f t="shared" si="14"/>
        <v>5.7629999999999999</v>
      </c>
      <c r="AW42" s="2">
        <f t="shared" si="15"/>
        <v>2.8879999999999999</v>
      </c>
      <c r="AX42" s="2">
        <f t="shared" si="16"/>
        <v>1.2102299999999999</v>
      </c>
      <c r="AY42" s="2">
        <f t="shared" si="34"/>
        <v>6.97323</v>
      </c>
      <c r="AZ42" s="2">
        <f t="shared" si="35"/>
        <v>1.0459844999999999</v>
      </c>
      <c r="BA42" s="2">
        <f t="shared" si="17"/>
        <v>0.11526</v>
      </c>
      <c r="BB42" s="2">
        <f t="shared" si="18"/>
        <v>3.4578000000000002</v>
      </c>
      <c r="BC42" s="2">
        <f t="shared" si="36"/>
        <v>14.480274499999998</v>
      </c>
      <c r="BD42" s="2">
        <v>0</v>
      </c>
      <c r="BE42" s="2">
        <f t="shared" si="19"/>
        <v>57.63</v>
      </c>
      <c r="BF42" s="2">
        <f t="shared" si="20"/>
        <v>1.8729749999999998</v>
      </c>
      <c r="BG42" s="2">
        <f t="shared" si="37"/>
        <v>1.8729749999999998</v>
      </c>
      <c r="BH42" s="2">
        <f t="shared" si="38"/>
        <v>0.28094624999999995</v>
      </c>
      <c r="BI42" s="2">
        <f t="shared" si="21"/>
        <v>0.11526</v>
      </c>
      <c r="BJ42" s="2">
        <f t="shared" si="22"/>
        <v>3.4578000000000002</v>
      </c>
      <c r="BK42" s="2">
        <f t="shared" si="39"/>
        <v>63.356981249999997</v>
      </c>
      <c r="BL42" s="2">
        <f t="shared" si="23"/>
        <v>28750</v>
      </c>
      <c r="BM42" s="2">
        <f t="shared" si="24"/>
        <v>28880</v>
      </c>
      <c r="BN42" s="2">
        <f t="shared" si="40"/>
        <v>57630</v>
      </c>
    </row>
    <row r="43" spans="1:66" x14ac:dyDescent="0.25">
      <c r="A43" s="42">
        <v>40</v>
      </c>
      <c r="B43" s="43">
        <v>42732</v>
      </c>
      <c r="C43" s="42" t="s">
        <v>50</v>
      </c>
      <c r="D43" s="42" t="s">
        <v>131</v>
      </c>
      <c r="E43" s="6">
        <f t="shared" si="25"/>
        <v>697.06327499999998</v>
      </c>
      <c r="F43" s="5" t="str">
        <f t="shared" si="41"/>
        <v>Win</v>
      </c>
      <c r="G43" s="4">
        <f t="shared" si="42"/>
        <v>720</v>
      </c>
      <c r="H43" s="46">
        <v>60</v>
      </c>
      <c r="I43" s="42">
        <v>555</v>
      </c>
      <c r="N43" s="5">
        <f t="shared" si="43"/>
        <v>60</v>
      </c>
      <c r="O43" s="4">
        <f t="shared" si="45"/>
        <v>555</v>
      </c>
      <c r="P43" s="5">
        <f t="shared" si="0"/>
        <v>60</v>
      </c>
      <c r="Q43" s="42">
        <v>567</v>
      </c>
      <c r="R43" s="2">
        <f t="shared" si="51"/>
        <v>0</v>
      </c>
      <c r="T43" s="2">
        <f t="shared" si="27"/>
        <v>0</v>
      </c>
      <c r="V43" s="5">
        <f t="shared" si="44"/>
        <v>60</v>
      </c>
      <c r="W43" s="4">
        <f t="shared" si="46"/>
        <v>567</v>
      </c>
      <c r="X43" s="14">
        <f t="shared" si="47"/>
        <v>12</v>
      </c>
      <c r="Y43" s="5">
        <f t="shared" si="48"/>
        <v>720</v>
      </c>
      <c r="Z43" s="2">
        <f t="shared" si="1"/>
        <v>0</v>
      </c>
      <c r="AA43" s="4">
        <f t="shared" si="2"/>
        <v>0</v>
      </c>
      <c r="AB43" s="13">
        <f t="shared" si="3"/>
        <v>22.936724999999999</v>
      </c>
      <c r="AC43" s="10">
        <f>SUM($E$4:E43)</f>
        <v>-2775.8386476614601</v>
      </c>
      <c r="AD43" s="20">
        <f>SUM($AB$4:AB43)</f>
        <v>1248.3386476614583</v>
      </c>
      <c r="AF43" s="28">
        <f t="shared" si="4"/>
        <v>6.7320000000000002</v>
      </c>
      <c r="AG43" s="2">
        <f t="shared" si="5"/>
        <v>8.504999999999999</v>
      </c>
      <c r="AH43" s="2">
        <f t="shared" si="6"/>
        <v>2.1879</v>
      </c>
      <c r="AI43" s="2">
        <f t="shared" si="28"/>
        <v>8.9199000000000002</v>
      </c>
      <c r="AJ43" s="2">
        <f t="shared" si="29"/>
        <v>1.337985</v>
      </c>
      <c r="AK43" s="2">
        <f t="shared" si="7"/>
        <v>0.13464000000000001</v>
      </c>
      <c r="AL43" s="2">
        <f t="shared" si="8"/>
        <v>4.0392000000000001</v>
      </c>
      <c r="AM43" s="2">
        <f t="shared" si="30"/>
        <v>22.936724999999999</v>
      </c>
      <c r="AN43" s="2">
        <f t="shared" si="9"/>
        <v>40</v>
      </c>
      <c r="AO43" s="2">
        <f t="shared" si="10"/>
        <v>17.009999999999998</v>
      </c>
      <c r="AP43" s="2">
        <f t="shared" si="11"/>
        <v>35.679600000000001</v>
      </c>
      <c r="AQ43" s="2">
        <f t="shared" si="31"/>
        <v>75.679599999999994</v>
      </c>
      <c r="AR43" s="2">
        <f t="shared" si="32"/>
        <v>11.351939999999999</v>
      </c>
      <c r="AS43" s="2">
        <f t="shared" si="12"/>
        <v>0.13464000000000001</v>
      </c>
      <c r="AT43" s="2">
        <f t="shared" si="13"/>
        <v>4.0392000000000001</v>
      </c>
      <c r="AU43" s="2">
        <f t="shared" si="33"/>
        <v>108.21538</v>
      </c>
      <c r="AV43" s="2">
        <f t="shared" si="14"/>
        <v>6.7320000000000002</v>
      </c>
      <c r="AW43" s="2">
        <f t="shared" si="15"/>
        <v>3.4020000000000001</v>
      </c>
      <c r="AX43" s="2">
        <f t="shared" si="16"/>
        <v>1.4137199999999999</v>
      </c>
      <c r="AY43" s="2">
        <f t="shared" si="34"/>
        <v>8.1457200000000007</v>
      </c>
      <c r="AZ43" s="2">
        <f t="shared" si="35"/>
        <v>1.2218580000000001</v>
      </c>
      <c r="BA43" s="2">
        <f t="shared" si="17"/>
        <v>0.13464000000000001</v>
      </c>
      <c r="BB43" s="2">
        <f t="shared" si="18"/>
        <v>4.0392000000000001</v>
      </c>
      <c r="BC43" s="2">
        <f t="shared" si="36"/>
        <v>16.943417999999998</v>
      </c>
      <c r="BD43" s="2">
        <v>0</v>
      </c>
      <c r="BE43" s="2">
        <f t="shared" si="19"/>
        <v>67.320000000000007</v>
      </c>
      <c r="BF43" s="2">
        <f t="shared" si="20"/>
        <v>2.1879</v>
      </c>
      <c r="BG43" s="2">
        <f t="shared" si="37"/>
        <v>2.1879</v>
      </c>
      <c r="BH43" s="2">
        <f t="shared" si="38"/>
        <v>0.328185</v>
      </c>
      <c r="BI43" s="2">
        <f t="shared" si="21"/>
        <v>0.13464000000000001</v>
      </c>
      <c r="BJ43" s="2">
        <f t="shared" si="22"/>
        <v>4.0392000000000001</v>
      </c>
      <c r="BK43" s="2">
        <f t="shared" si="39"/>
        <v>74.00992500000001</v>
      </c>
      <c r="BL43" s="2">
        <f t="shared" si="23"/>
        <v>33300</v>
      </c>
      <c r="BM43" s="2">
        <f t="shared" si="24"/>
        <v>34020</v>
      </c>
      <c r="BN43" s="2">
        <f t="shared" si="40"/>
        <v>67320</v>
      </c>
    </row>
    <row r="44" spans="1:66" x14ac:dyDescent="0.25">
      <c r="A44" s="42">
        <v>41</v>
      </c>
      <c r="B44" s="43">
        <v>42733</v>
      </c>
      <c r="C44" s="42" t="s">
        <v>50</v>
      </c>
      <c r="D44" s="42" t="s">
        <v>132</v>
      </c>
      <c r="E44" s="6">
        <f t="shared" si="25"/>
        <v>-219.52628906249998</v>
      </c>
      <c r="F44" s="5" t="str">
        <f t="shared" si="41"/>
        <v>Loss</v>
      </c>
      <c r="G44" s="4">
        <f t="shared" si="42"/>
        <v>-187.5</v>
      </c>
      <c r="H44" s="46">
        <v>125</v>
      </c>
      <c r="I44" s="42">
        <v>378.5</v>
      </c>
      <c r="N44" s="5">
        <f t="shared" si="43"/>
        <v>125</v>
      </c>
      <c r="O44" s="4">
        <f t="shared" si="45"/>
        <v>378.5</v>
      </c>
      <c r="P44" s="5">
        <f t="shared" si="0"/>
        <v>125</v>
      </c>
      <c r="Q44" s="42">
        <v>377</v>
      </c>
      <c r="R44" s="2">
        <f t="shared" si="51"/>
        <v>0</v>
      </c>
      <c r="T44" s="2">
        <f t="shared" si="27"/>
        <v>0</v>
      </c>
      <c r="V44" s="5">
        <f t="shared" si="44"/>
        <v>125</v>
      </c>
      <c r="W44" s="4">
        <f t="shared" si="46"/>
        <v>377</v>
      </c>
      <c r="X44" s="14">
        <f t="shared" si="47"/>
        <v>-1.5</v>
      </c>
      <c r="Y44" s="5">
        <f t="shared" si="48"/>
        <v>-187.5</v>
      </c>
      <c r="Z44" s="2">
        <f t="shared" si="1"/>
        <v>0</v>
      </c>
      <c r="AA44" s="4">
        <f t="shared" si="2"/>
        <v>0</v>
      </c>
      <c r="AB44" s="13">
        <f t="shared" si="3"/>
        <v>32.026289062499998</v>
      </c>
      <c r="AC44" s="10">
        <f>SUM($E$4:E44)</f>
        <v>-2995.36493672396</v>
      </c>
      <c r="AD44" s="20">
        <f>SUM($AB$4:AB44)</f>
        <v>1280.3649367239582</v>
      </c>
      <c r="AF44" s="28">
        <f t="shared" si="4"/>
        <v>9.4437499999999996</v>
      </c>
      <c r="AG44" s="2">
        <f t="shared" si="5"/>
        <v>11.78125</v>
      </c>
      <c r="AH44" s="2">
        <f t="shared" si="6"/>
        <v>3.0692187499999997</v>
      </c>
      <c r="AI44" s="2">
        <f t="shared" si="28"/>
        <v>12.512968749999999</v>
      </c>
      <c r="AJ44" s="2">
        <f t="shared" si="29"/>
        <v>1.8769453124999997</v>
      </c>
      <c r="AK44" s="2">
        <f t="shared" si="7"/>
        <v>0.18887500000000002</v>
      </c>
      <c r="AL44" s="2">
        <f t="shared" si="8"/>
        <v>5.6662499999999998</v>
      </c>
      <c r="AM44" s="2">
        <f t="shared" si="30"/>
        <v>32.026289062499998</v>
      </c>
      <c r="AN44" s="2">
        <f t="shared" si="9"/>
        <v>40</v>
      </c>
      <c r="AO44" s="2">
        <f t="shared" si="10"/>
        <v>23.5625</v>
      </c>
      <c r="AP44" s="2">
        <f t="shared" si="11"/>
        <v>50.051874999999995</v>
      </c>
      <c r="AQ44" s="2">
        <f t="shared" si="31"/>
        <v>90.051874999999995</v>
      </c>
      <c r="AR44" s="2">
        <f t="shared" si="32"/>
        <v>13.507781249999999</v>
      </c>
      <c r="AS44" s="2">
        <f t="shared" si="12"/>
        <v>0.18887500000000002</v>
      </c>
      <c r="AT44" s="2">
        <f t="shared" si="13"/>
        <v>5.6662499999999998</v>
      </c>
      <c r="AU44" s="2">
        <f t="shared" si="33"/>
        <v>132.97728124999998</v>
      </c>
      <c r="AV44" s="2">
        <f t="shared" si="14"/>
        <v>9.4437499999999996</v>
      </c>
      <c r="AW44" s="2">
        <f t="shared" si="15"/>
        <v>4.7125000000000004</v>
      </c>
      <c r="AX44" s="2">
        <f t="shared" si="16"/>
        <v>1.9831874999999999</v>
      </c>
      <c r="AY44" s="2">
        <f t="shared" si="34"/>
        <v>11.426937499999999</v>
      </c>
      <c r="AZ44" s="2">
        <f t="shared" si="35"/>
        <v>1.7140406249999998</v>
      </c>
      <c r="BA44" s="2">
        <f t="shared" si="17"/>
        <v>0.18887500000000002</v>
      </c>
      <c r="BB44" s="2">
        <f t="shared" si="18"/>
        <v>5.6662499999999998</v>
      </c>
      <c r="BC44" s="2">
        <f t="shared" si="36"/>
        <v>23.708603124999996</v>
      </c>
      <c r="BD44" s="2">
        <v>0</v>
      </c>
      <c r="BE44" s="2">
        <f t="shared" si="19"/>
        <v>94.4375</v>
      </c>
      <c r="BF44" s="2">
        <f t="shared" si="20"/>
        <v>3.0692187499999997</v>
      </c>
      <c r="BG44" s="2">
        <f t="shared" si="37"/>
        <v>3.0692187499999997</v>
      </c>
      <c r="BH44" s="2">
        <f t="shared" si="38"/>
        <v>0.4603828124999999</v>
      </c>
      <c r="BI44" s="2">
        <f t="shared" si="21"/>
        <v>0.18887500000000002</v>
      </c>
      <c r="BJ44" s="2">
        <f t="shared" si="22"/>
        <v>5.6662499999999998</v>
      </c>
      <c r="BK44" s="2">
        <f t="shared" si="39"/>
        <v>103.82222656250001</v>
      </c>
      <c r="BL44" s="2">
        <f t="shared" si="23"/>
        <v>47312.5</v>
      </c>
      <c r="BM44" s="2">
        <f t="shared" si="24"/>
        <v>47125</v>
      </c>
      <c r="BN44" s="2">
        <f t="shared" si="40"/>
        <v>94437.5</v>
      </c>
    </row>
    <row r="45" spans="1:66" x14ac:dyDescent="0.25">
      <c r="A45" s="42">
        <v>42</v>
      </c>
      <c r="B45" s="43">
        <v>42733</v>
      </c>
      <c r="C45" s="42" t="s">
        <v>50</v>
      </c>
      <c r="D45" s="42" t="s">
        <v>20</v>
      </c>
      <c r="E45" s="6">
        <f t="shared" si="25"/>
        <v>25.439968750004262</v>
      </c>
      <c r="F45" s="5" t="str">
        <f t="shared" si="41"/>
        <v>Win</v>
      </c>
      <c r="G45" s="4">
        <f t="shared" si="42"/>
        <v>50.000000000004263</v>
      </c>
      <c r="H45" s="46">
        <v>500</v>
      </c>
      <c r="I45" s="42">
        <v>72.3</v>
      </c>
      <c r="N45" s="5">
        <f t="shared" si="43"/>
        <v>500</v>
      </c>
      <c r="O45" s="4">
        <f t="shared" si="45"/>
        <v>72.3</v>
      </c>
      <c r="P45" s="5">
        <f t="shared" si="0"/>
        <v>500</v>
      </c>
      <c r="Q45" s="42">
        <v>72.400000000000006</v>
      </c>
      <c r="R45" s="2">
        <f t="shared" si="51"/>
        <v>0</v>
      </c>
      <c r="T45" s="2">
        <f t="shared" si="27"/>
        <v>0</v>
      </c>
      <c r="V45" s="5">
        <f t="shared" si="44"/>
        <v>500</v>
      </c>
      <c r="W45" s="4">
        <f t="shared" si="46"/>
        <v>72.400000000000006</v>
      </c>
      <c r="X45" s="14">
        <f t="shared" si="47"/>
        <v>0.10000000000000853</v>
      </c>
      <c r="Y45" s="5">
        <f t="shared" si="48"/>
        <v>50.000000000004263</v>
      </c>
      <c r="Z45" s="2">
        <f t="shared" si="1"/>
        <v>0</v>
      </c>
      <c r="AA45" s="4">
        <f t="shared" si="2"/>
        <v>0</v>
      </c>
      <c r="AB45" s="13">
        <f t="shared" si="3"/>
        <v>24.560031250000002</v>
      </c>
      <c r="AC45" s="10">
        <f>SUM($E$4:E45)</f>
        <v>-2969.9249679739555</v>
      </c>
      <c r="AD45" s="20">
        <f>SUM($AB$4:AB45)</f>
        <v>1304.9249679739582</v>
      </c>
      <c r="AF45" s="28">
        <f t="shared" si="4"/>
        <v>7.2350000000000003</v>
      </c>
      <c r="AG45" s="2">
        <f t="shared" si="5"/>
        <v>9.0500000000000007</v>
      </c>
      <c r="AH45" s="2">
        <f t="shared" si="6"/>
        <v>2.351375</v>
      </c>
      <c r="AI45" s="2">
        <f t="shared" si="28"/>
        <v>9.5863750000000003</v>
      </c>
      <c r="AJ45" s="2">
        <f t="shared" si="29"/>
        <v>1.43795625</v>
      </c>
      <c r="AK45" s="2">
        <f t="shared" si="7"/>
        <v>0.1447</v>
      </c>
      <c r="AL45" s="2">
        <f t="shared" si="8"/>
        <v>4.3410000000000002</v>
      </c>
      <c r="AM45" s="2">
        <f t="shared" si="30"/>
        <v>24.560031250000002</v>
      </c>
      <c r="AN45" s="2">
        <f t="shared" si="9"/>
        <v>40</v>
      </c>
      <c r="AO45" s="2">
        <f t="shared" si="10"/>
        <v>18.100000000000001</v>
      </c>
      <c r="AP45" s="2">
        <f t="shared" si="11"/>
        <v>38.345500000000001</v>
      </c>
      <c r="AQ45" s="2">
        <f t="shared" si="31"/>
        <v>78.345500000000001</v>
      </c>
      <c r="AR45" s="2">
        <f t="shared" si="32"/>
        <v>11.751825</v>
      </c>
      <c r="AS45" s="2">
        <f t="shared" si="12"/>
        <v>0.1447</v>
      </c>
      <c r="AT45" s="2">
        <f t="shared" si="13"/>
        <v>4.3410000000000002</v>
      </c>
      <c r="AU45" s="2">
        <f t="shared" si="33"/>
        <v>112.683025</v>
      </c>
      <c r="AV45" s="2">
        <f t="shared" si="14"/>
        <v>7.2350000000000003</v>
      </c>
      <c r="AW45" s="2">
        <f t="shared" si="15"/>
        <v>3.6200000000000006</v>
      </c>
      <c r="AX45" s="2">
        <f t="shared" si="16"/>
        <v>1.51935</v>
      </c>
      <c r="AY45" s="2">
        <f t="shared" si="34"/>
        <v>8.7543500000000005</v>
      </c>
      <c r="AZ45" s="2">
        <f t="shared" si="35"/>
        <v>1.3131524999999999</v>
      </c>
      <c r="BA45" s="2">
        <f t="shared" si="17"/>
        <v>0.1447</v>
      </c>
      <c r="BB45" s="2">
        <f t="shared" si="18"/>
        <v>4.3410000000000002</v>
      </c>
      <c r="BC45" s="2">
        <f t="shared" si="36"/>
        <v>18.173202499999999</v>
      </c>
      <c r="BD45" s="2">
        <v>0</v>
      </c>
      <c r="BE45" s="2">
        <f t="shared" si="19"/>
        <v>72.350000000000009</v>
      </c>
      <c r="BF45" s="2">
        <f t="shared" si="20"/>
        <v>2.351375</v>
      </c>
      <c r="BG45" s="2">
        <f t="shared" si="37"/>
        <v>2.351375</v>
      </c>
      <c r="BH45" s="2">
        <f t="shared" si="38"/>
        <v>0.35270625</v>
      </c>
      <c r="BI45" s="2">
        <f t="shared" si="21"/>
        <v>0.1447</v>
      </c>
      <c r="BJ45" s="2">
        <f t="shared" si="22"/>
        <v>4.3410000000000002</v>
      </c>
      <c r="BK45" s="2">
        <f t="shared" si="39"/>
        <v>79.539781250000004</v>
      </c>
      <c r="BL45" s="2">
        <f t="shared" si="23"/>
        <v>36150</v>
      </c>
      <c r="BM45" s="2">
        <f t="shared" si="24"/>
        <v>36200</v>
      </c>
      <c r="BN45" s="2">
        <f t="shared" si="40"/>
        <v>72350</v>
      </c>
    </row>
    <row r="46" spans="1:66" x14ac:dyDescent="0.25">
      <c r="A46" s="42">
        <v>43</v>
      </c>
      <c r="B46" s="43">
        <v>42733</v>
      </c>
      <c r="C46" s="42" t="s">
        <v>50</v>
      </c>
      <c r="D46" s="42" t="s">
        <v>133</v>
      </c>
      <c r="E46" s="6">
        <f t="shared" si="25"/>
        <v>-92.597240000005456</v>
      </c>
      <c r="F46" s="5" t="str">
        <f t="shared" si="41"/>
        <v>Loss</v>
      </c>
      <c r="G46" s="4">
        <f t="shared" si="42"/>
        <v>-64.000000000005457</v>
      </c>
      <c r="H46" s="46">
        <v>160</v>
      </c>
      <c r="I46" s="42">
        <v>263.60000000000002</v>
      </c>
      <c r="N46" s="5">
        <f t="shared" si="43"/>
        <v>160</v>
      </c>
      <c r="O46" s="4">
        <f t="shared" si="45"/>
        <v>263.60000000000002</v>
      </c>
      <c r="P46" s="5">
        <f t="shared" si="0"/>
        <v>160</v>
      </c>
      <c r="Q46" s="42">
        <v>263.2</v>
      </c>
      <c r="R46" s="2">
        <f t="shared" si="51"/>
        <v>0</v>
      </c>
      <c r="T46" s="2">
        <f t="shared" si="27"/>
        <v>0</v>
      </c>
      <c r="V46" s="5">
        <f t="shared" si="44"/>
        <v>160</v>
      </c>
      <c r="W46" s="4">
        <f t="shared" si="46"/>
        <v>263.2</v>
      </c>
      <c r="X46" s="14">
        <f t="shared" si="47"/>
        <v>-0.40000000000003411</v>
      </c>
      <c r="Y46" s="5">
        <f t="shared" si="48"/>
        <v>-64.000000000005457</v>
      </c>
      <c r="Z46" s="2">
        <f t="shared" si="1"/>
        <v>0</v>
      </c>
      <c r="AA46" s="4">
        <f t="shared" si="2"/>
        <v>0</v>
      </c>
      <c r="AB46" s="13">
        <f t="shared" si="3"/>
        <v>28.597239999999999</v>
      </c>
      <c r="AC46" s="10">
        <f>SUM($E$4:E46)</f>
        <v>-3062.522207973961</v>
      </c>
      <c r="AD46" s="20">
        <f>SUM($AB$4:AB46)</f>
        <v>1333.5222079739583</v>
      </c>
      <c r="AF46" s="28">
        <f t="shared" si="4"/>
        <v>8.4288000000000007</v>
      </c>
      <c r="AG46" s="2">
        <f t="shared" si="5"/>
        <v>10.528</v>
      </c>
      <c r="AH46" s="2">
        <f t="shared" si="6"/>
        <v>2.7393599999999996</v>
      </c>
      <c r="AI46" s="2">
        <f t="shared" si="28"/>
        <v>11.16816</v>
      </c>
      <c r="AJ46" s="2">
        <f t="shared" si="29"/>
        <v>1.675224</v>
      </c>
      <c r="AK46" s="2">
        <f t="shared" si="7"/>
        <v>0.168576</v>
      </c>
      <c r="AL46" s="2">
        <f t="shared" si="8"/>
        <v>5.0572800000000004</v>
      </c>
      <c r="AM46" s="2">
        <f t="shared" si="30"/>
        <v>28.597239999999999</v>
      </c>
      <c r="AN46" s="2">
        <f t="shared" si="9"/>
        <v>40</v>
      </c>
      <c r="AO46" s="2">
        <f t="shared" si="10"/>
        <v>21.056000000000001</v>
      </c>
      <c r="AP46" s="2">
        <f t="shared" si="11"/>
        <v>44.672640000000001</v>
      </c>
      <c r="AQ46" s="2">
        <f t="shared" si="31"/>
        <v>84.672640000000001</v>
      </c>
      <c r="AR46" s="2">
        <f t="shared" si="32"/>
        <v>12.700896</v>
      </c>
      <c r="AS46" s="2">
        <f t="shared" si="12"/>
        <v>0.168576</v>
      </c>
      <c r="AT46" s="2">
        <f t="shared" si="13"/>
        <v>5.0572800000000004</v>
      </c>
      <c r="AU46" s="2">
        <f t="shared" si="33"/>
        <v>123.65539200000001</v>
      </c>
      <c r="AV46" s="2">
        <f t="shared" si="14"/>
        <v>8.4288000000000007</v>
      </c>
      <c r="AW46" s="2">
        <f t="shared" si="15"/>
        <v>4.2111999999999998</v>
      </c>
      <c r="AX46" s="2">
        <f t="shared" si="16"/>
        <v>1.7700479999999998</v>
      </c>
      <c r="AY46" s="2">
        <f t="shared" si="34"/>
        <v>10.198848</v>
      </c>
      <c r="AZ46" s="2">
        <f t="shared" si="35"/>
        <v>1.5298271999999999</v>
      </c>
      <c r="BA46" s="2">
        <f t="shared" si="17"/>
        <v>0.168576</v>
      </c>
      <c r="BB46" s="2">
        <f t="shared" si="18"/>
        <v>5.0572800000000004</v>
      </c>
      <c r="BC46" s="2">
        <f t="shared" si="36"/>
        <v>21.165731200000003</v>
      </c>
      <c r="BD46" s="2">
        <v>0</v>
      </c>
      <c r="BE46" s="2">
        <f t="shared" si="19"/>
        <v>84.287999999999997</v>
      </c>
      <c r="BF46" s="2">
        <f t="shared" si="20"/>
        <v>2.7393599999999996</v>
      </c>
      <c r="BG46" s="2">
        <f t="shared" si="37"/>
        <v>2.7393599999999996</v>
      </c>
      <c r="BH46" s="2">
        <f t="shared" si="38"/>
        <v>0.41090399999999994</v>
      </c>
      <c r="BI46" s="2">
        <f t="shared" si="21"/>
        <v>0.168576</v>
      </c>
      <c r="BJ46" s="2">
        <f t="shared" si="22"/>
        <v>5.0572800000000004</v>
      </c>
      <c r="BK46" s="2">
        <f t="shared" si="39"/>
        <v>92.664120000000011</v>
      </c>
      <c r="BL46" s="2">
        <f t="shared" si="23"/>
        <v>42176</v>
      </c>
      <c r="BM46" s="2">
        <f t="shared" si="24"/>
        <v>42112</v>
      </c>
      <c r="BN46" s="2">
        <f t="shared" si="40"/>
        <v>84288</v>
      </c>
    </row>
    <row r="47" spans="1:66" x14ac:dyDescent="0.25">
      <c r="A47" s="42">
        <v>44</v>
      </c>
      <c r="B47" s="43">
        <v>42733</v>
      </c>
      <c r="C47" s="42" t="s">
        <v>50</v>
      </c>
      <c r="D47" s="42" t="s">
        <v>125</v>
      </c>
      <c r="E47" s="6">
        <f t="shared" si="25"/>
        <v>473.05900000000003</v>
      </c>
      <c r="F47" s="5" t="str">
        <f t="shared" si="41"/>
        <v>Win</v>
      </c>
      <c r="G47" s="4">
        <f t="shared" si="42"/>
        <v>500</v>
      </c>
      <c r="H47" s="46">
        <v>50</v>
      </c>
      <c r="I47" s="42">
        <v>787</v>
      </c>
      <c r="N47" s="5">
        <f t="shared" si="43"/>
        <v>50</v>
      </c>
      <c r="O47" s="4">
        <f t="shared" si="45"/>
        <v>787</v>
      </c>
      <c r="P47" s="5">
        <f t="shared" si="0"/>
        <v>50</v>
      </c>
      <c r="Q47" s="42">
        <v>797</v>
      </c>
      <c r="R47" s="2">
        <f t="shared" si="51"/>
        <v>0</v>
      </c>
      <c r="T47" s="2">
        <f t="shared" si="27"/>
        <v>0</v>
      </c>
      <c r="V47" s="5">
        <f t="shared" si="44"/>
        <v>50</v>
      </c>
      <c r="W47" s="4">
        <f t="shared" si="46"/>
        <v>797</v>
      </c>
      <c r="X47" s="14">
        <f t="shared" si="47"/>
        <v>10</v>
      </c>
      <c r="Y47" s="5">
        <f t="shared" si="48"/>
        <v>500</v>
      </c>
      <c r="Z47" s="2">
        <f t="shared" si="1"/>
        <v>0</v>
      </c>
      <c r="AA47" s="4">
        <f t="shared" si="2"/>
        <v>0</v>
      </c>
      <c r="AB47" s="13">
        <f t="shared" si="3"/>
        <v>26.940999999999999</v>
      </c>
      <c r="AC47" s="10">
        <f>SUM($E$4:E47)</f>
        <v>-2589.4632079739608</v>
      </c>
      <c r="AD47" s="20">
        <f>SUM($AB$4:AB47)</f>
        <v>1360.4632079739583</v>
      </c>
      <c r="AF47" s="28">
        <f t="shared" si="4"/>
        <v>7.9200000000000008</v>
      </c>
      <c r="AG47" s="2">
        <f t="shared" si="5"/>
        <v>9.9625000000000004</v>
      </c>
      <c r="AH47" s="2">
        <f t="shared" si="6"/>
        <v>2.5739999999999998</v>
      </c>
      <c r="AI47" s="2">
        <f t="shared" si="28"/>
        <v>10.494</v>
      </c>
      <c r="AJ47" s="2">
        <f t="shared" si="29"/>
        <v>1.5740999999999998</v>
      </c>
      <c r="AK47" s="2">
        <f t="shared" si="7"/>
        <v>0.15839999999999999</v>
      </c>
      <c r="AL47" s="2">
        <f t="shared" si="8"/>
        <v>4.7519999999999998</v>
      </c>
      <c r="AM47" s="2">
        <f t="shared" si="30"/>
        <v>26.940999999999999</v>
      </c>
      <c r="AN47" s="2">
        <f t="shared" si="9"/>
        <v>40</v>
      </c>
      <c r="AO47" s="2">
        <f t="shared" si="10"/>
        <v>19.925000000000001</v>
      </c>
      <c r="AP47" s="2">
        <f t="shared" si="11"/>
        <v>41.975999999999999</v>
      </c>
      <c r="AQ47" s="2">
        <f t="shared" si="31"/>
        <v>81.975999999999999</v>
      </c>
      <c r="AR47" s="2">
        <f t="shared" si="32"/>
        <v>12.2964</v>
      </c>
      <c r="AS47" s="2">
        <f t="shared" si="12"/>
        <v>0.15839999999999999</v>
      </c>
      <c r="AT47" s="2">
        <f t="shared" si="13"/>
        <v>4.7519999999999998</v>
      </c>
      <c r="AU47" s="2">
        <f t="shared" si="33"/>
        <v>119.1078</v>
      </c>
      <c r="AV47" s="2">
        <f t="shared" si="14"/>
        <v>7.9200000000000008</v>
      </c>
      <c r="AW47" s="2">
        <f t="shared" si="15"/>
        <v>3.9849999999999999</v>
      </c>
      <c r="AX47" s="2">
        <f t="shared" si="16"/>
        <v>1.6632</v>
      </c>
      <c r="AY47" s="2">
        <f t="shared" si="34"/>
        <v>9.5832000000000015</v>
      </c>
      <c r="AZ47" s="2">
        <f t="shared" si="35"/>
        <v>1.4374800000000001</v>
      </c>
      <c r="BA47" s="2">
        <f t="shared" si="17"/>
        <v>0.15839999999999999</v>
      </c>
      <c r="BB47" s="2">
        <f t="shared" si="18"/>
        <v>4.7519999999999998</v>
      </c>
      <c r="BC47" s="2">
        <f t="shared" si="36"/>
        <v>19.916080000000001</v>
      </c>
      <c r="BD47" s="2">
        <v>0</v>
      </c>
      <c r="BE47" s="2">
        <f t="shared" si="19"/>
        <v>79.2</v>
      </c>
      <c r="BF47" s="2">
        <f t="shared" si="20"/>
        <v>2.5739999999999998</v>
      </c>
      <c r="BG47" s="2">
        <f t="shared" si="37"/>
        <v>2.5739999999999998</v>
      </c>
      <c r="BH47" s="2">
        <f t="shared" si="38"/>
        <v>0.38609999999999994</v>
      </c>
      <c r="BI47" s="2">
        <f t="shared" si="21"/>
        <v>0.15839999999999999</v>
      </c>
      <c r="BJ47" s="2">
        <f t="shared" si="22"/>
        <v>4.7519999999999998</v>
      </c>
      <c r="BK47" s="2">
        <f t="shared" si="39"/>
        <v>87.070499999999996</v>
      </c>
      <c r="BL47" s="2">
        <f t="shared" si="23"/>
        <v>39350</v>
      </c>
      <c r="BM47" s="2">
        <f t="shared" si="24"/>
        <v>39850</v>
      </c>
      <c r="BN47" s="2">
        <f t="shared" si="40"/>
        <v>79200</v>
      </c>
    </row>
    <row r="48" spans="1:66" x14ac:dyDescent="0.25">
      <c r="A48" s="42">
        <v>45</v>
      </c>
      <c r="B48" s="43">
        <v>42734</v>
      </c>
      <c r="C48" s="42" t="s">
        <v>50</v>
      </c>
      <c r="D48" s="42" t="s">
        <v>134</v>
      </c>
      <c r="E48" s="6">
        <f t="shared" si="25"/>
        <v>175.50937509374586</v>
      </c>
      <c r="F48" s="5" t="str">
        <f t="shared" si="41"/>
        <v>Win</v>
      </c>
      <c r="G48" s="4">
        <f t="shared" si="42"/>
        <v>208.94999999999584</v>
      </c>
      <c r="H48" s="46">
        <v>75</v>
      </c>
      <c r="I48" s="42">
        <v>655</v>
      </c>
      <c r="N48" s="5">
        <f t="shared" si="43"/>
        <v>75</v>
      </c>
      <c r="O48" s="4">
        <f t="shared" si="45"/>
        <v>655</v>
      </c>
      <c r="P48" s="5">
        <f t="shared" si="0"/>
        <v>75</v>
      </c>
      <c r="Q48" s="42">
        <v>657.78599999999994</v>
      </c>
      <c r="R48" s="2">
        <f t="shared" si="51"/>
        <v>0</v>
      </c>
      <c r="T48" s="2">
        <f t="shared" si="27"/>
        <v>0</v>
      </c>
      <c r="V48" s="5">
        <f t="shared" si="44"/>
        <v>75</v>
      </c>
      <c r="W48" s="4">
        <f t="shared" si="46"/>
        <v>657.78599999999994</v>
      </c>
      <c r="X48" s="14">
        <f t="shared" si="47"/>
        <v>2.7859999999999445</v>
      </c>
      <c r="Y48" s="5">
        <f t="shared" si="48"/>
        <v>208.94999999999584</v>
      </c>
      <c r="Z48" s="2">
        <f t="shared" si="1"/>
        <v>0</v>
      </c>
      <c r="AA48" s="4">
        <f t="shared" si="2"/>
        <v>0</v>
      </c>
      <c r="AB48" s="13">
        <f t="shared" si="3"/>
        <v>33.440624906249994</v>
      </c>
      <c r="AC48" s="10">
        <f>SUM($E$4:E48)</f>
        <v>-2413.953832880215</v>
      </c>
      <c r="AD48" s="20">
        <f>SUM($AB$4:AB48)</f>
        <v>1393.9038328802083</v>
      </c>
      <c r="AF48" s="28">
        <f t="shared" si="4"/>
        <v>9.8458950000000005</v>
      </c>
      <c r="AG48" s="2">
        <f t="shared" si="5"/>
        <v>12.333487499999999</v>
      </c>
      <c r="AH48" s="2">
        <f t="shared" si="6"/>
        <v>3.1999158749999994</v>
      </c>
      <c r="AI48" s="2">
        <f t="shared" si="28"/>
        <v>13.045810875000001</v>
      </c>
      <c r="AJ48" s="2">
        <f t="shared" si="29"/>
        <v>1.9568716312500001</v>
      </c>
      <c r="AK48" s="2">
        <f t="shared" si="7"/>
        <v>0.19691790000000001</v>
      </c>
      <c r="AL48" s="2">
        <f t="shared" si="8"/>
        <v>5.9075369999999996</v>
      </c>
      <c r="AM48" s="2">
        <f t="shared" si="30"/>
        <v>33.440624906249994</v>
      </c>
      <c r="AN48" s="2">
        <f t="shared" si="9"/>
        <v>40</v>
      </c>
      <c r="AO48" s="2">
        <f t="shared" si="10"/>
        <v>24.666974999999997</v>
      </c>
      <c r="AP48" s="2">
        <f t="shared" si="11"/>
        <v>52.183243499999996</v>
      </c>
      <c r="AQ48" s="2">
        <f t="shared" si="31"/>
        <v>92.183243500000003</v>
      </c>
      <c r="AR48" s="2">
        <f t="shared" si="32"/>
        <v>13.827486524999999</v>
      </c>
      <c r="AS48" s="2">
        <f t="shared" si="12"/>
        <v>0.19691790000000001</v>
      </c>
      <c r="AT48" s="2">
        <f t="shared" si="13"/>
        <v>5.9075369999999996</v>
      </c>
      <c r="AU48" s="2">
        <f t="shared" si="33"/>
        <v>136.78215992499997</v>
      </c>
      <c r="AV48" s="2">
        <f t="shared" si="14"/>
        <v>9.8458950000000005</v>
      </c>
      <c r="AW48" s="2">
        <f t="shared" si="15"/>
        <v>4.933395</v>
      </c>
      <c r="AX48" s="2">
        <f t="shared" si="16"/>
        <v>2.0676379499999999</v>
      </c>
      <c r="AY48" s="2">
        <f t="shared" si="34"/>
        <v>11.91353295</v>
      </c>
      <c r="AZ48" s="2">
        <f t="shared" si="35"/>
        <v>1.7870299425</v>
      </c>
      <c r="BA48" s="2">
        <f t="shared" si="17"/>
        <v>0.19691790000000001</v>
      </c>
      <c r="BB48" s="2">
        <f t="shared" si="18"/>
        <v>5.9075369999999996</v>
      </c>
      <c r="BC48" s="2">
        <f t="shared" si="36"/>
        <v>24.7384127925</v>
      </c>
      <c r="BD48" s="2">
        <v>0</v>
      </c>
      <c r="BE48" s="2">
        <f t="shared" si="19"/>
        <v>98.458950000000002</v>
      </c>
      <c r="BF48" s="2">
        <f t="shared" si="20"/>
        <v>3.1999158749999994</v>
      </c>
      <c r="BG48" s="2">
        <f t="shared" si="37"/>
        <v>3.1999158749999994</v>
      </c>
      <c r="BH48" s="2">
        <f t="shared" si="38"/>
        <v>0.4799873812499999</v>
      </c>
      <c r="BI48" s="2">
        <f t="shared" si="21"/>
        <v>0.19691790000000001</v>
      </c>
      <c r="BJ48" s="2">
        <f t="shared" si="22"/>
        <v>5.9075369999999996</v>
      </c>
      <c r="BK48" s="2">
        <f t="shared" si="39"/>
        <v>108.24330815625001</v>
      </c>
      <c r="BL48" s="2">
        <f t="shared" si="23"/>
        <v>49125</v>
      </c>
      <c r="BM48" s="2">
        <f t="shared" si="24"/>
        <v>49333.95</v>
      </c>
      <c r="BN48" s="2">
        <f t="shared" si="40"/>
        <v>98458.95</v>
      </c>
    </row>
    <row r="49" spans="1:66" x14ac:dyDescent="0.25">
      <c r="A49" s="42">
        <v>46</v>
      </c>
      <c r="B49" s="43">
        <v>42734</v>
      </c>
      <c r="C49" s="42" t="s">
        <v>50</v>
      </c>
      <c r="D49" s="42" t="s">
        <v>135</v>
      </c>
      <c r="E49" s="6">
        <f t="shared" si="25"/>
        <v>-34.113974999999996</v>
      </c>
      <c r="F49" s="5" t="str">
        <f t="shared" si="41"/>
        <v>Break Even</v>
      </c>
      <c r="G49" s="4">
        <f t="shared" si="42"/>
        <v>0</v>
      </c>
      <c r="H49" s="46">
        <v>200</v>
      </c>
      <c r="I49" s="42">
        <v>251.3</v>
      </c>
      <c r="N49" s="5">
        <f t="shared" si="43"/>
        <v>200</v>
      </c>
      <c r="O49" s="4">
        <f t="shared" si="45"/>
        <v>251.3</v>
      </c>
      <c r="P49" s="5">
        <f t="shared" si="0"/>
        <v>200</v>
      </c>
      <c r="Q49" s="42">
        <v>251.3</v>
      </c>
      <c r="R49" s="2">
        <f t="shared" si="51"/>
        <v>0</v>
      </c>
      <c r="T49" s="2">
        <f t="shared" si="27"/>
        <v>0</v>
      </c>
      <c r="V49" s="5">
        <f t="shared" si="44"/>
        <v>200</v>
      </c>
      <c r="W49" s="4">
        <f t="shared" si="46"/>
        <v>251.3</v>
      </c>
      <c r="X49" s="14">
        <f t="shared" si="47"/>
        <v>0</v>
      </c>
      <c r="Y49" s="5">
        <f t="shared" si="48"/>
        <v>0</v>
      </c>
      <c r="Z49" s="2">
        <f t="shared" si="1"/>
        <v>0</v>
      </c>
      <c r="AA49" s="4">
        <f t="shared" si="2"/>
        <v>0</v>
      </c>
      <c r="AB49" s="13">
        <f t="shared" si="3"/>
        <v>34.113974999999996</v>
      </c>
      <c r="AC49" s="10">
        <f>SUM($E$4:E49)</f>
        <v>-2448.0678078802152</v>
      </c>
      <c r="AD49" s="20">
        <f>SUM($AB$4:AB49)</f>
        <v>1428.0178078802082</v>
      </c>
      <c r="AF49" s="28">
        <f t="shared" si="4"/>
        <v>10.052</v>
      </c>
      <c r="AG49" s="2">
        <f t="shared" si="5"/>
        <v>12.565000000000001</v>
      </c>
      <c r="AH49" s="2">
        <f t="shared" si="6"/>
        <v>3.2668999999999997</v>
      </c>
      <c r="AI49" s="2">
        <f t="shared" si="28"/>
        <v>13.318899999999999</v>
      </c>
      <c r="AJ49" s="2">
        <f t="shared" si="29"/>
        <v>1.9978349999999998</v>
      </c>
      <c r="AK49" s="2">
        <f t="shared" si="7"/>
        <v>0.20104</v>
      </c>
      <c r="AL49" s="2">
        <f t="shared" si="8"/>
        <v>6.0312000000000001</v>
      </c>
      <c r="AM49" s="2">
        <f t="shared" si="30"/>
        <v>34.113974999999996</v>
      </c>
      <c r="AN49" s="2">
        <f t="shared" si="9"/>
        <v>40</v>
      </c>
      <c r="AO49" s="2">
        <f t="shared" si="10"/>
        <v>25.130000000000003</v>
      </c>
      <c r="AP49" s="2">
        <f t="shared" si="11"/>
        <v>53.275599999999997</v>
      </c>
      <c r="AQ49" s="2">
        <f t="shared" si="31"/>
        <v>93.275599999999997</v>
      </c>
      <c r="AR49" s="2">
        <f t="shared" si="32"/>
        <v>13.991339999999999</v>
      </c>
      <c r="AS49" s="2">
        <f t="shared" si="12"/>
        <v>0.20104</v>
      </c>
      <c r="AT49" s="2">
        <f t="shared" si="13"/>
        <v>6.0312000000000001</v>
      </c>
      <c r="AU49" s="2">
        <f t="shared" si="33"/>
        <v>138.62918000000002</v>
      </c>
      <c r="AV49" s="2">
        <f t="shared" si="14"/>
        <v>10.052</v>
      </c>
      <c r="AW49" s="2">
        <f t="shared" si="15"/>
        <v>5.0260000000000007</v>
      </c>
      <c r="AX49" s="2">
        <f t="shared" si="16"/>
        <v>2.1109199999999997</v>
      </c>
      <c r="AY49" s="2">
        <f t="shared" si="34"/>
        <v>12.16292</v>
      </c>
      <c r="AZ49" s="2">
        <f t="shared" si="35"/>
        <v>1.8244379999999998</v>
      </c>
      <c r="BA49" s="2">
        <f t="shared" si="17"/>
        <v>0.20104</v>
      </c>
      <c r="BB49" s="2">
        <f t="shared" si="18"/>
        <v>6.0312000000000001</v>
      </c>
      <c r="BC49" s="2">
        <f t="shared" si="36"/>
        <v>25.245598000000001</v>
      </c>
      <c r="BD49" s="2">
        <v>0</v>
      </c>
      <c r="BE49" s="2">
        <f t="shared" si="19"/>
        <v>100.52</v>
      </c>
      <c r="BF49" s="2">
        <f t="shared" si="20"/>
        <v>3.2668999999999997</v>
      </c>
      <c r="BG49" s="2">
        <f t="shared" si="37"/>
        <v>3.2668999999999997</v>
      </c>
      <c r="BH49" s="2">
        <f t="shared" si="38"/>
        <v>0.49003499999999994</v>
      </c>
      <c r="BI49" s="2">
        <f t="shared" si="21"/>
        <v>0.20104</v>
      </c>
      <c r="BJ49" s="2">
        <f t="shared" si="22"/>
        <v>6.0312000000000001</v>
      </c>
      <c r="BK49" s="2">
        <f t="shared" si="39"/>
        <v>110.50917500000001</v>
      </c>
      <c r="BL49" s="2">
        <f t="shared" si="23"/>
        <v>50260</v>
      </c>
      <c r="BM49" s="2">
        <f t="shared" si="24"/>
        <v>50260</v>
      </c>
      <c r="BN49" s="2">
        <f t="shared" si="40"/>
        <v>100520</v>
      </c>
    </row>
    <row r="50" spans="1:66" x14ac:dyDescent="0.25">
      <c r="A50" s="42">
        <v>47</v>
      </c>
      <c r="B50" s="43">
        <v>42734</v>
      </c>
      <c r="C50" s="42" t="s">
        <v>50</v>
      </c>
      <c r="D50" s="42" t="s">
        <v>136</v>
      </c>
      <c r="E50" s="6">
        <f t="shared" si="25"/>
        <v>26.899281250000001</v>
      </c>
      <c r="F50" s="5" t="str">
        <f t="shared" si="41"/>
        <v>Win</v>
      </c>
      <c r="G50" s="4">
        <f t="shared" si="42"/>
        <v>50</v>
      </c>
      <c r="H50" s="46">
        <v>100</v>
      </c>
      <c r="I50" s="42">
        <v>340</v>
      </c>
      <c r="N50" s="5">
        <f t="shared" si="43"/>
        <v>100</v>
      </c>
      <c r="O50" s="4">
        <f t="shared" si="45"/>
        <v>340</v>
      </c>
      <c r="P50" s="5">
        <f t="shared" si="0"/>
        <v>100</v>
      </c>
      <c r="Q50" s="42">
        <v>340.5</v>
      </c>
      <c r="R50" s="2">
        <f t="shared" si="51"/>
        <v>0</v>
      </c>
      <c r="T50" s="2">
        <f t="shared" si="27"/>
        <v>0</v>
      </c>
      <c r="V50" s="5">
        <f t="shared" si="44"/>
        <v>100</v>
      </c>
      <c r="W50" s="4">
        <f t="shared" si="46"/>
        <v>340.5</v>
      </c>
      <c r="X50" s="14">
        <f t="shared" si="47"/>
        <v>0.5</v>
      </c>
      <c r="Y50" s="5">
        <f t="shared" si="48"/>
        <v>50</v>
      </c>
      <c r="Z50" s="2">
        <f t="shared" si="1"/>
        <v>0</v>
      </c>
      <c r="AA50" s="4">
        <f t="shared" si="2"/>
        <v>0</v>
      </c>
      <c r="AB50" s="13">
        <f t="shared" si="3"/>
        <v>23.100718749999999</v>
      </c>
      <c r="AC50" s="10">
        <f>SUM($E$4:E50)</f>
        <v>-2421.1685266302152</v>
      </c>
      <c r="AD50" s="20">
        <f>SUM($AB$4:AB50)</f>
        <v>1451.1185266302082</v>
      </c>
      <c r="AF50" s="28">
        <f t="shared" si="4"/>
        <v>6.8050000000000006</v>
      </c>
      <c r="AG50" s="2">
        <f t="shared" si="5"/>
        <v>8.5125000000000011</v>
      </c>
      <c r="AH50" s="2">
        <f t="shared" si="6"/>
        <v>2.2116249999999997</v>
      </c>
      <c r="AI50" s="2">
        <f t="shared" si="28"/>
        <v>9.0166250000000012</v>
      </c>
      <c r="AJ50" s="2">
        <f t="shared" si="29"/>
        <v>1.3524937500000001</v>
      </c>
      <c r="AK50" s="2">
        <f t="shared" si="7"/>
        <v>0.1361</v>
      </c>
      <c r="AL50" s="2">
        <f t="shared" si="8"/>
        <v>4.0830000000000002</v>
      </c>
      <c r="AM50" s="2">
        <f t="shared" si="30"/>
        <v>23.100718749999999</v>
      </c>
      <c r="AN50" s="2">
        <f t="shared" si="9"/>
        <v>40</v>
      </c>
      <c r="AO50" s="2">
        <f t="shared" si="10"/>
        <v>17.025000000000002</v>
      </c>
      <c r="AP50" s="2">
        <f t="shared" si="11"/>
        <v>36.066499999999998</v>
      </c>
      <c r="AQ50" s="2">
        <f t="shared" si="31"/>
        <v>76.066499999999991</v>
      </c>
      <c r="AR50" s="2">
        <f t="shared" si="32"/>
        <v>11.409974999999998</v>
      </c>
      <c r="AS50" s="2">
        <f t="shared" si="12"/>
        <v>0.1361</v>
      </c>
      <c r="AT50" s="2">
        <f t="shared" si="13"/>
        <v>4.0830000000000002</v>
      </c>
      <c r="AU50" s="2">
        <f t="shared" si="33"/>
        <v>108.720575</v>
      </c>
      <c r="AV50" s="2">
        <f t="shared" si="14"/>
        <v>6.8050000000000006</v>
      </c>
      <c r="AW50" s="2">
        <f t="shared" si="15"/>
        <v>3.4050000000000002</v>
      </c>
      <c r="AX50" s="2">
        <f t="shared" si="16"/>
        <v>1.4290499999999999</v>
      </c>
      <c r="AY50" s="2">
        <f t="shared" si="34"/>
        <v>8.2340499999999999</v>
      </c>
      <c r="AZ50" s="2">
        <f t="shared" si="35"/>
        <v>1.2351075</v>
      </c>
      <c r="BA50" s="2">
        <f t="shared" si="17"/>
        <v>0.1361</v>
      </c>
      <c r="BB50" s="2">
        <f t="shared" si="18"/>
        <v>4.0830000000000002</v>
      </c>
      <c r="BC50" s="2">
        <f t="shared" si="36"/>
        <v>17.0932575</v>
      </c>
      <c r="BD50" s="2">
        <v>0</v>
      </c>
      <c r="BE50" s="2">
        <f t="shared" si="19"/>
        <v>68.05</v>
      </c>
      <c r="BF50" s="2">
        <f t="shared" si="20"/>
        <v>2.2116249999999997</v>
      </c>
      <c r="BG50" s="2">
        <f t="shared" si="37"/>
        <v>2.2116249999999997</v>
      </c>
      <c r="BH50" s="2">
        <f t="shared" si="38"/>
        <v>0.33174374999999995</v>
      </c>
      <c r="BI50" s="2">
        <f t="shared" si="21"/>
        <v>0.1361</v>
      </c>
      <c r="BJ50" s="2">
        <f t="shared" si="22"/>
        <v>4.0830000000000002</v>
      </c>
      <c r="BK50" s="2">
        <f t="shared" si="39"/>
        <v>74.812468749999994</v>
      </c>
      <c r="BL50" s="2">
        <f t="shared" si="23"/>
        <v>34000</v>
      </c>
      <c r="BM50" s="2">
        <f t="shared" si="24"/>
        <v>34050</v>
      </c>
      <c r="BN50" s="2">
        <f t="shared" si="40"/>
        <v>68050</v>
      </c>
    </row>
    <row r="51" spans="1:66" x14ac:dyDescent="0.25">
      <c r="A51" s="42">
        <v>48</v>
      </c>
      <c r="B51" s="43">
        <v>42734</v>
      </c>
      <c r="C51" s="42" t="s">
        <v>50</v>
      </c>
      <c r="D51" s="42" t="s">
        <v>114</v>
      </c>
      <c r="E51" s="6">
        <f t="shared" si="25"/>
        <v>-197.76809062500058</v>
      </c>
      <c r="F51" s="5" t="str">
        <f t="shared" si="41"/>
        <v>Loss</v>
      </c>
      <c r="G51" s="4">
        <f t="shared" si="42"/>
        <v>-165.00000000000057</v>
      </c>
      <c r="H51" s="46">
        <v>100</v>
      </c>
      <c r="I51" s="42">
        <v>242</v>
      </c>
      <c r="J51" s="42">
        <v>100</v>
      </c>
      <c r="K51" s="42">
        <v>241.9</v>
      </c>
      <c r="N51" s="5">
        <f t="shared" si="43"/>
        <v>200</v>
      </c>
      <c r="O51" s="4">
        <f t="shared" si="45"/>
        <v>241.95</v>
      </c>
      <c r="P51" s="5">
        <f t="shared" si="0"/>
        <v>100</v>
      </c>
      <c r="Q51" s="42">
        <v>241.2</v>
      </c>
      <c r="R51" s="2">
        <f t="shared" si="51"/>
        <v>100</v>
      </c>
      <c r="S51" s="42">
        <v>241.05</v>
      </c>
      <c r="T51" s="2">
        <f t="shared" si="27"/>
        <v>0</v>
      </c>
      <c r="V51" s="5">
        <f t="shared" si="44"/>
        <v>200</v>
      </c>
      <c r="W51" s="4">
        <f t="shared" si="46"/>
        <v>241.125</v>
      </c>
      <c r="X51" s="14">
        <f t="shared" si="47"/>
        <v>-0.70000000000001705</v>
      </c>
      <c r="Y51" s="5">
        <f t="shared" si="48"/>
        <v>-80.000000000001137</v>
      </c>
      <c r="Z51" s="2">
        <f t="shared" si="1"/>
        <v>-84.999999999999432</v>
      </c>
      <c r="AA51" s="4">
        <f t="shared" si="2"/>
        <v>0</v>
      </c>
      <c r="AB51" s="13">
        <f t="shared" si="3"/>
        <v>32.768090624999999</v>
      </c>
      <c r="AC51" s="10">
        <f>SUM($E$4:E51)</f>
        <v>-2618.9366172552159</v>
      </c>
      <c r="AD51" s="20">
        <f>SUM($AB$4:AB51)</f>
        <v>1483.8866172552082</v>
      </c>
      <c r="AF51" s="28">
        <f t="shared" si="4"/>
        <v>9.6615000000000002</v>
      </c>
      <c r="AG51" s="2">
        <f t="shared" si="5"/>
        <v>12.05625</v>
      </c>
      <c r="AH51" s="2">
        <f t="shared" si="6"/>
        <v>3.1399874999999997</v>
      </c>
      <c r="AI51" s="2">
        <f t="shared" si="28"/>
        <v>12.8014875</v>
      </c>
      <c r="AJ51" s="2">
        <f t="shared" si="29"/>
        <v>1.9202231249999999</v>
      </c>
      <c r="AK51" s="2">
        <f t="shared" si="7"/>
        <v>0.19323000000000001</v>
      </c>
      <c r="AL51" s="2">
        <f t="shared" si="8"/>
        <v>5.7968999999999999</v>
      </c>
      <c r="AM51" s="2">
        <f t="shared" si="30"/>
        <v>32.768090624999999</v>
      </c>
      <c r="AN51" s="2">
        <f t="shared" si="9"/>
        <v>80</v>
      </c>
      <c r="AO51" s="2">
        <f t="shared" si="10"/>
        <v>24.112500000000001</v>
      </c>
      <c r="AP51" s="2">
        <f t="shared" si="11"/>
        <v>51.205950000000001</v>
      </c>
      <c r="AQ51" s="2">
        <f t="shared" si="31"/>
        <v>131.20595</v>
      </c>
      <c r="AR51" s="2">
        <f t="shared" si="32"/>
        <v>19.680892499999999</v>
      </c>
      <c r="AS51" s="2">
        <f t="shared" si="12"/>
        <v>0.19323000000000001</v>
      </c>
      <c r="AT51" s="2">
        <f t="shared" si="13"/>
        <v>5.7968999999999999</v>
      </c>
      <c r="AU51" s="2">
        <f t="shared" si="33"/>
        <v>180.98947249999998</v>
      </c>
      <c r="AV51" s="2">
        <f t="shared" si="14"/>
        <v>9.6615000000000002</v>
      </c>
      <c r="AW51" s="2">
        <f t="shared" si="15"/>
        <v>4.8224999999999998</v>
      </c>
      <c r="AX51" s="2">
        <f t="shared" si="16"/>
        <v>2.028915</v>
      </c>
      <c r="AY51" s="2">
        <f t="shared" si="34"/>
        <v>11.690415</v>
      </c>
      <c r="AZ51" s="2">
        <f t="shared" si="35"/>
        <v>1.7535622499999999</v>
      </c>
      <c r="BA51" s="2">
        <f t="shared" si="17"/>
        <v>0.19323000000000001</v>
      </c>
      <c r="BB51" s="2">
        <f t="shared" si="18"/>
        <v>5.7968999999999999</v>
      </c>
      <c r="BC51" s="2">
        <f t="shared" si="36"/>
        <v>24.256607250000002</v>
      </c>
      <c r="BD51" s="2">
        <v>0</v>
      </c>
      <c r="BE51" s="2">
        <f t="shared" si="19"/>
        <v>96.615000000000009</v>
      </c>
      <c r="BF51" s="2">
        <f t="shared" si="20"/>
        <v>3.1399874999999997</v>
      </c>
      <c r="BG51" s="2">
        <f t="shared" si="37"/>
        <v>3.1399874999999997</v>
      </c>
      <c r="BH51" s="2">
        <f t="shared" si="38"/>
        <v>0.47099812499999993</v>
      </c>
      <c r="BI51" s="2">
        <f t="shared" si="21"/>
        <v>0.19323000000000001</v>
      </c>
      <c r="BJ51" s="2">
        <f t="shared" si="22"/>
        <v>5.7968999999999999</v>
      </c>
      <c r="BK51" s="2">
        <f t="shared" si="39"/>
        <v>106.216115625</v>
      </c>
      <c r="BL51" s="2">
        <f t="shared" si="23"/>
        <v>48390</v>
      </c>
      <c r="BM51" s="2">
        <f t="shared" si="24"/>
        <v>48225</v>
      </c>
      <c r="BN51" s="2">
        <f t="shared" si="40"/>
        <v>96615</v>
      </c>
    </row>
    <row r="52" spans="1:66" x14ac:dyDescent="0.25">
      <c r="A52" s="42">
        <v>49</v>
      </c>
      <c r="B52" s="43">
        <v>42734</v>
      </c>
      <c r="C52" s="42" t="s">
        <v>50</v>
      </c>
      <c r="D52" s="42" t="s">
        <v>137</v>
      </c>
      <c r="E52" s="6">
        <f t="shared" si="25"/>
        <v>-58.163059375002277</v>
      </c>
      <c r="F52" s="5" t="str">
        <f t="shared" si="41"/>
        <v>Loss</v>
      </c>
      <c r="G52" s="4">
        <f t="shared" si="42"/>
        <v>-35.000000000002274</v>
      </c>
      <c r="H52" s="46">
        <v>100</v>
      </c>
      <c r="I52" s="42">
        <v>341.5</v>
      </c>
      <c r="N52" s="5">
        <f t="shared" si="43"/>
        <v>100</v>
      </c>
      <c r="O52" s="4">
        <f t="shared" si="45"/>
        <v>341.5</v>
      </c>
      <c r="P52" s="5">
        <f t="shared" si="0"/>
        <v>100</v>
      </c>
      <c r="Q52" s="42">
        <v>341.15</v>
      </c>
      <c r="R52" s="2">
        <f t="shared" si="51"/>
        <v>0</v>
      </c>
      <c r="T52" s="2">
        <f t="shared" si="27"/>
        <v>0</v>
      </c>
      <c r="V52" s="5">
        <f t="shared" si="44"/>
        <v>100</v>
      </c>
      <c r="W52" s="4">
        <f t="shared" si="46"/>
        <v>341.15</v>
      </c>
      <c r="X52" s="14">
        <f t="shared" si="47"/>
        <v>-0.35000000000002274</v>
      </c>
      <c r="Y52" s="5">
        <f t="shared" si="48"/>
        <v>-35.000000000002274</v>
      </c>
      <c r="Z52" s="2">
        <f t="shared" si="1"/>
        <v>0</v>
      </c>
      <c r="AA52" s="4">
        <f t="shared" si="2"/>
        <v>0</v>
      </c>
      <c r="AB52" s="13">
        <f t="shared" si="3"/>
        <v>23.163059375000003</v>
      </c>
      <c r="AC52" s="10">
        <f>SUM($E$4:E52)</f>
        <v>-2677.0996766302183</v>
      </c>
      <c r="AD52" s="20">
        <f>SUM($AB$4:AB52)</f>
        <v>1507.0496766302083</v>
      </c>
      <c r="AF52" s="28">
        <f t="shared" si="4"/>
        <v>6.8265000000000002</v>
      </c>
      <c r="AG52" s="2">
        <f t="shared" si="5"/>
        <v>8.5287500000000005</v>
      </c>
      <c r="AH52" s="2">
        <f t="shared" si="6"/>
        <v>2.2186124999999999</v>
      </c>
      <c r="AI52" s="2">
        <f t="shared" si="28"/>
        <v>9.0451125000000001</v>
      </c>
      <c r="AJ52" s="2">
        <f t="shared" si="29"/>
        <v>1.3567668749999999</v>
      </c>
      <c r="AK52" s="2">
        <f t="shared" si="7"/>
        <v>0.13653000000000001</v>
      </c>
      <c r="AL52" s="2">
        <f t="shared" si="8"/>
        <v>4.0959000000000003</v>
      </c>
      <c r="AM52" s="2">
        <f t="shared" si="30"/>
        <v>23.163059375000003</v>
      </c>
      <c r="AN52" s="2">
        <f t="shared" si="9"/>
        <v>40</v>
      </c>
      <c r="AO52" s="2">
        <f t="shared" si="10"/>
        <v>17.057500000000001</v>
      </c>
      <c r="AP52" s="2">
        <f t="shared" si="11"/>
        <v>36.18045</v>
      </c>
      <c r="AQ52" s="2">
        <f t="shared" si="31"/>
        <v>76.180450000000008</v>
      </c>
      <c r="AR52" s="2">
        <f t="shared" si="32"/>
        <v>11.427067500000001</v>
      </c>
      <c r="AS52" s="2">
        <f t="shared" si="12"/>
        <v>0.13653000000000001</v>
      </c>
      <c r="AT52" s="2">
        <f t="shared" si="13"/>
        <v>4.0959000000000003</v>
      </c>
      <c r="AU52" s="2">
        <f t="shared" si="33"/>
        <v>108.89744750000001</v>
      </c>
      <c r="AV52" s="2">
        <f t="shared" si="14"/>
        <v>6.8265000000000002</v>
      </c>
      <c r="AW52" s="2">
        <f t="shared" si="15"/>
        <v>3.4114999999999998</v>
      </c>
      <c r="AX52" s="2">
        <f t="shared" si="16"/>
        <v>1.433565</v>
      </c>
      <c r="AY52" s="2">
        <f t="shared" si="34"/>
        <v>8.2600650000000009</v>
      </c>
      <c r="AZ52" s="2">
        <f t="shared" si="35"/>
        <v>1.2390097500000001</v>
      </c>
      <c r="BA52" s="2">
        <f t="shared" si="17"/>
        <v>0.13653000000000001</v>
      </c>
      <c r="BB52" s="2">
        <f t="shared" si="18"/>
        <v>4.0959000000000003</v>
      </c>
      <c r="BC52" s="2">
        <f t="shared" si="36"/>
        <v>17.143004749999999</v>
      </c>
      <c r="BD52" s="2">
        <v>0</v>
      </c>
      <c r="BE52" s="2">
        <f t="shared" si="19"/>
        <v>68.265000000000001</v>
      </c>
      <c r="BF52" s="2">
        <f t="shared" si="20"/>
        <v>2.2186124999999999</v>
      </c>
      <c r="BG52" s="2">
        <f t="shared" si="37"/>
        <v>2.2186124999999999</v>
      </c>
      <c r="BH52" s="2">
        <f t="shared" si="38"/>
        <v>0.33279187499999996</v>
      </c>
      <c r="BI52" s="2">
        <f t="shared" si="21"/>
        <v>0.13653000000000001</v>
      </c>
      <c r="BJ52" s="2">
        <f t="shared" si="22"/>
        <v>4.0959000000000003</v>
      </c>
      <c r="BK52" s="2">
        <f t="shared" si="39"/>
        <v>75.048834374999998</v>
      </c>
      <c r="BL52" s="2">
        <f t="shared" si="23"/>
        <v>34150</v>
      </c>
      <c r="BM52" s="2">
        <f t="shared" si="24"/>
        <v>34115</v>
      </c>
      <c r="BN52" s="2">
        <f t="shared" si="40"/>
        <v>68265</v>
      </c>
    </row>
    <row r="53" spans="1:66" x14ac:dyDescent="0.25">
      <c r="A53" s="42">
        <v>50</v>
      </c>
      <c r="B53" s="43">
        <v>42734</v>
      </c>
      <c r="C53" s="42" t="s">
        <v>50</v>
      </c>
      <c r="D53" s="42" t="s">
        <v>131</v>
      </c>
      <c r="E53" s="6">
        <f t="shared" si="25"/>
        <v>33.627166406251703</v>
      </c>
      <c r="F53" s="5" t="str">
        <f t="shared" si="41"/>
        <v>Win</v>
      </c>
      <c r="G53" s="4">
        <f t="shared" si="42"/>
        <v>63.750000000001705</v>
      </c>
      <c r="H53" s="46">
        <v>75</v>
      </c>
      <c r="I53" s="42">
        <v>591.15</v>
      </c>
      <c r="N53" s="5">
        <f t="shared" si="43"/>
        <v>75</v>
      </c>
      <c r="O53" s="4">
        <f t="shared" si="45"/>
        <v>591.15</v>
      </c>
      <c r="P53" s="5">
        <f t="shared" si="0"/>
        <v>75</v>
      </c>
      <c r="Q53" s="42">
        <v>592</v>
      </c>
      <c r="R53" s="2">
        <f t="shared" si="51"/>
        <v>0</v>
      </c>
      <c r="T53" s="2">
        <f t="shared" si="27"/>
        <v>0</v>
      </c>
      <c r="V53" s="5">
        <f t="shared" si="44"/>
        <v>75</v>
      </c>
      <c r="W53" s="4">
        <f t="shared" si="46"/>
        <v>592</v>
      </c>
      <c r="X53" s="14">
        <f t="shared" si="47"/>
        <v>0.85000000000002274</v>
      </c>
      <c r="Y53" s="5">
        <f t="shared" si="48"/>
        <v>63.750000000001705</v>
      </c>
      <c r="Z53" s="2">
        <f t="shared" si="1"/>
        <v>0</v>
      </c>
      <c r="AA53" s="4">
        <f t="shared" si="2"/>
        <v>0</v>
      </c>
      <c r="AB53" s="13">
        <f t="shared" si="3"/>
        <v>30.122833593749998</v>
      </c>
      <c r="AC53" s="10">
        <f>SUM($E$4:E53)</f>
        <v>-2643.4725102239668</v>
      </c>
      <c r="AD53" s="20">
        <f>SUM($AB$4:AB53)</f>
        <v>1537.1725102239584</v>
      </c>
      <c r="AF53" s="28">
        <f t="shared" si="4"/>
        <v>8.8736250000000005</v>
      </c>
      <c r="AG53" s="2">
        <f t="shared" si="5"/>
        <v>11.1</v>
      </c>
      <c r="AH53" s="2">
        <f t="shared" si="6"/>
        <v>2.8839281249999997</v>
      </c>
      <c r="AI53" s="2">
        <f t="shared" si="28"/>
        <v>11.757553125000001</v>
      </c>
      <c r="AJ53" s="2">
        <f t="shared" si="29"/>
        <v>1.7636329687500001</v>
      </c>
      <c r="AK53" s="2">
        <f t="shared" si="7"/>
        <v>0.17747249999999998</v>
      </c>
      <c r="AL53" s="2">
        <f t="shared" si="8"/>
        <v>5.3241750000000003</v>
      </c>
      <c r="AM53" s="2">
        <f t="shared" si="30"/>
        <v>30.122833593749998</v>
      </c>
      <c r="AN53" s="2">
        <f t="shared" si="9"/>
        <v>40</v>
      </c>
      <c r="AO53" s="2">
        <f t="shared" si="10"/>
        <v>22.2</v>
      </c>
      <c r="AP53" s="2">
        <f t="shared" si="11"/>
        <v>47.030212499999998</v>
      </c>
      <c r="AQ53" s="2">
        <f t="shared" si="31"/>
        <v>87.030212500000005</v>
      </c>
      <c r="AR53" s="2">
        <f t="shared" si="32"/>
        <v>13.054531875</v>
      </c>
      <c r="AS53" s="2">
        <f t="shared" si="12"/>
        <v>0.17747249999999998</v>
      </c>
      <c r="AT53" s="2">
        <f t="shared" si="13"/>
        <v>5.3241750000000003</v>
      </c>
      <c r="AU53" s="2">
        <f t="shared" si="33"/>
        <v>127.78639187499998</v>
      </c>
      <c r="AV53" s="2">
        <f t="shared" si="14"/>
        <v>8.8736250000000005</v>
      </c>
      <c r="AW53" s="2">
        <f t="shared" si="15"/>
        <v>4.4400000000000004</v>
      </c>
      <c r="AX53" s="2">
        <f t="shared" si="16"/>
        <v>1.8634612499999998</v>
      </c>
      <c r="AY53" s="2">
        <f t="shared" si="34"/>
        <v>10.737086250000001</v>
      </c>
      <c r="AZ53" s="2">
        <f t="shared" si="35"/>
        <v>1.6105629375000001</v>
      </c>
      <c r="BA53" s="2">
        <f t="shared" si="17"/>
        <v>0.17747249999999998</v>
      </c>
      <c r="BB53" s="2">
        <f t="shared" si="18"/>
        <v>5.3241750000000003</v>
      </c>
      <c r="BC53" s="2">
        <f t="shared" si="36"/>
        <v>22.289296687500002</v>
      </c>
      <c r="BD53" s="2">
        <v>0</v>
      </c>
      <c r="BE53" s="2">
        <f t="shared" si="19"/>
        <v>88.736249999999998</v>
      </c>
      <c r="BF53" s="2">
        <f t="shared" si="20"/>
        <v>2.8839281249999997</v>
      </c>
      <c r="BG53" s="2">
        <f t="shared" si="37"/>
        <v>2.8839281249999997</v>
      </c>
      <c r="BH53" s="2">
        <f t="shared" si="38"/>
        <v>0.43258921874999995</v>
      </c>
      <c r="BI53" s="2">
        <f t="shared" si="21"/>
        <v>0.17747249999999998</v>
      </c>
      <c r="BJ53" s="2">
        <f t="shared" si="22"/>
        <v>5.3241750000000003</v>
      </c>
      <c r="BK53" s="2">
        <f t="shared" si="39"/>
        <v>97.554414843749981</v>
      </c>
      <c r="BL53" s="2">
        <f t="shared" si="23"/>
        <v>44336.25</v>
      </c>
      <c r="BM53" s="2">
        <f t="shared" si="24"/>
        <v>44400</v>
      </c>
      <c r="BN53" s="2">
        <f t="shared" si="40"/>
        <v>88736.25</v>
      </c>
    </row>
    <row r="54" spans="1:66" x14ac:dyDescent="0.25">
      <c r="A54" s="42">
        <v>51</v>
      </c>
      <c r="B54" s="43">
        <v>42734</v>
      </c>
      <c r="C54" s="42" t="s">
        <v>50</v>
      </c>
      <c r="D54" s="42" t="s">
        <v>131</v>
      </c>
      <c r="E54" s="6">
        <f t="shared" si="25"/>
        <v>-306.22168125000002</v>
      </c>
      <c r="F54" s="5" t="str">
        <f t="shared" si="41"/>
        <v>Loss</v>
      </c>
      <c r="G54" s="4">
        <f t="shared" si="42"/>
        <v>-270</v>
      </c>
      <c r="H54" s="46">
        <v>90</v>
      </c>
      <c r="I54" s="42">
        <v>595</v>
      </c>
      <c r="N54" s="5">
        <f t="shared" si="43"/>
        <v>90</v>
      </c>
      <c r="O54" s="4">
        <f t="shared" si="45"/>
        <v>595</v>
      </c>
      <c r="P54" s="5">
        <f t="shared" si="0"/>
        <v>90</v>
      </c>
      <c r="Q54" s="42">
        <v>592</v>
      </c>
      <c r="R54" s="2">
        <f t="shared" si="51"/>
        <v>0</v>
      </c>
      <c r="T54" s="2">
        <f t="shared" si="27"/>
        <v>0</v>
      </c>
      <c r="V54" s="5">
        <f t="shared" si="44"/>
        <v>90</v>
      </c>
      <c r="W54" s="4">
        <f t="shared" si="46"/>
        <v>592</v>
      </c>
      <c r="X54" s="14">
        <f t="shared" si="47"/>
        <v>-3</v>
      </c>
      <c r="Y54" s="5">
        <f t="shared" si="48"/>
        <v>-270</v>
      </c>
      <c r="Z54" s="2">
        <f t="shared" si="1"/>
        <v>0</v>
      </c>
      <c r="AA54" s="4">
        <f t="shared" si="2"/>
        <v>0</v>
      </c>
      <c r="AB54" s="13">
        <f t="shared" si="3"/>
        <v>36.221681250000003</v>
      </c>
      <c r="AC54" s="10">
        <f>SUM($E$4:E54)</f>
        <v>-2949.6941914739668</v>
      </c>
      <c r="AD54" s="20">
        <f>SUM($AB$4:AB54)</f>
        <v>1573.3941914739585</v>
      </c>
      <c r="AF54" s="28">
        <f t="shared" si="4"/>
        <v>10.683</v>
      </c>
      <c r="AG54" s="2">
        <f t="shared" si="5"/>
        <v>13.32</v>
      </c>
      <c r="AH54" s="2">
        <f t="shared" si="6"/>
        <v>3.4719749999999996</v>
      </c>
      <c r="AI54" s="2">
        <f t="shared" si="28"/>
        <v>14.154975</v>
      </c>
      <c r="AJ54" s="2">
        <f t="shared" si="29"/>
        <v>2.1232462499999998</v>
      </c>
      <c r="AK54" s="2">
        <f t="shared" si="7"/>
        <v>0.21365999999999999</v>
      </c>
      <c r="AL54" s="2">
        <f t="shared" si="8"/>
        <v>6.4097999999999997</v>
      </c>
      <c r="AM54" s="2">
        <f t="shared" si="30"/>
        <v>36.221681250000003</v>
      </c>
      <c r="AN54" s="2">
        <f t="shared" si="9"/>
        <v>40</v>
      </c>
      <c r="AO54" s="2">
        <f t="shared" si="10"/>
        <v>26.64</v>
      </c>
      <c r="AP54" s="2">
        <f t="shared" si="11"/>
        <v>56.619900000000001</v>
      </c>
      <c r="AQ54" s="2">
        <f t="shared" si="31"/>
        <v>96.619900000000001</v>
      </c>
      <c r="AR54" s="2">
        <f t="shared" si="32"/>
        <v>14.492984999999999</v>
      </c>
      <c r="AS54" s="2">
        <f t="shared" si="12"/>
        <v>0.21365999999999999</v>
      </c>
      <c r="AT54" s="2">
        <f t="shared" si="13"/>
        <v>6.4097999999999997</v>
      </c>
      <c r="AU54" s="2">
        <f t="shared" si="33"/>
        <v>144.37634499999999</v>
      </c>
      <c r="AV54" s="2">
        <f t="shared" si="14"/>
        <v>10.683</v>
      </c>
      <c r="AW54" s="2">
        <f t="shared" si="15"/>
        <v>5.3280000000000003</v>
      </c>
      <c r="AX54" s="2">
        <f t="shared" si="16"/>
        <v>2.24343</v>
      </c>
      <c r="AY54" s="2">
        <f t="shared" si="34"/>
        <v>12.92643</v>
      </c>
      <c r="AZ54" s="2">
        <f t="shared" si="35"/>
        <v>1.9389645</v>
      </c>
      <c r="BA54" s="2">
        <f t="shared" si="17"/>
        <v>0.21365999999999999</v>
      </c>
      <c r="BB54" s="2">
        <f t="shared" si="18"/>
        <v>6.4097999999999997</v>
      </c>
      <c r="BC54" s="2">
        <f t="shared" si="36"/>
        <v>26.816854500000002</v>
      </c>
      <c r="BD54" s="2">
        <v>0</v>
      </c>
      <c r="BE54" s="2">
        <f t="shared" si="19"/>
        <v>106.83</v>
      </c>
      <c r="BF54" s="2">
        <f t="shared" si="20"/>
        <v>3.4719749999999996</v>
      </c>
      <c r="BG54" s="2">
        <f t="shared" si="37"/>
        <v>3.4719749999999996</v>
      </c>
      <c r="BH54" s="2">
        <f t="shared" si="38"/>
        <v>0.52079624999999996</v>
      </c>
      <c r="BI54" s="2">
        <f t="shared" si="21"/>
        <v>0.21365999999999999</v>
      </c>
      <c r="BJ54" s="2">
        <f t="shared" si="22"/>
        <v>6.4097999999999997</v>
      </c>
      <c r="BK54" s="2">
        <f t="shared" si="39"/>
        <v>117.44623125000001</v>
      </c>
      <c r="BL54" s="2">
        <f t="shared" si="23"/>
        <v>53550</v>
      </c>
      <c r="BM54" s="2">
        <f t="shared" si="24"/>
        <v>53280</v>
      </c>
      <c r="BN54" s="2">
        <f t="shared" si="40"/>
        <v>106830</v>
      </c>
    </row>
    <row r="55" spans="1:66" x14ac:dyDescent="0.25">
      <c r="A55" s="42">
        <v>52</v>
      </c>
      <c r="B55" s="43">
        <v>42734</v>
      </c>
      <c r="C55" s="42" t="s">
        <v>50</v>
      </c>
      <c r="D55" s="42" t="s">
        <v>131</v>
      </c>
      <c r="E55" s="6">
        <f t="shared" si="25"/>
        <v>-52.641323437496588</v>
      </c>
      <c r="F55" s="5" t="str">
        <f t="shared" si="41"/>
        <v>Loss</v>
      </c>
      <c r="G55" s="4">
        <f t="shared" si="42"/>
        <v>-22.499999999996589</v>
      </c>
      <c r="H55" s="46">
        <v>75</v>
      </c>
      <c r="I55" s="42">
        <v>592.29999999999995</v>
      </c>
      <c r="N55" s="5">
        <f t="shared" si="43"/>
        <v>75</v>
      </c>
      <c r="O55" s="4">
        <f t="shared" si="45"/>
        <v>592.29999999999995</v>
      </c>
      <c r="P55" s="5">
        <f t="shared" si="0"/>
        <v>75</v>
      </c>
      <c r="Q55" s="42">
        <v>592</v>
      </c>
      <c r="R55" s="2">
        <f t="shared" si="51"/>
        <v>0</v>
      </c>
      <c r="T55" s="2">
        <f t="shared" si="27"/>
        <v>0</v>
      </c>
      <c r="V55" s="5">
        <f t="shared" si="44"/>
        <v>75</v>
      </c>
      <c r="W55" s="4">
        <f t="shared" si="46"/>
        <v>592</v>
      </c>
      <c r="X55" s="14">
        <f t="shared" si="47"/>
        <v>-0.29999999999995453</v>
      </c>
      <c r="Y55" s="5">
        <f t="shared" si="48"/>
        <v>-22.499999999996589</v>
      </c>
      <c r="Z55" s="2">
        <f t="shared" si="1"/>
        <v>0</v>
      </c>
      <c r="AA55" s="4">
        <f t="shared" si="2"/>
        <v>0</v>
      </c>
      <c r="AB55" s="13">
        <f t="shared" si="3"/>
        <v>30.141323437499999</v>
      </c>
      <c r="AC55" s="10">
        <f>SUM($E$4:E55)</f>
        <v>-3002.3355149114636</v>
      </c>
      <c r="AD55" s="20">
        <f>SUM($AB$4:AB55)</f>
        <v>1603.5355149114584</v>
      </c>
      <c r="AF55" s="28">
        <f t="shared" si="4"/>
        <v>8.8822500000000009</v>
      </c>
      <c r="AG55" s="2">
        <f t="shared" si="5"/>
        <v>11.1</v>
      </c>
      <c r="AH55" s="2">
        <f t="shared" si="6"/>
        <v>2.8867312499999995</v>
      </c>
      <c r="AI55" s="2">
        <f t="shared" si="28"/>
        <v>11.76898125</v>
      </c>
      <c r="AJ55" s="2">
        <f t="shared" si="29"/>
        <v>1.7653471875</v>
      </c>
      <c r="AK55" s="2">
        <f t="shared" si="7"/>
        <v>0.177645</v>
      </c>
      <c r="AL55" s="2">
        <f t="shared" si="8"/>
        <v>5.3293499999999998</v>
      </c>
      <c r="AM55" s="2">
        <f t="shared" si="30"/>
        <v>30.141323437499999</v>
      </c>
      <c r="AN55" s="2">
        <f t="shared" si="9"/>
        <v>40</v>
      </c>
      <c r="AO55" s="2">
        <f t="shared" si="10"/>
        <v>22.2</v>
      </c>
      <c r="AP55" s="2">
        <f t="shared" si="11"/>
        <v>47.075924999999998</v>
      </c>
      <c r="AQ55" s="2">
        <f t="shared" si="31"/>
        <v>87.075924999999998</v>
      </c>
      <c r="AR55" s="2">
        <f t="shared" si="32"/>
        <v>13.061388749999999</v>
      </c>
      <c r="AS55" s="2">
        <f t="shared" si="12"/>
        <v>0.177645</v>
      </c>
      <c r="AT55" s="2">
        <f t="shared" si="13"/>
        <v>5.3293499999999998</v>
      </c>
      <c r="AU55" s="2">
        <f t="shared" si="33"/>
        <v>127.84430875</v>
      </c>
      <c r="AV55" s="2">
        <f t="shared" si="14"/>
        <v>8.8822500000000009</v>
      </c>
      <c r="AW55" s="2">
        <f t="shared" si="15"/>
        <v>4.4400000000000004</v>
      </c>
      <c r="AX55" s="2">
        <f t="shared" si="16"/>
        <v>1.8652724999999999</v>
      </c>
      <c r="AY55" s="2">
        <f t="shared" si="34"/>
        <v>10.747522500000001</v>
      </c>
      <c r="AZ55" s="2">
        <f t="shared" si="35"/>
        <v>1.6121283749999999</v>
      </c>
      <c r="BA55" s="2">
        <f t="shared" si="17"/>
        <v>0.177645</v>
      </c>
      <c r="BB55" s="2">
        <f t="shared" si="18"/>
        <v>5.3293499999999998</v>
      </c>
      <c r="BC55" s="2">
        <f t="shared" si="36"/>
        <v>22.306645875000001</v>
      </c>
      <c r="BD55" s="2">
        <v>0</v>
      </c>
      <c r="BE55" s="2">
        <f t="shared" si="19"/>
        <v>88.822500000000005</v>
      </c>
      <c r="BF55" s="2">
        <f t="shared" si="20"/>
        <v>2.8867312499999995</v>
      </c>
      <c r="BG55" s="2">
        <f t="shared" si="37"/>
        <v>2.8867312499999995</v>
      </c>
      <c r="BH55" s="2">
        <f t="shared" si="38"/>
        <v>0.43300968749999991</v>
      </c>
      <c r="BI55" s="2">
        <f t="shared" si="21"/>
        <v>0.177645</v>
      </c>
      <c r="BJ55" s="2">
        <f t="shared" si="22"/>
        <v>5.3293499999999998</v>
      </c>
      <c r="BK55" s="2">
        <f t="shared" si="39"/>
        <v>97.649235937500009</v>
      </c>
      <c r="BL55" s="2">
        <f t="shared" si="23"/>
        <v>44422.5</v>
      </c>
      <c r="BM55" s="2">
        <f t="shared" si="24"/>
        <v>44400</v>
      </c>
      <c r="BN55" s="2">
        <f t="shared" si="40"/>
        <v>88822.5</v>
      </c>
    </row>
    <row r="56" spans="1:66" x14ac:dyDescent="0.25">
      <c r="A56" s="42">
        <v>53</v>
      </c>
      <c r="B56" s="43">
        <v>42734</v>
      </c>
      <c r="C56" s="42" t="s">
        <v>50</v>
      </c>
      <c r="D56" s="42" t="s">
        <v>131</v>
      </c>
      <c r="E56" s="6">
        <f t="shared" si="25"/>
        <v>-180.16865625</v>
      </c>
      <c r="F56" s="5" t="str">
        <f t="shared" si="41"/>
        <v>Loss</v>
      </c>
      <c r="G56" s="4">
        <f t="shared" si="42"/>
        <v>-150</v>
      </c>
      <c r="H56" s="46">
        <v>75</v>
      </c>
      <c r="I56" s="42">
        <v>594</v>
      </c>
      <c r="N56" s="5">
        <f t="shared" si="43"/>
        <v>75</v>
      </c>
      <c r="O56" s="4">
        <f t="shared" si="45"/>
        <v>594</v>
      </c>
      <c r="P56" s="5">
        <f t="shared" si="0"/>
        <v>75</v>
      </c>
      <c r="Q56" s="42">
        <v>592</v>
      </c>
      <c r="R56" s="2">
        <f t="shared" si="51"/>
        <v>0</v>
      </c>
      <c r="T56" s="2">
        <f t="shared" si="27"/>
        <v>0</v>
      </c>
      <c r="V56" s="5">
        <f t="shared" si="44"/>
        <v>75</v>
      </c>
      <c r="W56" s="4">
        <f t="shared" si="46"/>
        <v>592</v>
      </c>
      <c r="X56" s="14">
        <f t="shared" si="47"/>
        <v>-2</v>
      </c>
      <c r="Y56" s="5">
        <f t="shared" si="48"/>
        <v>-150</v>
      </c>
      <c r="Z56" s="2">
        <f t="shared" si="1"/>
        <v>0</v>
      </c>
      <c r="AA56" s="4">
        <f t="shared" si="2"/>
        <v>0</v>
      </c>
      <c r="AB56" s="13">
        <f t="shared" si="3"/>
        <v>30.168656249999998</v>
      </c>
      <c r="AC56" s="10">
        <f>SUM($E$4:E56)</f>
        <v>-3182.5041711614635</v>
      </c>
      <c r="AD56" s="20">
        <f>SUM($AB$4:AB56)</f>
        <v>1633.7041711614584</v>
      </c>
      <c r="AF56" s="28">
        <f t="shared" si="4"/>
        <v>8.8949999999999996</v>
      </c>
      <c r="AG56" s="2">
        <f t="shared" si="5"/>
        <v>11.1</v>
      </c>
      <c r="AH56" s="2">
        <f t="shared" si="6"/>
        <v>2.8908749999999999</v>
      </c>
      <c r="AI56" s="2">
        <f t="shared" si="28"/>
        <v>11.785874999999999</v>
      </c>
      <c r="AJ56" s="2">
        <f t="shared" si="29"/>
        <v>1.7678812499999998</v>
      </c>
      <c r="AK56" s="2">
        <f t="shared" si="7"/>
        <v>0.1779</v>
      </c>
      <c r="AL56" s="2">
        <f t="shared" si="8"/>
        <v>5.3369999999999997</v>
      </c>
      <c r="AM56" s="2">
        <f t="shared" si="30"/>
        <v>30.168656249999998</v>
      </c>
      <c r="AN56" s="2">
        <f t="shared" si="9"/>
        <v>40</v>
      </c>
      <c r="AO56" s="2">
        <f t="shared" si="10"/>
        <v>22.2</v>
      </c>
      <c r="AP56" s="2">
        <f t="shared" si="11"/>
        <v>47.143499999999996</v>
      </c>
      <c r="AQ56" s="2">
        <f t="shared" si="31"/>
        <v>87.143499999999989</v>
      </c>
      <c r="AR56" s="2">
        <f t="shared" si="32"/>
        <v>13.071524999999998</v>
      </c>
      <c r="AS56" s="2">
        <f t="shared" si="12"/>
        <v>0.1779</v>
      </c>
      <c r="AT56" s="2">
        <f t="shared" si="13"/>
        <v>5.3369999999999997</v>
      </c>
      <c r="AU56" s="2">
        <f t="shared" si="33"/>
        <v>127.929925</v>
      </c>
      <c r="AV56" s="2">
        <f t="shared" si="14"/>
        <v>8.8949999999999996</v>
      </c>
      <c r="AW56" s="2">
        <f t="shared" si="15"/>
        <v>4.4400000000000004</v>
      </c>
      <c r="AX56" s="2">
        <f t="shared" si="16"/>
        <v>1.86795</v>
      </c>
      <c r="AY56" s="2">
        <f t="shared" si="34"/>
        <v>10.76295</v>
      </c>
      <c r="AZ56" s="2">
        <f t="shared" si="35"/>
        <v>1.6144425</v>
      </c>
      <c r="BA56" s="2">
        <f t="shared" si="17"/>
        <v>0.1779</v>
      </c>
      <c r="BB56" s="2">
        <f t="shared" si="18"/>
        <v>5.3369999999999997</v>
      </c>
      <c r="BC56" s="2">
        <f t="shared" si="36"/>
        <v>22.332292500000001</v>
      </c>
      <c r="BD56" s="2">
        <v>0</v>
      </c>
      <c r="BE56" s="2">
        <f t="shared" si="19"/>
        <v>88.95</v>
      </c>
      <c r="BF56" s="2">
        <f t="shared" si="20"/>
        <v>2.8908749999999999</v>
      </c>
      <c r="BG56" s="2">
        <f t="shared" si="37"/>
        <v>2.8908749999999999</v>
      </c>
      <c r="BH56" s="2">
        <f t="shared" si="38"/>
        <v>0.43363124999999997</v>
      </c>
      <c r="BI56" s="2">
        <f t="shared" si="21"/>
        <v>0.1779</v>
      </c>
      <c r="BJ56" s="2">
        <f t="shared" si="22"/>
        <v>5.3369999999999997</v>
      </c>
      <c r="BK56" s="2">
        <f t="shared" si="39"/>
        <v>97.789406249999999</v>
      </c>
      <c r="BL56" s="2">
        <f t="shared" si="23"/>
        <v>44550</v>
      </c>
      <c r="BM56" s="2">
        <f t="shared" si="24"/>
        <v>44400</v>
      </c>
      <c r="BN56" s="2">
        <f t="shared" si="40"/>
        <v>88950</v>
      </c>
    </row>
    <row r="57" spans="1:66" x14ac:dyDescent="0.25">
      <c r="A57" s="42">
        <v>54</v>
      </c>
      <c r="B57" s="43">
        <v>42734</v>
      </c>
      <c r="C57" s="42" t="s">
        <v>50</v>
      </c>
      <c r="D57" s="42" t="s">
        <v>131</v>
      </c>
      <c r="E57" s="6">
        <f t="shared" si="25"/>
        <v>44.986481249999997</v>
      </c>
      <c r="F57" s="5" t="str">
        <f t="shared" si="41"/>
        <v>Win</v>
      </c>
      <c r="G57" s="4">
        <f t="shared" si="42"/>
        <v>75</v>
      </c>
      <c r="H57" s="46">
        <v>75</v>
      </c>
      <c r="I57" s="42">
        <v>588.9</v>
      </c>
      <c r="N57" s="5">
        <f t="shared" si="43"/>
        <v>75</v>
      </c>
      <c r="O57" s="4">
        <f t="shared" si="45"/>
        <v>588.9</v>
      </c>
      <c r="P57" s="5">
        <f t="shared" si="0"/>
        <v>75</v>
      </c>
      <c r="Q57" s="42">
        <v>589.9</v>
      </c>
      <c r="R57" s="2">
        <f t="shared" si="51"/>
        <v>0</v>
      </c>
      <c r="T57" s="2">
        <f t="shared" si="27"/>
        <v>0</v>
      </c>
      <c r="V57" s="5">
        <f t="shared" si="44"/>
        <v>75</v>
      </c>
      <c r="W57" s="4">
        <f t="shared" si="46"/>
        <v>589.9</v>
      </c>
      <c r="X57" s="14">
        <f t="shared" si="47"/>
        <v>1</v>
      </c>
      <c r="Y57" s="5">
        <f t="shared" si="48"/>
        <v>75</v>
      </c>
      <c r="Z57" s="2">
        <f t="shared" si="1"/>
        <v>0</v>
      </c>
      <c r="AA57" s="4">
        <f t="shared" si="2"/>
        <v>0</v>
      </c>
      <c r="AB57" s="13">
        <f t="shared" si="3"/>
        <v>30.013518750000003</v>
      </c>
      <c r="AC57" s="10">
        <f>SUM($E$4:E57)</f>
        <v>-3137.5176899114635</v>
      </c>
      <c r="AD57" s="20">
        <f>SUM($AB$4:AB57)</f>
        <v>1663.7176899114584</v>
      </c>
      <c r="AF57" s="28">
        <f t="shared" si="4"/>
        <v>8.8410000000000011</v>
      </c>
      <c r="AG57" s="2">
        <f t="shared" si="5"/>
        <v>11.060625</v>
      </c>
      <c r="AH57" s="2">
        <f t="shared" si="6"/>
        <v>2.8733249999999999</v>
      </c>
      <c r="AI57" s="2">
        <f t="shared" si="28"/>
        <v>11.714325000000001</v>
      </c>
      <c r="AJ57" s="2">
        <f t="shared" si="29"/>
        <v>1.75714875</v>
      </c>
      <c r="AK57" s="2">
        <f t="shared" si="7"/>
        <v>0.17682</v>
      </c>
      <c r="AL57" s="2">
        <f t="shared" si="8"/>
        <v>5.3045999999999998</v>
      </c>
      <c r="AM57" s="2">
        <f t="shared" si="30"/>
        <v>30.013518750000003</v>
      </c>
      <c r="AN57" s="2">
        <f t="shared" si="9"/>
        <v>40</v>
      </c>
      <c r="AO57" s="2">
        <f t="shared" si="10"/>
        <v>22.12125</v>
      </c>
      <c r="AP57" s="2">
        <f t="shared" si="11"/>
        <v>46.857299999999995</v>
      </c>
      <c r="AQ57" s="2">
        <f t="shared" si="31"/>
        <v>86.857299999999995</v>
      </c>
      <c r="AR57" s="2">
        <f t="shared" si="32"/>
        <v>13.028594999999999</v>
      </c>
      <c r="AS57" s="2">
        <f t="shared" si="12"/>
        <v>0.17682</v>
      </c>
      <c r="AT57" s="2">
        <f t="shared" si="13"/>
        <v>5.3045999999999998</v>
      </c>
      <c r="AU57" s="2">
        <f t="shared" si="33"/>
        <v>127.48856499999999</v>
      </c>
      <c r="AV57" s="2">
        <f t="shared" si="14"/>
        <v>8.8410000000000011</v>
      </c>
      <c r="AW57" s="2">
        <f t="shared" si="15"/>
        <v>4.4242499999999998</v>
      </c>
      <c r="AX57" s="2">
        <f t="shared" si="16"/>
        <v>1.8566099999999999</v>
      </c>
      <c r="AY57" s="2">
        <f t="shared" si="34"/>
        <v>10.697610000000001</v>
      </c>
      <c r="AZ57" s="2">
        <f t="shared" si="35"/>
        <v>1.6046415000000001</v>
      </c>
      <c r="BA57" s="2">
        <f t="shared" si="17"/>
        <v>0.17682</v>
      </c>
      <c r="BB57" s="2">
        <f t="shared" si="18"/>
        <v>5.3045999999999998</v>
      </c>
      <c r="BC57" s="2">
        <f t="shared" si="36"/>
        <v>22.207921500000001</v>
      </c>
      <c r="BD57" s="2">
        <v>0</v>
      </c>
      <c r="BE57" s="2">
        <f t="shared" si="19"/>
        <v>88.41</v>
      </c>
      <c r="BF57" s="2">
        <f t="shared" si="20"/>
        <v>2.8733249999999999</v>
      </c>
      <c r="BG57" s="2">
        <f t="shared" si="37"/>
        <v>2.8733249999999999</v>
      </c>
      <c r="BH57" s="2">
        <f t="shared" si="38"/>
        <v>0.43099874999999999</v>
      </c>
      <c r="BI57" s="2">
        <f t="shared" si="21"/>
        <v>0.17682</v>
      </c>
      <c r="BJ57" s="2">
        <f t="shared" si="22"/>
        <v>5.3045999999999998</v>
      </c>
      <c r="BK57" s="2">
        <f t="shared" si="39"/>
        <v>97.195743749999991</v>
      </c>
      <c r="BL57" s="2">
        <f t="shared" si="23"/>
        <v>44167.5</v>
      </c>
      <c r="BM57" s="2">
        <f t="shared" si="24"/>
        <v>44242.5</v>
      </c>
      <c r="BN57" s="2">
        <f t="shared" si="40"/>
        <v>88410</v>
      </c>
    </row>
    <row r="58" spans="1:66" x14ac:dyDescent="0.25">
      <c r="A58" s="42">
        <v>55</v>
      </c>
      <c r="B58" s="43">
        <v>42734</v>
      </c>
      <c r="C58" s="42" t="s">
        <v>50</v>
      </c>
      <c r="D58" s="42" t="s">
        <v>131</v>
      </c>
      <c r="E58" s="6">
        <f t="shared" si="25"/>
        <v>-367.4797734375</v>
      </c>
      <c r="F58" s="5" t="str">
        <f t="shared" si="41"/>
        <v>Loss</v>
      </c>
      <c r="G58" s="4">
        <f t="shared" si="42"/>
        <v>-337.5</v>
      </c>
      <c r="H58" s="46">
        <v>75</v>
      </c>
      <c r="I58" s="42">
        <v>592</v>
      </c>
      <c r="N58" s="5">
        <f t="shared" si="43"/>
        <v>75</v>
      </c>
      <c r="O58" s="4">
        <f t="shared" si="45"/>
        <v>592</v>
      </c>
      <c r="P58" s="5">
        <f t="shared" si="0"/>
        <v>75</v>
      </c>
      <c r="Q58" s="42">
        <v>587.5</v>
      </c>
      <c r="R58" s="2">
        <f t="shared" si="51"/>
        <v>0</v>
      </c>
      <c r="T58" s="2">
        <f t="shared" si="27"/>
        <v>0</v>
      </c>
      <c r="V58" s="5">
        <f t="shared" si="44"/>
        <v>75</v>
      </c>
      <c r="W58" s="4">
        <f t="shared" si="46"/>
        <v>587.5</v>
      </c>
      <c r="X58" s="14">
        <f t="shared" si="47"/>
        <v>-4.5</v>
      </c>
      <c r="Y58" s="5">
        <f t="shared" si="48"/>
        <v>-337.5</v>
      </c>
      <c r="Z58" s="2">
        <f t="shared" si="1"/>
        <v>0</v>
      </c>
      <c r="AA58" s="4">
        <f t="shared" si="2"/>
        <v>0</v>
      </c>
      <c r="AB58" s="13">
        <f t="shared" si="3"/>
        <v>29.9797734375</v>
      </c>
      <c r="AC58" s="10">
        <f>SUM($E$4:E58)</f>
        <v>-3504.9974633489637</v>
      </c>
      <c r="AD58" s="20">
        <f>SUM($AB$4:AB58)</f>
        <v>1693.6974633489583</v>
      </c>
      <c r="AF58" s="28">
        <f t="shared" si="4"/>
        <v>8.8462500000000013</v>
      </c>
      <c r="AG58" s="2">
        <f t="shared" si="5"/>
        <v>11.015625</v>
      </c>
      <c r="AH58" s="2">
        <f t="shared" si="6"/>
        <v>2.8750312499999997</v>
      </c>
      <c r="AI58" s="2">
        <f t="shared" si="28"/>
        <v>11.721281250000001</v>
      </c>
      <c r="AJ58" s="2">
        <f t="shared" si="29"/>
        <v>1.7581921874999999</v>
      </c>
      <c r="AK58" s="2">
        <f t="shared" si="7"/>
        <v>0.176925</v>
      </c>
      <c r="AL58" s="2">
        <f t="shared" si="8"/>
        <v>5.3077500000000004</v>
      </c>
      <c r="AM58" s="2">
        <f t="shared" si="30"/>
        <v>29.9797734375</v>
      </c>
      <c r="AN58" s="2">
        <f t="shared" si="9"/>
        <v>40</v>
      </c>
      <c r="AO58" s="2">
        <f t="shared" si="10"/>
        <v>22.03125</v>
      </c>
      <c r="AP58" s="2">
        <f t="shared" si="11"/>
        <v>46.885124999999995</v>
      </c>
      <c r="AQ58" s="2">
        <f t="shared" si="31"/>
        <v>86.885124999999988</v>
      </c>
      <c r="AR58" s="2">
        <f t="shared" si="32"/>
        <v>13.032768749999997</v>
      </c>
      <c r="AS58" s="2">
        <f t="shared" si="12"/>
        <v>0.176925</v>
      </c>
      <c r="AT58" s="2">
        <f t="shared" si="13"/>
        <v>5.3077500000000004</v>
      </c>
      <c r="AU58" s="2">
        <f t="shared" si="33"/>
        <v>127.43381874999999</v>
      </c>
      <c r="AV58" s="2">
        <f t="shared" si="14"/>
        <v>8.8462500000000013</v>
      </c>
      <c r="AW58" s="2">
        <f t="shared" si="15"/>
        <v>4.40625</v>
      </c>
      <c r="AX58" s="2">
        <f t="shared" si="16"/>
        <v>1.8577124999999999</v>
      </c>
      <c r="AY58" s="2">
        <f t="shared" si="34"/>
        <v>10.703962500000001</v>
      </c>
      <c r="AZ58" s="2">
        <f t="shared" si="35"/>
        <v>1.6055943750000001</v>
      </c>
      <c r="BA58" s="2">
        <f t="shared" si="17"/>
        <v>0.176925</v>
      </c>
      <c r="BB58" s="2">
        <f t="shared" si="18"/>
        <v>5.3077500000000004</v>
      </c>
      <c r="BC58" s="2">
        <f t="shared" si="36"/>
        <v>22.200481875000001</v>
      </c>
      <c r="BD58" s="2">
        <v>0</v>
      </c>
      <c r="BE58" s="2">
        <f t="shared" si="19"/>
        <v>88.462500000000006</v>
      </c>
      <c r="BF58" s="2">
        <f t="shared" si="20"/>
        <v>2.8750312499999997</v>
      </c>
      <c r="BG58" s="2">
        <f t="shared" si="37"/>
        <v>2.8750312499999997</v>
      </c>
      <c r="BH58" s="2">
        <f t="shared" si="38"/>
        <v>0.43125468749999996</v>
      </c>
      <c r="BI58" s="2">
        <f t="shared" si="21"/>
        <v>0.176925</v>
      </c>
      <c r="BJ58" s="2">
        <f t="shared" si="22"/>
        <v>5.3077500000000004</v>
      </c>
      <c r="BK58" s="2">
        <f t="shared" si="39"/>
        <v>97.253460937500009</v>
      </c>
      <c r="BL58" s="2">
        <f t="shared" si="23"/>
        <v>44400</v>
      </c>
      <c r="BM58" s="2">
        <f t="shared" si="24"/>
        <v>44062.5</v>
      </c>
      <c r="BN58" s="2">
        <f t="shared" si="40"/>
        <v>88462.5</v>
      </c>
    </row>
    <row r="59" spans="1:66" x14ac:dyDescent="0.25">
      <c r="A59" s="42">
        <v>56</v>
      </c>
      <c r="B59" s="43">
        <v>42737</v>
      </c>
      <c r="C59" s="42" t="s">
        <v>50</v>
      </c>
      <c r="D59" s="42" t="s">
        <v>138</v>
      </c>
      <c r="E59" s="6">
        <f t="shared" si="25"/>
        <v>-70.506614062499153</v>
      </c>
      <c r="F59" s="5" t="str">
        <f t="shared" si="41"/>
        <v>Loss</v>
      </c>
      <c r="G59" s="4">
        <f t="shared" si="42"/>
        <v>-52.499999999999147</v>
      </c>
      <c r="H59" s="46">
        <v>75</v>
      </c>
      <c r="I59" s="42">
        <v>354.2</v>
      </c>
      <c r="N59" s="5">
        <f t="shared" si="43"/>
        <v>75</v>
      </c>
      <c r="O59" s="4">
        <f t="shared" si="45"/>
        <v>354.2</v>
      </c>
      <c r="P59" s="5">
        <f t="shared" si="0"/>
        <v>75</v>
      </c>
      <c r="Q59" s="42">
        <v>353.5</v>
      </c>
      <c r="R59" s="2">
        <f t="shared" si="51"/>
        <v>0</v>
      </c>
      <c r="T59" s="2">
        <f t="shared" si="27"/>
        <v>0</v>
      </c>
      <c r="V59" s="5">
        <f t="shared" si="44"/>
        <v>75</v>
      </c>
      <c r="W59" s="4">
        <f t="shared" si="46"/>
        <v>353.5</v>
      </c>
      <c r="X59" s="14">
        <f t="shared" si="47"/>
        <v>-0.69999999999998863</v>
      </c>
      <c r="Y59" s="5">
        <f t="shared" si="48"/>
        <v>-52.499999999999147</v>
      </c>
      <c r="Z59" s="2">
        <f t="shared" si="1"/>
        <v>0</v>
      </c>
      <c r="AA59" s="4">
        <f t="shared" si="2"/>
        <v>0</v>
      </c>
      <c r="AB59" s="13">
        <f t="shared" si="3"/>
        <v>18.006614062499999</v>
      </c>
      <c r="AC59" s="10">
        <f>SUM($E$4:E59)</f>
        <v>-3575.5040774114627</v>
      </c>
      <c r="AD59" s="20">
        <f>SUM($AB$4:AB59)</f>
        <v>1711.7040774114582</v>
      </c>
      <c r="AF59" s="28">
        <f t="shared" si="4"/>
        <v>5.3077500000000004</v>
      </c>
      <c r="AG59" s="2">
        <f t="shared" si="5"/>
        <v>6.6281249999999998</v>
      </c>
      <c r="AH59" s="2">
        <f t="shared" si="6"/>
        <v>1.7250187499999998</v>
      </c>
      <c r="AI59" s="2">
        <f t="shared" si="28"/>
        <v>7.0327687500000007</v>
      </c>
      <c r="AJ59" s="2">
        <f t="shared" si="29"/>
        <v>1.0549153125000001</v>
      </c>
      <c r="AK59" s="2">
        <f t="shared" si="7"/>
        <v>0.106155</v>
      </c>
      <c r="AL59" s="2">
        <f t="shared" si="8"/>
        <v>3.18465</v>
      </c>
      <c r="AM59" s="2">
        <f t="shared" si="30"/>
        <v>18.006614062499999</v>
      </c>
      <c r="AN59" s="2">
        <f t="shared" si="9"/>
        <v>40</v>
      </c>
      <c r="AO59" s="2">
        <f t="shared" si="10"/>
        <v>13.25625</v>
      </c>
      <c r="AP59" s="2">
        <f t="shared" si="11"/>
        <v>28.131074999999999</v>
      </c>
      <c r="AQ59" s="2">
        <f t="shared" si="31"/>
        <v>68.131074999999996</v>
      </c>
      <c r="AR59" s="2">
        <f t="shared" si="32"/>
        <v>10.21966125</v>
      </c>
      <c r="AS59" s="2">
        <f t="shared" si="12"/>
        <v>0.106155</v>
      </c>
      <c r="AT59" s="2">
        <f t="shared" si="13"/>
        <v>3.18465</v>
      </c>
      <c r="AU59" s="2">
        <f t="shared" si="33"/>
        <v>94.897791250000012</v>
      </c>
      <c r="AV59" s="2">
        <f t="shared" si="14"/>
        <v>5.3077500000000004</v>
      </c>
      <c r="AW59" s="2">
        <f t="shared" si="15"/>
        <v>2.6512500000000001</v>
      </c>
      <c r="AX59" s="2">
        <f t="shared" si="16"/>
        <v>1.1146274999999999</v>
      </c>
      <c r="AY59" s="2">
        <f t="shared" si="34"/>
        <v>6.4223775000000005</v>
      </c>
      <c r="AZ59" s="2">
        <f t="shared" si="35"/>
        <v>0.96335662500000008</v>
      </c>
      <c r="BA59" s="2">
        <f t="shared" si="17"/>
        <v>0.106155</v>
      </c>
      <c r="BB59" s="2">
        <f t="shared" si="18"/>
        <v>3.18465</v>
      </c>
      <c r="BC59" s="2">
        <f t="shared" si="36"/>
        <v>13.327789124999999</v>
      </c>
      <c r="BD59" s="2">
        <v>0</v>
      </c>
      <c r="BE59" s="2">
        <f t="shared" si="19"/>
        <v>53.077500000000001</v>
      </c>
      <c r="BF59" s="2">
        <f t="shared" si="20"/>
        <v>1.7250187499999998</v>
      </c>
      <c r="BG59" s="2">
        <f t="shared" si="37"/>
        <v>1.7250187499999998</v>
      </c>
      <c r="BH59" s="2">
        <f t="shared" si="38"/>
        <v>0.25875281249999998</v>
      </c>
      <c r="BI59" s="2">
        <f t="shared" si="21"/>
        <v>0.106155</v>
      </c>
      <c r="BJ59" s="2">
        <f t="shared" si="22"/>
        <v>3.18465</v>
      </c>
      <c r="BK59" s="2">
        <f t="shared" si="39"/>
        <v>58.352076562499995</v>
      </c>
      <c r="BL59" s="2">
        <f t="shared" si="23"/>
        <v>26565</v>
      </c>
      <c r="BM59" s="2">
        <f t="shared" si="24"/>
        <v>26512.5</v>
      </c>
      <c r="BN59" s="2">
        <f t="shared" si="40"/>
        <v>53077.5</v>
      </c>
    </row>
    <row r="60" spans="1:66" x14ac:dyDescent="0.25">
      <c r="A60" s="42">
        <v>57</v>
      </c>
      <c r="B60" s="43">
        <v>42737</v>
      </c>
      <c r="C60" s="42" t="s">
        <v>50</v>
      </c>
      <c r="D60" s="42" t="s">
        <v>139</v>
      </c>
      <c r="E60" s="6">
        <f t="shared" si="25"/>
        <v>2.0454679687494099</v>
      </c>
      <c r="F60" s="5" t="str">
        <f t="shared" si="41"/>
        <v>Win</v>
      </c>
      <c r="G60" s="4">
        <f t="shared" si="42"/>
        <v>17.399999999999409</v>
      </c>
      <c r="H60" s="46">
        <v>1</v>
      </c>
      <c r="I60" s="42">
        <v>906</v>
      </c>
      <c r="J60" s="42">
        <v>24</v>
      </c>
      <c r="K60" s="42">
        <v>906</v>
      </c>
      <c r="N60" s="5">
        <f t="shared" si="43"/>
        <v>25</v>
      </c>
      <c r="O60" s="4">
        <f t="shared" si="45"/>
        <v>906</v>
      </c>
      <c r="P60" s="5">
        <f t="shared" si="0"/>
        <v>1</v>
      </c>
      <c r="Q60" s="42">
        <v>901.8</v>
      </c>
      <c r="R60" s="2">
        <f t="shared" si="51"/>
        <v>24</v>
      </c>
      <c r="S60" s="42">
        <v>906.9</v>
      </c>
      <c r="T60" s="2">
        <f t="shared" si="27"/>
        <v>0</v>
      </c>
      <c r="V60" s="5">
        <f t="shared" si="44"/>
        <v>25</v>
      </c>
      <c r="W60" s="4">
        <f t="shared" si="46"/>
        <v>904.34999999999991</v>
      </c>
      <c r="X60" s="14">
        <f t="shared" si="47"/>
        <v>0.89999999999997726</v>
      </c>
      <c r="Y60" s="5">
        <f t="shared" si="48"/>
        <v>-4.2000000000000455</v>
      </c>
      <c r="Z60" s="2">
        <f t="shared" si="1"/>
        <v>21.599999999999454</v>
      </c>
      <c r="AA60" s="4">
        <f t="shared" si="2"/>
        <v>0</v>
      </c>
      <c r="AB60" s="13">
        <f t="shared" si="3"/>
        <v>15.354532031249999</v>
      </c>
      <c r="AC60" s="10">
        <f>SUM($E$4:E60)</f>
        <v>-3573.4586094427132</v>
      </c>
      <c r="AD60" s="20">
        <f>SUM($AB$4:AB60)</f>
        <v>1727.0586094427083</v>
      </c>
      <c r="AF60" s="28">
        <f t="shared" si="4"/>
        <v>4.5258750000000001</v>
      </c>
      <c r="AG60" s="2">
        <f t="shared" si="5"/>
        <v>5.6521875000000001</v>
      </c>
      <c r="AH60" s="2">
        <f t="shared" si="6"/>
        <v>1.470909375</v>
      </c>
      <c r="AI60" s="2">
        <f t="shared" si="28"/>
        <v>5.9967843749999998</v>
      </c>
      <c r="AJ60" s="2">
        <f t="shared" si="29"/>
        <v>0.89951765624999991</v>
      </c>
      <c r="AK60" s="2">
        <f t="shared" si="7"/>
        <v>9.0517500000000001E-2</v>
      </c>
      <c r="AL60" s="2">
        <f t="shared" si="8"/>
        <v>2.715525</v>
      </c>
      <c r="AM60" s="2">
        <f t="shared" si="30"/>
        <v>15.354532031249999</v>
      </c>
      <c r="AN60" s="2">
        <f t="shared" si="9"/>
        <v>80</v>
      </c>
      <c r="AO60" s="2">
        <f t="shared" si="10"/>
        <v>11.304375</v>
      </c>
      <c r="AP60" s="2">
        <f t="shared" si="11"/>
        <v>23.987137499999999</v>
      </c>
      <c r="AQ60" s="2">
        <f t="shared" si="31"/>
        <v>103.9871375</v>
      </c>
      <c r="AR60" s="2">
        <f t="shared" si="32"/>
        <v>15.598070625</v>
      </c>
      <c r="AS60" s="2">
        <f t="shared" si="12"/>
        <v>9.0517500000000001E-2</v>
      </c>
      <c r="AT60" s="2">
        <f t="shared" si="13"/>
        <v>2.715525</v>
      </c>
      <c r="AU60" s="2">
        <f t="shared" si="33"/>
        <v>133.69562562500002</v>
      </c>
      <c r="AV60" s="2">
        <f t="shared" si="14"/>
        <v>4.5258750000000001</v>
      </c>
      <c r="AW60" s="2">
        <f t="shared" si="15"/>
        <v>2.260875</v>
      </c>
      <c r="AX60" s="2">
        <f t="shared" si="16"/>
        <v>0.95043374999999997</v>
      </c>
      <c r="AY60" s="2">
        <f t="shared" si="34"/>
        <v>5.4763087500000003</v>
      </c>
      <c r="AZ60" s="2">
        <f t="shared" si="35"/>
        <v>0.8214463125</v>
      </c>
      <c r="BA60" s="2">
        <f t="shared" si="17"/>
        <v>9.0517500000000001E-2</v>
      </c>
      <c r="BB60" s="2">
        <f t="shared" si="18"/>
        <v>2.715525</v>
      </c>
      <c r="BC60" s="2">
        <f t="shared" si="36"/>
        <v>11.364672562500001</v>
      </c>
      <c r="BD60" s="2">
        <v>0</v>
      </c>
      <c r="BE60" s="2">
        <f t="shared" si="19"/>
        <v>45.258749999999999</v>
      </c>
      <c r="BF60" s="2">
        <f t="shared" si="20"/>
        <v>1.470909375</v>
      </c>
      <c r="BG60" s="2">
        <f t="shared" si="37"/>
        <v>1.470909375</v>
      </c>
      <c r="BH60" s="2">
        <f t="shared" si="38"/>
        <v>0.22063640625</v>
      </c>
      <c r="BI60" s="2">
        <f t="shared" si="21"/>
        <v>9.0517500000000001E-2</v>
      </c>
      <c r="BJ60" s="2">
        <f t="shared" si="22"/>
        <v>2.715525</v>
      </c>
      <c r="BK60" s="2">
        <f t="shared" si="39"/>
        <v>49.756338281249995</v>
      </c>
      <c r="BL60" s="2">
        <f t="shared" si="23"/>
        <v>22650</v>
      </c>
      <c r="BM60" s="2">
        <f t="shared" si="24"/>
        <v>22608.749999999996</v>
      </c>
      <c r="BN60" s="2">
        <f t="shared" si="40"/>
        <v>45258.75</v>
      </c>
    </row>
    <row r="61" spans="1:66" x14ac:dyDescent="0.25">
      <c r="A61" s="42">
        <v>58</v>
      </c>
      <c r="B61" s="43">
        <v>42737</v>
      </c>
      <c r="C61" s="42" t="s">
        <v>50</v>
      </c>
      <c r="D61" s="42" t="s">
        <v>134</v>
      </c>
      <c r="E61" s="6">
        <f t="shared" si="25"/>
        <v>160.72747796874842</v>
      </c>
      <c r="F61" s="5" t="str">
        <f t="shared" si="41"/>
        <v>Win</v>
      </c>
      <c r="G61" s="4">
        <f t="shared" si="42"/>
        <v>176.74999999999841</v>
      </c>
      <c r="H61" s="46">
        <v>35</v>
      </c>
      <c r="I61" s="42">
        <v>671</v>
      </c>
      <c r="N61" s="5">
        <f t="shared" si="43"/>
        <v>35</v>
      </c>
      <c r="O61" s="4">
        <f t="shared" si="45"/>
        <v>671</v>
      </c>
      <c r="P61" s="5">
        <f t="shared" si="0"/>
        <v>35</v>
      </c>
      <c r="Q61" s="42">
        <v>676.05</v>
      </c>
      <c r="R61" s="2">
        <f t="shared" si="51"/>
        <v>0</v>
      </c>
      <c r="T61" s="2">
        <f t="shared" si="27"/>
        <v>0</v>
      </c>
      <c r="V61" s="5">
        <f t="shared" si="44"/>
        <v>35</v>
      </c>
      <c r="W61" s="4">
        <f t="shared" si="46"/>
        <v>676.05</v>
      </c>
      <c r="X61" s="14">
        <f t="shared" si="47"/>
        <v>5.0499999999999545</v>
      </c>
      <c r="Y61" s="5">
        <f t="shared" si="48"/>
        <v>176.74999999999841</v>
      </c>
      <c r="Z61" s="2">
        <f t="shared" si="1"/>
        <v>0</v>
      </c>
      <c r="AA61" s="4">
        <f t="shared" si="2"/>
        <v>0</v>
      </c>
      <c r="AB61" s="13">
        <f t="shared" si="3"/>
        <v>16.022522031249999</v>
      </c>
      <c r="AC61" s="10">
        <f>SUM($E$4:E61)</f>
        <v>-3412.7311314739645</v>
      </c>
      <c r="AD61" s="20">
        <f>SUM($AB$4:AB61)</f>
        <v>1743.0811314739583</v>
      </c>
      <c r="AF61" s="28">
        <f t="shared" si="4"/>
        <v>4.7146750000000006</v>
      </c>
      <c r="AG61" s="2">
        <f t="shared" si="5"/>
        <v>5.9154375000000003</v>
      </c>
      <c r="AH61" s="2">
        <f t="shared" si="6"/>
        <v>1.5322693749999998</v>
      </c>
      <c r="AI61" s="2">
        <f t="shared" si="28"/>
        <v>6.246944375</v>
      </c>
      <c r="AJ61" s="2">
        <f t="shared" si="29"/>
        <v>0.93704165624999991</v>
      </c>
      <c r="AK61" s="2">
        <f t="shared" si="7"/>
        <v>9.4293500000000002E-2</v>
      </c>
      <c r="AL61" s="2">
        <f t="shared" si="8"/>
        <v>2.828805</v>
      </c>
      <c r="AM61" s="2">
        <f t="shared" si="30"/>
        <v>16.022522031249999</v>
      </c>
      <c r="AN61" s="2">
        <f t="shared" si="9"/>
        <v>40</v>
      </c>
      <c r="AO61" s="2">
        <f t="shared" si="10"/>
        <v>11.830875000000001</v>
      </c>
      <c r="AP61" s="2">
        <f t="shared" si="11"/>
        <v>24.9877775</v>
      </c>
      <c r="AQ61" s="2">
        <f t="shared" si="31"/>
        <v>64.987777499999993</v>
      </c>
      <c r="AR61" s="2">
        <f t="shared" si="32"/>
        <v>9.7481666249999979</v>
      </c>
      <c r="AS61" s="2">
        <f t="shared" si="12"/>
        <v>9.4293500000000002E-2</v>
      </c>
      <c r="AT61" s="2">
        <f t="shared" si="13"/>
        <v>2.828805</v>
      </c>
      <c r="AU61" s="2">
        <f t="shared" si="33"/>
        <v>89.489917625000004</v>
      </c>
      <c r="AV61" s="2">
        <f t="shared" si="14"/>
        <v>4.7146750000000006</v>
      </c>
      <c r="AW61" s="2">
        <f t="shared" si="15"/>
        <v>2.3661749999999997</v>
      </c>
      <c r="AX61" s="2">
        <f t="shared" si="16"/>
        <v>0.99008174999999998</v>
      </c>
      <c r="AY61" s="2">
        <f t="shared" si="34"/>
        <v>5.7047567500000005</v>
      </c>
      <c r="AZ61" s="2">
        <f t="shared" si="35"/>
        <v>0.85571351250000005</v>
      </c>
      <c r="BA61" s="2">
        <f t="shared" si="17"/>
        <v>9.4293500000000002E-2</v>
      </c>
      <c r="BB61" s="2">
        <f t="shared" si="18"/>
        <v>2.828805</v>
      </c>
      <c r="BC61" s="2">
        <f t="shared" si="36"/>
        <v>11.849743762499998</v>
      </c>
      <c r="BD61" s="2">
        <v>0</v>
      </c>
      <c r="BE61" s="2">
        <f t="shared" si="19"/>
        <v>47.146750000000004</v>
      </c>
      <c r="BF61" s="2">
        <f t="shared" si="20"/>
        <v>1.5322693749999998</v>
      </c>
      <c r="BG61" s="2">
        <f t="shared" si="37"/>
        <v>1.5322693749999998</v>
      </c>
      <c r="BH61" s="2">
        <f t="shared" si="38"/>
        <v>0.22984040624999996</v>
      </c>
      <c r="BI61" s="2">
        <f t="shared" si="21"/>
        <v>9.4293500000000002E-2</v>
      </c>
      <c r="BJ61" s="2">
        <f t="shared" si="22"/>
        <v>2.828805</v>
      </c>
      <c r="BK61" s="2">
        <f t="shared" si="39"/>
        <v>51.831958281250003</v>
      </c>
      <c r="BL61" s="2">
        <f t="shared" si="23"/>
        <v>23485</v>
      </c>
      <c r="BM61" s="2">
        <f t="shared" si="24"/>
        <v>23661.75</v>
      </c>
      <c r="BN61" s="2">
        <f t="shared" si="40"/>
        <v>47146.75</v>
      </c>
    </row>
    <row r="62" spans="1:66" x14ac:dyDescent="0.25">
      <c r="A62" s="42">
        <v>59</v>
      </c>
      <c r="B62" s="43">
        <v>42737</v>
      </c>
      <c r="C62" s="42" t="s">
        <v>122</v>
      </c>
      <c r="D62" s="42" t="s">
        <v>124</v>
      </c>
      <c r="E62" s="6">
        <f t="shared" si="25"/>
        <v>-398.17017500000009</v>
      </c>
      <c r="F62" s="5" t="str">
        <f t="shared" si="41"/>
        <v>Loss</v>
      </c>
      <c r="G62" s="4">
        <f t="shared" si="42"/>
        <v>-350.00000000000011</v>
      </c>
      <c r="H62" s="46">
        <v>3500</v>
      </c>
      <c r="I62" s="42">
        <v>0.4</v>
      </c>
      <c r="N62" s="5">
        <f t="shared" si="43"/>
        <v>3500</v>
      </c>
      <c r="O62" s="4">
        <f t="shared" si="45"/>
        <v>0.4</v>
      </c>
      <c r="P62" s="5">
        <f t="shared" si="0"/>
        <v>3500</v>
      </c>
      <c r="Q62" s="42">
        <v>0.3</v>
      </c>
      <c r="R62" s="2">
        <f t="shared" si="51"/>
        <v>0</v>
      </c>
      <c r="T62" s="2">
        <f t="shared" si="27"/>
        <v>0</v>
      </c>
      <c r="V62" s="5">
        <f t="shared" si="44"/>
        <v>3500</v>
      </c>
      <c r="W62" s="4">
        <f t="shared" si="46"/>
        <v>0.3</v>
      </c>
      <c r="X62" s="14">
        <f t="shared" si="47"/>
        <v>-0.10000000000000003</v>
      </c>
      <c r="Y62" s="5">
        <f t="shared" si="48"/>
        <v>-350.00000000000011</v>
      </c>
      <c r="Z62" s="2">
        <f t="shared" si="1"/>
        <v>0</v>
      </c>
      <c r="AA62" s="4">
        <f t="shared" si="2"/>
        <v>0</v>
      </c>
      <c r="AB62" s="13">
        <f t="shared" si="3"/>
        <v>48.170174999999993</v>
      </c>
      <c r="AC62" s="10">
        <f>SUM($E$4:E62)</f>
        <v>-3810.9013064739647</v>
      </c>
      <c r="AD62" s="20">
        <f>SUM($AB$4:AB62)</f>
        <v>1791.2513064739583</v>
      </c>
      <c r="AF62" s="28">
        <f t="shared" si="4"/>
        <v>0.24500000000000002</v>
      </c>
      <c r="AG62" s="2">
        <f t="shared" si="5"/>
        <v>0.26250000000000001</v>
      </c>
      <c r="AH62" s="2">
        <f t="shared" si="6"/>
        <v>7.9624999999999987E-2</v>
      </c>
      <c r="AI62" s="2">
        <f t="shared" si="28"/>
        <v>0.324625</v>
      </c>
      <c r="AJ62" s="2">
        <f t="shared" si="29"/>
        <v>4.8693750000000001E-2</v>
      </c>
      <c r="AK62" s="2">
        <f t="shared" si="7"/>
        <v>4.8999999999999998E-3</v>
      </c>
      <c r="AL62" s="2">
        <f t="shared" si="8"/>
        <v>0.14699999999999999</v>
      </c>
      <c r="AM62" s="2">
        <f t="shared" si="30"/>
        <v>0.78771875000000002</v>
      </c>
      <c r="AN62" s="2">
        <f t="shared" si="9"/>
        <v>40</v>
      </c>
      <c r="AO62" s="2">
        <f t="shared" si="10"/>
        <v>0.52500000000000002</v>
      </c>
      <c r="AP62" s="2">
        <f t="shared" si="11"/>
        <v>1.2985</v>
      </c>
      <c r="AQ62" s="2">
        <f t="shared" si="31"/>
        <v>41.298499999999997</v>
      </c>
      <c r="AR62" s="2">
        <f t="shared" si="32"/>
        <v>6.194774999999999</v>
      </c>
      <c r="AS62" s="2">
        <f t="shared" si="12"/>
        <v>4.8999999999999998E-3</v>
      </c>
      <c r="AT62" s="2">
        <f t="shared" si="13"/>
        <v>0.14699999999999999</v>
      </c>
      <c r="AU62" s="2">
        <f t="shared" si="33"/>
        <v>48.170174999999993</v>
      </c>
      <c r="AV62" s="2">
        <f t="shared" si="14"/>
        <v>0.24500000000000002</v>
      </c>
      <c r="AW62" s="2">
        <f t="shared" si="15"/>
        <v>0.10500000000000001</v>
      </c>
      <c r="AX62" s="2">
        <f t="shared" si="16"/>
        <v>5.1449999999999996E-2</v>
      </c>
      <c r="AY62" s="2">
        <f t="shared" si="34"/>
        <v>0.29644999999999999</v>
      </c>
      <c r="AZ62" s="2">
        <f t="shared" si="35"/>
        <v>4.44675E-2</v>
      </c>
      <c r="BA62" s="2">
        <f t="shared" si="17"/>
        <v>4.8999999999999998E-3</v>
      </c>
      <c r="BB62" s="2">
        <f t="shared" si="18"/>
        <v>0.14699999999999999</v>
      </c>
      <c r="BC62" s="2">
        <f t="shared" si="36"/>
        <v>0.5978175</v>
      </c>
      <c r="BD62" s="2">
        <v>0</v>
      </c>
      <c r="BE62" s="2">
        <f t="shared" si="19"/>
        <v>2.4500000000000002</v>
      </c>
      <c r="BF62" s="2">
        <f t="shared" si="20"/>
        <v>7.9624999999999987E-2</v>
      </c>
      <c r="BG62" s="2">
        <f t="shared" si="37"/>
        <v>7.9624999999999987E-2</v>
      </c>
      <c r="BH62" s="2">
        <f t="shared" si="38"/>
        <v>1.1943749999999998E-2</v>
      </c>
      <c r="BI62" s="2">
        <f t="shared" si="21"/>
        <v>4.8999999999999998E-3</v>
      </c>
      <c r="BJ62" s="2">
        <f t="shared" si="22"/>
        <v>0.14699999999999999</v>
      </c>
      <c r="BK62" s="2">
        <f t="shared" si="39"/>
        <v>2.6934687500000001</v>
      </c>
      <c r="BL62" s="2">
        <f t="shared" si="23"/>
        <v>1400</v>
      </c>
      <c r="BM62" s="2">
        <f t="shared" si="24"/>
        <v>1050</v>
      </c>
      <c r="BN62" s="2">
        <f t="shared" si="40"/>
        <v>2450</v>
      </c>
    </row>
    <row r="63" spans="1:66" x14ac:dyDescent="0.25">
      <c r="A63" s="42">
        <v>60</v>
      </c>
      <c r="B63" s="43">
        <v>42737</v>
      </c>
      <c r="C63" s="42" t="s">
        <v>122</v>
      </c>
      <c r="D63" s="42" t="s">
        <v>140</v>
      </c>
      <c r="E63" s="6">
        <f t="shared" si="25"/>
        <v>52.039850000000094</v>
      </c>
      <c r="F63" s="5" t="str">
        <f t="shared" si="41"/>
        <v>Win</v>
      </c>
      <c r="G63" s="4">
        <f t="shared" si="42"/>
        <v>100.00000000000009</v>
      </c>
      <c r="H63" s="46">
        <v>2000</v>
      </c>
      <c r="I63" s="42">
        <v>0.5</v>
      </c>
      <c r="N63" s="5">
        <f t="shared" si="43"/>
        <v>2000</v>
      </c>
      <c r="O63" s="4">
        <f t="shared" si="45"/>
        <v>0.5</v>
      </c>
      <c r="P63" s="5">
        <f t="shared" si="0"/>
        <v>2000</v>
      </c>
      <c r="Q63" s="42">
        <v>0.55000000000000004</v>
      </c>
      <c r="R63" s="2">
        <f t="shared" si="51"/>
        <v>0</v>
      </c>
      <c r="T63" s="2">
        <f t="shared" si="27"/>
        <v>0</v>
      </c>
      <c r="V63" s="5">
        <f t="shared" si="44"/>
        <v>2000</v>
      </c>
      <c r="W63" s="4">
        <f t="shared" si="46"/>
        <v>0.55000000000000004</v>
      </c>
      <c r="X63" s="14">
        <f t="shared" si="47"/>
        <v>5.0000000000000044E-2</v>
      </c>
      <c r="Y63" s="5">
        <f t="shared" si="48"/>
        <v>100.00000000000009</v>
      </c>
      <c r="Z63" s="2">
        <f t="shared" si="1"/>
        <v>0</v>
      </c>
      <c r="AA63" s="4">
        <f t="shared" si="2"/>
        <v>0</v>
      </c>
      <c r="AB63" s="13">
        <f t="shared" si="3"/>
        <v>47.960149999999992</v>
      </c>
      <c r="AC63" s="10">
        <f>SUM($E$4:E63)</f>
        <v>-3758.8614564739646</v>
      </c>
      <c r="AD63" s="20">
        <f>SUM($AB$4:AB63)</f>
        <v>1839.2114564739582</v>
      </c>
      <c r="AF63" s="28">
        <f t="shared" si="4"/>
        <v>0.21000000000000002</v>
      </c>
      <c r="AG63" s="2">
        <f t="shared" si="5"/>
        <v>0.27500000000000002</v>
      </c>
      <c r="AH63" s="2">
        <f t="shared" si="6"/>
        <v>6.8249999999999991E-2</v>
      </c>
      <c r="AI63" s="2">
        <f t="shared" si="28"/>
        <v>0.27825</v>
      </c>
      <c r="AJ63" s="2">
        <f t="shared" si="29"/>
        <v>4.1737499999999997E-2</v>
      </c>
      <c r="AK63" s="2">
        <f t="shared" si="7"/>
        <v>4.2000000000000006E-3</v>
      </c>
      <c r="AL63" s="2">
        <f t="shared" si="8"/>
        <v>0.126</v>
      </c>
      <c r="AM63" s="2">
        <f t="shared" si="30"/>
        <v>0.72518749999999998</v>
      </c>
      <c r="AN63" s="2">
        <f t="shared" si="9"/>
        <v>40</v>
      </c>
      <c r="AO63" s="2">
        <f t="shared" si="10"/>
        <v>0.55000000000000004</v>
      </c>
      <c r="AP63" s="2">
        <f t="shared" si="11"/>
        <v>1.113</v>
      </c>
      <c r="AQ63" s="2">
        <f t="shared" si="31"/>
        <v>41.113</v>
      </c>
      <c r="AR63" s="2">
        <f t="shared" si="32"/>
        <v>6.1669499999999999</v>
      </c>
      <c r="AS63" s="2">
        <f t="shared" si="12"/>
        <v>4.2000000000000006E-3</v>
      </c>
      <c r="AT63" s="2">
        <f t="shared" si="13"/>
        <v>0.126</v>
      </c>
      <c r="AU63" s="2">
        <f t="shared" si="33"/>
        <v>47.960149999999992</v>
      </c>
      <c r="AV63" s="2">
        <f t="shared" si="14"/>
        <v>0.21000000000000002</v>
      </c>
      <c r="AW63" s="2">
        <f t="shared" si="15"/>
        <v>0.11000000000000001</v>
      </c>
      <c r="AX63" s="2">
        <f t="shared" si="16"/>
        <v>4.41E-2</v>
      </c>
      <c r="AY63" s="2">
        <f t="shared" si="34"/>
        <v>0.25409999999999999</v>
      </c>
      <c r="AZ63" s="2">
        <f t="shared" si="35"/>
        <v>3.8114999999999996E-2</v>
      </c>
      <c r="BA63" s="2">
        <f t="shared" si="17"/>
        <v>4.2000000000000006E-3</v>
      </c>
      <c r="BB63" s="2">
        <f t="shared" si="18"/>
        <v>0.126</v>
      </c>
      <c r="BC63" s="2">
        <f t="shared" si="36"/>
        <v>0.53241500000000008</v>
      </c>
      <c r="BD63" s="2">
        <v>0</v>
      </c>
      <c r="BE63" s="2">
        <f t="shared" si="19"/>
        <v>2.1</v>
      </c>
      <c r="BF63" s="2">
        <f t="shared" si="20"/>
        <v>6.8249999999999991E-2</v>
      </c>
      <c r="BG63" s="2">
        <f t="shared" si="37"/>
        <v>6.8249999999999991E-2</v>
      </c>
      <c r="BH63" s="2">
        <f t="shared" si="38"/>
        <v>1.0237499999999998E-2</v>
      </c>
      <c r="BI63" s="2">
        <f t="shared" si="21"/>
        <v>4.2000000000000006E-3</v>
      </c>
      <c r="BJ63" s="2">
        <f t="shared" si="22"/>
        <v>0.126</v>
      </c>
      <c r="BK63" s="2">
        <f t="shared" si="39"/>
        <v>2.3086875</v>
      </c>
      <c r="BL63" s="2">
        <f t="shared" si="23"/>
        <v>1000</v>
      </c>
      <c r="BM63" s="2">
        <f t="shared" si="24"/>
        <v>1100</v>
      </c>
      <c r="BN63" s="2">
        <f t="shared" si="40"/>
        <v>2100</v>
      </c>
    </row>
    <row r="64" spans="1:66" x14ac:dyDescent="0.25">
      <c r="A64" s="42">
        <v>61</v>
      </c>
      <c r="B64" s="43">
        <v>42739</v>
      </c>
      <c r="C64" s="42" t="s">
        <v>50</v>
      </c>
      <c r="D64" s="42" t="s">
        <v>141</v>
      </c>
      <c r="E64" s="6">
        <f t="shared" si="25"/>
        <v>-148.46950625000113</v>
      </c>
      <c r="F64" s="5" t="str">
        <f t="shared" si="41"/>
        <v>Loss</v>
      </c>
      <c r="G64" s="4">
        <f t="shared" si="42"/>
        <v>-130.00000000000114</v>
      </c>
      <c r="H64" s="46">
        <v>200</v>
      </c>
      <c r="I64" s="42">
        <v>136.5</v>
      </c>
      <c r="N64" s="5">
        <f t="shared" si="43"/>
        <v>200</v>
      </c>
      <c r="O64" s="4">
        <f t="shared" si="45"/>
        <v>136.5</v>
      </c>
      <c r="P64" s="5">
        <f t="shared" si="0"/>
        <v>200</v>
      </c>
      <c r="Q64" s="42">
        <v>135.85</v>
      </c>
      <c r="R64" s="2">
        <f t="shared" si="51"/>
        <v>0</v>
      </c>
      <c r="T64" s="2">
        <f t="shared" si="27"/>
        <v>0</v>
      </c>
      <c r="V64" s="5">
        <f t="shared" si="44"/>
        <v>200</v>
      </c>
      <c r="W64" s="4">
        <f t="shared" si="46"/>
        <v>135.85</v>
      </c>
      <c r="X64" s="14">
        <f t="shared" si="47"/>
        <v>-0.65000000000000568</v>
      </c>
      <c r="Y64" s="5">
        <f t="shared" si="48"/>
        <v>-130.00000000000114</v>
      </c>
      <c r="Z64" s="2">
        <f t="shared" si="1"/>
        <v>0</v>
      </c>
      <c r="AA64" s="4">
        <f t="shared" si="2"/>
        <v>0</v>
      </c>
      <c r="AB64" s="13">
        <f t="shared" si="3"/>
        <v>18.469506250000002</v>
      </c>
      <c r="AC64" s="10">
        <f>SUM($E$4:E64)</f>
        <v>-3907.330962723966</v>
      </c>
      <c r="AD64" s="20">
        <f>SUM($AB$4:AB64)</f>
        <v>1857.6809627239581</v>
      </c>
      <c r="AF64" s="28">
        <f t="shared" si="4"/>
        <v>5.4470000000000001</v>
      </c>
      <c r="AG64" s="2">
        <f t="shared" si="5"/>
        <v>6.7925000000000004</v>
      </c>
      <c r="AH64" s="2">
        <f t="shared" si="6"/>
        <v>1.7702749999999998</v>
      </c>
      <c r="AI64" s="2">
        <f t="shared" si="28"/>
        <v>7.2172749999999999</v>
      </c>
      <c r="AJ64" s="2">
        <f t="shared" si="29"/>
        <v>1.0825912499999999</v>
      </c>
      <c r="AK64" s="2">
        <f t="shared" si="7"/>
        <v>0.10894</v>
      </c>
      <c r="AL64" s="2">
        <f t="shared" si="8"/>
        <v>3.2682000000000002</v>
      </c>
      <c r="AM64" s="2">
        <f t="shared" si="30"/>
        <v>18.469506250000002</v>
      </c>
      <c r="AN64" s="2">
        <f t="shared" si="9"/>
        <v>40</v>
      </c>
      <c r="AO64" s="2">
        <f t="shared" si="10"/>
        <v>13.585000000000001</v>
      </c>
      <c r="AP64" s="2">
        <f t="shared" si="11"/>
        <v>28.8691</v>
      </c>
      <c r="AQ64" s="2">
        <f t="shared" si="31"/>
        <v>68.869100000000003</v>
      </c>
      <c r="AR64" s="2">
        <f t="shared" si="32"/>
        <v>10.330365</v>
      </c>
      <c r="AS64" s="2">
        <f t="shared" si="12"/>
        <v>0.10894</v>
      </c>
      <c r="AT64" s="2">
        <f t="shared" si="13"/>
        <v>3.2682000000000002</v>
      </c>
      <c r="AU64" s="2">
        <f t="shared" si="33"/>
        <v>96.161605000000009</v>
      </c>
      <c r="AV64" s="2">
        <f t="shared" si="14"/>
        <v>5.4470000000000001</v>
      </c>
      <c r="AW64" s="2">
        <f t="shared" si="15"/>
        <v>2.7170000000000001</v>
      </c>
      <c r="AX64" s="2">
        <f t="shared" si="16"/>
        <v>1.1438699999999999</v>
      </c>
      <c r="AY64" s="2">
        <f t="shared" si="34"/>
        <v>6.5908699999999998</v>
      </c>
      <c r="AZ64" s="2">
        <f t="shared" si="35"/>
        <v>0.98863049999999997</v>
      </c>
      <c r="BA64" s="2">
        <f t="shared" si="17"/>
        <v>0.10894</v>
      </c>
      <c r="BB64" s="2">
        <f t="shared" si="18"/>
        <v>3.2682000000000002</v>
      </c>
      <c r="BC64" s="2">
        <f t="shared" si="36"/>
        <v>13.673640499999999</v>
      </c>
      <c r="BD64" s="2">
        <v>0</v>
      </c>
      <c r="BE64" s="2">
        <f t="shared" si="19"/>
        <v>54.47</v>
      </c>
      <c r="BF64" s="2">
        <f t="shared" si="20"/>
        <v>1.7702749999999998</v>
      </c>
      <c r="BG64" s="2">
        <f t="shared" si="37"/>
        <v>1.7702749999999998</v>
      </c>
      <c r="BH64" s="2">
        <f t="shared" si="38"/>
        <v>0.26554124999999995</v>
      </c>
      <c r="BI64" s="2">
        <f t="shared" si="21"/>
        <v>0.10894</v>
      </c>
      <c r="BJ64" s="2">
        <f t="shared" si="22"/>
        <v>3.2682000000000002</v>
      </c>
      <c r="BK64" s="2">
        <f t="shared" si="39"/>
        <v>59.882956249999992</v>
      </c>
      <c r="BL64" s="2">
        <f t="shared" si="23"/>
        <v>27300</v>
      </c>
      <c r="BM64" s="2">
        <f t="shared" si="24"/>
        <v>27170</v>
      </c>
      <c r="BN64" s="2">
        <f t="shared" si="40"/>
        <v>54470</v>
      </c>
    </row>
    <row r="65" spans="1:66" x14ac:dyDescent="0.25">
      <c r="A65" s="42">
        <v>62</v>
      </c>
      <c r="B65" s="43">
        <v>42739</v>
      </c>
      <c r="C65" s="42" t="s">
        <v>50</v>
      </c>
      <c r="D65" s="42" t="s">
        <v>141</v>
      </c>
      <c r="E65" s="6">
        <f t="shared" si="25"/>
        <v>-79.586544374998979</v>
      </c>
      <c r="F65" s="5" t="str">
        <f t="shared" si="41"/>
        <v>Loss</v>
      </c>
      <c r="G65" s="4">
        <f t="shared" si="42"/>
        <v>-62.999999999998977</v>
      </c>
      <c r="H65" s="46">
        <v>180</v>
      </c>
      <c r="I65" s="42">
        <v>136</v>
      </c>
      <c r="N65" s="5">
        <f t="shared" si="43"/>
        <v>180</v>
      </c>
      <c r="O65" s="4">
        <f t="shared" si="45"/>
        <v>136</v>
      </c>
      <c r="P65" s="5">
        <f t="shared" si="0"/>
        <v>180</v>
      </c>
      <c r="Q65" s="42">
        <v>135.65</v>
      </c>
      <c r="R65" s="2">
        <f t="shared" si="51"/>
        <v>0</v>
      </c>
      <c r="T65" s="2">
        <f t="shared" si="27"/>
        <v>0</v>
      </c>
      <c r="V65" s="5">
        <f t="shared" si="44"/>
        <v>180</v>
      </c>
      <c r="W65" s="4">
        <f t="shared" si="46"/>
        <v>135.65</v>
      </c>
      <c r="X65" s="14">
        <f t="shared" si="47"/>
        <v>-0.34999999999999432</v>
      </c>
      <c r="Y65" s="5">
        <f t="shared" si="48"/>
        <v>-62.999999999998977</v>
      </c>
      <c r="Z65" s="2">
        <f t="shared" si="1"/>
        <v>0</v>
      </c>
      <c r="AA65" s="4">
        <f t="shared" si="2"/>
        <v>0</v>
      </c>
      <c r="AB65" s="13">
        <f t="shared" si="3"/>
        <v>16.586544375000003</v>
      </c>
      <c r="AC65" s="10">
        <f>SUM($E$4:E65)</f>
        <v>-3986.917507098965</v>
      </c>
      <c r="AD65" s="20">
        <f>SUM($AB$4:AB65)</f>
        <v>1874.267507098958</v>
      </c>
      <c r="AF65" s="28">
        <f t="shared" si="4"/>
        <v>4.8897000000000004</v>
      </c>
      <c r="AG65" s="2">
        <f t="shared" si="5"/>
        <v>6.1042500000000004</v>
      </c>
      <c r="AH65" s="2">
        <f t="shared" si="6"/>
        <v>1.5891525</v>
      </c>
      <c r="AI65" s="2">
        <f t="shared" si="28"/>
        <v>6.4788525000000003</v>
      </c>
      <c r="AJ65" s="2">
        <f t="shared" si="29"/>
        <v>0.97182787500000001</v>
      </c>
      <c r="AK65" s="2">
        <f t="shared" si="7"/>
        <v>9.7794000000000006E-2</v>
      </c>
      <c r="AL65" s="2">
        <f t="shared" si="8"/>
        <v>2.9338199999999999</v>
      </c>
      <c r="AM65" s="2">
        <f t="shared" si="30"/>
        <v>16.586544375000003</v>
      </c>
      <c r="AN65" s="2">
        <f t="shared" si="9"/>
        <v>40</v>
      </c>
      <c r="AO65" s="2">
        <f t="shared" si="10"/>
        <v>12.208500000000001</v>
      </c>
      <c r="AP65" s="2">
        <f t="shared" si="11"/>
        <v>25.915409999999998</v>
      </c>
      <c r="AQ65" s="2">
        <f t="shared" si="31"/>
        <v>65.915409999999994</v>
      </c>
      <c r="AR65" s="2">
        <f t="shared" si="32"/>
        <v>9.8873114999999991</v>
      </c>
      <c r="AS65" s="2">
        <f t="shared" si="12"/>
        <v>9.7794000000000006E-2</v>
      </c>
      <c r="AT65" s="2">
        <f t="shared" si="13"/>
        <v>2.9338199999999999</v>
      </c>
      <c r="AU65" s="2">
        <f t="shared" si="33"/>
        <v>91.042835499999981</v>
      </c>
      <c r="AV65" s="2">
        <f t="shared" si="14"/>
        <v>4.8897000000000004</v>
      </c>
      <c r="AW65" s="2">
        <f t="shared" si="15"/>
        <v>2.4417000000000004</v>
      </c>
      <c r="AX65" s="2">
        <f t="shared" si="16"/>
        <v>1.026837</v>
      </c>
      <c r="AY65" s="2">
        <f t="shared" si="34"/>
        <v>5.9165369999999999</v>
      </c>
      <c r="AZ65" s="2">
        <f t="shared" si="35"/>
        <v>0.88748054999999992</v>
      </c>
      <c r="BA65" s="2">
        <f t="shared" si="17"/>
        <v>9.7794000000000006E-2</v>
      </c>
      <c r="BB65" s="2">
        <f t="shared" si="18"/>
        <v>2.9338199999999999</v>
      </c>
      <c r="BC65" s="2">
        <f t="shared" si="36"/>
        <v>12.27733155</v>
      </c>
      <c r="BD65" s="2">
        <v>0</v>
      </c>
      <c r="BE65" s="2">
        <f t="shared" si="19"/>
        <v>48.896999999999998</v>
      </c>
      <c r="BF65" s="2">
        <f t="shared" si="20"/>
        <v>1.5891525</v>
      </c>
      <c r="BG65" s="2">
        <f t="shared" si="37"/>
        <v>1.5891525</v>
      </c>
      <c r="BH65" s="2">
        <f t="shared" si="38"/>
        <v>0.23837287499999998</v>
      </c>
      <c r="BI65" s="2">
        <f t="shared" si="21"/>
        <v>9.7794000000000006E-2</v>
      </c>
      <c r="BJ65" s="2">
        <f t="shared" si="22"/>
        <v>2.9338199999999999</v>
      </c>
      <c r="BK65" s="2">
        <f t="shared" si="39"/>
        <v>53.756139374999997</v>
      </c>
      <c r="BL65" s="2">
        <f t="shared" si="23"/>
        <v>24480</v>
      </c>
      <c r="BM65" s="2">
        <f t="shared" si="24"/>
        <v>24417</v>
      </c>
      <c r="BN65" s="2">
        <f t="shared" si="40"/>
        <v>48897</v>
      </c>
    </row>
    <row r="66" spans="1:66" x14ac:dyDescent="0.25">
      <c r="A66" s="42">
        <v>63</v>
      </c>
      <c r="B66" s="43">
        <v>42739</v>
      </c>
      <c r="C66" s="42" t="s">
        <v>50</v>
      </c>
      <c r="D66" s="42" t="s">
        <v>124</v>
      </c>
      <c r="E66" s="6">
        <f t="shared" si="25"/>
        <v>133.72179374999999</v>
      </c>
      <c r="F66" s="5" t="str">
        <f t="shared" si="41"/>
        <v>Win</v>
      </c>
      <c r="G66" s="4">
        <f t="shared" si="42"/>
        <v>150</v>
      </c>
      <c r="H66" s="46">
        <v>150</v>
      </c>
      <c r="I66" s="42">
        <v>159.19999999999999</v>
      </c>
      <c r="N66" s="5">
        <f t="shared" si="43"/>
        <v>150</v>
      </c>
      <c r="O66" s="4">
        <f t="shared" si="45"/>
        <v>159.19999999999999</v>
      </c>
      <c r="P66" s="5">
        <f t="shared" si="0"/>
        <v>150</v>
      </c>
      <c r="Q66" s="42">
        <v>160.19999999999999</v>
      </c>
      <c r="R66" s="2">
        <f t="shared" si="51"/>
        <v>0</v>
      </c>
      <c r="T66" s="2">
        <f t="shared" si="27"/>
        <v>0</v>
      </c>
      <c r="V66" s="5">
        <f t="shared" si="44"/>
        <v>150</v>
      </c>
      <c r="W66" s="4">
        <f t="shared" si="46"/>
        <v>160.19999999999999</v>
      </c>
      <c r="X66" s="14">
        <f t="shared" si="47"/>
        <v>1</v>
      </c>
      <c r="Y66" s="5">
        <f t="shared" si="48"/>
        <v>150</v>
      </c>
      <c r="Z66" s="2">
        <f t="shared" si="1"/>
        <v>0</v>
      </c>
      <c r="AA66" s="4">
        <f t="shared" si="2"/>
        <v>0</v>
      </c>
      <c r="AB66" s="13">
        <f t="shared" si="3"/>
        <v>16.27820625</v>
      </c>
      <c r="AC66" s="10">
        <f>SUM($E$4:E66)</f>
        <v>-3853.195713348965</v>
      </c>
      <c r="AD66" s="20">
        <f>SUM($AB$4:AB66)</f>
        <v>1890.5457133489581</v>
      </c>
      <c r="AF66" s="28">
        <f t="shared" si="4"/>
        <v>4.7910000000000004</v>
      </c>
      <c r="AG66" s="2">
        <f t="shared" si="5"/>
        <v>6.0074999999999994</v>
      </c>
      <c r="AH66" s="2">
        <f t="shared" si="6"/>
        <v>1.5570749999999998</v>
      </c>
      <c r="AI66" s="2">
        <f t="shared" si="28"/>
        <v>6.3480749999999997</v>
      </c>
      <c r="AJ66" s="2">
        <f t="shared" si="29"/>
        <v>0.95221124999999995</v>
      </c>
      <c r="AK66" s="2">
        <f t="shared" si="7"/>
        <v>9.5820000000000002E-2</v>
      </c>
      <c r="AL66" s="2">
        <f t="shared" si="8"/>
        <v>2.8746</v>
      </c>
      <c r="AM66" s="2">
        <f t="shared" si="30"/>
        <v>16.27820625</v>
      </c>
      <c r="AN66" s="2">
        <f t="shared" si="9"/>
        <v>40</v>
      </c>
      <c r="AO66" s="2">
        <f t="shared" si="10"/>
        <v>12.014999999999999</v>
      </c>
      <c r="AP66" s="2">
        <f t="shared" si="11"/>
        <v>25.392299999999999</v>
      </c>
      <c r="AQ66" s="2">
        <f t="shared" si="31"/>
        <v>65.392300000000006</v>
      </c>
      <c r="AR66" s="2">
        <f t="shared" si="32"/>
        <v>9.8088449999999998</v>
      </c>
      <c r="AS66" s="2">
        <f t="shared" si="12"/>
        <v>9.5820000000000002E-2</v>
      </c>
      <c r="AT66" s="2">
        <f t="shared" si="13"/>
        <v>2.8746</v>
      </c>
      <c r="AU66" s="2">
        <f t="shared" si="33"/>
        <v>90.186565000000002</v>
      </c>
      <c r="AV66" s="2">
        <f t="shared" si="14"/>
        <v>4.7910000000000004</v>
      </c>
      <c r="AW66" s="2">
        <f t="shared" si="15"/>
        <v>2.403</v>
      </c>
      <c r="AX66" s="2">
        <f t="shared" si="16"/>
        <v>1.0061099999999998</v>
      </c>
      <c r="AY66" s="2">
        <f t="shared" si="34"/>
        <v>5.79711</v>
      </c>
      <c r="AZ66" s="2">
        <f t="shared" si="35"/>
        <v>0.86956650000000002</v>
      </c>
      <c r="BA66" s="2">
        <f t="shared" si="17"/>
        <v>9.5820000000000002E-2</v>
      </c>
      <c r="BB66" s="2">
        <f t="shared" si="18"/>
        <v>2.8746</v>
      </c>
      <c r="BC66" s="2">
        <f t="shared" si="36"/>
        <v>12.040096500000001</v>
      </c>
      <c r="BD66" s="2">
        <v>0</v>
      </c>
      <c r="BE66" s="2">
        <f t="shared" si="19"/>
        <v>47.910000000000004</v>
      </c>
      <c r="BF66" s="2">
        <f t="shared" si="20"/>
        <v>1.5570749999999998</v>
      </c>
      <c r="BG66" s="2">
        <f t="shared" si="37"/>
        <v>1.5570749999999998</v>
      </c>
      <c r="BH66" s="2">
        <f t="shared" si="38"/>
        <v>0.23356124999999994</v>
      </c>
      <c r="BI66" s="2">
        <f t="shared" si="21"/>
        <v>9.5820000000000002E-2</v>
      </c>
      <c r="BJ66" s="2">
        <f t="shared" si="22"/>
        <v>2.8746</v>
      </c>
      <c r="BK66" s="2">
        <f t="shared" si="39"/>
        <v>52.671056250000007</v>
      </c>
      <c r="BL66" s="2">
        <f t="shared" si="23"/>
        <v>23880</v>
      </c>
      <c r="BM66" s="2">
        <f t="shared" si="24"/>
        <v>24030</v>
      </c>
      <c r="BN66" s="2">
        <f t="shared" si="40"/>
        <v>47910</v>
      </c>
    </row>
    <row r="67" spans="1:66" x14ac:dyDescent="0.25">
      <c r="A67" s="42">
        <v>64</v>
      </c>
      <c r="B67" s="43">
        <v>42740</v>
      </c>
      <c r="C67" s="42" t="s">
        <v>50</v>
      </c>
      <c r="D67" s="42" t="s">
        <v>142</v>
      </c>
      <c r="E67" s="6">
        <f t="shared" si="25"/>
        <v>-171.95982421874999</v>
      </c>
      <c r="F67" s="5" t="str">
        <f t="shared" si="41"/>
        <v>Loss</v>
      </c>
      <c r="G67" s="4">
        <f t="shared" si="42"/>
        <v>-155</v>
      </c>
      <c r="H67" s="46">
        <v>30</v>
      </c>
      <c r="I67" s="42">
        <v>501.75</v>
      </c>
      <c r="J67" s="42">
        <v>20</v>
      </c>
      <c r="K67" s="42">
        <v>502</v>
      </c>
      <c r="N67" s="5">
        <f t="shared" si="43"/>
        <v>50</v>
      </c>
      <c r="O67" s="4">
        <f t="shared" si="45"/>
        <v>501.875</v>
      </c>
      <c r="P67" s="5">
        <f t="shared" si="0"/>
        <v>30</v>
      </c>
      <c r="Q67" s="42">
        <v>498.75</v>
      </c>
      <c r="R67" s="2">
        <f t="shared" si="51"/>
        <v>20</v>
      </c>
      <c r="S67" s="42">
        <v>498.75</v>
      </c>
      <c r="T67" s="2">
        <f t="shared" si="27"/>
        <v>0</v>
      </c>
      <c r="V67" s="5">
        <f t="shared" si="44"/>
        <v>50</v>
      </c>
      <c r="W67" s="4">
        <f t="shared" si="46"/>
        <v>498.75</v>
      </c>
      <c r="X67" s="14">
        <f t="shared" si="47"/>
        <v>-3</v>
      </c>
      <c r="Y67" s="5">
        <f t="shared" si="48"/>
        <v>-90</v>
      </c>
      <c r="Z67" s="2">
        <f t="shared" si="1"/>
        <v>-65</v>
      </c>
      <c r="AA67" s="4">
        <f t="shared" si="2"/>
        <v>0</v>
      </c>
      <c r="AB67" s="13">
        <f t="shared" si="3"/>
        <v>16.959824218750001</v>
      </c>
      <c r="AC67" s="10">
        <f>SUM($E$4:E67)</f>
        <v>-4025.1555375677149</v>
      </c>
      <c r="AD67" s="20">
        <f>SUM($AB$4:AB67)</f>
        <v>1907.5055375677082</v>
      </c>
      <c r="AF67" s="28">
        <f t="shared" si="4"/>
        <v>5.0031249999999998</v>
      </c>
      <c r="AG67" s="2">
        <f t="shared" si="5"/>
        <v>6.234375</v>
      </c>
      <c r="AH67" s="2">
        <f t="shared" si="6"/>
        <v>1.626015625</v>
      </c>
      <c r="AI67" s="2">
        <f t="shared" si="28"/>
        <v>6.6291406249999998</v>
      </c>
      <c r="AJ67" s="2">
        <f t="shared" si="29"/>
        <v>0.99437109374999988</v>
      </c>
      <c r="AK67" s="2">
        <f t="shared" si="7"/>
        <v>0.1000625</v>
      </c>
      <c r="AL67" s="2">
        <f t="shared" si="8"/>
        <v>3.0018750000000001</v>
      </c>
      <c r="AM67" s="2">
        <f t="shared" si="30"/>
        <v>16.959824218750001</v>
      </c>
      <c r="AN67" s="2">
        <f t="shared" si="9"/>
        <v>80</v>
      </c>
      <c r="AO67" s="2">
        <f t="shared" si="10"/>
        <v>12.46875</v>
      </c>
      <c r="AP67" s="2">
        <f t="shared" si="11"/>
        <v>26.516562499999999</v>
      </c>
      <c r="AQ67" s="2">
        <f t="shared" si="31"/>
        <v>106.51656249999999</v>
      </c>
      <c r="AR67" s="2">
        <f t="shared" si="32"/>
        <v>15.977484374999998</v>
      </c>
      <c r="AS67" s="2">
        <f t="shared" si="12"/>
        <v>0.1000625</v>
      </c>
      <c r="AT67" s="2">
        <f t="shared" si="13"/>
        <v>3.0018750000000001</v>
      </c>
      <c r="AU67" s="2">
        <f t="shared" si="33"/>
        <v>138.064734375</v>
      </c>
      <c r="AV67" s="2">
        <f t="shared" si="14"/>
        <v>5.0031249999999998</v>
      </c>
      <c r="AW67" s="2">
        <f t="shared" si="15"/>
        <v>2.4937499999999999</v>
      </c>
      <c r="AX67" s="2">
        <f t="shared" si="16"/>
        <v>1.0506562499999998</v>
      </c>
      <c r="AY67" s="2">
        <f t="shared" si="34"/>
        <v>6.0537812500000001</v>
      </c>
      <c r="AZ67" s="2">
        <f t="shared" si="35"/>
        <v>0.90806718749999993</v>
      </c>
      <c r="BA67" s="2">
        <f t="shared" si="17"/>
        <v>0.1000625</v>
      </c>
      <c r="BB67" s="2">
        <f t="shared" si="18"/>
        <v>3.0018750000000001</v>
      </c>
      <c r="BC67" s="2">
        <f t="shared" si="36"/>
        <v>12.557535937499999</v>
      </c>
      <c r="BD67" s="2">
        <v>0</v>
      </c>
      <c r="BE67" s="2">
        <f t="shared" si="19"/>
        <v>50.03125</v>
      </c>
      <c r="BF67" s="2">
        <f t="shared" si="20"/>
        <v>1.626015625</v>
      </c>
      <c r="BG67" s="2">
        <f t="shared" si="37"/>
        <v>1.626015625</v>
      </c>
      <c r="BH67" s="2">
        <f t="shared" si="38"/>
        <v>0.24390234374999997</v>
      </c>
      <c r="BI67" s="2">
        <f t="shared" si="21"/>
        <v>0.1000625</v>
      </c>
      <c r="BJ67" s="2">
        <f t="shared" si="22"/>
        <v>3.0018750000000001</v>
      </c>
      <c r="BK67" s="2">
        <f t="shared" si="39"/>
        <v>55.00310546875</v>
      </c>
      <c r="BL67" s="2">
        <f t="shared" si="23"/>
        <v>25093.75</v>
      </c>
      <c r="BM67" s="2">
        <f t="shared" si="24"/>
        <v>24937.5</v>
      </c>
      <c r="BN67" s="2">
        <f t="shared" si="40"/>
        <v>50031.25</v>
      </c>
    </row>
    <row r="68" spans="1:66" x14ac:dyDescent="0.25">
      <c r="A68" s="42">
        <v>65</v>
      </c>
      <c r="B68" s="43">
        <v>42740</v>
      </c>
      <c r="C68" s="42" t="s">
        <v>50</v>
      </c>
      <c r="D68" s="42" t="s">
        <v>136</v>
      </c>
      <c r="E68" s="6">
        <f t="shared" si="25"/>
        <v>248.66661749999864</v>
      </c>
      <c r="F68" s="5" t="str">
        <f t="shared" si="41"/>
        <v>Win</v>
      </c>
      <c r="G68" s="4">
        <f t="shared" si="42"/>
        <v>263.99999999999864</v>
      </c>
      <c r="H68" s="46">
        <v>60</v>
      </c>
      <c r="I68" s="42">
        <v>373.5</v>
      </c>
      <c r="N68" s="5">
        <f t="shared" si="43"/>
        <v>60</v>
      </c>
      <c r="O68" s="4">
        <f t="shared" si="45"/>
        <v>373.5</v>
      </c>
      <c r="P68" s="5">
        <f t="shared" ref="P68:P131" si="52">H68</f>
        <v>60</v>
      </c>
      <c r="Q68" s="42">
        <v>377.9</v>
      </c>
      <c r="R68" s="2">
        <f t="shared" si="51"/>
        <v>0</v>
      </c>
      <c r="T68" s="2">
        <f t="shared" si="27"/>
        <v>0</v>
      </c>
      <c r="V68" s="5">
        <f t="shared" si="44"/>
        <v>60</v>
      </c>
      <c r="W68" s="4">
        <f t="shared" si="46"/>
        <v>377.9</v>
      </c>
      <c r="X68" s="14">
        <f t="shared" ref="X68:X131" si="53">MAX(Q68,S68,U68)-MIN(I68,K68,M68)</f>
        <v>4.3999999999999773</v>
      </c>
      <c r="Y68" s="5">
        <f t="shared" ref="Y68:Y131" si="54">P68*(Q68-I68)</f>
        <v>263.99999999999864</v>
      </c>
      <c r="Z68" s="2">
        <f t="shared" ref="Z68:Z131" si="55">R68*(S68-K68)</f>
        <v>0</v>
      </c>
      <c r="AA68" s="4">
        <f t="shared" ref="AA68:AA131" si="56">T68*(U68-M68)</f>
        <v>0</v>
      </c>
      <c r="AB68" s="13">
        <f t="shared" ref="AB68:AB131" si="57">IF(C68="EQ Intraday",AM68,IF(C68="Index Option",AU68,IF(C68="Index Future",BC68,IF(C68="EQ Delivery",BK68,IF(C68="Stock Option",AU68,IF(C68="Stock Future",BC68,IF(C68="",0,"Error")))))))</f>
        <v>15.333382500000001</v>
      </c>
      <c r="AC68" s="10">
        <f>SUM($E$4:E68)</f>
        <v>-3776.4889200677162</v>
      </c>
      <c r="AD68" s="20">
        <f>SUM($AB$4:AB68)</f>
        <v>1922.8389200677082</v>
      </c>
      <c r="AF68" s="28">
        <f t="shared" ref="AF68:AF131" si="58">MIN(IF(ISBLANK(U68)=FALSE,120,IF(ISBLANK(S68)=FALSE,80,40)),(((V68*W68)+(N68*O68))*0.0001))</f>
        <v>4.5084</v>
      </c>
      <c r="AG68" s="2">
        <f t="shared" ref="AG68:AG131" si="59">(0.00025*V68*W68)</f>
        <v>5.6684999999999999</v>
      </c>
      <c r="AH68" s="2">
        <f t="shared" ref="AH68:AH131" si="60">(0.0000325*((V68*W68)+(N68*O68)))</f>
        <v>1.4652299999999998</v>
      </c>
      <c r="AI68" s="2">
        <f t="shared" si="28"/>
        <v>5.97363</v>
      </c>
      <c r="AJ68" s="2">
        <f t="shared" si="29"/>
        <v>0.89604450000000002</v>
      </c>
      <c r="AK68" s="2">
        <f t="shared" ref="AK68:AK131" si="61">(((V68*W68)+(N68*O68))/10000000)*20</f>
        <v>9.0167999999999998E-2</v>
      </c>
      <c r="AL68" s="2">
        <f t="shared" ref="AL68:AL131" si="62">0.00006*((V68*W68)+(N68*O68))</f>
        <v>2.7050399999999999</v>
      </c>
      <c r="AM68" s="2">
        <f t="shared" si="30"/>
        <v>15.333382500000001</v>
      </c>
      <c r="AN68" s="2">
        <f t="shared" ref="AN68:AN131" si="63">COUNT(H68,J68,L68)*40</f>
        <v>40</v>
      </c>
      <c r="AO68" s="2">
        <f t="shared" ref="AO68:AO131" si="64">0.0005*V68*W68</f>
        <v>11.337</v>
      </c>
      <c r="AP68" s="2">
        <f t="shared" ref="AP68:AP131" si="65">0.00053*((N68*O68)+(V68*W68))</f>
        <v>23.89452</v>
      </c>
      <c r="AQ68" s="2">
        <f t="shared" si="31"/>
        <v>63.89452</v>
      </c>
      <c r="AR68" s="2">
        <f t="shared" si="32"/>
        <v>9.5841779999999996</v>
      </c>
      <c r="AS68" s="2">
        <f t="shared" ref="AS68:AS131" si="66">(((V68*W68)+(N68*O68))/10000000)*20</f>
        <v>9.0167999999999998E-2</v>
      </c>
      <c r="AT68" s="2">
        <f t="shared" ref="AT68:AT131" si="67">0.00006*((V68*W68)+(N68*O68))</f>
        <v>2.7050399999999999</v>
      </c>
      <c r="AU68" s="2">
        <f t="shared" si="33"/>
        <v>87.610906</v>
      </c>
      <c r="AV68" s="2">
        <f t="shared" ref="AV68:AV131" si="68">MIN(IF(ISBLANK(U68)=FALSE,120,IF(ISBLANK(S68)=FALSE,80,40)),(((V68*W68)+(N68*O68))*0.0001))</f>
        <v>4.5084</v>
      </c>
      <c r="AW68" s="2">
        <f t="shared" ref="AW68:AW131" si="69">0.0001*V68*W68</f>
        <v>2.2673999999999999</v>
      </c>
      <c r="AX68" s="2">
        <f t="shared" ref="AX68:AX131" si="70">0.000021*((N68*O68)+(V68*W68))</f>
        <v>0.94676399999999994</v>
      </c>
      <c r="AY68" s="2">
        <f t="shared" si="34"/>
        <v>5.4551639999999999</v>
      </c>
      <c r="AZ68" s="2">
        <f t="shared" si="35"/>
        <v>0.81827459999999996</v>
      </c>
      <c r="BA68" s="2">
        <f t="shared" ref="BA68:BA131" si="71">(((V68*W68)+(N68*O68))/10000000)*20</f>
        <v>9.0167999999999998E-2</v>
      </c>
      <c r="BB68" s="2">
        <f t="shared" ref="BB68:BB131" si="72">0.00006*((V68*W68)+(N68*O68))</f>
        <v>2.7050399999999999</v>
      </c>
      <c r="BC68" s="2">
        <f t="shared" si="36"/>
        <v>11.336046600000001</v>
      </c>
      <c r="BD68" s="2">
        <v>0</v>
      </c>
      <c r="BE68" s="2">
        <f t="shared" ref="BE68:BE131" si="73">0.001*((N68*O68)+(V68*W68))</f>
        <v>45.084000000000003</v>
      </c>
      <c r="BF68" s="2">
        <f t="shared" ref="BF68:BF131" si="74">(0.0000325*((V68*W68)+(N68*O68)))</f>
        <v>1.4652299999999998</v>
      </c>
      <c r="BG68" s="2">
        <f t="shared" si="37"/>
        <v>1.4652299999999998</v>
      </c>
      <c r="BH68" s="2">
        <f t="shared" si="38"/>
        <v>0.21978449999999997</v>
      </c>
      <c r="BI68" s="2">
        <f t="shared" ref="BI68:BI131" si="75">(((V68*W68)+(N68*O68))/10000000)*20</f>
        <v>9.0167999999999998E-2</v>
      </c>
      <c r="BJ68" s="2">
        <f t="shared" ref="BJ68:BJ131" si="76">0.00006*((V68*W68)+(N68*O68))</f>
        <v>2.7050399999999999</v>
      </c>
      <c r="BK68" s="2">
        <f t="shared" si="39"/>
        <v>49.5642225</v>
      </c>
      <c r="BL68" s="2">
        <f t="shared" ref="BL68:BL131" si="77">N68*O68</f>
        <v>22410</v>
      </c>
      <c r="BM68" s="2">
        <f t="shared" ref="BM68:BM131" si="78">V68*W68</f>
        <v>22674</v>
      </c>
      <c r="BN68" s="2">
        <f t="shared" si="40"/>
        <v>45084</v>
      </c>
    </row>
    <row r="69" spans="1:66" x14ac:dyDescent="0.25">
      <c r="A69" s="42">
        <v>66</v>
      </c>
      <c r="B69" s="43">
        <v>42740</v>
      </c>
      <c r="C69" s="42" t="s">
        <v>50</v>
      </c>
      <c r="D69" s="42" t="s">
        <v>136</v>
      </c>
      <c r="E69" s="6">
        <f t="shared" ref="E69:E132" si="79">G69-AB69</f>
        <v>284.49107249999997</v>
      </c>
      <c r="F69" s="5" t="str">
        <f t="shared" si="41"/>
        <v>Win</v>
      </c>
      <c r="G69" s="4">
        <f t="shared" si="42"/>
        <v>300</v>
      </c>
      <c r="H69" s="46">
        <v>60</v>
      </c>
      <c r="I69" s="42">
        <v>377.4</v>
      </c>
      <c r="N69" s="5">
        <f t="shared" si="43"/>
        <v>60</v>
      </c>
      <c r="O69" s="4">
        <f t="shared" si="45"/>
        <v>377.4</v>
      </c>
      <c r="P69" s="5">
        <f t="shared" si="52"/>
        <v>60</v>
      </c>
      <c r="Q69" s="42">
        <v>382.4</v>
      </c>
      <c r="R69" s="2">
        <f t="shared" si="51"/>
        <v>0</v>
      </c>
      <c r="T69" s="2">
        <f t="shared" ref="T69:T132" si="80">L69</f>
        <v>0</v>
      </c>
      <c r="V69" s="5">
        <f t="shared" si="44"/>
        <v>60</v>
      </c>
      <c r="W69" s="4">
        <f t="shared" si="46"/>
        <v>382.4</v>
      </c>
      <c r="X69" s="14">
        <f t="shared" si="53"/>
        <v>5</v>
      </c>
      <c r="Y69" s="5">
        <f t="shared" si="54"/>
        <v>300</v>
      </c>
      <c r="Z69" s="2">
        <f t="shared" si="55"/>
        <v>0</v>
      </c>
      <c r="AA69" s="4">
        <f t="shared" si="56"/>
        <v>0</v>
      </c>
      <c r="AB69" s="13">
        <f t="shared" si="57"/>
        <v>15.5089275</v>
      </c>
      <c r="AC69" s="10">
        <f>SUM($E$4:E69)</f>
        <v>-3491.9978475677162</v>
      </c>
      <c r="AD69" s="20">
        <f>SUM($AB$4:AB69)</f>
        <v>1938.3478475677082</v>
      </c>
      <c r="AF69" s="28">
        <f t="shared" si="58"/>
        <v>4.5588000000000006</v>
      </c>
      <c r="AG69" s="2">
        <f t="shared" si="59"/>
        <v>5.7359999999999998</v>
      </c>
      <c r="AH69" s="2">
        <f t="shared" si="60"/>
        <v>1.4816099999999999</v>
      </c>
      <c r="AI69" s="2">
        <f t="shared" ref="AI69:AI132" si="81">AH69+AF69</f>
        <v>6.0404100000000005</v>
      </c>
      <c r="AJ69" s="2">
        <f t="shared" ref="AJ69:AJ132" si="82">0.15*AI69</f>
        <v>0.90606150000000008</v>
      </c>
      <c r="AK69" s="2">
        <f t="shared" si="61"/>
        <v>9.1176000000000007E-2</v>
      </c>
      <c r="AL69" s="2">
        <f t="shared" si="62"/>
        <v>2.7352799999999999</v>
      </c>
      <c r="AM69" s="2">
        <f t="shared" ref="AM69:AM132" si="83">SUM(AF69:AH69,AJ69:AL69)</f>
        <v>15.5089275</v>
      </c>
      <c r="AN69" s="2">
        <f t="shared" si="63"/>
        <v>40</v>
      </c>
      <c r="AO69" s="2">
        <f t="shared" si="64"/>
        <v>11.472</v>
      </c>
      <c r="AP69" s="2">
        <f t="shared" si="65"/>
        <v>24.161639999999998</v>
      </c>
      <c r="AQ69" s="2">
        <f t="shared" ref="AQ69:AQ132" si="84">AN69+AP69</f>
        <v>64.161640000000006</v>
      </c>
      <c r="AR69" s="2">
        <f t="shared" ref="AR69:AR132" si="85">0.15*AQ69</f>
        <v>9.6242460000000012</v>
      </c>
      <c r="AS69" s="2">
        <f t="shared" si="66"/>
        <v>9.1176000000000007E-2</v>
      </c>
      <c r="AT69" s="2">
        <f t="shared" si="67"/>
        <v>2.7352799999999999</v>
      </c>
      <c r="AU69" s="2">
        <f t="shared" ref="AU69:AU132" si="86">SUM(AN69:AP69,AR69:AT69)</f>
        <v>88.084342000000007</v>
      </c>
      <c r="AV69" s="2">
        <f t="shared" si="68"/>
        <v>4.5588000000000006</v>
      </c>
      <c r="AW69" s="2">
        <f t="shared" si="69"/>
        <v>2.2944</v>
      </c>
      <c r="AX69" s="2">
        <f t="shared" si="70"/>
        <v>0.95734799999999998</v>
      </c>
      <c r="AY69" s="2">
        <f t="shared" ref="AY69:AY132" si="87">AV69+AX69</f>
        <v>5.5161480000000003</v>
      </c>
      <c r="AZ69" s="2">
        <f t="shared" ref="AZ69:AZ132" si="88">0.15*AY69</f>
        <v>0.8274222</v>
      </c>
      <c r="BA69" s="2">
        <f t="shared" si="71"/>
        <v>9.1176000000000007E-2</v>
      </c>
      <c r="BB69" s="2">
        <f t="shared" si="72"/>
        <v>2.7352799999999999</v>
      </c>
      <c r="BC69" s="2">
        <f t="shared" ref="BC69:BC132" si="89">SUM(AV69:AX69,AZ69:BB69)</f>
        <v>11.464426200000002</v>
      </c>
      <c r="BD69" s="2">
        <v>0</v>
      </c>
      <c r="BE69" s="2">
        <f t="shared" si="73"/>
        <v>45.588000000000001</v>
      </c>
      <c r="BF69" s="2">
        <f t="shared" si="74"/>
        <v>1.4816099999999999</v>
      </c>
      <c r="BG69" s="2">
        <f t="shared" ref="BG69:BG132" si="90">BD69+BF69</f>
        <v>1.4816099999999999</v>
      </c>
      <c r="BH69" s="2">
        <f t="shared" ref="BH69:BH132" si="91">0.15*BG69</f>
        <v>0.22224149999999998</v>
      </c>
      <c r="BI69" s="2">
        <f t="shared" si="75"/>
        <v>9.1176000000000007E-2</v>
      </c>
      <c r="BJ69" s="2">
        <f t="shared" si="76"/>
        <v>2.7352799999999999</v>
      </c>
      <c r="BK69" s="2">
        <f t="shared" ref="BK69:BK132" si="92">SUM(BD69:BF69,BH69:BJ69)</f>
        <v>50.1183075</v>
      </c>
      <c r="BL69" s="2">
        <f t="shared" si="77"/>
        <v>22644</v>
      </c>
      <c r="BM69" s="2">
        <f t="shared" si="78"/>
        <v>22944</v>
      </c>
      <c r="BN69" s="2">
        <f t="shared" ref="BN69:BN132" si="93">BM69+BL69</f>
        <v>45588</v>
      </c>
    </row>
    <row r="70" spans="1:66" x14ac:dyDescent="0.25">
      <c r="A70" s="42">
        <v>67</v>
      </c>
      <c r="B70" s="43">
        <v>42740</v>
      </c>
      <c r="C70" s="42" t="s">
        <v>50</v>
      </c>
      <c r="D70" s="42" t="s">
        <v>136</v>
      </c>
      <c r="E70" s="6">
        <f t="shared" si="79"/>
        <v>-123.46607250000068</v>
      </c>
      <c r="F70" s="5" t="str">
        <f t="shared" ref="F70:F133" si="94">IF(G70&gt;0,"Win",IF(G70=0,"Break Even","Loss"))</f>
        <v>Loss</v>
      </c>
      <c r="G70" s="4">
        <f t="shared" ref="G70:G133" si="95">SUM(Y70,Z70,AA70)</f>
        <v>-108.00000000000068</v>
      </c>
      <c r="H70" s="46">
        <v>60</v>
      </c>
      <c r="I70" s="42">
        <v>381</v>
      </c>
      <c r="N70" s="5">
        <f t="shared" ref="N70:N133" si="96">SUM(H70,J70,L70)</f>
        <v>60</v>
      </c>
      <c r="O70" s="4">
        <f t="shared" ref="O70:O133" si="97">AVERAGE(M70,K70,I70)</f>
        <v>381</v>
      </c>
      <c r="P70" s="5">
        <f t="shared" si="52"/>
        <v>60</v>
      </c>
      <c r="Q70" s="42">
        <v>379.2</v>
      </c>
      <c r="R70" s="2">
        <f t="shared" si="51"/>
        <v>0</v>
      </c>
      <c r="T70" s="2">
        <f t="shared" si="80"/>
        <v>0</v>
      </c>
      <c r="V70" s="5">
        <f t="shared" ref="V70:V133" si="98">SUM(P70,R70,T70)</f>
        <v>60</v>
      </c>
      <c r="W70" s="4">
        <f t="shared" ref="W70:W133" si="99">AVERAGE(Q70,S70,U70)</f>
        <v>379.2</v>
      </c>
      <c r="X70" s="14">
        <f t="shared" si="53"/>
        <v>-1.8000000000000114</v>
      </c>
      <c r="Y70" s="5">
        <f t="shared" si="54"/>
        <v>-108.00000000000068</v>
      </c>
      <c r="Z70" s="2">
        <f t="shared" si="55"/>
        <v>0</v>
      </c>
      <c r="AA70" s="4">
        <f t="shared" si="56"/>
        <v>0</v>
      </c>
      <c r="AB70" s="13">
        <f t="shared" si="57"/>
        <v>15.466072500000001</v>
      </c>
      <c r="AC70" s="10">
        <f>SUM($E$4:E70)</f>
        <v>-3615.463920067717</v>
      </c>
      <c r="AD70" s="20">
        <f>SUM($AB$4:AB70)</f>
        <v>1953.8139200677083</v>
      </c>
      <c r="AF70" s="28">
        <f t="shared" si="58"/>
        <v>4.5612000000000004</v>
      </c>
      <c r="AG70" s="2">
        <f t="shared" si="59"/>
        <v>5.6879999999999997</v>
      </c>
      <c r="AH70" s="2">
        <f t="shared" si="60"/>
        <v>1.4823899999999999</v>
      </c>
      <c r="AI70" s="2">
        <f t="shared" si="81"/>
        <v>6.04359</v>
      </c>
      <c r="AJ70" s="2">
        <f t="shared" si="82"/>
        <v>0.90653849999999991</v>
      </c>
      <c r="AK70" s="2">
        <f t="shared" si="61"/>
        <v>9.1224E-2</v>
      </c>
      <c r="AL70" s="2">
        <f t="shared" si="62"/>
        <v>2.73672</v>
      </c>
      <c r="AM70" s="2">
        <f t="shared" si="83"/>
        <v>15.466072500000001</v>
      </c>
      <c r="AN70" s="2">
        <f t="shared" si="63"/>
        <v>40</v>
      </c>
      <c r="AO70" s="2">
        <f t="shared" si="64"/>
        <v>11.375999999999999</v>
      </c>
      <c r="AP70" s="2">
        <f t="shared" si="65"/>
        <v>24.17436</v>
      </c>
      <c r="AQ70" s="2">
        <f t="shared" si="84"/>
        <v>64.174360000000007</v>
      </c>
      <c r="AR70" s="2">
        <f t="shared" si="85"/>
        <v>9.6261540000000014</v>
      </c>
      <c r="AS70" s="2">
        <f t="shared" si="66"/>
        <v>9.1224E-2</v>
      </c>
      <c r="AT70" s="2">
        <f t="shared" si="67"/>
        <v>2.73672</v>
      </c>
      <c r="AU70" s="2">
        <f t="shared" si="86"/>
        <v>88.004458</v>
      </c>
      <c r="AV70" s="2">
        <f t="shared" si="68"/>
        <v>4.5612000000000004</v>
      </c>
      <c r="AW70" s="2">
        <f t="shared" si="69"/>
        <v>2.2751999999999999</v>
      </c>
      <c r="AX70" s="2">
        <f t="shared" si="70"/>
        <v>0.95785199999999993</v>
      </c>
      <c r="AY70" s="2">
        <f t="shared" si="87"/>
        <v>5.5190520000000003</v>
      </c>
      <c r="AZ70" s="2">
        <f t="shared" si="88"/>
        <v>0.82785779999999998</v>
      </c>
      <c r="BA70" s="2">
        <f t="shared" si="71"/>
        <v>9.1224E-2</v>
      </c>
      <c r="BB70" s="2">
        <f t="shared" si="72"/>
        <v>2.73672</v>
      </c>
      <c r="BC70" s="2">
        <f t="shared" si="89"/>
        <v>11.450053800000001</v>
      </c>
      <c r="BD70" s="2">
        <v>0</v>
      </c>
      <c r="BE70" s="2">
        <f t="shared" si="73"/>
        <v>45.612000000000002</v>
      </c>
      <c r="BF70" s="2">
        <f t="shared" si="74"/>
        <v>1.4823899999999999</v>
      </c>
      <c r="BG70" s="2">
        <f t="shared" si="90"/>
        <v>1.4823899999999999</v>
      </c>
      <c r="BH70" s="2">
        <f t="shared" si="91"/>
        <v>0.22235849999999999</v>
      </c>
      <c r="BI70" s="2">
        <f t="shared" si="75"/>
        <v>9.1224E-2</v>
      </c>
      <c r="BJ70" s="2">
        <f t="shared" si="76"/>
        <v>2.73672</v>
      </c>
      <c r="BK70" s="2">
        <f t="shared" si="92"/>
        <v>50.144692499999998</v>
      </c>
      <c r="BL70" s="2">
        <f t="shared" si="77"/>
        <v>22860</v>
      </c>
      <c r="BM70" s="2">
        <f t="shared" si="78"/>
        <v>22752</v>
      </c>
      <c r="BN70" s="2">
        <f t="shared" si="93"/>
        <v>45612</v>
      </c>
    </row>
    <row r="71" spans="1:66" x14ac:dyDescent="0.25">
      <c r="A71" s="42">
        <v>68</v>
      </c>
      <c r="B71" s="43">
        <v>42740</v>
      </c>
      <c r="C71" s="42" t="s">
        <v>50</v>
      </c>
      <c r="D71" s="42" t="s">
        <v>136</v>
      </c>
      <c r="E71" s="6">
        <f t="shared" si="79"/>
        <v>44.496637500000006</v>
      </c>
      <c r="F71" s="5" t="str">
        <f t="shared" si="94"/>
        <v>Win</v>
      </c>
      <c r="G71" s="4">
        <f t="shared" si="95"/>
        <v>60</v>
      </c>
      <c r="H71" s="46">
        <v>60</v>
      </c>
      <c r="I71" s="42">
        <v>380</v>
      </c>
      <c r="N71" s="5">
        <f t="shared" si="96"/>
        <v>60</v>
      </c>
      <c r="O71" s="4">
        <f t="shared" si="97"/>
        <v>380</v>
      </c>
      <c r="P71" s="5">
        <f t="shared" si="52"/>
        <v>60</v>
      </c>
      <c r="Q71" s="42">
        <v>381</v>
      </c>
      <c r="R71" s="2">
        <f t="shared" si="51"/>
        <v>0</v>
      </c>
      <c r="T71" s="2">
        <f t="shared" si="80"/>
        <v>0</v>
      </c>
      <c r="V71" s="5">
        <f t="shared" si="98"/>
        <v>60</v>
      </c>
      <c r="W71" s="4">
        <f t="shared" si="99"/>
        <v>381</v>
      </c>
      <c r="X71" s="14">
        <f t="shared" si="53"/>
        <v>1</v>
      </c>
      <c r="Y71" s="5">
        <f t="shared" si="54"/>
        <v>60</v>
      </c>
      <c r="Z71" s="2">
        <f t="shared" si="55"/>
        <v>0</v>
      </c>
      <c r="AA71" s="4">
        <f t="shared" si="56"/>
        <v>0</v>
      </c>
      <c r="AB71" s="13">
        <f t="shared" si="57"/>
        <v>15.503362499999998</v>
      </c>
      <c r="AC71" s="10">
        <f>SUM($E$4:E71)</f>
        <v>-3570.9672825677171</v>
      </c>
      <c r="AD71" s="20">
        <f>SUM($AB$4:AB71)</f>
        <v>1969.3172825677084</v>
      </c>
      <c r="AF71" s="28">
        <f t="shared" si="58"/>
        <v>4.5659999999999998</v>
      </c>
      <c r="AG71" s="2">
        <f t="shared" si="59"/>
        <v>5.7149999999999999</v>
      </c>
      <c r="AH71" s="2">
        <f t="shared" si="60"/>
        <v>1.4839499999999999</v>
      </c>
      <c r="AI71" s="2">
        <f t="shared" si="81"/>
        <v>6.0499499999999999</v>
      </c>
      <c r="AJ71" s="2">
        <f t="shared" si="82"/>
        <v>0.90749249999999992</v>
      </c>
      <c r="AK71" s="2">
        <f t="shared" si="61"/>
        <v>9.1319999999999998E-2</v>
      </c>
      <c r="AL71" s="2">
        <f t="shared" si="62"/>
        <v>2.7396000000000003</v>
      </c>
      <c r="AM71" s="2">
        <f t="shared" si="83"/>
        <v>15.503362499999998</v>
      </c>
      <c r="AN71" s="2">
        <f t="shared" si="63"/>
        <v>40</v>
      </c>
      <c r="AO71" s="2">
        <f t="shared" si="64"/>
        <v>11.43</v>
      </c>
      <c r="AP71" s="2">
        <f t="shared" si="65"/>
        <v>24.1998</v>
      </c>
      <c r="AQ71" s="2">
        <f t="shared" si="84"/>
        <v>64.199799999999996</v>
      </c>
      <c r="AR71" s="2">
        <f t="shared" si="85"/>
        <v>9.6299699999999984</v>
      </c>
      <c r="AS71" s="2">
        <f t="shared" si="66"/>
        <v>9.1319999999999998E-2</v>
      </c>
      <c r="AT71" s="2">
        <f t="shared" si="67"/>
        <v>2.7396000000000003</v>
      </c>
      <c r="AU71" s="2">
        <f t="shared" si="86"/>
        <v>88.090689999999995</v>
      </c>
      <c r="AV71" s="2">
        <f t="shared" si="68"/>
        <v>4.5659999999999998</v>
      </c>
      <c r="AW71" s="2">
        <f t="shared" si="69"/>
        <v>2.286</v>
      </c>
      <c r="AX71" s="2">
        <f t="shared" si="70"/>
        <v>0.95885999999999993</v>
      </c>
      <c r="AY71" s="2">
        <f t="shared" si="87"/>
        <v>5.5248599999999994</v>
      </c>
      <c r="AZ71" s="2">
        <f t="shared" si="88"/>
        <v>0.82872899999999994</v>
      </c>
      <c r="BA71" s="2">
        <f t="shared" si="71"/>
        <v>9.1319999999999998E-2</v>
      </c>
      <c r="BB71" s="2">
        <f t="shared" si="72"/>
        <v>2.7396000000000003</v>
      </c>
      <c r="BC71" s="2">
        <f t="shared" si="89"/>
        <v>11.470509</v>
      </c>
      <c r="BD71" s="2">
        <v>0</v>
      </c>
      <c r="BE71" s="2">
        <f t="shared" si="73"/>
        <v>45.660000000000004</v>
      </c>
      <c r="BF71" s="2">
        <f t="shared" si="74"/>
        <v>1.4839499999999999</v>
      </c>
      <c r="BG71" s="2">
        <f t="shared" si="90"/>
        <v>1.4839499999999999</v>
      </c>
      <c r="BH71" s="2">
        <f t="shared" si="91"/>
        <v>0.22259249999999997</v>
      </c>
      <c r="BI71" s="2">
        <f t="shared" si="75"/>
        <v>9.1319999999999998E-2</v>
      </c>
      <c r="BJ71" s="2">
        <f t="shared" si="76"/>
        <v>2.7396000000000003</v>
      </c>
      <c r="BK71" s="2">
        <f t="shared" si="92"/>
        <v>50.197462500000007</v>
      </c>
      <c r="BL71" s="2">
        <f t="shared" si="77"/>
        <v>22800</v>
      </c>
      <c r="BM71" s="2">
        <f t="shared" si="78"/>
        <v>22860</v>
      </c>
      <c r="BN71" s="2">
        <f t="shared" si="93"/>
        <v>45660</v>
      </c>
    </row>
    <row r="72" spans="1:66" x14ac:dyDescent="0.25">
      <c r="A72" s="42">
        <v>69</v>
      </c>
      <c r="B72" s="43">
        <v>42740</v>
      </c>
      <c r="C72" s="42" t="s">
        <v>50</v>
      </c>
      <c r="D72" s="42" t="s">
        <v>136</v>
      </c>
      <c r="E72" s="6">
        <f t="shared" si="79"/>
        <v>224.37232499999999</v>
      </c>
      <c r="F72" s="5" t="str">
        <f t="shared" si="94"/>
        <v>Win</v>
      </c>
      <c r="G72" s="4">
        <f t="shared" si="95"/>
        <v>240</v>
      </c>
      <c r="H72" s="46">
        <v>60</v>
      </c>
      <c r="I72" s="42">
        <v>381</v>
      </c>
      <c r="N72" s="5">
        <f t="shared" si="96"/>
        <v>60</v>
      </c>
      <c r="O72" s="4">
        <f t="shared" si="97"/>
        <v>381</v>
      </c>
      <c r="P72" s="5">
        <f t="shared" si="52"/>
        <v>60</v>
      </c>
      <c r="Q72" s="42">
        <v>385</v>
      </c>
      <c r="R72" s="2">
        <f t="shared" si="51"/>
        <v>0</v>
      </c>
      <c r="T72" s="2">
        <f t="shared" si="80"/>
        <v>0</v>
      </c>
      <c r="V72" s="5">
        <f t="shared" si="98"/>
        <v>60</v>
      </c>
      <c r="W72" s="4">
        <f t="shared" si="99"/>
        <v>385</v>
      </c>
      <c r="X72" s="14">
        <f t="shared" si="53"/>
        <v>4</v>
      </c>
      <c r="Y72" s="5">
        <f t="shared" si="54"/>
        <v>240</v>
      </c>
      <c r="Z72" s="2">
        <f t="shared" si="55"/>
        <v>0</v>
      </c>
      <c r="AA72" s="4">
        <f t="shared" si="56"/>
        <v>0</v>
      </c>
      <c r="AB72" s="13">
        <f t="shared" si="57"/>
        <v>15.627674999999998</v>
      </c>
      <c r="AC72" s="10">
        <f>SUM($E$4:E72)</f>
        <v>-3346.5949575677173</v>
      </c>
      <c r="AD72" s="20">
        <f>SUM($AB$4:AB72)</f>
        <v>1984.9449575677083</v>
      </c>
      <c r="AF72" s="28">
        <f t="shared" si="58"/>
        <v>4.5960000000000001</v>
      </c>
      <c r="AG72" s="2">
        <f t="shared" si="59"/>
        <v>5.7749999999999995</v>
      </c>
      <c r="AH72" s="2">
        <f t="shared" si="60"/>
        <v>1.4936999999999998</v>
      </c>
      <c r="AI72" s="2">
        <f t="shared" si="81"/>
        <v>6.0896999999999997</v>
      </c>
      <c r="AJ72" s="2">
        <f t="shared" si="82"/>
        <v>0.91345499999999991</v>
      </c>
      <c r="AK72" s="2">
        <f t="shared" si="61"/>
        <v>9.1920000000000002E-2</v>
      </c>
      <c r="AL72" s="2">
        <f t="shared" si="62"/>
        <v>2.7576000000000001</v>
      </c>
      <c r="AM72" s="2">
        <f t="shared" si="83"/>
        <v>15.627674999999998</v>
      </c>
      <c r="AN72" s="2">
        <f t="shared" si="63"/>
        <v>40</v>
      </c>
      <c r="AO72" s="2">
        <f t="shared" si="64"/>
        <v>11.549999999999999</v>
      </c>
      <c r="AP72" s="2">
        <f t="shared" si="65"/>
        <v>24.358799999999999</v>
      </c>
      <c r="AQ72" s="2">
        <f t="shared" si="84"/>
        <v>64.358800000000002</v>
      </c>
      <c r="AR72" s="2">
        <f t="shared" si="85"/>
        <v>9.6538199999999996</v>
      </c>
      <c r="AS72" s="2">
        <f t="shared" si="66"/>
        <v>9.1920000000000002E-2</v>
      </c>
      <c r="AT72" s="2">
        <f t="shared" si="67"/>
        <v>2.7576000000000001</v>
      </c>
      <c r="AU72" s="2">
        <f t="shared" si="86"/>
        <v>88.412139999999994</v>
      </c>
      <c r="AV72" s="2">
        <f t="shared" si="68"/>
        <v>4.5960000000000001</v>
      </c>
      <c r="AW72" s="2">
        <f t="shared" si="69"/>
        <v>2.31</v>
      </c>
      <c r="AX72" s="2">
        <f t="shared" si="70"/>
        <v>0.96515999999999991</v>
      </c>
      <c r="AY72" s="2">
        <f t="shared" si="87"/>
        <v>5.5611600000000001</v>
      </c>
      <c r="AZ72" s="2">
        <f t="shared" si="88"/>
        <v>0.83417399999999997</v>
      </c>
      <c r="BA72" s="2">
        <f t="shared" si="71"/>
        <v>9.1920000000000002E-2</v>
      </c>
      <c r="BB72" s="2">
        <f t="shared" si="72"/>
        <v>2.7576000000000001</v>
      </c>
      <c r="BC72" s="2">
        <f t="shared" si="89"/>
        <v>11.554854000000001</v>
      </c>
      <c r="BD72" s="2">
        <v>0</v>
      </c>
      <c r="BE72" s="2">
        <f t="shared" si="73"/>
        <v>45.96</v>
      </c>
      <c r="BF72" s="2">
        <f t="shared" si="74"/>
        <v>1.4936999999999998</v>
      </c>
      <c r="BG72" s="2">
        <f t="shared" si="90"/>
        <v>1.4936999999999998</v>
      </c>
      <c r="BH72" s="2">
        <f t="shared" si="91"/>
        <v>0.22405499999999998</v>
      </c>
      <c r="BI72" s="2">
        <f t="shared" si="75"/>
        <v>9.1920000000000002E-2</v>
      </c>
      <c r="BJ72" s="2">
        <f t="shared" si="76"/>
        <v>2.7576000000000001</v>
      </c>
      <c r="BK72" s="2">
        <f t="shared" si="92"/>
        <v>50.527275000000003</v>
      </c>
      <c r="BL72" s="2">
        <f t="shared" si="77"/>
        <v>22860</v>
      </c>
      <c r="BM72" s="2">
        <f t="shared" si="78"/>
        <v>23100</v>
      </c>
      <c r="BN72" s="2">
        <f t="shared" si="93"/>
        <v>45960</v>
      </c>
    </row>
    <row r="73" spans="1:66" x14ac:dyDescent="0.25">
      <c r="A73" s="42">
        <v>70</v>
      </c>
      <c r="B73" s="43">
        <v>42740</v>
      </c>
      <c r="C73" s="42" t="s">
        <v>50</v>
      </c>
      <c r="D73" s="42" t="s">
        <v>136</v>
      </c>
      <c r="E73" s="6">
        <f t="shared" si="79"/>
        <v>-75.732712500000005</v>
      </c>
      <c r="F73" s="5" t="str">
        <f t="shared" si="94"/>
        <v>Loss</v>
      </c>
      <c r="G73" s="4">
        <f t="shared" si="95"/>
        <v>-60</v>
      </c>
      <c r="H73" s="46">
        <v>60</v>
      </c>
      <c r="I73" s="42">
        <v>387</v>
      </c>
      <c r="N73" s="5">
        <f t="shared" si="96"/>
        <v>60</v>
      </c>
      <c r="O73" s="4">
        <f t="shared" si="97"/>
        <v>387</v>
      </c>
      <c r="P73" s="5">
        <f t="shared" si="52"/>
        <v>60</v>
      </c>
      <c r="Q73" s="42">
        <v>386</v>
      </c>
      <c r="R73" s="2">
        <f t="shared" si="51"/>
        <v>0</v>
      </c>
      <c r="T73" s="2">
        <f t="shared" si="80"/>
        <v>0</v>
      </c>
      <c r="V73" s="5">
        <f t="shared" si="98"/>
        <v>60</v>
      </c>
      <c r="W73" s="4">
        <f t="shared" si="99"/>
        <v>386</v>
      </c>
      <c r="X73" s="14">
        <f t="shared" si="53"/>
        <v>-1</v>
      </c>
      <c r="Y73" s="5">
        <f t="shared" si="54"/>
        <v>-60</v>
      </c>
      <c r="Z73" s="2">
        <f t="shared" si="55"/>
        <v>0</v>
      </c>
      <c r="AA73" s="4">
        <f t="shared" si="56"/>
        <v>0</v>
      </c>
      <c r="AB73" s="13">
        <f t="shared" si="57"/>
        <v>15.732712500000002</v>
      </c>
      <c r="AC73" s="10">
        <f>SUM($E$4:E73)</f>
        <v>-3422.3276700677175</v>
      </c>
      <c r="AD73" s="20">
        <f>SUM($AB$4:AB73)</f>
        <v>2000.6776700677083</v>
      </c>
      <c r="AF73" s="28">
        <f t="shared" si="58"/>
        <v>4.6379999999999999</v>
      </c>
      <c r="AG73" s="2">
        <f t="shared" si="59"/>
        <v>5.79</v>
      </c>
      <c r="AH73" s="2">
        <f t="shared" si="60"/>
        <v>1.50735</v>
      </c>
      <c r="AI73" s="2">
        <f t="shared" si="81"/>
        <v>6.1453499999999996</v>
      </c>
      <c r="AJ73" s="2">
        <f t="shared" si="82"/>
        <v>0.92180249999999986</v>
      </c>
      <c r="AK73" s="2">
        <f t="shared" si="61"/>
        <v>9.2759999999999995E-2</v>
      </c>
      <c r="AL73" s="2">
        <f t="shared" si="62"/>
        <v>2.7827999999999999</v>
      </c>
      <c r="AM73" s="2">
        <f t="shared" si="83"/>
        <v>15.732712500000002</v>
      </c>
      <c r="AN73" s="2">
        <f t="shared" si="63"/>
        <v>40</v>
      </c>
      <c r="AO73" s="2">
        <f t="shared" si="64"/>
        <v>11.58</v>
      </c>
      <c r="AP73" s="2">
        <f t="shared" si="65"/>
        <v>24.581399999999999</v>
      </c>
      <c r="AQ73" s="2">
        <f t="shared" si="84"/>
        <v>64.581400000000002</v>
      </c>
      <c r="AR73" s="2">
        <f t="shared" si="85"/>
        <v>9.6872100000000003</v>
      </c>
      <c r="AS73" s="2">
        <f t="shared" si="66"/>
        <v>9.2759999999999995E-2</v>
      </c>
      <c r="AT73" s="2">
        <f t="shared" si="67"/>
        <v>2.7827999999999999</v>
      </c>
      <c r="AU73" s="2">
        <f t="shared" si="86"/>
        <v>88.724170000000001</v>
      </c>
      <c r="AV73" s="2">
        <f t="shared" si="68"/>
        <v>4.6379999999999999</v>
      </c>
      <c r="AW73" s="2">
        <f t="shared" si="69"/>
        <v>2.3159999999999998</v>
      </c>
      <c r="AX73" s="2">
        <f t="shared" si="70"/>
        <v>0.97397999999999996</v>
      </c>
      <c r="AY73" s="2">
        <f t="shared" si="87"/>
        <v>5.61198</v>
      </c>
      <c r="AZ73" s="2">
        <f t="shared" si="88"/>
        <v>0.84179700000000002</v>
      </c>
      <c r="BA73" s="2">
        <f t="shared" si="71"/>
        <v>9.2759999999999995E-2</v>
      </c>
      <c r="BB73" s="2">
        <f t="shared" si="72"/>
        <v>2.7827999999999999</v>
      </c>
      <c r="BC73" s="2">
        <f t="shared" si="89"/>
        <v>11.645337</v>
      </c>
      <c r="BD73" s="2">
        <v>0</v>
      </c>
      <c r="BE73" s="2">
        <f t="shared" si="73"/>
        <v>46.38</v>
      </c>
      <c r="BF73" s="2">
        <f t="shared" si="74"/>
        <v>1.50735</v>
      </c>
      <c r="BG73" s="2">
        <f t="shared" si="90"/>
        <v>1.50735</v>
      </c>
      <c r="BH73" s="2">
        <f t="shared" si="91"/>
        <v>0.22610249999999998</v>
      </c>
      <c r="BI73" s="2">
        <f t="shared" si="75"/>
        <v>9.2759999999999995E-2</v>
      </c>
      <c r="BJ73" s="2">
        <f t="shared" si="76"/>
        <v>2.7827999999999999</v>
      </c>
      <c r="BK73" s="2">
        <f t="shared" si="92"/>
        <v>50.989012500000008</v>
      </c>
      <c r="BL73" s="2">
        <f t="shared" si="77"/>
        <v>23220</v>
      </c>
      <c r="BM73" s="2">
        <f t="shared" si="78"/>
        <v>23160</v>
      </c>
      <c r="BN73" s="2">
        <f t="shared" si="93"/>
        <v>46380</v>
      </c>
    </row>
    <row r="74" spans="1:66" x14ac:dyDescent="0.25">
      <c r="A74" s="42">
        <v>71</v>
      </c>
      <c r="B74" s="43">
        <v>42740</v>
      </c>
      <c r="C74" s="42" t="s">
        <v>50</v>
      </c>
      <c r="D74" s="42" t="s">
        <v>136</v>
      </c>
      <c r="E74" s="6">
        <f t="shared" si="79"/>
        <v>-58.930774062502408</v>
      </c>
      <c r="F74" s="5" t="str">
        <f t="shared" si="94"/>
        <v>Loss</v>
      </c>
      <c r="G74" s="4">
        <f t="shared" si="95"/>
        <v>-43.10000000000241</v>
      </c>
      <c r="H74" s="46">
        <v>46</v>
      </c>
      <c r="I74" s="42">
        <v>388.85</v>
      </c>
      <c r="J74" s="42">
        <v>14</v>
      </c>
      <c r="K74" s="42">
        <v>390</v>
      </c>
      <c r="N74" s="5">
        <f t="shared" si="96"/>
        <v>60</v>
      </c>
      <c r="O74" s="4">
        <f t="shared" si="97"/>
        <v>389.42500000000001</v>
      </c>
      <c r="P74" s="5">
        <f t="shared" si="52"/>
        <v>46</v>
      </c>
      <c r="Q74" s="42">
        <v>388.4</v>
      </c>
      <c r="R74" s="2">
        <f t="shared" si="51"/>
        <v>14</v>
      </c>
      <c r="S74" s="42">
        <v>388.4</v>
      </c>
      <c r="T74" s="2">
        <f t="shared" si="80"/>
        <v>0</v>
      </c>
      <c r="V74" s="5">
        <f t="shared" si="98"/>
        <v>60</v>
      </c>
      <c r="W74" s="4">
        <f t="shared" si="99"/>
        <v>388.4</v>
      </c>
      <c r="X74" s="14">
        <f t="shared" si="53"/>
        <v>-0.45000000000004547</v>
      </c>
      <c r="Y74" s="5">
        <f t="shared" si="54"/>
        <v>-20.700000000002092</v>
      </c>
      <c r="Z74" s="2">
        <f t="shared" si="55"/>
        <v>-22.400000000000318</v>
      </c>
      <c r="AA74" s="4">
        <f t="shared" si="56"/>
        <v>0</v>
      </c>
      <c r="AB74" s="13">
        <f t="shared" si="57"/>
        <v>15.8307740625</v>
      </c>
      <c r="AC74" s="10">
        <f>SUM($E$4:E74)</f>
        <v>-3481.2584441302197</v>
      </c>
      <c r="AD74" s="20">
        <f>SUM($AB$4:AB74)</f>
        <v>2016.5084441302083</v>
      </c>
      <c r="AF74" s="28">
        <f t="shared" si="58"/>
        <v>4.6669499999999999</v>
      </c>
      <c r="AG74" s="2">
        <f t="shared" si="59"/>
        <v>5.8259999999999996</v>
      </c>
      <c r="AH74" s="2">
        <f t="shared" si="60"/>
        <v>1.5167587499999999</v>
      </c>
      <c r="AI74" s="2">
        <f t="shared" si="81"/>
        <v>6.1837087500000001</v>
      </c>
      <c r="AJ74" s="2">
        <f t="shared" si="82"/>
        <v>0.92755631249999992</v>
      </c>
      <c r="AK74" s="2">
        <f t="shared" si="61"/>
        <v>9.3338999999999991E-2</v>
      </c>
      <c r="AL74" s="2">
        <f t="shared" si="62"/>
        <v>2.80017</v>
      </c>
      <c r="AM74" s="2">
        <f t="shared" si="83"/>
        <v>15.8307740625</v>
      </c>
      <c r="AN74" s="2">
        <f t="shared" si="63"/>
        <v>80</v>
      </c>
      <c r="AO74" s="2">
        <f t="shared" si="64"/>
        <v>11.651999999999999</v>
      </c>
      <c r="AP74" s="2">
        <f t="shared" si="65"/>
        <v>24.734835</v>
      </c>
      <c r="AQ74" s="2">
        <f t="shared" si="84"/>
        <v>104.734835</v>
      </c>
      <c r="AR74" s="2">
        <f t="shared" si="85"/>
        <v>15.710225250000001</v>
      </c>
      <c r="AS74" s="2">
        <f t="shared" si="66"/>
        <v>9.3338999999999991E-2</v>
      </c>
      <c r="AT74" s="2">
        <f t="shared" si="67"/>
        <v>2.80017</v>
      </c>
      <c r="AU74" s="2">
        <f t="shared" si="86"/>
        <v>134.99056924999999</v>
      </c>
      <c r="AV74" s="2">
        <f t="shared" si="68"/>
        <v>4.6669499999999999</v>
      </c>
      <c r="AW74" s="2">
        <f t="shared" si="69"/>
        <v>2.3304</v>
      </c>
      <c r="AX74" s="2">
        <f t="shared" si="70"/>
        <v>0.98005949999999997</v>
      </c>
      <c r="AY74" s="2">
        <f t="shared" si="87"/>
        <v>5.6470095000000002</v>
      </c>
      <c r="AZ74" s="2">
        <f t="shared" si="88"/>
        <v>0.84705142499999997</v>
      </c>
      <c r="BA74" s="2">
        <f t="shared" si="71"/>
        <v>9.3338999999999991E-2</v>
      </c>
      <c r="BB74" s="2">
        <f t="shared" si="72"/>
        <v>2.80017</v>
      </c>
      <c r="BC74" s="2">
        <f t="shared" si="89"/>
        <v>11.717969925</v>
      </c>
      <c r="BD74" s="2">
        <v>0</v>
      </c>
      <c r="BE74" s="2">
        <f t="shared" si="73"/>
        <v>46.669499999999999</v>
      </c>
      <c r="BF74" s="2">
        <f t="shared" si="74"/>
        <v>1.5167587499999999</v>
      </c>
      <c r="BG74" s="2">
        <f t="shared" si="90"/>
        <v>1.5167587499999999</v>
      </c>
      <c r="BH74" s="2">
        <f t="shared" si="91"/>
        <v>0.22751381249999997</v>
      </c>
      <c r="BI74" s="2">
        <f t="shared" si="75"/>
        <v>9.3338999999999991E-2</v>
      </c>
      <c r="BJ74" s="2">
        <f t="shared" si="76"/>
        <v>2.80017</v>
      </c>
      <c r="BK74" s="2">
        <f t="shared" si="92"/>
        <v>51.307281562500002</v>
      </c>
      <c r="BL74" s="2">
        <f t="shared" si="77"/>
        <v>23365.5</v>
      </c>
      <c r="BM74" s="2">
        <f t="shared" si="78"/>
        <v>23304</v>
      </c>
      <c r="BN74" s="2">
        <f t="shared" si="93"/>
        <v>46669.5</v>
      </c>
    </row>
    <row r="75" spans="1:66" x14ac:dyDescent="0.25">
      <c r="A75" s="42">
        <v>72</v>
      </c>
      <c r="B75" s="43">
        <v>42740</v>
      </c>
      <c r="C75" s="42" t="s">
        <v>50</v>
      </c>
      <c r="D75" s="42" t="s">
        <v>136</v>
      </c>
      <c r="E75" s="6">
        <f t="shared" si="79"/>
        <v>-16.98571875</v>
      </c>
      <c r="F75" s="5" t="str">
        <f t="shared" si="94"/>
        <v>Break Even</v>
      </c>
      <c r="G75" s="4">
        <f t="shared" si="95"/>
        <v>0</v>
      </c>
      <c r="H75" s="46">
        <v>65</v>
      </c>
      <c r="I75" s="42">
        <v>385</v>
      </c>
      <c r="N75" s="5">
        <f t="shared" si="96"/>
        <v>65</v>
      </c>
      <c r="O75" s="4">
        <f t="shared" si="97"/>
        <v>385</v>
      </c>
      <c r="P75" s="5">
        <f t="shared" si="52"/>
        <v>65</v>
      </c>
      <c r="Q75" s="42">
        <v>385</v>
      </c>
      <c r="R75" s="2">
        <f t="shared" si="51"/>
        <v>0</v>
      </c>
      <c r="T75" s="2">
        <f t="shared" si="80"/>
        <v>0</v>
      </c>
      <c r="V75" s="5">
        <f t="shared" si="98"/>
        <v>65</v>
      </c>
      <c r="W75" s="4">
        <f t="shared" si="99"/>
        <v>385</v>
      </c>
      <c r="X75" s="14">
        <f t="shared" si="53"/>
        <v>0</v>
      </c>
      <c r="Y75" s="5">
        <f t="shared" si="54"/>
        <v>0</v>
      </c>
      <c r="Z75" s="2">
        <f t="shared" si="55"/>
        <v>0</v>
      </c>
      <c r="AA75" s="4">
        <f t="shared" si="56"/>
        <v>0</v>
      </c>
      <c r="AB75" s="13">
        <f t="shared" si="57"/>
        <v>16.98571875</v>
      </c>
      <c r="AC75" s="10">
        <f>SUM($E$4:E75)</f>
        <v>-3498.2441628802198</v>
      </c>
      <c r="AD75" s="20">
        <f>SUM($AB$4:AB75)</f>
        <v>2033.4941628802083</v>
      </c>
      <c r="AF75" s="28">
        <f t="shared" si="58"/>
        <v>5.0049999999999999</v>
      </c>
      <c r="AG75" s="2">
        <f t="shared" si="59"/>
        <v>6.2562500000000005</v>
      </c>
      <c r="AH75" s="2">
        <f t="shared" si="60"/>
        <v>1.6266249999999998</v>
      </c>
      <c r="AI75" s="2">
        <f t="shared" si="81"/>
        <v>6.6316249999999997</v>
      </c>
      <c r="AJ75" s="2">
        <f t="shared" si="82"/>
        <v>0.99474374999999993</v>
      </c>
      <c r="AK75" s="2">
        <f t="shared" si="61"/>
        <v>0.10009999999999999</v>
      </c>
      <c r="AL75" s="2">
        <f t="shared" si="62"/>
        <v>3.0030000000000001</v>
      </c>
      <c r="AM75" s="2">
        <f t="shared" si="83"/>
        <v>16.98571875</v>
      </c>
      <c r="AN75" s="2">
        <f t="shared" si="63"/>
        <v>40</v>
      </c>
      <c r="AO75" s="2">
        <f t="shared" si="64"/>
        <v>12.512500000000001</v>
      </c>
      <c r="AP75" s="2">
        <f t="shared" si="65"/>
        <v>26.526499999999999</v>
      </c>
      <c r="AQ75" s="2">
        <f t="shared" si="84"/>
        <v>66.526499999999999</v>
      </c>
      <c r="AR75" s="2">
        <f t="shared" si="85"/>
        <v>9.9789750000000002</v>
      </c>
      <c r="AS75" s="2">
        <f t="shared" si="66"/>
        <v>0.10009999999999999</v>
      </c>
      <c r="AT75" s="2">
        <f t="shared" si="67"/>
        <v>3.0030000000000001</v>
      </c>
      <c r="AU75" s="2">
        <f t="shared" si="86"/>
        <v>92.121075000000005</v>
      </c>
      <c r="AV75" s="2">
        <f t="shared" si="68"/>
        <v>5.0049999999999999</v>
      </c>
      <c r="AW75" s="2">
        <f t="shared" si="69"/>
        <v>2.5025000000000004</v>
      </c>
      <c r="AX75" s="2">
        <f t="shared" si="70"/>
        <v>1.05105</v>
      </c>
      <c r="AY75" s="2">
        <f t="shared" si="87"/>
        <v>6.0560499999999999</v>
      </c>
      <c r="AZ75" s="2">
        <f t="shared" si="88"/>
        <v>0.90840749999999992</v>
      </c>
      <c r="BA75" s="2">
        <f t="shared" si="71"/>
        <v>0.10009999999999999</v>
      </c>
      <c r="BB75" s="2">
        <f t="shared" si="72"/>
        <v>3.0030000000000001</v>
      </c>
      <c r="BC75" s="2">
        <f t="shared" si="89"/>
        <v>12.570057499999999</v>
      </c>
      <c r="BD75" s="2">
        <v>0</v>
      </c>
      <c r="BE75" s="2">
        <f t="shared" si="73"/>
        <v>50.050000000000004</v>
      </c>
      <c r="BF75" s="2">
        <f t="shared" si="74"/>
        <v>1.6266249999999998</v>
      </c>
      <c r="BG75" s="2">
        <f t="shared" si="90"/>
        <v>1.6266249999999998</v>
      </c>
      <c r="BH75" s="2">
        <f t="shared" si="91"/>
        <v>0.24399374999999995</v>
      </c>
      <c r="BI75" s="2">
        <f t="shared" si="75"/>
        <v>0.10009999999999999</v>
      </c>
      <c r="BJ75" s="2">
        <f t="shared" si="76"/>
        <v>3.0030000000000001</v>
      </c>
      <c r="BK75" s="2">
        <f t="shared" si="92"/>
        <v>55.02371875</v>
      </c>
      <c r="BL75" s="2">
        <f t="shared" si="77"/>
        <v>25025</v>
      </c>
      <c r="BM75" s="2">
        <f t="shared" si="78"/>
        <v>25025</v>
      </c>
      <c r="BN75" s="2">
        <f t="shared" si="93"/>
        <v>50050</v>
      </c>
    </row>
    <row r="76" spans="1:66" x14ac:dyDescent="0.25">
      <c r="A76" s="42">
        <v>73</v>
      </c>
      <c r="B76" s="43">
        <v>42740</v>
      </c>
      <c r="C76" s="42" t="s">
        <v>50</v>
      </c>
      <c r="D76" s="42" t="s">
        <v>136</v>
      </c>
      <c r="E76" s="6">
        <f t="shared" si="79"/>
        <v>-247.65282953125075</v>
      </c>
      <c r="F76" s="5" t="str">
        <f t="shared" si="94"/>
        <v>Loss</v>
      </c>
      <c r="G76" s="4">
        <f t="shared" si="95"/>
        <v>-230.75000000000074</v>
      </c>
      <c r="H76" s="46">
        <v>65</v>
      </c>
      <c r="I76" s="42">
        <v>385.55</v>
      </c>
      <c r="N76" s="5">
        <f t="shared" si="96"/>
        <v>65</v>
      </c>
      <c r="O76" s="4">
        <f t="shared" si="97"/>
        <v>385.55</v>
      </c>
      <c r="P76" s="5">
        <f t="shared" si="52"/>
        <v>65</v>
      </c>
      <c r="Q76" s="42">
        <v>382</v>
      </c>
      <c r="R76" s="2">
        <f t="shared" si="51"/>
        <v>0</v>
      </c>
      <c r="T76" s="2">
        <f t="shared" si="80"/>
        <v>0</v>
      </c>
      <c r="V76" s="5">
        <f t="shared" si="98"/>
        <v>65</v>
      </c>
      <c r="W76" s="4">
        <f t="shared" si="99"/>
        <v>382</v>
      </c>
      <c r="X76" s="14">
        <f t="shared" si="53"/>
        <v>-3.5500000000000114</v>
      </c>
      <c r="Y76" s="5">
        <f t="shared" si="54"/>
        <v>-230.75000000000074</v>
      </c>
      <c r="Z76" s="2">
        <f t="shared" si="55"/>
        <v>0</v>
      </c>
      <c r="AA76" s="4">
        <f t="shared" si="56"/>
        <v>0</v>
      </c>
      <c r="AB76" s="13">
        <f t="shared" si="57"/>
        <v>16.902829531250003</v>
      </c>
      <c r="AC76" s="10">
        <f>SUM($E$4:E76)</f>
        <v>-3745.8969924114708</v>
      </c>
      <c r="AD76" s="20">
        <f>SUM($AB$4:AB76)</f>
        <v>2050.3969924114581</v>
      </c>
      <c r="AF76" s="28">
        <f t="shared" si="58"/>
        <v>4.9890750000000006</v>
      </c>
      <c r="AG76" s="2">
        <f t="shared" si="59"/>
        <v>6.2075000000000005</v>
      </c>
      <c r="AH76" s="2">
        <f t="shared" si="60"/>
        <v>1.6214493749999999</v>
      </c>
      <c r="AI76" s="2">
        <f t="shared" si="81"/>
        <v>6.6105243750000007</v>
      </c>
      <c r="AJ76" s="2">
        <f t="shared" si="82"/>
        <v>0.99157865625000008</v>
      </c>
      <c r="AK76" s="2">
        <f t="shared" si="61"/>
        <v>9.9781499999999995E-2</v>
      </c>
      <c r="AL76" s="2">
        <f t="shared" si="62"/>
        <v>2.9934449999999999</v>
      </c>
      <c r="AM76" s="2">
        <f t="shared" si="83"/>
        <v>16.902829531250003</v>
      </c>
      <c r="AN76" s="2">
        <f t="shared" si="63"/>
        <v>40</v>
      </c>
      <c r="AO76" s="2">
        <f t="shared" si="64"/>
        <v>12.415000000000001</v>
      </c>
      <c r="AP76" s="2">
        <f t="shared" si="65"/>
        <v>26.442097499999999</v>
      </c>
      <c r="AQ76" s="2">
        <f t="shared" si="84"/>
        <v>66.442097500000003</v>
      </c>
      <c r="AR76" s="2">
        <f t="shared" si="85"/>
        <v>9.9663146250000008</v>
      </c>
      <c r="AS76" s="2">
        <f t="shared" si="66"/>
        <v>9.9781499999999995E-2</v>
      </c>
      <c r="AT76" s="2">
        <f t="shared" si="67"/>
        <v>2.9934449999999999</v>
      </c>
      <c r="AU76" s="2">
        <f t="shared" si="86"/>
        <v>91.91663862499999</v>
      </c>
      <c r="AV76" s="2">
        <f t="shared" si="68"/>
        <v>4.9890750000000006</v>
      </c>
      <c r="AW76" s="2">
        <f t="shared" si="69"/>
        <v>2.4830000000000001</v>
      </c>
      <c r="AX76" s="2">
        <f t="shared" si="70"/>
        <v>1.04770575</v>
      </c>
      <c r="AY76" s="2">
        <f t="shared" si="87"/>
        <v>6.0367807500000001</v>
      </c>
      <c r="AZ76" s="2">
        <f t="shared" si="88"/>
        <v>0.9055171125</v>
      </c>
      <c r="BA76" s="2">
        <f t="shared" si="71"/>
        <v>9.9781499999999995E-2</v>
      </c>
      <c r="BB76" s="2">
        <f t="shared" si="72"/>
        <v>2.9934449999999999</v>
      </c>
      <c r="BC76" s="2">
        <f t="shared" si="89"/>
        <v>12.518524362500001</v>
      </c>
      <c r="BD76" s="2">
        <v>0</v>
      </c>
      <c r="BE76" s="2">
        <f t="shared" si="73"/>
        <v>49.890750000000004</v>
      </c>
      <c r="BF76" s="2">
        <f t="shared" si="74"/>
        <v>1.6214493749999999</v>
      </c>
      <c r="BG76" s="2">
        <f t="shared" si="90"/>
        <v>1.6214493749999999</v>
      </c>
      <c r="BH76" s="2">
        <f t="shared" si="91"/>
        <v>0.24321740624999996</v>
      </c>
      <c r="BI76" s="2">
        <f t="shared" si="75"/>
        <v>9.9781499999999995E-2</v>
      </c>
      <c r="BJ76" s="2">
        <f t="shared" si="76"/>
        <v>2.9934449999999999</v>
      </c>
      <c r="BK76" s="2">
        <f t="shared" si="92"/>
        <v>54.848643281249998</v>
      </c>
      <c r="BL76" s="2">
        <f t="shared" si="77"/>
        <v>25060.75</v>
      </c>
      <c r="BM76" s="2">
        <f t="shared" si="78"/>
        <v>24830</v>
      </c>
      <c r="BN76" s="2">
        <f t="shared" si="93"/>
        <v>49890.75</v>
      </c>
    </row>
    <row r="77" spans="1:66" x14ac:dyDescent="0.25">
      <c r="A77" s="42">
        <v>74</v>
      </c>
      <c r="B77" s="43">
        <v>42740</v>
      </c>
      <c r="C77" s="42" t="s">
        <v>50</v>
      </c>
      <c r="D77" s="42" t="s">
        <v>136</v>
      </c>
      <c r="E77" s="6">
        <f t="shared" si="79"/>
        <v>-147.0135875</v>
      </c>
      <c r="F77" s="5" t="str">
        <f t="shared" si="94"/>
        <v>Loss</v>
      </c>
      <c r="G77" s="4">
        <f t="shared" si="95"/>
        <v>-130</v>
      </c>
      <c r="H77" s="46">
        <v>65</v>
      </c>
      <c r="I77" s="42">
        <v>387</v>
      </c>
      <c r="N77" s="5">
        <f t="shared" si="96"/>
        <v>65</v>
      </c>
      <c r="O77" s="4">
        <f t="shared" si="97"/>
        <v>387</v>
      </c>
      <c r="P77" s="5">
        <f t="shared" si="52"/>
        <v>65</v>
      </c>
      <c r="Q77" s="42">
        <v>385</v>
      </c>
      <c r="R77" s="2">
        <f t="shared" si="51"/>
        <v>0</v>
      </c>
      <c r="T77" s="2">
        <f t="shared" si="80"/>
        <v>0</v>
      </c>
      <c r="V77" s="5">
        <f t="shared" si="98"/>
        <v>65</v>
      </c>
      <c r="W77" s="4">
        <f t="shared" si="99"/>
        <v>385</v>
      </c>
      <c r="X77" s="14">
        <f t="shared" si="53"/>
        <v>-2</v>
      </c>
      <c r="Y77" s="5">
        <f t="shared" si="54"/>
        <v>-130</v>
      </c>
      <c r="Z77" s="2">
        <f t="shared" si="55"/>
        <v>0</v>
      </c>
      <c r="AA77" s="4">
        <f t="shared" si="56"/>
        <v>0</v>
      </c>
      <c r="AB77" s="13">
        <f t="shared" si="57"/>
        <v>17.013587500000003</v>
      </c>
      <c r="AC77" s="10">
        <f>SUM($E$4:E77)</f>
        <v>-3892.9105799114709</v>
      </c>
      <c r="AD77" s="20">
        <f>SUM($AB$4:AB77)</f>
        <v>2067.4105799114582</v>
      </c>
      <c r="AF77" s="28">
        <f t="shared" si="58"/>
        <v>5.0180000000000007</v>
      </c>
      <c r="AG77" s="2">
        <f t="shared" si="59"/>
        <v>6.2562500000000005</v>
      </c>
      <c r="AH77" s="2">
        <f t="shared" si="60"/>
        <v>1.6308499999999999</v>
      </c>
      <c r="AI77" s="2">
        <f t="shared" si="81"/>
        <v>6.6488500000000004</v>
      </c>
      <c r="AJ77" s="2">
        <f t="shared" si="82"/>
        <v>0.99732750000000003</v>
      </c>
      <c r="AK77" s="2">
        <f t="shared" si="61"/>
        <v>0.10036</v>
      </c>
      <c r="AL77" s="2">
        <f t="shared" si="62"/>
        <v>3.0108000000000001</v>
      </c>
      <c r="AM77" s="2">
        <f t="shared" si="83"/>
        <v>17.013587500000003</v>
      </c>
      <c r="AN77" s="2">
        <f t="shared" si="63"/>
        <v>40</v>
      </c>
      <c r="AO77" s="2">
        <f t="shared" si="64"/>
        <v>12.512500000000001</v>
      </c>
      <c r="AP77" s="2">
        <f t="shared" si="65"/>
        <v>26.595399999999998</v>
      </c>
      <c r="AQ77" s="2">
        <f t="shared" si="84"/>
        <v>66.595399999999998</v>
      </c>
      <c r="AR77" s="2">
        <f t="shared" si="85"/>
        <v>9.9893099999999997</v>
      </c>
      <c r="AS77" s="2">
        <f t="shared" si="66"/>
        <v>0.10036</v>
      </c>
      <c r="AT77" s="2">
        <f t="shared" si="67"/>
        <v>3.0108000000000001</v>
      </c>
      <c r="AU77" s="2">
        <f t="shared" si="86"/>
        <v>92.208370000000002</v>
      </c>
      <c r="AV77" s="2">
        <f t="shared" si="68"/>
        <v>5.0180000000000007</v>
      </c>
      <c r="AW77" s="2">
        <f t="shared" si="69"/>
        <v>2.5025000000000004</v>
      </c>
      <c r="AX77" s="2">
        <f t="shared" si="70"/>
        <v>1.0537799999999999</v>
      </c>
      <c r="AY77" s="2">
        <f t="shared" si="87"/>
        <v>6.0717800000000004</v>
      </c>
      <c r="AZ77" s="2">
        <f t="shared" si="88"/>
        <v>0.91076699999999999</v>
      </c>
      <c r="BA77" s="2">
        <f t="shared" si="71"/>
        <v>0.10036</v>
      </c>
      <c r="BB77" s="2">
        <f t="shared" si="72"/>
        <v>3.0108000000000001</v>
      </c>
      <c r="BC77" s="2">
        <f t="shared" si="89"/>
        <v>12.596207000000001</v>
      </c>
      <c r="BD77" s="2">
        <v>0</v>
      </c>
      <c r="BE77" s="2">
        <f t="shared" si="73"/>
        <v>50.18</v>
      </c>
      <c r="BF77" s="2">
        <f t="shared" si="74"/>
        <v>1.6308499999999999</v>
      </c>
      <c r="BG77" s="2">
        <f t="shared" si="90"/>
        <v>1.6308499999999999</v>
      </c>
      <c r="BH77" s="2">
        <f t="shared" si="91"/>
        <v>0.24462749999999997</v>
      </c>
      <c r="BI77" s="2">
        <f t="shared" si="75"/>
        <v>0.10036</v>
      </c>
      <c r="BJ77" s="2">
        <f t="shared" si="76"/>
        <v>3.0108000000000001</v>
      </c>
      <c r="BK77" s="2">
        <f t="shared" si="92"/>
        <v>55.166637500000007</v>
      </c>
      <c r="BL77" s="2">
        <f t="shared" si="77"/>
        <v>25155</v>
      </c>
      <c r="BM77" s="2">
        <f t="shared" si="78"/>
        <v>25025</v>
      </c>
      <c r="BN77" s="2">
        <f t="shared" si="93"/>
        <v>50180</v>
      </c>
    </row>
    <row r="78" spans="1:66" x14ac:dyDescent="0.25">
      <c r="A78" s="42">
        <v>75</v>
      </c>
      <c r="B78" s="43">
        <v>42740</v>
      </c>
      <c r="C78" s="42" t="s">
        <v>50</v>
      </c>
      <c r="D78" s="42" t="s">
        <v>136</v>
      </c>
      <c r="E78" s="6">
        <f t="shared" si="79"/>
        <v>307.73100312500003</v>
      </c>
      <c r="F78" s="5" t="str">
        <f t="shared" si="94"/>
        <v>Win</v>
      </c>
      <c r="G78" s="4">
        <f t="shared" si="95"/>
        <v>325</v>
      </c>
      <c r="H78" s="46">
        <v>65</v>
      </c>
      <c r="I78" s="42">
        <v>388</v>
      </c>
      <c r="N78" s="5">
        <f t="shared" si="96"/>
        <v>65</v>
      </c>
      <c r="O78" s="4">
        <f t="shared" si="97"/>
        <v>388</v>
      </c>
      <c r="P78" s="5">
        <f t="shared" si="52"/>
        <v>65</v>
      </c>
      <c r="Q78" s="42">
        <v>393</v>
      </c>
      <c r="R78" s="2">
        <f t="shared" si="51"/>
        <v>0</v>
      </c>
      <c r="T78" s="2">
        <f t="shared" si="80"/>
        <v>0</v>
      </c>
      <c r="V78" s="5">
        <f t="shared" si="98"/>
        <v>65</v>
      </c>
      <c r="W78" s="4">
        <f t="shared" si="99"/>
        <v>393</v>
      </c>
      <c r="X78" s="14">
        <f t="shared" si="53"/>
        <v>5</v>
      </c>
      <c r="Y78" s="5">
        <f t="shared" si="54"/>
        <v>325</v>
      </c>
      <c r="Z78" s="2">
        <f t="shared" si="55"/>
        <v>0</v>
      </c>
      <c r="AA78" s="4">
        <f t="shared" si="56"/>
        <v>0</v>
      </c>
      <c r="AB78" s="13">
        <f t="shared" si="57"/>
        <v>17.268996874999999</v>
      </c>
      <c r="AC78" s="10">
        <f>SUM($E$4:E78)</f>
        <v>-3585.179576786471</v>
      </c>
      <c r="AD78" s="20">
        <f>SUM($AB$4:AB78)</f>
        <v>2084.6795767864583</v>
      </c>
      <c r="AF78" s="28">
        <f t="shared" si="58"/>
        <v>5.0765000000000002</v>
      </c>
      <c r="AG78" s="2">
        <f t="shared" si="59"/>
        <v>6.3862500000000004</v>
      </c>
      <c r="AH78" s="2">
        <f t="shared" si="60"/>
        <v>1.6498624999999998</v>
      </c>
      <c r="AI78" s="2">
        <f t="shared" si="81"/>
        <v>6.7263625000000005</v>
      </c>
      <c r="AJ78" s="2">
        <f t="shared" si="82"/>
        <v>1.0089543750000001</v>
      </c>
      <c r="AK78" s="2">
        <f t="shared" si="61"/>
        <v>0.10153000000000001</v>
      </c>
      <c r="AL78" s="2">
        <f t="shared" si="62"/>
        <v>3.0459000000000001</v>
      </c>
      <c r="AM78" s="2">
        <f t="shared" si="83"/>
        <v>17.268996874999999</v>
      </c>
      <c r="AN78" s="2">
        <f t="shared" si="63"/>
        <v>40</v>
      </c>
      <c r="AO78" s="2">
        <f t="shared" si="64"/>
        <v>12.772500000000001</v>
      </c>
      <c r="AP78" s="2">
        <f t="shared" si="65"/>
        <v>26.905449999999998</v>
      </c>
      <c r="AQ78" s="2">
        <f t="shared" si="84"/>
        <v>66.905450000000002</v>
      </c>
      <c r="AR78" s="2">
        <f t="shared" si="85"/>
        <v>10.0358175</v>
      </c>
      <c r="AS78" s="2">
        <f t="shared" si="66"/>
        <v>0.10153000000000001</v>
      </c>
      <c r="AT78" s="2">
        <f t="shared" si="67"/>
        <v>3.0459000000000001</v>
      </c>
      <c r="AU78" s="2">
        <f t="shared" si="86"/>
        <v>92.861197499999989</v>
      </c>
      <c r="AV78" s="2">
        <f t="shared" si="68"/>
        <v>5.0765000000000002</v>
      </c>
      <c r="AW78" s="2">
        <f t="shared" si="69"/>
        <v>2.5545000000000004</v>
      </c>
      <c r="AX78" s="2">
        <f t="shared" si="70"/>
        <v>1.066065</v>
      </c>
      <c r="AY78" s="2">
        <f t="shared" si="87"/>
        <v>6.1425650000000003</v>
      </c>
      <c r="AZ78" s="2">
        <f t="shared" si="88"/>
        <v>0.92138474999999997</v>
      </c>
      <c r="BA78" s="2">
        <f t="shared" si="71"/>
        <v>0.10153000000000001</v>
      </c>
      <c r="BB78" s="2">
        <f t="shared" si="72"/>
        <v>3.0459000000000001</v>
      </c>
      <c r="BC78" s="2">
        <f t="shared" si="89"/>
        <v>12.76587975</v>
      </c>
      <c r="BD78" s="2">
        <v>0</v>
      </c>
      <c r="BE78" s="2">
        <f t="shared" si="73"/>
        <v>50.765000000000001</v>
      </c>
      <c r="BF78" s="2">
        <f t="shared" si="74"/>
        <v>1.6498624999999998</v>
      </c>
      <c r="BG78" s="2">
        <f t="shared" si="90"/>
        <v>1.6498624999999998</v>
      </c>
      <c r="BH78" s="2">
        <f t="shared" si="91"/>
        <v>0.24747937499999995</v>
      </c>
      <c r="BI78" s="2">
        <f t="shared" si="75"/>
        <v>0.10153000000000001</v>
      </c>
      <c r="BJ78" s="2">
        <f t="shared" si="76"/>
        <v>3.0459000000000001</v>
      </c>
      <c r="BK78" s="2">
        <f t="shared" si="92"/>
        <v>55.809771874999996</v>
      </c>
      <c r="BL78" s="2">
        <f t="shared" si="77"/>
        <v>25220</v>
      </c>
      <c r="BM78" s="2">
        <f t="shared" si="78"/>
        <v>25545</v>
      </c>
      <c r="BN78" s="2">
        <f t="shared" si="93"/>
        <v>50765</v>
      </c>
    </row>
    <row r="79" spans="1:66" x14ac:dyDescent="0.25">
      <c r="A79" s="42">
        <v>76</v>
      </c>
      <c r="B79" s="43">
        <v>46393</v>
      </c>
      <c r="C79" s="42" t="s">
        <v>50</v>
      </c>
      <c r="D79" s="42" t="s">
        <v>143</v>
      </c>
      <c r="E79" s="6">
        <f t="shared" si="79"/>
        <v>-150.74695546874887</v>
      </c>
      <c r="F79" s="5" t="str">
        <f t="shared" si="94"/>
        <v>Loss</v>
      </c>
      <c r="G79" s="4">
        <f t="shared" si="95"/>
        <v>-138.74999999999886</v>
      </c>
      <c r="H79" s="46">
        <v>25</v>
      </c>
      <c r="I79" s="42">
        <v>710.8</v>
      </c>
      <c r="N79" s="5">
        <f t="shared" si="96"/>
        <v>25</v>
      </c>
      <c r="O79" s="4">
        <f t="shared" si="97"/>
        <v>710.8</v>
      </c>
      <c r="P79" s="5">
        <f t="shared" si="52"/>
        <v>25</v>
      </c>
      <c r="Q79" s="42">
        <v>705.25</v>
      </c>
      <c r="R79" s="2">
        <f t="shared" si="51"/>
        <v>0</v>
      </c>
      <c r="T79" s="2">
        <f t="shared" si="80"/>
        <v>0</v>
      </c>
      <c r="V79" s="5">
        <f t="shared" si="98"/>
        <v>25</v>
      </c>
      <c r="W79" s="4">
        <f t="shared" si="99"/>
        <v>705.25</v>
      </c>
      <c r="X79" s="14">
        <f t="shared" si="53"/>
        <v>-5.5499999999999545</v>
      </c>
      <c r="Y79" s="5">
        <f t="shared" si="54"/>
        <v>-138.74999999999886</v>
      </c>
      <c r="Z79" s="2">
        <f t="shared" si="55"/>
        <v>0</v>
      </c>
      <c r="AA79" s="4">
        <f t="shared" si="56"/>
        <v>0</v>
      </c>
      <c r="AB79" s="13">
        <f t="shared" si="57"/>
        <v>11.996955468749999</v>
      </c>
      <c r="AC79" s="10">
        <f>SUM($E$4:E79)</f>
        <v>-3735.9265322552201</v>
      </c>
      <c r="AD79" s="20">
        <f>SUM($AB$4:AB79)</f>
        <v>2096.6765322552083</v>
      </c>
      <c r="AF79" s="28">
        <f t="shared" si="58"/>
        <v>3.5401250000000002</v>
      </c>
      <c r="AG79" s="2">
        <f t="shared" si="59"/>
        <v>4.4078125000000004</v>
      </c>
      <c r="AH79" s="2">
        <f t="shared" si="60"/>
        <v>1.1505406249999999</v>
      </c>
      <c r="AI79" s="2">
        <f t="shared" si="81"/>
        <v>4.6906656250000003</v>
      </c>
      <c r="AJ79" s="2">
        <f t="shared" si="82"/>
        <v>0.70359984375000006</v>
      </c>
      <c r="AK79" s="2">
        <f t="shared" si="61"/>
        <v>7.080249999999999E-2</v>
      </c>
      <c r="AL79" s="2">
        <f t="shared" si="62"/>
        <v>2.1240749999999999</v>
      </c>
      <c r="AM79" s="2">
        <f t="shared" si="83"/>
        <v>11.996955468749999</v>
      </c>
      <c r="AN79" s="2">
        <f t="shared" si="63"/>
        <v>40</v>
      </c>
      <c r="AO79" s="2">
        <f t="shared" si="64"/>
        <v>8.8156250000000007</v>
      </c>
      <c r="AP79" s="2">
        <f t="shared" si="65"/>
        <v>18.762662499999998</v>
      </c>
      <c r="AQ79" s="2">
        <f t="shared" si="84"/>
        <v>58.762662499999998</v>
      </c>
      <c r="AR79" s="2">
        <f t="shared" si="85"/>
        <v>8.8143993749999989</v>
      </c>
      <c r="AS79" s="2">
        <f t="shared" si="66"/>
        <v>7.080249999999999E-2</v>
      </c>
      <c r="AT79" s="2">
        <f t="shared" si="67"/>
        <v>2.1240749999999999</v>
      </c>
      <c r="AU79" s="2">
        <f t="shared" si="86"/>
        <v>78.587564374999985</v>
      </c>
      <c r="AV79" s="2">
        <f t="shared" si="68"/>
        <v>3.5401250000000002</v>
      </c>
      <c r="AW79" s="2">
        <f t="shared" si="69"/>
        <v>1.7631250000000001</v>
      </c>
      <c r="AX79" s="2">
        <f t="shared" si="70"/>
        <v>0.74342624999999996</v>
      </c>
      <c r="AY79" s="2">
        <f t="shared" si="87"/>
        <v>4.2835512500000004</v>
      </c>
      <c r="AZ79" s="2">
        <f t="shared" si="88"/>
        <v>0.64253268750000003</v>
      </c>
      <c r="BA79" s="2">
        <f t="shared" si="71"/>
        <v>7.080249999999999E-2</v>
      </c>
      <c r="BB79" s="2">
        <f t="shared" si="72"/>
        <v>2.1240749999999999</v>
      </c>
      <c r="BC79" s="2">
        <f t="shared" si="89"/>
        <v>8.8840864375000006</v>
      </c>
      <c r="BD79" s="2">
        <v>0</v>
      </c>
      <c r="BE79" s="2">
        <f t="shared" si="73"/>
        <v>35.401249999999997</v>
      </c>
      <c r="BF79" s="2">
        <f t="shared" si="74"/>
        <v>1.1505406249999999</v>
      </c>
      <c r="BG79" s="2">
        <f t="shared" si="90"/>
        <v>1.1505406249999999</v>
      </c>
      <c r="BH79" s="2">
        <f t="shared" si="91"/>
        <v>0.17258109374999997</v>
      </c>
      <c r="BI79" s="2">
        <f t="shared" si="75"/>
        <v>7.080249999999999E-2</v>
      </c>
      <c r="BJ79" s="2">
        <f t="shared" si="76"/>
        <v>2.1240749999999999</v>
      </c>
      <c r="BK79" s="2">
        <f t="shared" si="92"/>
        <v>38.919249218749989</v>
      </c>
      <c r="BL79" s="2">
        <f t="shared" si="77"/>
        <v>17770</v>
      </c>
      <c r="BM79" s="2">
        <f t="shared" si="78"/>
        <v>17631.25</v>
      </c>
      <c r="BN79" s="2">
        <f t="shared" si="93"/>
        <v>35401.25</v>
      </c>
    </row>
    <row r="80" spans="1:66" x14ac:dyDescent="0.25">
      <c r="A80" s="42">
        <v>77</v>
      </c>
      <c r="B80" s="43">
        <v>46393</v>
      </c>
      <c r="C80" s="42" t="s">
        <v>50</v>
      </c>
      <c r="D80" s="42" t="s">
        <v>143</v>
      </c>
      <c r="E80" s="6">
        <f t="shared" si="79"/>
        <v>33.337072500000687</v>
      </c>
      <c r="F80" s="5" t="str">
        <f t="shared" si="94"/>
        <v>Win</v>
      </c>
      <c r="G80" s="4">
        <f t="shared" si="95"/>
        <v>48.000000000000682</v>
      </c>
      <c r="H80" s="46">
        <v>30</v>
      </c>
      <c r="I80" s="42">
        <v>719</v>
      </c>
      <c r="N80" s="5">
        <f t="shared" si="96"/>
        <v>30</v>
      </c>
      <c r="O80" s="4">
        <f t="shared" si="97"/>
        <v>719</v>
      </c>
      <c r="P80" s="5">
        <f t="shared" si="52"/>
        <v>30</v>
      </c>
      <c r="Q80" s="42">
        <v>720.6</v>
      </c>
      <c r="R80" s="2">
        <f t="shared" si="51"/>
        <v>0</v>
      </c>
      <c r="T80" s="2">
        <f t="shared" si="80"/>
        <v>0</v>
      </c>
      <c r="V80" s="5">
        <f t="shared" si="98"/>
        <v>30</v>
      </c>
      <c r="W80" s="4">
        <f t="shared" si="99"/>
        <v>720.6</v>
      </c>
      <c r="X80" s="14">
        <f t="shared" si="53"/>
        <v>1.6000000000000227</v>
      </c>
      <c r="Y80" s="5">
        <f t="shared" si="54"/>
        <v>48.000000000000682</v>
      </c>
      <c r="Z80" s="2">
        <f t="shared" si="55"/>
        <v>0</v>
      </c>
      <c r="AA80" s="4">
        <f t="shared" si="56"/>
        <v>0</v>
      </c>
      <c r="AB80" s="13">
        <f t="shared" si="57"/>
        <v>14.662927499999999</v>
      </c>
      <c r="AC80" s="10">
        <f>SUM($E$4:E80)</f>
        <v>-3702.5894597552192</v>
      </c>
      <c r="AD80" s="20">
        <f>SUM($AB$4:AB80)</f>
        <v>2111.3394597552083</v>
      </c>
      <c r="AF80" s="28">
        <f t="shared" si="58"/>
        <v>4.3188000000000004</v>
      </c>
      <c r="AG80" s="2">
        <f t="shared" si="59"/>
        <v>5.4044999999999996</v>
      </c>
      <c r="AH80" s="2">
        <f t="shared" si="60"/>
        <v>1.4036099999999998</v>
      </c>
      <c r="AI80" s="2">
        <f t="shared" si="81"/>
        <v>5.72241</v>
      </c>
      <c r="AJ80" s="2">
        <f t="shared" si="82"/>
        <v>0.8583615</v>
      </c>
      <c r="AK80" s="2">
        <f t="shared" si="61"/>
        <v>8.6376000000000008E-2</v>
      </c>
      <c r="AL80" s="2">
        <f t="shared" si="62"/>
        <v>2.5912800000000002</v>
      </c>
      <c r="AM80" s="2">
        <f t="shared" si="83"/>
        <v>14.662927499999999</v>
      </c>
      <c r="AN80" s="2">
        <f t="shared" si="63"/>
        <v>40</v>
      </c>
      <c r="AO80" s="2">
        <f t="shared" si="64"/>
        <v>10.808999999999999</v>
      </c>
      <c r="AP80" s="2">
        <f t="shared" si="65"/>
        <v>22.88964</v>
      </c>
      <c r="AQ80" s="2">
        <f t="shared" si="84"/>
        <v>62.88964</v>
      </c>
      <c r="AR80" s="2">
        <f t="shared" si="85"/>
        <v>9.433446</v>
      </c>
      <c r="AS80" s="2">
        <f t="shared" si="66"/>
        <v>8.6376000000000008E-2</v>
      </c>
      <c r="AT80" s="2">
        <f t="shared" si="67"/>
        <v>2.5912800000000002</v>
      </c>
      <c r="AU80" s="2">
        <f t="shared" si="86"/>
        <v>85.809742</v>
      </c>
      <c r="AV80" s="2">
        <f t="shared" si="68"/>
        <v>4.3188000000000004</v>
      </c>
      <c r="AW80" s="2">
        <f t="shared" si="69"/>
        <v>2.1617999999999999</v>
      </c>
      <c r="AX80" s="2">
        <f t="shared" si="70"/>
        <v>0.90694799999999998</v>
      </c>
      <c r="AY80" s="2">
        <f t="shared" si="87"/>
        <v>5.2257480000000003</v>
      </c>
      <c r="AZ80" s="2">
        <f t="shared" si="88"/>
        <v>0.78386220000000006</v>
      </c>
      <c r="BA80" s="2">
        <f t="shared" si="71"/>
        <v>8.6376000000000008E-2</v>
      </c>
      <c r="BB80" s="2">
        <f t="shared" si="72"/>
        <v>2.5912800000000002</v>
      </c>
      <c r="BC80" s="2">
        <f t="shared" si="89"/>
        <v>10.849066199999999</v>
      </c>
      <c r="BD80" s="2">
        <v>0</v>
      </c>
      <c r="BE80" s="2">
        <f t="shared" si="73"/>
        <v>43.188000000000002</v>
      </c>
      <c r="BF80" s="2">
        <f t="shared" si="74"/>
        <v>1.4036099999999998</v>
      </c>
      <c r="BG80" s="2">
        <f t="shared" si="90"/>
        <v>1.4036099999999998</v>
      </c>
      <c r="BH80" s="2">
        <f t="shared" si="91"/>
        <v>0.21054149999999996</v>
      </c>
      <c r="BI80" s="2">
        <f t="shared" si="75"/>
        <v>8.6376000000000008E-2</v>
      </c>
      <c r="BJ80" s="2">
        <f t="shared" si="76"/>
        <v>2.5912800000000002</v>
      </c>
      <c r="BK80" s="2">
        <f t="shared" si="92"/>
        <v>47.4798075</v>
      </c>
      <c r="BL80" s="2">
        <f t="shared" si="77"/>
        <v>21570</v>
      </c>
      <c r="BM80" s="2">
        <f t="shared" si="78"/>
        <v>21618</v>
      </c>
      <c r="BN80" s="2">
        <f t="shared" si="93"/>
        <v>43188</v>
      </c>
    </row>
    <row r="81" spans="1:66" x14ac:dyDescent="0.25">
      <c r="A81" s="42">
        <v>78</v>
      </c>
      <c r="B81" s="43">
        <v>46393</v>
      </c>
      <c r="C81" s="42" t="s">
        <v>50</v>
      </c>
      <c r="D81" s="42" t="s">
        <v>120</v>
      </c>
      <c r="E81" s="6">
        <f t="shared" si="79"/>
        <v>5.5665124999994315</v>
      </c>
      <c r="F81" s="5" t="str">
        <f t="shared" si="94"/>
        <v>Win</v>
      </c>
      <c r="G81" s="4">
        <f t="shared" si="95"/>
        <v>9.9999999999994316</v>
      </c>
      <c r="H81" s="46">
        <v>100</v>
      </c>
      <c r="I81" s="42">
        <v>65.25</v>
      </c>
      <c r="N81" s="5">
        <f t="shared" si="96"/>
        <v>100</v>
      </c>
      <c r="O81" s="4">
        <f t="shared" si="97"/>
        <v>65.25</v>
      </c>
      <c r="P81" s="5">
        <f t="shared" si="52"/>
        <v>100</v>
      </c>
      <c r="Q81" s="42">
        <v>65.349999999999994</v>
      </c>
      <c r="R81" s="2">
        <f t="shared" si="51"/>
        <v>0</v>
      </c>
      <c r="T81" s="2">
        <f t="shared" si="80"/>
        <v>0</v>
      </c>
      <c r="V81" s="5">
        <f t="shared" si="98"/>
        <v>100</v>
      </c>
      <c r="W81" s="4">
        <f t="shared" si="99"/>
        <v>65.349999999999994</v>
      </c>
      <c r="X81" s="14">
        <f t="shared" si="53"/>
        <v>9.9999999999994316E-2</v>
      </c>
      <c r="Y81" s="5">
        <f t="shared" si="54"/>
        <v>9.9999999999994316</v>
      </c>
      <c r="Z81" s="2">
        <f t="shared" si="55"/>
        <v>0</v>
      </c>
      <c r="AA81" s="4">
        <f t="shared" si="56"/>
        <v>0</v>
      </c>
      <c r="AB81" s="13">
        <f t="shared" si="57"/>
        <v>4.4334875</v>
      </c>
      <c r="AC81" s="10">
        <f>SUM($E$4:E81)</f>
        <v>-3697.0229472552196</v>
      </c>
      <c r="AD81" s="20">
        <f>SUM($AB$4:AB81)</f>
        <v>2115.7729472552082</v>
      </c>
      <c r="AF81" s="28">
        <f t="shared" si="58"/>
        <v>1.306</v>
      </c>
      <c r="AG81" s="2">
        <f t="shared" si="59"/>
        <v>1.63375</v>
      </c>
      <c r="AH81" s="2">
        <f t="shared" si="60"/>
        <v>0.42444999999999994</v>
      </c>
      <c r="AI81" s="2">
        <f t="shared" si="81"/>
        <v>1.73045</v>
      </c>
      <c r="AJ81" s="2">
        <f t="shared" si="82"/>
        <v>0.25956750000000001</v>
      </c>
      <c r="AK81" s="2">
        <f t="shared" si="61"/>
        <v>2.6120000000000001E-2</v>
      </c>
      <c r="AL81" s="2">
        <f t="shared" si="62"/>
        <v>0.78360000000000007</v>
      </c>
      <c r="AM81" s="2">
        <f t="shared" si="83"/>
        <v>4.4334875</v>
      </c>
      <c r="AN81" s="2">
        <f t="shared" si="63"/>
        <v>40</v>
      </c>
      <c r="AO81" s="2">
        <f t="shared" si="64"/>
        <v>3.2675000000000001</v>
      </c>
      <c r="AP81" s="2">
        <f t="shared" si="65"/>
        <v>6.9218000000000002</v>
      </c>
      <c r="AQ81" s="2">
        <f t="shared" si="84"/>
        <v>46.921799999999998</v>
      </c>
      <c r="AR81" s="2">
        <f t="shared" si="85"/>
        <v>7.0382699999999998</v>
      </c>
      <c r="AS81" s="2">
        <f t="shared" si="66"/>
        <v>2.6120000000000001E-2</v>
      </c>
      <c r="AT81" s="2">
        <f t="shared" si="67"/>
        <v>0.78360000000000007</v>
      </c>
      <c r="AU81" s="2">
        <f t="shared" si="86"/>
        <v>58.037289999999992</v>
      </c>
      <c r="AV81" s="2">
        <f t="shared" si="68"/>
        <v>1.306</v>
      </c>
      <c r="AW81" s="2">
        <f t="shared" si="69"/>
        <v>0.65349999999999997</v>
      </c>
      <c r="AX81" s="2">
        <f t="shared" si="70"/>
        <v>0.27426</v>
      </c>
      <c r="AY81" s="2">
        <f t="shared" si="87"/>
        <v>1.58026</v>
      </c>
      <c r="AZ81" s="2">
        <f t="shared" si="88"/>
        <v>0.237039</v>
      </c>
      <c r="BA81" s="2">
        <f t="shared" si="71"/>
        <v>2.6120000000000001E-2</v>
      </c>
      <c r="BB81" s="2">
        <f t="shared" si="72"/>
        <v>0.78360000000000007</v>
      </c>
      <c r="BC81" s="2">
        <f t="shared" si="89"/>
        <v>3.2805190000000009</v>
      </c>
      <c r="BD81" s="2">
        <v>0</v>
      </c>
      <c r="BE81" s="2">
        <f t="shared" si="73"/>
        <v>13.06</v>
      </c>
      <c r="BF81" s="2">
        <f t="shared" si="74"/>
        <v>0.42444999999999994</v>
      </c>
      <c r="BG81" s="2">
        <f t="shared" si="90"/>
        <v>0.42444999999999994</v>
      </c>
      <c r="BH81" s="2">
        <f t="shared" si="91"/>
        <v>6.3667499999999988E-2</v>
      </c>
      <c r="BI81" s="2">
        <f t="shared" si="75"/>
        <v>2.6120000000000001E-2</v>
      </c>
      <c r="BJ81" s="2">
        <f t="shared" si="76"/>
        <v>0.78360000000000007</v>
      </c>
      <c r="BK81" s="2">
        <f t="shared" si="92"/>
        <v>14.3578375</v>
      </c>
      <c r="BL81" s="2">
        <f t="shared" si="77"/>
        <v>6525</v>
      </c>
      <c r="BM81" s="2">
        <f t="shared" si="78"/>
        <v>6534.9999999999991</v>
      </c>
      <c r="BN81" s="2">
        <f t="shared" si="93"/>
        <v>13060</v>
      </c>
    </row>
    <row r="82" spans="1:66" x14ac:dyDescent="0.25">
      <c r="A82" s="42">
        <v>79</v>
      </c>
      <c r="B82" s="43">
        <v>46393</v>
      </c>
      <c r="C82" s="42" t="s">
        <v>50</v>
      </c>
      <c r="D82" s="42" t="s">
        <v>136</v>
      </c>
      <c r="E82" s="6">
        <f t="shared" si="79"/>
        <v>-108.07581687499852</v>
      </c>
      <c r="F82" s="5" t="str">
        <f t="shared" si="94"/>
        <v>Loss</v>
      </c>
      <c r="G82" s="4">
        <f t="shared" si="95"/>
        <v>-90.999999999998522</v>
      </c>
      <c r="H82" s="46">
        <v>65</v>
      </c>
      <c r="I82" s="42">
        <v>388</v>
      </c>
      <c r="N82" s="5">
        <f t="shared" si="96"/>
        <v>65</v>
      </c>
      <c r="O82" s="4">
        <f t="shared" si="97"/>
        <v>388</v>
      </c>
      <c r="P82" s="5">
        <f t="shared" si="52"/>
        <v>65</v>
      </c>
      <c r="Q82" s="42">
        <v>386.6</v>
      </c>
      <c r="R82" s="2">
        <f t="shared" si="51"/>
        <v>0</v>
      </c>
      <c r="T82" s="2">
        <f t="shared" si="80"/>
        <v>0</v>
      </c>
      <c r="V82" s="5">
        <f t="shared" si="98"/>
        <v>65</v>
      </c>
      <c r="W82" s="4">
        <f t="shared" si="99"/>
        <v>386.6</v>
      </c>
      <c r="X82" s="14">
        <f t="shared" si="53"/>
        <v>-1.3999999999999773</v>
      </c>
      <c r="Y82" s="5">
        <f t="shared" si="54"/>
        <v>-90.999999999998522</v>
      </c>
      <c r="Z82" s="2">
        <f t="shared" si="55"/>
        <v>0</v>
      </c>
      <c r="AA82" s="4">
        <f t="shared" si="56"/>
        <v>0</v>
      </c>
      <c r="AB82" s="13">
        <f t="shared" si="57"/>
        <v>17.075816875000001</v>
      </c>
      <c r="AC82" s="10">
        <f>SUM($E$4:E82)</f>
        <v>-3805.0987641302181</v>
      </c>
      <c r="AD82" s="20">
        <f>SUM($AB$4:AB82)</f>
        <v>2132.8487641302081</v>
      </c>
      <c r="AF82" s="28">
        <f t="shared" si="58"/>
        <v>5.0349000000000004</v>
      </c>
      <c r="AG82" s="2">
        <f t="shared" si="59"/>
        <v>6.2822500000000003</v>
      </c>
      <c r="AH82" s="2">
        <f t="shared" si="60"/>
        <v>1.6363424999999998</v>
      </c>
      <c r="AI82" s="2">
        <f t="shared" si="81"/>
        <v>6.6712425</v>
      </c>
      <c r="AJ82" s="2">
        <f t="shared" si="82"/>
        <v>1.0006863749999999</v>
      </c>
      <c r="AK82" s="2">
        <f t="shared" si="61"/>
        <v>0.10069800000000001</v>
      </c>
      <c r="AL82" s="2">
        <f t="shared" si="62"/>
        <v>3.02094</v>
      </c>
      <c r="AM82" s="2">
        <f t="shared" si="83"/>
        <v>17.075816875000001</v>
      </c>
      <c r="AN82" s="2">
        <f t="shared" si="63"/>
        <v>40</v>
      </c>
      <c r="AO82" s="2">
        <f t="shared" si="64"/>
        <v>12.564500000000001</v>
      </c>
      <c r="AP82" s="2">
        <f t="shared" si="65"/>
        <v>26.68497</v>
      </c>
      <c r="AQ82" s="2">
        <f t="shared" si="84"/>
        <v>66.684969999999993</v>
      </c>
      <c r="AR82" s="2">
        <f t="shared" si="85"/>
        <v>10.002745499999998</v>
      </c>
      <c r="AS82" s="2">
        <f t="shared" si="66"/>
        <v>0.10069800000000001</v>
      </c>
      <c r="AT82" s="2">
        <f t="shared" si="67"/>
        <v>3.02094</v>
      </c>
      <c r="AU82" s="2">
        <f t="shared" si="86"/>
        <v>92.373853499999996</v>
      </c>
      <c r="AV82" s="2">
        <f t="shared" si="68"/>
        <v>5.0349000000000004</v>
      </c>
      <c r="AW82" s="2">
        <f t="shared" si="69"/>
        <v>2.5129000000000006</v>
      </c>
      <c r="AX82" s="2">
        <f t="shared" si="70"/>
        <v>1.057329</v>
      </c>
      <c r="AY82" s="2">
        <f t="shared" si="87"/>
        <v>6.0922290000000006</v>
      </c>
      <c r="AZ82" s="2">
        <f t="shared" si="88"/>
        <v>0.91383435000000002</v>
      </c>
      <c r="BA82" s="2">
        <f t="shared" si="71"/>
        <v>0.10069800000000001</v>
      </c>
      <c r="BB82" s="2">
        <f t="shared" si="72"/>
        <v>3.02094</v>
      </c>
      <c r="BC82" s="2">
        <f t="shared" si="89"/>
        <v>12.640601349999999</v>
      </c>
      <c r="BD82" s="2">
        <v>0</v>
      </c>
      <c r="BE82" s="2">
        <f t="shared" si="73"/>
        <v>50.349000000000004</v>
      </c>
      <c r="BF82" s="2">
        <f t="shared" si="74"/>
        <v>1.6363424999999998</v>
      </c>
      <c r="BG82" s="2">
        <f t="shared" si="90"/>
        <v>1.6363424999999998</v>
      </c>
      <c r="BH82" s="2">
        <f t="shared" si="91"/>
        <v>0.24545137499999997</v>
      </c>
      <c r="BI82" s="2">
        <f t="shared" si="75"/>
        <v>0.10069800000000001</v>
      </c>
      <c r="BJ82" s="2">
        <f t="shared" si="76"/>
        <v>3.02094</v>
      </c>
      <c r="BK82" s="2">
        <f t="shared" si="92"/>
        <v>55.352431875000008</v>
      </c>
      <c r="BL82" s="2">
        <f t="shared" si="77"/>
        <v>25220</v>
      </c>
      <c r="BM82" s="2">
        <f t="shared" si="78"/>
        <v>25129</v>
      </c>
      <c r="BN82" s="2">
        <f t="shared" si="93"/>
        <v>50349</v>
      </c>
    </row>
    <row r="83" spans="1:66" x14ac:dyDescent="0.25">
      <c r="A83" s="42">
        <v>80</v>
      </c>
      <c r="B83" s="43">
        <v>46393</v>
      </c>
      <c r="C83" s="42" t="s">
        <v>50</v>
      </c>
      <c r="D83" s="42" t="s">
        <v>136</v>
      </c>
      <c r="E83" s="6">
        <f t="shared" si="79"/>
        <v>-3.7172775000006819</v>
      </c>
      <c r="F83" s="5" t="str">
        <f t="shared" si="94"/>
        <v>Win</v>
      </c>
      <c r="G83" s="4">
        <f t="shared" si="95"/>
        <v>11.999999999999318</v>
      </c>
      <c r="H83" s="46">
        <v>60</v>
      </c>
      <c r="I83" s="42">
        <v>385.8</v>
      </c>
      <c r="N83" s="5">
        <f t="shared" si="96"/>
        <v>60</v>
      </c>
      <c r="O83" s="4">
        <f t="shared" si="97"/>
        <v>385.8</v>
      </c>
      <c r="P83" s="5">
        <f t="shared" si="52"/>
        <v>60</v>
      </c>
      <c r="Q83" s="42">
        <v>386</v>
      </c>
      <c r="R83" s="2">
        <f t="shared" si="51"/>
        <v>0</v>
      </c>
      <c r="T83" s="2">
        <f t="shared" si="80"/>
        <v>0</v>
      </c>
      <c r="V83" s="5">
        <f t="shared" si="98"/>
        <v>60</v>
      </c>
      <c r="W83" s="4">
        <f t="shared" si="99"/>
        <v>386</v>
      </c>
      <c r="X83" s="14">
        <f t="shared" si="53"/>
        <v>0.19999999999998863</v>
      </c>
      <c r="Y83" s="5">
        <f t="shared" si="54"/>
        <v>11.999999999999318</v>
      </c>
      <c r="Z83" s="2">
        <f t="shared" si="55"/>
        <v>0</v>
      </c>
      <c r="AA83" s="4">
        <f t="shared" si="56"/>
        <v>0</v>
      </c>
      <c r="AB83" s="13">
        <f t="shared" si="57"/>
        <v>15.7172775</v>
      </c>
      <c r="AC83" s="10">
        <f>SUM($E$4:E83)</f>
        <v>-3808.8160416302189</v>
      </c>
      <c r="AD83" s="20">
        <f>SUM($AB$4:AB83)</f>
        <v>2148.566041630208</v>
      </c>
      <c r="AF83" s="28">
        <f t="shared" si="58"/>
        <v>4.6307999999999998</v>
      </c>
      <c r="AG83" s="2">
        <f t="shared" si="59"/>
        <v>5.79</v>
      </c>
      <c r="AH83" s="2">
        <f t="shared" si="60"/>
        <v>1.50501</v>
      </c>
      <c r="AI83" s="2">
        <f t="shared" si="81"/>
        <v>6.1358099999999993</v>
      </c>
      <c r="AJ83" s="2">
        <f t="shared" si="82"/>
        <v>0.9203714999999999</v>
      </c>
      <c r="AK83" s="2">
        <f t="shared" si="61"/>
        <v>9.2616000000000004E-2</v>
      </c>
      <c r="AL83" s="2">
        <f t="shared" si="62"/>
        <v>2.7784800000000001</v>
      </c>
      <c r="AM83" s="2">
        <f t="shared" si="83"/>
        <v>15.7172775</v>
      </c>
      <c r="AN83" s="2">
        <f t="shared" si="63"/>
        <v>40</v>
      </c>
      <c r="AO83" s="2">
        <f t="shared" si="64"/>
        <v>11.58</v>
      </c>
      <c r="AP83" s="2">
        <f t="shared" si="65"/>
        <v>24.543240000000001</v>
      </c>
      <c r="AQ83" s="2">
        <f t="shared" si="84"/>
        <v>64.543239999999997</v>
      </c>
      <c r="AR83" s="2">
        <f t="shared" si="85"/>
        <v>9.6814859999999996</v>
      </c>
      <c r="AS83" s="2">
        <f t="shared" si="66"/>
        <v>9.2616000000000004E-2</v>
      </c>
      <c r="AT83" s="2">
        <f t="shared" si="67"/>
        <v>2.7784800000000001</v>
      </c>
      <c r="AU83" s="2">
        <f t="shared" si="86"/>
        <v>88.675821999999997</v>
      </c>
      <c r="AV83" s="2">
        <f t="shared" si="68"/>
        <v>4.6307999999999998</v>
      </c>
      <c r="AW83" s="2">
        <f t="shared" si="69"/>
        <v>2.3159999999999998</v>
      </c>
      <c r="AX83" s="2">
        <f t="shared" si="70"/>
        <v>0.972468</v>
      </c>
      <c r="AY83" s="2">
        <f t="shared" si="87"/>
        <v>5.6032679999999999</v>
      </c>
      <c r="AZ83" s="2">
        <f t="shared" si="88"/>
        <v>0.84049019999999997</v>
      </c>
      <c r="BA83" s="2">
        <f t="shared" si="71"/>
        <v>9.2616000000000004E-2</v>
      </c>
      <c r="BB83" s="2">
        <f t="shared" si="72"/>
        <v>2.7784800000000001</v>
      </c>
      <c r="BC83" s="2">
        <f t="shared" si="89"/>
        <v>11.6308542</v>
      </c>
      <c r="BD83" s="2">
        <v>0</v>
      </c>
      <c r="BE83" s="2">
        <f t="shared" si="73"/>
        <v>46.308</v>
      </c>
      <c r="BF83" s="2">
        <f t="shared" si="74"/>
        <v>1.50501</v>
      </c>
      <c r="BG83" s="2">
        <f t="shared" si="90"/>
        <v>1.50501</v>
      </c>
      <c r="BH83" s="2">
        <f t="shared" si="91"/>
        <v>0.22575149999999999</v>
      </c>
      <c r="BI83" s="2">
        <f t="shared" si="75"/>
        <v>9.2616000000000004E-2</v>
      </c>
      <c r="BJ83" s="2">
        <f t="shared" si="76"/>
        <v>2.7784800000000001</v>
      </c>
      <c r="BK83" s="2">
        <f t="shared" si="92"/>
        <v>50.909857500000001</v>
      </c>
      <c r="BL83" s="2">
        <f t="shared" si="77"/>
        <v>23148</v>
      </c>
      <c r="BM83" s="2">
        <f t="shared" si="78"/>
        <v>23160</v>
      </c>
      <c r="BN83" s="2">
        <f t="shared" si="93"/>
        <v>46308</v>
      </c>
    </row>
    <row r="84" spans="1:66" x14ac:dyDescent="0.25">
      <c r="A84" s="42">
        <v>81</v>
      </c>
      <c r="B84" s="43">
        <v>42741</v>
      </c>
      <c r="C84" s="42" t="s">
        <v>50</v>
      </c>
      <c r="D84" s="42" t="s">
        <v>136</v>
      </c>
      <c r="E84" s="6">
        <f t="shared" si="79"/>
        <v>-255.60839999999999</v>
      </c>
      <c r="F84" s="5" t="str">
        <f t="shared" si="94"/>
        <v>Loss</v>
      </c>
      <c r="G84" s="4">
        <f t="shared" si="95"/>
        <v>-240</v>
      </c>
      <c r="H84" s="46">
        <v>60</v>
      </c>
      <c r="I84" s="42">
        <v>386</v>
      </c>
      <c r="N84" s="5">
        <f t="shared" si="96"/>
        <v>60</v>
      </c>
      <c r="O84" s="4">
        <f t="shared" si="97"/>
        <v>386</v>
      </c>
      <c r="P84" s="5">
        <f t="shared" si="52"/>
        <v>60</v>
      </c>
      <c r="Q84" s="42">
        <v>382</v>
      </c>
      <c r="R84" s="2">
        <f t="shared" si="51"/>
        <v>0</v>
      </c>
      <c r="T84" s="2">
        <f t="shared" si="80"/>
        <v>0</v>
      </c>
      <c r="V84" s="5">
        <f t="shared" si="98"/>
        <v>60</v>
      </c>
      <c r="W84" s="4">
        <f t="shared" si="99"/>
        <v>382</v>
      </c>
      <c r="X84" s="14">
        <f t="shared" si="53"/>
        <v>-4</v>
      </c>
      <c r="Y84" s="5">
        <f t="shared" si="54"/>
        <v>-240</v>
      </c>
      <c r="Z84" s="2">
        <f t="shared" si="55"/>
        <v>0</v>
      </c>
      <c r="AA84" s="4">
        <f t="shared" si="56"/>
        <v>0</v>
      </c>
      <c r="AB84" s="13">
        <f t="shared" si="57"/>
        <v>15.6084</v>
      </c>
      <c r="AC84" s="10">
        <f>SUM($E$4:E84)</f>
        <v>-4064.424441630219</v>
      </c>
      <c r="AD84" s="20">
        <f>SUM($AB$4:AB84)</f>
        <v>2164.1744416302081</v>
      </c>
      <c r="AF84" s="28">
        <f t="shared" si="58"/>
        <v>4.6080000000000005</v>
      </c>
      <c r="AG84" s="2">
        <f t="shared" si="59"/>
        <v>5.7299999999999995</v>
      </c>
      <c r="AH84" s="2">
        <f t="shared" si="60"/>
        <v>1.4975999999999998</v>
      </c>
      <c r="AI84" s="2">
        <f t="shared" si="81"/>
        <v>6.1056000000000008</v>
      </c>
      <c r="AJ84" s="2">
        <f t="shared" si="82"/>
        <v>0.9158400000000001</v>
      </c>
      <c r="AK84" s="2">
        <f t="shared" si="61"/>
        <v>9.2160000000000006E-2</v>
      </c>
      <c r="AL84" s="2">
        <f t="shared" si="62"/>
        <v>2.7648000000000001</v>
      </c>
      <c r="AM84" s="2">
        <f t="shared" si="83"/>
        <v>15.6084</v>
      </c>
      <c r="AN84" s="2">
        <f t="shared" si="63"/>
        <v>40</v>
      </c>
      <c r="AO84" s="2">
        <f t="shared" si="64"/>
        <v>11.459999999999999</v>
      </c>
      <c r="AP84" s="2">
        <f t="shared" si="65"/>
        <v>24.4224</v>
      </c>
      <c r="AQ84" s="2">
        <f t="shared" si="84"/>
        <v>64.422399999999996</v>
      </c>
      <c r="AR84" s="2">
        <f t="shared" si="85"/>
        <v>9.6633599999999991</v>
      </c>
      <c r="AS84" s="2">
        <f t="shared" si="66"/>
        <v>9.2160000000000006E-2</v>
      </c>
      <c r="AT84" s="2">
        <f t="shared" si="67"/>
        <v>2.7648000000000001</v>
      </c>
      <c r="AU84" s="2">
        <f t="shared" si="86"/>
        <v>88.402720000000002</v>
      </c>
      <c r="AV84" s="2">
        <f t="shared" si="68"/>
        <v>4.6080000000000005</v>
      </c>
      <c r="AW84" s="2">
        <f t="shared" si="69"/>
        <v>2.2920000000000003</v>
      </c>
      <c r="AX84" s="2">
        <f t="shared" si="70"/>
        <v>0.96767999999999998</v>
      </c>
      <c r="AY84" s="2">
        <f t="shared" si="87"/>
        <v>5.5756800000000002</v>
      </c>
      <c r="AZ84" s="2">
        <f t="shared" si="88"/>
        <v>0.83635199999999998</v>
      </c>
      <c r="BA84" s="2">
        <f t="shared" si="71"/>
        <v>9.2160000000000006E-2</v>
      </c>
      <c r="BB84" s="2">
        <f t="shared" si="72"/>
        <v>2.7648000000000001</v>
      </c>
      <c r="BC84" s="2">
        <f t="shared" si="89"/>
        <v>11.560991999999999</v>
      </c>
      <c r="BD84" s="2">
        <v>0</v>
      </c>
      <c r="BE84" s="2">
        <f t="shared" si="73"/>
        <v>46.08</v>
      </c>
      <c r="BF84" s="2">
        <f t="shared" si="74"/>
        <v>1.4975999999999998</v>
      </c>
      <c r="BG84" s="2">
        <f t="shared" si="90"/>
        <v>1.4975999999999998</v>
      </c>
      <c r="BH84" s="2">
        <f t="shared" si="91"/>
        <v>0.22463999999999998</v>
      </c>
      <c r="BI84" s="2">
        <f t="shared" si="75"/>
        <v>9.2160000000000006E-2</v>
      </c>
      <c r="BJ84" s="2">
        <f t="shared" si="76"/>
        <v>2.7648000000000001</v>
      </c>
      <c r="BK84" s="2">
        <f t="shared" si="92"/>
        <v>50.659199999999998</v>
      </c>
      <c r="BL84" s="2">
        <f t="shared" si="77"/>
        <v>23160</v>
      </c>
      <c r="BM84" s="2">
        <f t="shared" si="78"/>
        <v>22920</v>
      </c>
      <c r="BN84" s="2">
        <f t="shared" si="93"/>
        <v>46080</v>
      </c>
    </row>
    <row r="85" spans="1:66" x14ac:dyDescent="0.25">
      <c r="A85" s="42">
        <v>82</v>
      </c>
      <c r="B85" s="43">
        <v>42744</v>
      </c>
      <c r="C85" s="42" t="s">
        <v>50</v>
      </c>
      <c r="D85" s="42" t="s">
        <v>136</v>
      </c>
      <c r="E85" s="6">
        <f t="shared" si="79"/>
        <v>236.78403125</v>
      </c>
      <c r="F85" s="5" t="str">
        <f t="shared" si="94"/>
        <v>Win</v>
      </c>
      <c r="G85" s="4">
        <f t="shared" si="95"/>
        <v>250</v>
      </c>
      <c r="H85" s="46">
        <v>50</v>
      </c>
      <c r="I85" s="42">
        <v>386</v>
      </c>
      <c r="N85" s="5">
        <f t="shared" si="96"/>
        <v>50</v>
      </c>
      <c r="O85" s="4">
        <f t="shared" si="97"/>
        <v>386</v>
      </c>
      <c r="P85" s="5">
        <f t="shared" si="52"/>
        <v>50</v>
      </c>
      <c r="Q85" s="42">
        <v>391</v>
      </c>
      <c r="R85" s="2">
        <f t="shared" si="51"/>
        <v>0</v>
      </c>
      <c r="T85" s="2">
        <f t="shared" si="80"/>
        <v>0</v>
      </c>
      <c r="V85" s="5">
        <f t="shared" si="98"/>
        <v>50</v>
      </c>
      <c r="W85" s="4">
        <f t="shared" si="99"/>
        <v>391</v>
      </c>
      <c r="X85" s="14">
        <f t="shared" si="53"/>
        <v>5</v>
      </c>
      <c r="Y85" s="5">
        <f t="shared" si="54"/>
        <v>250</v>
      </c>
      <c r="Z85" s="2">
        <f t="shared" si="55"/>
        <v>0</v>
      </c>
      <c r="AA85" s="4">
        <f t="shared" si="56"/>
        <v>0</v>
      </c>
      <c r="AB85" s="13">
        <f t="shared" si="57"/>
        <v>13.21596875</v>
      </c>
      <c r="AC85" s="10">
        <f>SUM($E$4:E85)</f>
        <v>-3827.6404103802188</v>
      </c>
      <c r="AD85" s="20">
        <f>SUM($AB$4:AB85)</f>
        <v>2177.3904103802079</v>
      </c>
      <c r="AF85" s="28">
        <f t="shared" si="58"/>
        <v>3.8850000000000002</v>
      </c>
      <c r="AG85" s="2">
        <f t="shared" si="59"/>
        <v>4.8875000000000002</v>
      </c>
      <c r="AH85" s="2">
        <f t="shared" si="60"/>
        <v>1.2626249999999999</v>
      </c>
      <c r="AI85" s="2">
        <f t="shared" si="81"/>
        <v>5.1476249999999997</v>
      </c>
      <c r="AJ85" s="2">
        <f t="shared" si="82"/>
        <v>0.77214374999999991</v>
      </c>
      <c r="AK85" s="2">
        <f t="shared" si="61"/>
        <v>7.7700000000000005E-2</v>
      </c>
      <c r="AL85" s="2">
        <f t="shared" si="62"/>
        <v>2.331</v>
      </c>
      <c r="AM85" s="2">
        <f t="shared" si="83"/>
        <v>13.21596875</v>
      </c>
      <c r="AN85" s="2">
        <f t="shared" si="63"/>
        <v>40</v>
      </c>
      <c r="AO85" s="2">
        <f t="shared" si="64"/>
        <v>9.7750000000000004</v>
      </c>
      <c r="AP85" s="2">
        <f t="shared" si="65"/>
        <v>20.590499999999999</v>
      </c>
      <c r="AQ85" s="2">
        <f t="shared" si="84"/>
        <v>60.590499999999999</v>
      </c>
      <c r="AR85" s="2">
        <f t="shared" si="85"/>
        <v>9.0885749999999987</v>
      </c>
      <c r="AS85" s="2">
        <f t="shared" si="66"/>
        <v>7.7700000000000005E-2</v>
      </c>
      <c r="AT85" s="2">
        <f t="shared" si="67"/>
        <v>2.331</v>
      </c>
      <c r="AU85" s="2">
        <f t="shared" si="86"/>
        <v>81.862774999999985</v>
      </c>
      <c r="AV85" s="2">
        <f t="shared" si="68"/>
        <v>3.8850000000000002</v>
      </c>
      <c r="AW85" s="2">
        <f t="shared" si="69"/>
        <v>1.9550000000000001</v>
      </c>
      <c r="AX85" s="2">
        <f t="shared" si="70"/>
        <v>0.81584999999999996</v>
      </c>
      <c r="AY85" s="2">
        <f t="shared" si="87"/>
        <v>4.70085</v>
      </c>
      <c r="AZ85" s="2">
        <f t="shared" si="88"/>
        <v>0.70512750000000002</v>
      </c>
      <c r="BA85" s="2">
        <f t="shared" si="71"/>
        <v>7.7700000000000005E-2</v>
      </c>
      <c r="BB85" s="2">
        <f t="shared" si="72"/>
        <v>2.331</v>
      </c>
      <c r="BC85" s="2">
        <f t="shared" si="89"/>
        <v>9.7696775000000002</v>
      </c>
      <c r="BD85" s="2">
        <v>0</v>
      </c>
      <c r="BE85" s="2">
        <f t="shared" si="73"/>
        <v>38.85</v>
      </c>
      <c r="BF85" s="2">
        <f t="shared" si="74"/>
        <v>1.2626249999999999</v>
      </c>
      <c r="BG85" s="2">
        <f t="shared" si="90"/>
        <v>1.2626249999999999</v>
      </c>
      <c r="BH85" s="2">
        <f t="shared" si="91"/>
        <v>0.18939374999999997</v>
      </c>
      <c r="BI85" s="2">
        <f t="shared" si="75"/>
        <v>7.7700000000000005E-2</v>
      </c>
      <c r="BJ85" s="2">
        <f t="shared" si="76"/>
        <v>2.331</v>
      </c>
      <c r="BK85" s="2">
        <f t="shared" si="92"/>
        <v>42.710718750000005</v>
      </c>
      <c r="BL85" s="2">
        <f t="shared" si="77"/>
        <v>19300</v>
      </c>
      <c r="BM85" s="2">
        <f t="shared" si="78"/>
        <v>19550</v>
      </c>
      <c r="BN85" s="2">
        <f t="shared" si="93"/>
        <v>38850</v>
      </c>
    </row>
    <row r="86" spans="1:66" x14ac:dyDescent="0.25">
      <c r="A86" s="42">
        <v>83</v>
      </c>
      <c r="B86" s="43">
        <v>42744</v>
      </c>
      <c r="C86" s="42" t="s">
        <v>50</v>
      </c>
      <c r="D86" s="42" t="s">
        <v>136</v>
      </c>
      <c r="E86" s="6">
        <f t="shared" si="79"/>
        <v>-114.93451687499864</v>
      </c>
      <c r="F86" s="5" t="str">
        <f t="shared" si="94"/>
        <v>Loss</v>
      </c>
      <c r="G86" s="4">
        <f t="shared" si="95"/>
        <v>-98.999999999998636</v>
      </c>
      <c r="H86" s="46">
        <v>60</v>
      </c>
      <c r="I86" s="42">
        <v>392.4</v>
      </c>
      <c r="N86" s="5">
        <f t="shared" si="96"/>
        <v>60</v>
      </c>
      <c r="O86" s="4">
        <f t="shared" si="97"/>
        <v>392.4</v>
      </c>
      <c r="P86" s="5">
        <f t="shared" si="52"/>
        <v>60</v>
      </c>
      <c r="Q86" s="42">
        <v>390.75</v>
      </c>
      <c r="R86" s="2">
        <f t="shared" si="51"/>
        <v>0</v>
      </c>
      <c r="T86" s="2">
        <f t="shared" si="80"/>
        <v>0</v>
      </c>
      <c r="V86" s="5">
        <f t="shared" si="98"/>
        <v>60</v>
      </c>
      <c r="W86" s="4">
        <f t="shared" si="99"/>
        <v>390.75</v>
      </c>
      <c r="X86" s="14">
        <f t="shared" si="53"/>
        <v>-1.6499999999999773</v>
      </c>
      <c r="Y86" s="5">
        <f t="shared" si="54"/>
        <v>-98.999999999998636</v>
      </c>
      <c r="Z86" s="2">
        <f t="shared" si="55"/>
        <v>0</v>
      </c>
      <c r="AA86" s="4">
        <f t="shared" si="56"/>
        <v>0</v>
      </c>
      <c r="AB86" s="13">
        <f t="shared" si="57"/>
        <v>15.934516875</v>
      </c>
      <c r="AC86" s="10">
        <f>SUM($E$4:E86)</f>
        <v>-3942.5749272552175</v>
      </c>
      <c r="AD86" s="20">
        <f>SUM($AB$4:AB86)</f>
        <v>2193.324927255208</v>
      </c>
      <c r="AF86" s="28">
        <f t="shared" si="58"/>
        <v>4.6989000000000001</v>
      </c>
      <c r="AG86" s="2">
        <f t="shared" si="59"/>
        <v>5.8612500000000001</v>
      </c>
      <c r="AH86" s="2">
        <f t="shared" si="60"/>
        <v>1.5271424999999998</v>
      </c>
      <c r="AI86" s="2">
        <f t="shared" si="81"/>
        <v>6.2260425000000001</v>
      </c>
      <c r="AJ86" s="2">
        <f t="shared" si="82"/>
        <v>0.93390637499999996</v>
      </c>
      <c r="AK86" s="2">
        <f t="shared" si="61"/>
        <v>9.3977999999999992E-2</v>
      </c>
      <c r="AL86" s="2">
        <f t="shared" si="62"/>
        <v>2.81934</v>
      </c>
      <c r="AM86" s="2">
        <f t="shared" si="83"/>
        <v>15.934516875</v>
      </c>
      <c r="AN86" s="2">
        <f t="shared" si="63"/>
        <v>40</v>
      </c>
      <c r="AO86" s="2">
        <f t="shared" si="64"/>
        <v>11.7225</v>
      </c>
      <c r="AP86" s="2">
        <f t="shared" si="65"/>
        <v>24.904170000000001</v>
      </c>
      <c r="AQ86" s="2">
        <f t="shared" si="84"/>
        <v>64.904169999999993</v>
      </c>
      <c r="AR86" s="2">
        <f t="shared" si="85"/>
        <v>9.7356254999999994</v>
      </c>
      <c r="AS86" s="2">
        <f t="shared" si="66"/>
        <v>9.3977999999999992E-2</v>
      </c>
      <c r="AT86" s="2">
        <f t="shared" si="67"/>
        <v>2.81934</v>
      </c>
      <c r="AU86" s="2">
        <f t="shared" si="86"/>
        <v>89.275613499999992</v>
      </c>
      <c r="AV86" s="2">
        <f t="shared" si="68"/>
        <v>4.6989000000000001</v>
      </c>
      <c r="AW86" s="2">
        <f t="shared" si="69"/>
        <v>2.3445</v>
      </c>
      <c r="AX86" s="2">
        <f t="shared" si="70"/>
        <v>0.9867689999999999</v>
      </c>
      <c r="AY86" s="2">
        <f t="shared" si="87"/>
        <v>5.6856689999999999</v>
      </c>
      <c r="AZ86" s="2">
        <f t="shared" si="88"/>
        <v>0.85285034999999998</v>
      </c>
      <c r="BA86" s="2">
        <f t="shared" si="71"/>
        <v>9.3977999999999992E-2</v>
      </c>
      <c r="BB86" s="2">
        <f t="shared" si="72"/>
        <v>2.81934</v>
      </c>
      <c r="BC86" s="2">
        <f t="shared" si="89"/>
        <v>11.796337350000002</v>
      </c>
      <c r="BD86" s="2">
        <v>0</v>
      </c>
      <c r="BE86" s="2">
        <f t="shared" si="73"/>
        <v>46.989000000000004</v>
      </c>
      <c r="BF86" s="2">
        <f t="shared" si="74"/>
        <v>1.5271424999999998</v>
      </c>
      <c r="BG86" s="2">
        <f t="shared" si="90"/>
        <v>1.5271424999999998</v>
      </c>
      <c r="BH86" s="2">
        <f t="shared" si="91"/>
        <v>0.22907137499999997</v>
      </c>
      <c r="BI86" s="2">
        <f t="shared" si="75"/>
        <v>9.3977999999999992E-2</v>
      </c>
      <c r="BJ86" s="2">
        <f t="shared" si="76"/>
        <v>2.81934</v>
      </c>
      <c r="BK86" s="2">
        <f t="shared" si="92"/>
        <v>51.658531874999994</v>
      </c>
      <c r="BL86" s="2">
        <f t="shared" si="77"/>
        <v>23544</v>
      </c>
      <c r="BM86" s="2">
        <f t="shared" si="78"/>
        <v>23445</v>
      </c>
      <c r="BN86" s="2">
        <f t="shared" si="93"/>
        <v>46989</v>
      </c>
    </row>
    <row r="87" spans="1:66" x14ac:dyDescent="0.25">
      <c r="A87" s="42">
        <v>84</v>
      </c>
      <c r="B87" s="43">
        <v>42744</v>
      </c>
      <c r="C87" s="42" t="s">
        <v>50</v>
      </c>
      <c r="D87" s="42" t="s">
        <v>136</v>
      </c>
      <c r="E87" s="6">
        <f t="shared" si="79"/>
        <v>-258.86764687499726</v>
      </c>
      <c r="F87" s="5" t="str">
        <f t="shared" si="94"/>
        <v>Loss</v>
      </c>
      <c r="G87" s="4">
        <f t="shared" si="95"/>
        <v>-242.99999999999727</v>
      </c>
      <c r="H87" s="46">
        <v>60</v>
      </c>
      <c r="I87" s="42">
        <v>392.4</v>
      </c>
      <c r="N87" s="5">
        <f t="shared" si="96"/>
        <v>60</v>
      </c>
      <c r="O87" s="4">
        <f t="shared" si="97"/>
        <v>392.4</v>
      </c>
      <c r="P87" s="5">
        <f t="shared" si="52"/>
        <v>60</v>
      </c>
      <c r="Q87" s="42">
        <v>388.35</v>
      </c>
      <c r="R87" s="2">
        <f t="shared" si="51"/>
        <v>0</v>
      </c>
      <c r="T87" s="2">
        <f t="shared" si="80"/>
        <v>0</v>
      </c>
      <c r="V87" s="5">
        <f t="shared" si="98"/>
        <v>60</v>
      </c>
      <c r="W87" s="4">
        <f t="shared" si="99"/>
        <v>388.35</v>
      </c>
      <c r="X87" s="14">
        <f t="shared" si="53"/>
        <v>-4.0499999999999545</v>
      </c>
      <c r="Y87" s="5">
        <f t="shared" si="54"/>
        <v>-242.99999999999727</v>
      </c>
      <c r="Z87" s="2">
        <f t="shared" si="55"/>
        <v>0</v>
      </c>
      <c r="AA87" s="4">
        <f t="shared" si="56"/>
        <v>0</v>
      </c>
      <c r="AB87" s="13">
        <f t="shared" si="57"/>
        <v>15.867646875</v>
      </c>
      <c r="AC87" s="10">
        <f>SUM($E$4:E87)</f>
        <v>-4201.4425741302148</v>
      </c>
      <c r="AD87" s="20">
        <f>SUM($AB$4:AB87)</f>
        <v>2209.192574130208</v>
      </c>
      <c r="AF87" s="28">
        <f t="shared" si="58"/>
        <v>4.6844999999999999</v>
      </c>
      <c r="AG87" s="2">
        <f t="shared" si="59"/>
        <v>5.8252500000000005</v>
      </c>
      <c r="AH87" s="2">
        <f t="shared" si="60"/>
        <v>1.5224624999999998</v>
      </c>
      <c r="AI87" s="2">
        <f t="shared" si="81"/>
        <v>6.2069624999999995</v>
      </c>
      <c r="AJ87" s="2">
        <f t="shared" si="82"/>
        <v>0.93104437499999992</v>
      </c>
      <c r="AK87" s="2">
        <f t="shared" si="61"/>
        <v>9.3690000000000009E-2</v>
      </c>
      <c r="AL87" s="2">
        <f t="shared" si="62"/>
        <v>2.8107000000000002</v>
      </c>
      <c r="AM87" s="2">
        <f t="shared" si="83"/>
        <v>15.867646875</v>
      </c>
      <c r="AN87" s="2">
        <f t="shared" si="63"/>
        <v>40</v>
      </c>
      <c r="AO87" s="2">
        <f t="shared" si="64"/>
        <v>11.650500000000001</v>
      </c>
      <c r="AP87" s="2">
        <f t="shared" si="65"/>
        <v>24.827849999999998</v>
      </c>
      <c r="AQ87" s="2">
        <f t="shared" si="84"/>
        <v>64.827849999999998</v>
      </c>
      <c r="AR87" s="2">
        <f t="shared" si="85"/>
        <v>9.7241774999999997</v>
      </c>
      <c r="AS87" s="2">
        <f t="shared" si="66"/>
        <v>9.3690000000000009E-2</v>
      </c>
      <c r="AT87" s="2">
        <f t="shared" si="67"/>
        <v>2.8107000000000002</v>
      </c>
      <c r="AU87" s="2">
        <f t="shared" si="86"/>
        <v>89.106917499999994</v>
      </c>
      <c r="AV87" s="2">
        <f t="shared" si="68"/>
        <v>4.6844999999999999</v>
      </c>
      <c r="AW87" s="2">
        <f t="shared" si="69"/>
        <v>2.3301000000000003</v>
      </c>
      <c r="AX87" s="2">
        <f t="shared" si="70"/>
        <v>0.98374499999999998</v>
      </c>
      <c r="AY87" s="2">
        <f t="shared" si="87"/>
        <v>5.6682449999999998</v>
      </c>
      <c r="AZ87" s="2">
        <f t="shared" si="88"/>
        <v>0.85023674999999999</v>
      </c>
      <c r="BA87" s="2">
        <f t="shared" si="71"/>
        <v>9.3690000000000009E-2</v>
      </c>
      <c r="BB87" s="2">
        <f t="shared" si="72"/>
        <v>2.8107000000000002</v>
      </c>
      <c r="BC87" s="2">
        <f t="shared" si="89"/>
        <v>11.75297175</v>
      </c>
      <c r="BD87" s="2">
        <v>0</v>
      </c>
      <c r="BE87" s="2">
        <f t="shared" si="73"/>
        <v>46.844999999999999</v>
      </c>
      <c r="BF87" s="2">
        <f t="shared" si="74"/>
        <v>1.5224624999999998</v>
      </c>
      <c r="BG87" s="2">
        <f t="shared" si="90"/>
        <v>1.5224624999999998</v>
      </c>
      <c r="BH87" s="2">
        <f t="shared" si="91"/>
        <v>0.22836937499999996</v>
      </c>
      <c r="BI87" s="2">
        <f t="shared" si="75"/>
        <v>9.3690000000000009E-2</v>
      </c>
      <c r="BJ87" s="2">
        <f t="shared" si="76"/>
        <v>2.8107000000000002</v>
      </c>
      <c r="BK87" s="2">
        <f t="shared" si="92"/>
        <v>51.500221875000001</v>
      </c>
      <c r="BL87" s="2">
        <f t="shared" si="77"/>
        <v>23544</v>
      </c>
      <c r="BM87" s="2">
        <f t="shared" si="78"/>
        <v>23301</v>
      </c>
      <c r="BN87" s="2">
        <f t="shared" si="93"/>
        <v>46845</v>
      </c>
    </row>
    <row r="88" spans="1:66" x14ac:dyDescent="0.25">
      <c r="A88" s="42">
        <v>85</v>
      </c>
      <c r="B88" s="43">
        <v>42745</v>
      </c>
      <c r="C88" s="42" t="s">
        <v>50</v>
      </c>
      <c r="D88" s="42" t="s">
        <v>144</v>
      </c>
      <c r="E88" s="6">
        <f t="shared" si="79"/>
        <v>-72.03409312500068</v>
      </c>
      <c r="F88" s="5" t="str">
        <f t="shared" si="94"/>
        <v>Loss</v>
      </c>
      <c r="G88" s="4">
        <f t="shared" si="95"/>
        <v>-63.000000000000682</v>
      </c>
      <c r="H88" s="46">
        <v>30</v>
      </c>
      <c r="I88" s="42">
        <v>445.1</v>
      </c>
      <c r="N88" s="5">
        <f t="shared" si="96"/>
        <v>30</v>
      </c>
      <c r="O88" s="4">
        <f t="shared" si="97"/>
        <v>445.1</v>
      </c>
      <c r="P88" s="5">
        <f t="shared" si="52"/>
        <v>30</v>
      </c>
      <c r="Q88" s="42">
        <v>443</v>
      </c>
      <c r="R88" s="2">
        <f t="shared" si="51"/>
        <v>0</v>
      </c>
      <c r="T88" s="2">
        <f t="shared" si="80"/>
        <v>0</v>
      </c>
      <c r="V88" s="5">
        <f t="shared" si="98"/>
        <v>30</v>
      </c>
      <c r="W88" s="4">
        <f t="shared" si="99"/>
        <v>443</v>
      </c>
      <c r="X88" s="14">
        <f t="shared" si="53"/>
        <v>-2.1000000000000227</v>
      </c>
      <c r="Y88" s="5">
        <f t="shared" si="54"/>
        <v>-63.000000000000682</v>
      </c>
      <c r="Z88" s="2">
        <f t="shared" si="55"/>
        <v>0</v>
      </c>
      <c r="AA88" s="4">
        <f t="shared" si="56"/>
        <v>0</v>
      </c>
      <c r="AB88" s="13">
        <f t="shared" si="57"/>
        <v>9.0340931250000018</v>
      </c>
      <c r="AC88" s="10">
        <f>SUM($E$4:E88)</f>
        <v>-4273.476667255215</v>
      </c>
      <c r="AD88" s="20">
        <f>SUM($AB$4:AB88)</f>
        <v>2218.2266672552078</v>
      </c>
      <c r="AF88" s="28">
        <f t="shared" si="58"/>
        <v>2.6643000000000003</v>
      </c>
      <c r="AG88" s="2">
        <f t="shared" si="59"/>
        <v>3.3224999999999998</v>
      </c>
      <c r="AH88" s="2">
        <f t="shared" si="60"/>
        <v>0.86589749999999988</v>
      </c>
      <c r="AI88" s="2">
        <f t="shared" si="81"/>
        <v>3.5301975000000003</v>
      </c>
      <c r="AJ88" s="2">
        <f t="shared" si="82"/>
        <v>0.529529625</v>
      </c>
      <c r="AK88" s="2">
        <f t="shared" si="61"/>
        <v>5.3286E-2</v>
      </c>
      <c r="AL88" s="2">
        <f t="shared" si="62"/>
        <v>1.5985800000000001</v>
      </c>
      <c r="AM88" s="2">
        <f t="shared" si="83"/>
        <v>9.0340931250000018</v>
      </c>
      <c r="AN88" s="2">
        <f t="shared" si="63"/>
        <v>40</v>
      </c>
      <c r="AO88" s="2">
        <f t="shared" si="64"/>
        <v>6.6449999999999996</v>
      </c>
      <c r="AP88" s="2">
        <f t="shared" si="65"/>
        <v>14.12079</v>
      </c>
      <c r="AQ88" s="2">
        <f t="shared" si="84"/>
        <v>54.12079</v>
      </c>
      <c r="AR88" s="2">
        <f t="shared" si="85"/>
        <v>8.1181184999999996</v>
      </c>
      <c r="AS88" s="2">
        <f t="shared" si="66"/>
        <v>5.3286E-2</v>
      </c>
      <c r="AT88" s="2">
        <f t="shared" si="67"/>
        <v>1.5985800000000001</v>
      </c>
      <c r="AU88" s="2">
        <f t="shared" si="86"/>
        <v>70.535774499999988</v>
      </c>
      <c r="AV88" s="2">
        <f t="shared" si="68"/>
        <v>2.6643000000000003</v>
      </c>
      <c r="AW88" s="2">
        <f t="shared" si="69"/>
        <v>1.329</v>
      </c>
      <c r="AX88" s="2">
        <f t="shared" si="70"/>
        <v>0.55950299999999997</v>
      </c>
      <c r="AY88" s="2">
        <f t="shared" si="87"/>
        <v>3.2238030000000002</v>
      </c>
      <c r="AZ88" s="2">
        <f t="shared" si="88"/>
        <v>0.48357044999999999</v>
      </c>
      <c r="BA88" s="2">
        <f t="shared" si="71"/>
        <v>5.3286E-2</v>
      </c>
      <c r="BB88" s="2">
        <f t="shared" si="72"/>
        <v>1.5985800000000001</v>
      </c>
      <c r="BC88" s="2">
        <f t="shared" si="89"/>
        <v>6.6882394500000011</v>
      </c>
      <c r="BD88" s="2">
        <v>0</v>
      </c>
      <c r="BE88" s="2">
        <f t="shared" si="73"/>
        <v>26.643000000000001</v>
      </c>
      <c r="BF88" s="2">
        <f t="shared" si="74"/>
        <v>0.86589749999999988</v>
      </c>
      <c r="BG88" s="2">
        <f t="shared" si="90"/>
        <v>0.86589749999999988</v>
      </c>
      <c r="BH88" s="2">
        <f t="shared" si="91"/>
        <v>0.12988462499999998</v>
      </c>
      <c r="BI88" s="2">
        <f t="shared" si="75"/>
        <v>5.3286E-2</v>
      </c>
      <c r="BJ88" s="2">
        <f t="shared" si="76"/>
        <v>1.5985800000000001</v>
      </c>
      <c r="BK88" s="2">
        <f t="shared" si="92"/>
        <v>29.290648124999997</v>
      </c>
      <c r="BL88" s="2">
        <f t="shared" si="77"/>
        <v>13353</v>
      </c>
      <c r="BM88" s="2">
        <f t="shared" si="78"/>
        <v>13290</v>
      </c>
      <c r="BN88" s="2">
        <f t="shared" si="93"/>
        <v>26643</v>
      </c>
    </row>
    <row r="89" spans="1:66" x14ac:dyDescent="0.25">
      <c r="A89" s="42">
        <v>86</v>
      </c>
      <c r="B89" s="43">
        <v>42745</v>
      </c>
      <c r="C89" s="42" t="s">
        <v>50</v>
      </c>
      <c r="D89" s="42" t="s">
        <v>145</v>
      </c>
      <c r="E89" s="6">
        <f t="shared" si="79"/>
        <v>-47.287271718749032</v>
      </c>
      <c r="F89" s="5" t="str">
        <f t="shared" si="94"/>
        <v>Loss</v>
      </c>
      <c r="G89" s="4">
        <f t="shared" si="95"/>
        <v>-38.249999999999034</v>
      </c>
      <c r="H89" s="46">
        <v>85</v>
      </c>
      <c r="I89" s="42">
        <v>156.94999999999999</v>
      </c>
      <c r="N89" s="5">
        <f t="shared" si="96"/>
        <v>85</v>
      </c>
      <c r="O89" s="4">
        <f t="shared" si="97"/>
        <v>156.94999999999999</v>
      </c>
      <c r="P89" s="5">
        <f t="shared" si="52"/>
        <v>85</v>
      </c>
      <c r="Q89" s="42">
        <v>156.5</v>
      </c>
      <c r="R89" s="2">
        <f t="shared" si="51"/>
        <v>0</v>
      </c>
      <c r="T89" s="2">
        <f t="shared" si="80"/>
        <v>0</v>
      </c>
      <c r="V89" s="5">
        <f t="shared" si="98"/>
        <v>85</v>
      </c>
      <c r="W89" s="4">
        <f t="shared" si="99"/>
        <v>156.5</v>
      </c>
      <c r="X89" s="14">
        <f t="shared" si="53"/>
        <v>-0.44999999999998863</v>
      </c>
      <c r="Y89" s="5">
        <f t="shared" si="54"/>
        <v>-38.249999999999034</v>
      </c>
      <c r="Z89" s="2">
        <f t="shared" si="55"/>
        <v>0</v>
      </c>
      <c r="AA89" s="4">
        <f t="shared" si="56"/>
        <v>0</v>
      </c>
      <c r="AB89" s="13">
        <f t="shared" si="57"/>
        <v>9.0372717187500005</v>
      </c>
      <c r="AC89" s="10">
        <f>SUM($E$4:E89)</f>
        <v>-4320.7639389739643</v>
      </c>
      <c r="AD89" s="20">
        <f>SUM($AB$4:AB89)</f>
        <v>2227.2639389739579</v>
      </c>
      <c r="AF89" s="28">
        <f t="shared" si="58"/>
        <v>2.6643250000000003</v>
      </c>
      <c r="AG89" s="2">
        <f t="shared" si="59"/>
        <v>3.3256250000000001</v>
      </c>
      <c r="AH89" s="2">
        <f t="shared" si="60"/>
        <v>0.8659056249999999</v>
      </c>
      <c r="AI89" s="2">
        <f t="shared" si="81"/>
        <v>3.5302306250000002</v>
      </c>
      <c r="AJ89" s="2">
        <f t="shared" si="82"/>
        <v>0.52953459375</v>
      </c>
      <c r="AK89" s="2">
        <f t="shared" si="61"/>
        <v>5.3286500000000001E-2</v>
      </c>
      <c r="AL89" s="2">
        <f t="shared" si="62"/>
        <v>1.598595</v>
      </c>
      <c r="AM89" s="2">
        <f t="shared" si="83"/>
        <v>9.0372717187500005</v>
      </c>
      <c r="AN89" s="2">
        <f t="shared" si="63"/>
        <v>40</v>
      </c>
      <c r="AO89" s="2">
        <f t="shared" si="64"/>
        <v>6.6512500000000001</v>
      </c>
      <c r="AP89" s="2">
        <f t="shared" si="65"/>
        <v>14.120922499999999</v>
      </c>
      <c r="AQ89" s="2">
        <f t="shared" si="84"/>
        <v>54.120922499999999</v>
      </c>
      <c r="AR89" s="2">
        <f t="shared" si="85"/>
        <v>8.1181383749999991</v>
      </c>
      <c r="AS89" s="2">
        <f t="shared" si="66"/>
        <v>5.3286500000000001E-2</v>
      </c>
      <c r="AT89" s="2">
        <f t="shared" si="67"/>
        <v>1.598595</v>
      </c>
      <c r="AU89" s="2">
        <f t="shared" si="86"/>
        <v>70.542192374999999</v>
      </c>
      <c r="AV89" s="2">
        <f t="shared" si="68"/>
        <v>2.6643250000000003</v>
      </c>
      <c r="AW89" s="2">
        <f t="shared" si="69"/>
        <v>1.3302500000000002</v>
      </c>
      <c r="AX89" s="2">
        <f t="shared" si="70"/>
        <v>0.55950824999999993</v>
      </c>
      <c r="AY89" s="2">
        <f t="shared" si="87"/>
        <v>3.2238332500000002</v>
      </c>
      <c r="AZ89" s="2">
        <f t="shared" si="88"/>
        <v>0.4835749875</v>
      </c>
      <c r="BA89" s="2">
        <f t="shared" si="71"/>
        <v>5.3286500000000001E-2</v>
      </c>
      <c r="BB89" s="2">
        <f t="shared" si="72"/>
        <v>1.598595</v>
      </c>
      <c r="BC89" s="2">
        <f t="shared" si="89"/>
        <v>6.6895397374999988</v>
      </c>
      <c r="BD89" s="2">
        <v>0</v>
      </c>
      <c r="BE89" s="2">
        <f t="shared" si="73"/>
        <v>26.643250000000002</v>
      </c>
      <c r="BF89" s="2">
        <f t="shared" si="74"/>
        <v>0.8659056249999999</v>
      </c>
      <c r="BG89" s="2">
        <f t="shared" si="90"/>
        <v>0.8659056249999999</v>
      </c>
      <c r="BH89" s="2">
        <f t="shared" si="91"/>
        <v>0.12988584374999998</v>
      </c>
      <c r="BI89" s="2">
        <f t="shared" si="75"/>
        <v>5.3286500000000001E-2</v>
      </c>
      <c r="BJ89" s="2">
        <f t="shared" si="76"/>
        <v>1.598595</v>
      </c>
      <c r="BK89" s="2">
        <f t="shared" si="92"/>
        <v>29.290922968749999</v>
      </c>
      <c r="BL89" s="2">
        <f t="shared" si="77"/>
        <v>13340.749999999998</v>
      </c>
      <c r="BM89" s="2">
        <f t="shared" si="78"/>
        <v>13302.5</v>
      </c>
      <c r="BN89" s="2">
        <f t="shared" si="93"/>
        <v>26643.25</v>
      </c>
    </row>
    <row r="90" spans="1:66" x14ac:dyDescent="0.25">
      <c r="A90" s="42">
        <v>87</v>
      </c>
      <c r="B90" s="43">
        <v>42745</v>
      </c>
      <c r="C90" s="42" t="s">
        <v>50</v>
      </c>
      <c r="D90" s="42" t="s">
        <v>138</v>
      </c>
      <c r="E90" s="6">
        <f t="shared" si="79"/>
        <v>-17.592764218749998</v>
      </c>
      <c r="F90" s="5" t="str">
        <f t="shared" si="94"/>
        <v>Loss</v>
      </c>
      <c r="G90" s="4">
        <f t="shared" si="95"/>
        <v>-8.75</v>
      </c>
      <c r="H90" s="46">
        <v>35</v>
      </c>
      <c r="I90" s="42">
        <v>372.4</v>
      </c>
      <c r="N90" s="5">
        <f t="shared" si="96"/>
        <v>35</v>
      </c>
      <c r="O90" s="4">
        <f t="shared" si="97"/>
        <v>372.4</v>
      </c>
      <c r="P90" s="5">
        <f t="shared" si="52"/>
        <v>35</v>
      </c>
      <c r="Q90" s="42">
        <v>372.15</v>
      </c>
      <c r="R90" s="2">
        <f t="shared" si="51"/>
        <v>0</v>
      </c>
      <c r="T90" s="2">
        <f t="shared" si="80"/>
        <v>0</v>
      </c>
      <c r="V90" s="5">
        <f t="shared" si="98"/>
        <v>35</v>
      </c>
      <c r="W90" s="4">
        <f t="shared" si="99"/>
        <v>372.15</v>
      </c>
      <c r="X90" s="14">
        <f t="shared" si="53"/>
        <v>-0.25</v>
      </c>
      <c r="Y90" s="5">
        <f t="shared" si="54"/>
        <v>-8.75</v>
      </c>
      <c r="Z90" s="2">
        <f t="shared" si="55"/>
        <v>0</v>
      </c>
      <c r="AA90" s="4">
        <f t="shared" si="56"/>
        <v>0</v>
      </c>
      <c r="AB90" s="13">
        <f t="shared" si="57"/>
        <v>8.8427642187499984</v>
      </c>
      <c r="AC90" s="10">
        <f>SUM($E$4:E90)</f>
        <v>-4338.3567031927141</v>
      </c>
      <c r="AD90" s="20">
        <f>SUM($AB$4:AB90)</f>
        <v>2236.1067031927078</v>
      </c>
      <c r="AF90" s="28">
        <f t="shared" si="58"/>
        <v>2.605925</v>
      </c>
      <c r="AG90" s="2">
        <f t="shared" si="59"/>
        <v>3.2563124999999999</v>
      </c>
      <c r="AH90" s="2">
        <f t="shared" si="60"/>
        <v>0.8469256249999999</v>
      </c>
      <c r="AI90" s="2">
        <f t="shared" si="81"/>
        <v>3.452850625</v>
      </c>
      <c r="AJ90" s="2">
        <f t="shared" si="82"/>
        <v>0.51792759374999997</v>
      </c>
      <c r="AK90" s="2">
        <f t="shared" si="61"/>
        <v>5.2118499999999998E-2</v>
      </c>
      <c r="AL90" s="2">
        <f t="shared" si="62"/>
        <v>1.563555</v>
      </c>
      <c r="AM90" s="2">
        <f t="shared" si="83"/>
        <v>8.8427642187499984</v>
      </c>
      <c r="AN90" s="2">
        <f t="shared" si="63"/>
        <v>40</v>
      </c>
      <c r="AO90" s="2">
        <f t="shared" si="64"/>
        <v>6.5126249999999999</v>
      </c>
      <c r="AP90" s="2">
        <f t="shared" si="65"/>
        <v>13.8114025</v>
      </c>
      <c r="AQ90" s="2">
        <f t="shared" si="84"/>
        <v>53.8114025</v>
      </c>
      <c r="AR90" s="2">
        <f t="shared" si="85"/>
        <v>8.0717103750000003</v>
      </c>
      <c r="AS90" s="2">
        <f t="shared" si="66"/>
        <v>5.2118499999999998E-2</v>
      </c>
      <c r="AT90" s="2">
        <f t="shared" si="67"/>
        <v>1.563555</v>
      </c>
      <c r="AU90" s="2">
        <f t="shared" si="86"/>
        <v>70.011411374999994</v>
      </c>
      <c r="AV90" s="2">
        <f t="shared" si="68"/>
        <v>2.605925</v>
      </c>
      <c r="AW90" s="2">
        <f t="shared" si="69"/>
        <v>1.3025249999999999</v>
      </c>
      <c r="AX90" s="2">
        <f t="shared" si="70"/>
        <v>0.54724424999999999</v>
      </c>
      <c r="AY90" s="2">
        <f t="shared" si="87"/>
        <v>3.1531692499999999</v>
      </c>
      <c r="AZ90" s="2">
        <f t="shared" si="88"/>
        <v>0.47297538749999996</v>
      </c>
      <c r="BA90" s="2">
        <f t="shared" si="71"/>
        <v>5.2118499999999998E-2</v>
      </c>
      <c r="BB90" s="2">
        <f t="shared" si="72"/>
        <v>1.563555</v>
      </c>
      <c r="BC90" s="2">
        <f t="shared" si="89"/>
        <v>6.5443431375000003</v>
      </c>
      <c r="BD90" s="2">
        <v>0</v>
      </c>
      <c r="BE90" s="2">
        <f t="shared" si="73"/>
        <v>26.059250000000002</v>
      </c>
      <c r="BF90" s="2">
        <f t="shared" si="74"/>
        <v>0.8469256249999999</v>
      </c>
      <c r="BG90" s="2">
        <f t="shared" si="90"/>
        <v>0.8469256249999999</v>
      </c>
      <c r="BH90" s="2">
        <f t="shared" si="91"/>
        <v>0.12703884374999999</v>
      </c>
      <c r="BI90" s="2">
        <f t="shared" si="75"/>
        <v>5.2118499999999998E-2</v>
      </c>
      <c r="BJ90" s="2">
        <f t="shared" si="76"/>
        <v>1.563555</v>
      </c>
      <c r="BK90" s="2">
        <f t="shared" si="92"/>
        <v>28.648887968750003</v>
      </c>
      <c r="BL90" s="2">
        <f t="shared" si="77"/>
        <v>13034</v>
      </c>
      <c r="BM90" s="2">
        <f t="shared" si="78"/>
        <v>13025.25</v>
      </c>
      <c r="BN90" s="2">
        <f t="shared" si="93"/>
        <v>26059.25</v>
      </c>
    </row>
    <row r="91" spans="1:66" x14ac:dyDescent="0.25">
      <c r="A91" s="42">
        <v>88</v>
      </c>
      <c r="B91" s="43">
        <v>42745</v>
      </c>
      <c r="C91" s="42" t="s">
        <v>50</v>
      </c>
      <c r="D91" s="42" t="s">
        <v>138</v>
      </c>
      <c r="E91" s="6">
        <f t="shared" si="79"/>
        <v>-30.112232500000001</v>
      </c>
      <c r="F91" s="5" t="str">
        <f t="shared" si="94"/>
        <v>Loss</v>
      </c>
      <c r="G91" s="4">
        <f t="shared" si="95"/>
        <v>-20</v>
      </c>
      <c r="H91" s="46">
        <v>40</v>
      </c>
      <c r="I91" s="42">
        <v>372.8</v>
      </c>
      <c r="N91" s="5">
        <f t="shared" si="96"/>
        <v>40</v>
      </c>
      <c r="O91" s="4">
        <f t="shared" si="97"/>
        <v>372.8</v>
      </c>
      <c r="P91" s="5">
        <f t="shared" si="52"/>
        <v>40</v>
      </c>
      <c r="Q91" s="42">
        <v>372.3</v>
      </c>
      <c r="R91" s="2">
        <f t="shared" si="51"/>
        <v>0</v>
      </c>
      <c r="T91" s="2">
        <f t="shared" si="80"/>
        <v>0</v>
      </c>
      <c r="V91" s="5">
        <f t="shared" si="98"/>
        <v>40</v>
      </c>
      <c r="W91" s="4">
        <f t="shared" si="99"/>
        <v>372.3</v>
      </c>
      <c r="X91" s="14">
        <f t="shared" si="53"/>
        <v>-0.5</v>
      </c>
      <c r="Y91" s="5">
        <f t="shared" si="54"/>
        <v>-20</v>
      </c>
      <c r="Z91" s="2">
        <f t="shared" si="55"/>
        <v>0</v>
      </c>
      <c r="AA91" s="4">
        <f t="shared" si="56"/>
        <v>0</v>
      </c>
      <c r="AB91" s="13">
        <f t="shared" si="57"/>
        <v>10.112232500000001</v>
      </c>
      <c r="AC91" s="10">
        <f>SUM($E$4:E91)</f>
        <v>-4368.4689356927138</v>
      </c>
      <c r="AD91" s="20">
        <f>SUM($AB$4:AB91)</f>
        <v>2246.2189356927079</v>
      </c>
      <c r="AF91" s="28">
        <f t="shared" si="58"/>
        <v>2.9803999999999999</v>
      </c>
      <c r="AG91" s="2">
        <f t="shared" si="59"/>
        <v>3.7230000000000003</v>
      </c>
      <c r="AH91" s="2">
        <f t="shared" si="60"/>
        <v>0.96862999999999988</v>
      </c>
      <c r="AI91" s="2">
        <f t="shared" si="81"/>
        <v>3.9490299999999996</v>
      </c>
      <c r="AJ91" s="2">
        <f t="shared" si="82"/>
        <v>0.5923544999999999</v>
      </c>
      <c r="AK91" s="2">
        <f t="shared" si="61"/>
        <v>5.9607999999999994E-2</v>
      </c>
      <c r="AL91" s="2">
        <f t="shared" si="62"/>
        <v>1.7882400000000001</v>
      </c>
      <c r="AM91" s="2">
        <f t="shared" si="83"/>
        <v>10.112232500000001</v>
      </c>
      <c r="AN91" s="2">
        <f t="shared" si="63"/>
        <v>40</v>
      </c>
      <c r="AO91" s="2">
        <f t="shared" si="64"/>
        <v>7.4460000000000006</v>
      </c>
      <c r="AP91" s="2">
        <f t="shared" si="65"/>
        <v>15.79612</v>
      </c>
      <c r="AQ91" s="2">
        <f t="shared" si="84"/>
        <v>55.796120000000002</v>
      </c>
      <c r="AR91" s="2">
        <f t="shared" si="85"/>
        <v>8.3694179999999996</v>
      </c>
      <c r="AS91" s="2">
        <f t="shared" si="66"/>
        <v>5.9607999999999994E-2</v>
      </c>
      <c r="AT91" s="2">
        <f t="shared" si="67"/>
        <v>1.7882400000000001</v>
      </c>
      <c r="AU91" s="2">
        <f t="shared" si="86"/>
        <v>73.459385999999995</v>
      </c>
      <c r="AV91" s="2">
        <f t="shared" si="68"/>
        <v>2.9803999999999999</v>
      </c>
      <c r="AW91" s="2">
        <f t="shared" si="69"/>
        <v>1.4892000000000001</v>
      </c>
      <c r="AX91" s="2">
        <f t="shared" si="70"/>
        <v>0.625884</v>
      </c>
      <c r="AY91" s="2">
        <f t="shared" si="87"/>
        <v>3.606284</v>
      </c>
      <c r="AZ91" s="2">
        <f t="shared" si="88"/>
        <v>0.54094259999999994</v>
      </c>
      <c r="BA91" s="2">
        <f t="shared" si="71"/>
        <v>5.9607999999999994E-2</v>
      </c>
      <c r="BB91" s="2">
        <f t="shared" si="72"/>
        <v>1.7882400000000001</v>
      </c>
      <c r="BC91" s="2">
        <f t="shared" si="89"/>
        <v>7.4842746</v>
      </c>
      <c r="BD91" s="2">
        <v>0</v>
      </c>
      <c r="BE91" s="2">
        <f t="shared" si="73"/>
        <v>29.804000000000002</v>
      </c>
      <c r="BF91" s="2">
        <f t="shared" si="74"/>
        <v>0.96862999999999988</v>
      </c>
      <c r="BG91" s="2">
        <f t="shared" si="90"/>
        <v>0.96862999999999988</v>
      </c>
      <c r="BH91" s="2">
        <f t="shared" si="91"/>
        <v>0.14529449999999997</v>
      </c>
      <c r="BI91" s="2">
        <f t="shared" si="75"/>
        <v>5.9607999999999994E-2</v>
      </c>
      <c r="BJ91" s="2">
        <f t="shared" si="76"/>
        <v>1.7882400000000001</v>
      </c>
      <c r="BK91" s="2">
        <f t="shared" si="92"/>
        <v>32.765772500000004</v>
      </c>
      <c r="BL91" s="2">
        <f t="shared" si="77"/>
        <v>14912</v>
      </c>
      <c r="BM91" s="2">
        <f t="shared" si="78"/>
        <v>14892</v>
      </c>
      <c r="BN91" s="2">
        <f t="shared" si="93"/>
        <v>29804</v>
      </c>
    </row>
    <row r="92" spans="1:66" x14ac:dyDescent="0.25">
      <c r="A92" s="42">
        <v>89</v>
      </c>
      <c r="B92" s="43">
        <v>42745</v>
      </c>
      <c r="C92" s="42" t="s">
        <v>122</v>
      </c>
      <c r="D92" s="42" t="s">
        <v>124</v>
      </c>
      <c r="E92" s="6">
        <f t="shared" si="79"/>
        <v>-222.08508750000007</v>
      </c>
      <c r="F92" s="5" t="str">
        <f t="shared" si="94"/>
        <v>Loss</v>
      </c>
      <c r="G92" s="4">
        <f t="shared" si="95"/>
        <v>-175.00000000000006</v>
      </c>
      <c r="H92" s="46">
        <v>3500</v>
      </c>
      <c r="I92" s="42">
        <v>0.2</v>
      </c>
      <c r="N92" s="5">
        <f t="shared" si="96"/>
        <v>3500</v>
      </c>
      <c r="O92" s="4">
        <f t="shared" si="97"/>
        <v>0.2</v>
      </c>
      <c r="P92" s="5">
        <f t="shared" si="52"/>
        <v>3500</v>
      </c>
      <c r="Q92" s="42">
        <v>0.15</v>
      </c>
      <c r="R92" s="2">
        <f t="shared" si="51"/>
        <v>0</v>
      </c>
      <c r="T92" s="2">
        <f t="shared" si="80"/>
        <v>0</v>
      </c>
      <c r="V92" s="5">
        <f t="shared" si="98"/>
        <v>3500</v>
      </c>
      <c r="W92" s="4">
        <f t="shared" si="99"/>
        <v>0.15</v>
      </c>
      <c r="X92" s="14">
        <f t="shared" si="53"/>
        <v>-5.0000000000000017E-2</v>
      </c>
      <c r="Y92" s="5">
        <f t="shared" si="54"/>
        <v>-175.00000000000006</v>
      </c>
      <c r="Z92" s="2">
        <f t="shared" si="55"/>
        <v>0</v>
      </c>
      <c r="AA92" s="4">
        <f t="shared" si="56"/>
        <v>0</v>
      </c>
      <c r="AB92" s="13">
        <f t="shared" si="57"/>
        <v>47.085087500000014</v>
      </c>
      <c r="AC92" s="10">
        <f>SUM($E$4:E92)</f>
        <v>-4590.5540231927134</v>
      </c>
      <c r="AD92" s="20">
        <f>SUM($AB$4:AB92)</f>
        <v>2293.304023192708</v>
      </c>
      <c r="AF92" s="28">
        <f t="shared" si="58"/>
        <v>0.12250000000000001</v>
      </c>
      <c r="AG92" s="2">
        <f t="shared" si="59"/>
        <v>0.13125000000000001</v>
      </c>
      <c r="AH92" s="2">
        <f t="shared" si="60"/>
        <v>3.9812499999999994E-2</v>
      </c>
      <c r="AI92" s="2">
        <f t="shared" si="81"/>
        <v>0.1623125</v>
      </c>
      <c r="AJ92" s="2">
        <f t="shared" si="82"/>
        <v>2.4346875E-2</v>
      </c>
      <c r="AK92" s="2">
        <f t="shared" si="61"/>
        <v>2.4499999999999999E-3</v>
      </c>
      <c r="AL92" s="2">
        <f t="shared" si="62"/>
        <v>7.3499999999999996E-2</v>
      </c>
      <c r="AM92" s="2">
        <f t="shared" si="83"/>
        <v>0.39385937500000001</v>
      </c>
      <c r="AN92" s="2">
        <f t="shared" si="63"/>
        <v>40</v>
      </c>
      <c r="AO92" s="2">
        <f t="shared" si="64"/>
        <v>0.26250000000000001</v>
      </c>
      <c r="AP92" s="2">
        <f t="shared" si="65"/>
        <v>0.64924999999999999</v>
      </c>
      <c r="AQ92" s="2">
        <f t="shared" si="84"/>
        <v>40.649250000000002</v>
      </c>
      <c r="AR92" s="2">
        <f t="shared" si="85"/>
        <v>6.0973875</v>
      </c>
      <c r="AS92" s="2">
        <f t="shared" si="66"/>
        <v>2.4499999999999999E-3</v>
      </c>
      <c r="AT92" s="2">
        <f t="shared" si="67"/>
        <v>7.3499999999999996E-2</v>
      </c>
      <c r="AU92" s="2">
        <f t="shared" si="86"/>
        <v>47.085087500000014</v>
      </c>
      <c r="AV92" s="2">
        <f t="shared" si="68"/>
        <v>0.12250000000000001</v>
      </c>
      <c r="AW92" s="2">
        <f t="shared" si="69"/>
        <v>5.2500000000000005E-2</v>
      </c>
      <c r="AX92" s="2">
        <f t="shared" si="70"/>
        <v>2.5724999999999998E-2</v>
      </c>
      <c r="AY92" s="2">
        <f t="shared" si="87"/>
        <v>0.148225</v>
      </c>
      <c r="AZ92" s="2">
        <f t="shared" si="88"/>
        <v>2.223375E-2</v>
      </c>
      <c r="BA92" s="2">
        <f t="shared" si="71"/>
        <v>2.4499999999999999E-3</v>
      </c>
      <c r="BB92" s="2">
        <f t="shared" si="72"/>
        <v>7.3499999999999996E-2</v>
      </c>
      <c r="BC92" s="2">
        <f t="shared" si="89"/>
        <v>0.29890875</v>
      </c>
      <c r="BD92" s="2">
        <v>0</v>
      </c>
      <c r="BE92" s="2">
        <f t="shared" si="73"/>
        <v>1.2250000000000001</v>
      </c>
      <c r="BF92" s="2">
        <f t="shared" si="74"/>
        <v>3.9812499999999994E-2</v>
      </c>
      <c r="BG92" s="2">
        <f t="shared" si="90"/>
        <v>3.9812499999999994E-2</v>
      </c>
      <c r="BH92" s="2">
        <f t="shared" si="91"/>
        <v>5.9718749999999989E-3</v>
      </c>
      <c r="BI92" s="2">
        <f t="shared" si="75"/>
        <v>2.4499999999999999E-3</v>
      </c>
      <c r="BJ92" s="2">
        <f t="shared" si="76"/>
        <v>7.3499999999999996E-2</v>
      </c>
      <c r="BK92" s="2">
        <f t="shared" si="92"/>
        <v>1.346734375</v>
      </c>
      <c r="BL92" s="2">
        <f t="shared" si="77"/>
        <v>700</v>
      </c>
      <c r="BM92" s="2">
        <f t="shared" si="78"/>
        <v>525</v>
      </c>
      <c r="BN92" s="2">
        <f t="shared" si="93"/>
        <v>1225</v>
      </c>
    </row>
    <row r="93" spans="1:66" x14ac:dyDescent="0.25">
      <c r="A93" s="42">
        <v>90</v>
      </c>
      <c r="B93" s="43">
        <v>42746</v>
      </c>
      <c r="C93" s="42" t="s">
        <v>122</v>
      </c>
      <c r="D93" s="42" t="s">
        <v>308</v>
      </c>
      <c r="E93" s="6">
        <f t="shared" si="79"/>
        <v>6747.562715</v>
      </c>
      <c r="F93" s="5" t="str">
        <f t="shared" si="94"/>
        <v>Win</v>
      </c>
      <c r="G93" s="4">
        <f t="shared" si="95"/>
        <v>6810</v>
      </c>
      <c r="H93" s="46">
        <v>600</v>
      </c>
      <c r="I93" s="42">
        <v>7.65</v>
      </c>
      <c r="N93" s="5">
        <f t="shared" si="96"/>
        <v>600</v>
      </c>
      <c r="O93" s="4">
        <f t="shared" si="97"/>
        <v>7.65</v>
      </c>
      <c r="P93" s="5">
        <f t="shared" si="52"/>
        <v>600</v>
      </c>
      <c r="Q93" s="42">
        <v>19</v>
      </c>
      <c r="R93" s="2">
        <f t="shared" si="51"/>
        <v>0</v>
      </c>
      <c r="T93" s="2">
        <f t="shared" si="80"/>
        <v>0</v>
      </c>
      <c r="V93" s="5">
        <f t="shared" si="98"/>
        <v>600</v>
      </c>
      <c r="W93" s="4">
        <f t="shared" si="99"/>
        <v>19</v>
      </c>
      <c r="X93" s="14">
        <f t="shared" si="53"/>
        <v>11.35</v>
      </c>
      <c r="Y93" s="5">
        <f t="shared" si="54"/>
        <v>6810</v>
      </c>
      <c r="Z93" s="2">
        <f t="shared" si="55"/>
        <v>0</v>
      </c>
      <c r="AA93" s="4">
        <f t="shared" si="56"/>
        <v>0</v>
      </c>
      <c r="AB93" s="13">
        <f t="shared" si="57"/>
        <v>62.437285000000003</v>
      </c>
      <c r="AC93" s="10">
        <f>SUM($E$4:E93)</f>
        <v>2157.0086918072866</v>
      </c>
      <c r="AD93" s="20">
        <f>SUM($AB$4:AB93)</f>
        <v>2355.7413081927079</v>
      </c>
      <c r="AF93" s="28">
        <f t="shared" si="58"/>
        <v>1.599</v>
      </c>
      <c r="AG93" s="2">
        <f t="shared" si="59"/>
        <v>2.85</v>
      </c>
      <c r="AH93" s="2">
        <f t="shared" si="60"/>
        <v>0.519675</v>
      </c>
      <c r="AI93" s="2">
        <f t="shared" si="81"/>
        <v>2.1186750000000001</v>
      </c>
      <c r="AJ93" s="2">
        <f t="shared" si="82"/>
        <v>0.31780124999999998</v>
      </c>
      <c r="AK93" s="2">
        <f t="shared" si="61"/>
        <v>3.1980000000000001E-2</v>
      </c>
      <c r="AL93" s="2">
        <f t="shared" si="62"/>
        <v>0.95940000000000003</v>
      </c>
      <c r="AM93" s="2">
        <f t="shared" si="83"/>
        <v>6.2778562499999992</v>
      </c>
      <c r="AN93" s="2">
        <f t="shared" si="63"/>
        <v>40</v>
      </c>
      <c r="AO93" s="2">
        <f t="shared" si="64"/>
        <v>5.7</v>
      </c>
      <c r="AP93" s="2">
        <f t="shared" si="65"/>
        <v>8.4747000000000003</v>
      </c>
      <c r="AQ93" s="2">
        <f t="shared" si="84"/>
        <v>48.474699999999999</v>
      </c>
      <c r="AR93" s="2">
        <f t="shared" si="85"/>
        <v>7.2712049999999993</v>
      </c>
      <c r="AS93" s="2">
        <f t="shared" si="66"/>
        <v>3.1980000000000001E-2</v>
      </c>
      <c r="AT93" s="2">
        <f t="shared" si="67"/>
        <v>0.95940000000000003</v>
      </c>
      <c r="AU93" s="2">
        <f t="shared" si="86"/>
        <v>62.437285000000003</v>
      </c>
      <c r="AV93" s="2">
        <f t="shared" si="68"/>
        <v>1.599</v>
      </c>
      <c r="AW93" s="2">
        <f t="shared" si="69"/>
        <v>1.1400000000000001</v>
      </c>
      <c r="AX93" s="2">
        <f t="shared" si="70"/>
        <v>0.33578999999999998</v>
      </c>
      <c r="AY93" s="2">
        <f t="shared" si="87"/>
        <v>1.93479</v>
      </c>
      <c r="AZ93" s="2">
        <f t="shared" si="88"/>
        <v>0.29021849999999999</v>
      </c>
      <c r="BA93" s="2">
        <f t="shared" si="71"/>
        <v>3.1980000000000001E-2</v>
      </c>
      <c r="BB93" s="2">
        <f t="shared" si="72"/>
        <v>0.95940000000000003</v>
      </c>
      <c r="BC93" s="2">
        <f t="shared" si="89"/>
        <v>4.3563884999999996</v>
      </c>
      <c r="BD93" s="2">
        <v>0</v>
      </c>
      <c r="BE93" s="2">
        <f t="shared" si="73"/>
        <v>15.99</v>
      </c>
      <c r="BF93" s="2">
        <f t="shared" si="74"/>
        <v>0.519675</v>
      </c>
      <c r="BG93" s="2">
        <f t="shared" si="90"/>
        <v>0.519675</v>
      </c>
      <c r="BH93" s="2">
        <f t="shared" si="91"/>
        <v>7.795125E-2</v>
      </c>
      <c r="BI93" s="2">
        <f t="shared" si="75"/>
        <v>3.1980000000000001E-2</v>
      </c>
      <c r="BJ93" s="2">
        <f t="shared" si="76"/>
        <v>0.95940000000000003</v>
      </c>
      <c r="BK93" s="2">
        <f t="shared" si="92"/>
        <v>17.579006250000003</v>
      </c>
      <c r="BL93" s="2">
        <f t="shared" si="77"/>
        <v>4590</v>
      </c>
      <c r="BM93" s="2">
        <f t="shared" si="78"/>
        <v>11400</v>
      </c>
      <c r="BN93" s="2">
        <f t="shared" si="93"/>
        <v>15990</v>
      </c>
    </row>
    <row r="94" spans="1:66" x14ac:dyDescent="0.25">
      <c r="A94" s="42">
        <v>91</v>
      </c>
      <c r="B94" s="43">
        <v>42747</v>
      </c>
      <c r="C94" s="42" t="s">
        <v>122</v>
      </c>
      <c r="D94" s="42" t="s">
        <v>146</v>
      </c>
      <c r="E94" s="6">
        <f t="shared" si="79"/>
        <v>-722.37476249999997</v>
      </c>
      <c r="F94" s="5" t="str">
        <f t="shared" si="94"/>
        <v>Loss</v>
      </c>
      <c r="G94" s="4">
        <f t="shared" si="95"/>
        <v>-675</v>
      </c>
      <c r="H94" s="46">
        <v>500</v>
      </c>
      <c r="I94" s="42">
        <v>2.35</v>
      </c>
      <c r="N94" s="5">
        <f t="shared" si="96"/>
        <v>500</v>
      </c>
      <c r="O94" s="4">
        <f t="shared" si="97"/>
        <v>2.35</v>
      </c>
      <c r="P94" s="5">
        <f t="shared" si="52"/>
        <v>500</v>
      </c>
      <c r="Q94" s="42">
        <v>1</v>
      </c>
      <c r="R94" s="2">
        <f t="shared" si="51"/>
        <v>0</v>
      </c>
      <c r="T94" s="2">
        <f t="shared" si="80"/>
        <v>0</v>
      </c>
      <c r="V94" s="5">
        <f t="shared" si="98"/>
        <v>500</v>
      </c>
      <c r="W94" s="4">
        <f t="shared" si="99"/>
        <v>1</v>
      </c>
      <c r="X94" s="14">
        <f t="shared" si="53"/>
        <v>-1.35</v>
      </c>
      <c r="Y94" s="5">
        <f t="shared" si="54"/>
        <v>-675</v>
      </c>
      <c r="Z94" s="2">
        <f t="shared" si="55"/>
        <v>0</v>
      </c>
      <c r="AA94" s="4">
        <f t="shared" si="56"/>
        <v>0</v>
      </c>
      <c r="AB94" s="13">
        <f t="shared" si="57"/>
        <v>47.374762499999989</v>
      </c>
      <c r="AC94" s="10">
        <f>SUM($E$4:E94)</f>
        <v>1434.6339293072865</v>
      </c>
      <c r="AD94" s="20">
        <f>SUM($AB$4:AB94)</f>
        <v>2403.116070692708</v>
      </c>
      <c r="AF94" s="28">
        <f t="shared" si="58"/>
        <v>0.16750000000000001</v>
      </c>
      <c r="AG94" s="2">
        <f t="shared" si="59"/>
        <v>0.125</v>
      </c>
      <c r="AH94" s="2">
        <f t="shared" si="60"/>
        <v>5.4437499999999993E-2</v>
      </c>
      <c r="AI94" s="2">
        <f t="shared" si="81"/>
        <v>0.22193750000000001</v>
      </c>
      <c r="AJ94" s="2">
        <f t="shared" si="82"/>
        <v>3.3290624999999997E-2</v>
      </c>
      <c r="AK94" s="2">
        <f t="shared" si="61"/>
        <v>3.3500000000000001E-3</v>
      </c>
      <c r="AL94" s="2">
        <f t="shared" si="62"/>
        <v>0.10050000000000001</v>
      </c>
      <c r="AM94" s="2">
        <f t="shared" si="83"/>
        <v>0.48407812500000003</v>
      </c>
      <c r="AN94" s="2">
        <f t="shared" si="63"/>
        <v>40</v>
      </c>
      <c r="AO94" s="2">
        <f t="shared" si="64"/>
        <v>0.25</v>
      </c>
      <c r="AP94" s="2">
        <f t="shared" si="65"/>
        <v>0.88774999999999993</v>
      </c>
      <c r="AQ94" s="2">
        <f t="shared" si="84"/>
        <v>40.887749999999997</v>
      </c>
      <c r="AR94" s="2">
        <f t="shared" si="85"/>
        <v>6.1331624999999992</v>
      </c>
      <c r="AS94" s="2">
        <f t="shared" si="66"/>
        <v>3.3500000000000001E-3</v>
      </c>
      <c r="AT94" s="2">
        <f t="shared" si="67"/>
        <v>0.10050000000000001</v>
      </c>
      <c r="AU94" s="2">
        <f t="shared" si="86"/>
        <v>47.374762499999989</v>
      </c>
      <c r="AV94" s="2">
        <f t="shared" si="68"/>
        <v>0.16750000000000001</v>
      </c>
      <c r="AW94" s="2">
        <f t="shared" si="69"/>
        <v>0.05</v>
      </c>
      <c r="AX94" s="2">
        <f t="shared" si="70"/>
        <v>3.5174999999999998E-2</v>
      </c>
      <c r="AY94" s="2">
        <f t="shared" si="87"/>
        <v>0.20267499999999999</v>
      </c>
      <c r="AZ94" s="2">
        <f t="shared" si="88"/>
        <v>3.0401249999999998E-2</v>
      </c>
      <c r="BA94" s="2">
        <f t="shared" si="71"/>
        <v>3.3500000000000001E-3</v>
      </c>
      <c r="BB94" s="2">
        <f t="shared" si="72"/>
        <v>0.10050000000000001</v>
      </c>
      <c r="BC94" s="2">
        <f t="shared" si="89"/>
        <v>0.38692625000000003</v>
      </c>
      <c r="BD94" s="2">
        <v>0</v>
      </c>
      <c r="BE94" s="2">
        <f t="shared" si="73"/>
        <v>1.675</v>
      </c>
      <c r="BF94" s="2">
        <f t="shared" si="74"/>
        <v>5.4437499999999993E-2</v>
      </c>
      <c r="BG94" s="2">
        <f t="shared" si="90"/>
        <v>5.4437499999999993E-2</v>
      </c>
      <c r="BH94" s="2">
        <f t="shared" si="91"/>
        <v>8.1656249999999993E-3</v>
      </c>
      <c r="BI94" s="2">
        <f t="shared" si="75"/>
        <v>3.3500000000000001E-3</v>
      </c>
      <c r="BJ94" s="2">
        <f t="shared" si="76"/>
        <v>0.10050000000000001</v>
      </c>
      <c r="BK94" s="2">
        <f t="shared" si="92"/>
        <v>1.8414531249999999</v>
      </c>
      <c r="BL94" s="2">
        <f t="shared" si="77"/>
        <v>1175</v>
      </c>
      <c r="BM94" s="2">
        <f t="shared" si="78"/>
        <v>500</v>
      </c>
      <c r="BN94" s="2">
        <f t="shared" si="93"/>
        <v>1675</v>
      </c>
    </row>
    <row r="95" spans="1:66" x14ac:dyDescent="0.25">
      <c r="A95" s="42">
        <v>92</v>
      </c>
      <c r="B95" s="43">
        <v>42747</v>
      </c>
      <c r="C95" s="42" t="s">
        <v>50</v>
      </c>
      <c r="D95" s="42" t="s">
        <v>147</v>
      </c>
      <c r="E95" s="6">
        <f t="shared" si="79"/>
        <v>373.20724999999999</v>
      </c>
      <c r="F95" s="5" t="str">
        <f t="shared" si="94"/>
        <v>Win</v>
      </c>
      <c r="G95" s="4">
        <f t="shared" si="95"/>
        <v>400</v>
      </c>
      <c r="H95" s="46">
        <v>200</v>
      </c>
      <c r="I95" s="42">
        <v>196</v>
      </c>
      <c r="N95" s="5">
        <f t="shared" si="96"/>
        <v>200</v>
      </c>
      <c r="O95" s="4">
        <f t="shared" si="97"/>
        <v>196</v>
      </c>
      <c r="P95" s="5">
        <f t="shared" si="52"/>
        <v>200</v>
      </c>
      <c r="Q95" s="42">
        <v>198</v>
      </c>
      <c r="R95" s="2">
        <f t="shared" si="51"/>
        <v>0</v>
      </c>
      <c r="T95" s="2">
        <f t="shared" si="80"/>
        <v>0</v>
      </c>
      <c r="V95" s="5">
        <f t="shared" si="98"/>
        <v>200</v>
      </c>
      <c r="W95" s="4">
        <f t="shared" si="99"/>
        <v>198</v>
      </c>
      <c r="X95" s="14">
        <f t="shared" si="53"/>
        <v>2</v>
      </c>
      <c r="Y95" s="5">
        <f t="shared" si="54"/>
        <v>400</v>
      </c>
      <c r="Z95" s="2">
        <f t="shared" si="55"/>
        <v>0</v>
      </c>
      <c r="AA95" s="4">
        <f t="shared" si="56"/>
        <v>0</v>
      </c>
      <c r="AB95" s="13">
        <f t="shared" si="57"/>
        <v>26.792749999999998</v>
      </c>
      <c r="AC95" s="10">
        <f>SUM($E$4:E95)</f>
        <v>1807.8411793072864</v>
      </c>
      <c r="AD95" s="20">
        <f>SUM($AB$4:AB95)</f>
        <v>2429.9088206927081</v>
      </c>
      <c r="AF95" s="28">
        <f t="shared" si="58"/>
        <v>7.8800000000000008</v>
      </c>
      <c r="AG95" s="2">
        <f t="shared" si="59"/>
        <v>9.9</v>
      </c>
      <c r="AH95" s="2">
        <f t="shared" si="60"/>
        <v>2.5609999999999999</v>
      </c>
      <c r="AI95" s="2">
        <f t="shared" si="81"/>
        <v>10.441000000000001</v>
      </c>
      <c r="AJ95" s="2">
        <f t="shared" si="82"/>
        <v>1.5661500000000002</v>
      </c>
      <c r="AK95" s="2">
        <f t="shared" si="61"/>
        <v>0.15759999999999999</v>
      </c>
      <c r="AL95" s="2">
        <f t="shared" si="62"/>
        <v>4.7279999999999998</v>
      </c>
      <c r="AM95" s="2">
        <f t="shared" si="83"/>
        <v>26.792749999999998</v>
      </c>
      <c r="AN95" s="2">
        <f t="shared" si="63"/>
        <v>40</v>
      </c>
      <c r="AO95" s="2">
        <f t="shared" si="64"/>
        <v>19.8</v>
      </c>
      <c r="AP95" s="2">
        <f t="shared" si="65"/>
        <v>41.763999999999996</v>
      </c>
      <c r="AQ95" s="2">
        <f t="shared" si="84"/>
        <v>81.763999999999996</v>
      </c>
      <c r="AR95" s="2">
        <f t="shared" si="85"/>
        <v>12.2646</v>
      </c>
      <c r="AS95" s="2">
        <f t="shared" si="66"/>
        <v>0.15759999999999999</v>
      </c>
      <c r="AT95" s="2">
        <f t="shared" si="67"/>
        <v>4.7279999999999998</v>
      </c>
      <c r="AU95" s="2">
        <f t="shared" si="86"/>
        <v>118.71419999999999</v>
      </c>
      <c r="AV95" s="2">
        <f t="shared" si="68"/>
        <v>7.8800000000000008</v>
      </c>
      <c r="AW95" s="2">
        <f t="shared" si="69"/>
        <v>3.96</v>
      </c>
      <c r="AX95" s="2">
        <f t="shared" si="70"/>
        <v>1.6547999999999998</v>
      </c>
      <c r="AY95" s="2">
        <f t="shared" si="87"/>
        <v>9.5348000000000006</v>
      </c>
      <c r="AZ95" s="2">
        <f t="shared" si="88"/>
        <v>1.43022</v>
      </c>
      <c r="BA95" s="2">
        <f t="shared" si="71"/>
        <v>0.15759999999999999</v>
      </c>
      <c r="BB95" s="2">
        <f t="shared" si="72"/>
        <v>4.7279999999999998</v>
      </c>
      <c r="BC95" s="2">
        <f t="shared" si="89"/>
        <v>19.81062</v>
      </c>
      <c r="BD95" s="2">
        <v>0</v>
      </c>
      <c r="BE95" s="2">
        <f t="shared" si="73"/>
        <v>78.8</v>
      </c>
      <c r="BF95" s="2">
        <f t="shared" si="74"/>
        <v>2.5609999999999999</v>
      </c>
      <c r="BG95" s="2">
        <f t="shared" si="90"/>
        <v>2.5609999999999999</v>
      </c>
      <c r="BH95" s="2">
        <f t="shared" si="91"/>
        <v>0.38414999999999999</v>
      </c>
      <c r="BI95" s="2">
        <f t="shared" si="75"/>
        <v>0.15759999999999999</v>
      </c>
      <c r="BJ95" s="2">
        <f t="shared" si="76"/>
        <v>4.7279999999999998</v>
      </c>
      <c r="BK95" s="2">
        <f t="shared" si="92"/>
        <v>86.630749999999992</v>
      </c>
      <c r="BL95" s="2">
        <f t="shared" si="77"/>
        <v>39200</v>
      </c>
      <c r="BM95" s="2">
        <f t="shared" si="78"/>
        <v>39600</v>
      </c>
      <c r="BN95" s="2">
        <f t="shared" si="93"/>
        <v>78800</v>
      </c>
    </row>
    <row r="96" spans="1:66" x14ac:dyDescent="0.25">
      <c r="A96" s="42">
        <v>93</v>
      </c>
      <c r="B96" s="43">
        <v>42747</v>
      </c>
      <c r="C96" s="42" t="s">
        <v>50</v>
      </c>
      <c r="D96" s="42" t="s">
        <v>147</v>
      </c>
      <c r="E96" s="6">
        <f t="shared" si="79"/>
        <v>-79.958165625000674</v>
      </c>
      <c r="F96" s="5" t="str">
        <f t="shared" si="94"/>
        <v>Loss</v>
      </c>
      <c r="G96" s="4">
        <f t="shared" si="95"/>
        <v>-53.000000000000682</v>
      </c>
      <c r="H96" s="46">
        <v>140</v>
      </c>
      <c r="I96" s="42">
        <v>198.75</v>
      </c>
      <c r="J96" s="42">
        <v>60</v>
      </c>
      <c r="K96" s="42">
        <v>198.8</v>
      </c>
      <c r="N96" s="5">
        <f t="shared" si="96"/>
        <v>200</v>
      </c>
      <c r="O96" s="4">
        <f t="shared" si="97"/>
        <v>198.77500000000001</v>
      </c>
      <c r="P96" s="5">
        <f t="shared" si="52"/>
        <v>140</v>
      </c>
      <c r="Q96" s="42">
        <v>198.5</v>
      </c>
      <c r="R96" s="2">
        <f t="shared" si="51"/>
        <v>60</v>
      </c>
      <c r="S96" s="42">
        <v>198.5</v>
      </c>
      <c r="T96" s="2">
        <f t="shared" si="80"/>
        <v>0</v>
      </c>
      <c r="V96" s="5">
        <f t="shared" si="98"/>
        <v>200</v>
      </c>
      <c r="W96" s="4">
        <f t="shared" si="99"/>
        <v>198.5</v>
      </c>
      <c r="X96" s="14">
        <f t="shared" si="53"/>
        <v>-0.25</v>
      </c>
      <c r="Y96" s="5">
        <f t="shared" si="54"/>
        <v>-35</v>
      </c>
      <c r="Z96" s="2">
        <f t="shared" si="55"/>
        <v>-18.000000000000682</v>
      </c>
      <c r="AA96" s="4">
        <f t="shared" si="56"/>
        <v>0</v>
      </c>
      <c r="AB96" s="13">
        <f t="shared" si="57"/>
        <v>26.958165624999999</v>
      </c>
      <c r="AC96" s="10">
        <f>SUM($E$4:E96)</f>
        <v>1727.8830136822858</v>
      </c>
      <c r="AD96" s="20">
        <f>SUM($AB$4:AB96)</f>
        <v>2456.8669863177083</v>
      </c>
      <c r="AF96" s="28">
        <f t="shared" si="58"/>
        <v>7.9455</v>
      </c>
      <c r="AG96" s="2">
        <f t="shared" si="59"/>
        <v>9.9250000000000007</v>
      </c>
      <c r="AH96" s="2">
        <f t="shared" si="60"/>
        <v>2.5822874999999996</v>
      </c>
      <c r="AI96" s="2">
        <f t="shared" si="81"/>
        <v>10.527787499999999</v>
      </c>
      <c r="AJ96" s="2">
        <f t="shared" si="82"/>
        <v>1.5791681249999998</v>
      </c>
      <c r="AK96" s="2">
        <f t="shared" si="61"/>
        <v>0.15891</v>
      </c>
      <c r="AL96" s="2">
        <f t="shared" si="62"/>
        <v>4.7673000000000005</v>
      </c>
      <c r="AM96" s="2">
        <f t="shared" si="83"/>
        <v>26.958165624999999</v>
      </c>
      <c r="AN96" s="2">
        <f t="shared" si="63"/>
        <v>80</v>
      </c>
      <c r="AO96" s="2">
        <f t="shared" si="64"/>
        <v>19.850000000000001</v>
      </c>
      <c r="AP96" s="2">
        <f t="shared" si="65"/>
        <v>42.111149999999995</v>
      </c>
      <c r="AQ96" s="2">
        <f t="shared" si="84"/>
        <v>122.11114999999999</v>
      </c>
      <c r="AR96" s="2">
        <f t="shared" si="85"/>
        <v>18.316672499999999</v>
      </c>
      <c r="AS96" s="2">
        <f t="shared" si="66"/>
        <v>0.15891</v>
      </c>
      <c r="AT96" s="2">
        <f t="shared" si="67"/>
        <v>4.7673000000000005</v>
      </c>
      <c r="AU96" s="2">
        <f t="shared" si="86"/>
        <v>165.20403249999998</v>
      </c>
      <c r="AV96" s="2">
        <f t="shared" si="68"/>
        <v>7.9455</v>
      </c>
      <c r="AW96" s="2">
        <f t="shared" si="69"/>
        <v>3.97</v>
      </c>
      <c r="AX96" s="2">
        <f t="shared" si="70"/>
        <v>1.668555</v>
      </c>
      <c r="AY96" s="2">
        <f t="shared" si="87"/>
        <v>9.6140550000000005</v>
      </c>
      <c r="AZ96" s="2">
        <f t="shared" si="88"/>
        <v>1.44210825</v>
      </c>
      <c r="BA96" s="2">
        <f t="shared" si="71"/>
        <v>0.15891</v>
      </c>
      <c r="BB96" s="2">
        <f t="shared" si="72"/>
        <v>4.7673000000000005</v>
      </c>
      <c r="BC96" s="2">
        <f t="shared" si="89"/>
        <v>19.952373250000001</v>
      </c>
      <c r="BD96" s="2">
        <v>0</v>
      </c>
      <c r="BE96" s="2">
        <f t="shared" si="73"/>
        <v>79.454999999999998</v>
      </c>
      <c r="BF96" s="2">
        <f t="shared" si="74"/>
        <v>2.5822874999999996</v>
      </c>
      <c r="BG96" s="2">
        <f t="shared" si="90"/>
        <v>2.5822874999999996</v>
      </c>
      <c r="BH96" s="2">
        <f t="shared" si="91"/>
        <v>0.38734312499999995</v>
      </c>
      <c r="BI96" s="2">
        <f t="shared" si="75"/>
        <v>0.15891</v>
      </c>
      <c r="BJ96" s="2">
        <f t="shared" si="76"/>
        <v>4.7673000000000005</v>
      </c>
      <c r="BK96" s="2">
        <f t="shared" si="92"/>
        <v>87.350840625000004</v>
      </c>
      <c r="BL96" s="2">
        <f t="shared" si="77"/>
        <v>39755</v>
      </c>
      <c r="BM96" s="2">
        <f t="shared" si="78"/>
        <v>39700</v>
      </c>
      <c r="BN96" s="2">
        <f t="shared" si="93"/>
        <v>79455</v>
      </c>
    </row>
    <row r="97" spans="1:66" x14ac:dyDescent="0.25">
      <c r="A97" s="42">
        <v>94</v>
      </c>
      <c r="B97" s="43">
        <v>42747</v>
      </c>
      <c r="C97" s="42" t="s">
        <v>50</v>
      </c>
      <c r="D97" s="42" t="s">
        <v>148</v>
      </c>
      <c r="E97" s="6">
        <f t="shared" si="79"/>
        <v>-420.34643749999856</v>
      </c>
      <c r="F97" s="5" t="str">
        <f t="shared" si="94"/>
        <v>Loss</v>
      </c>
      <c r="G97" s="4">
        <f t="shared" si="95"/>
        <v>-399.99999999999858</v>
      </c>
      <c r="H97" s="46">
        <v>1000</v>
      </c>
      <c r="I97" s="42">
        <v>30.25</v>
      </c>
      <c r="N97" s="5">
        <f t="shared" si="96"/>
        <v>1000</v>
      </c>
      <c r="O97" s="4">
        <f t="shared" si="97"/>
        <v>30.25</v>
      </c>
      <c r="P97" s="5">
        <f t="shared" si="52"/>
        <v>1000</v>
      </c>
      <c r="Q97" s="42">
        <v>29.85</v>
      </c>
      <c r="R97" s="2">
        <f t="shared" si="51"/>
        <v>0</v>
      </c>
      <c r="T97" s="2">
        <f t="shared" si="80"/>
        <v>0</v>
      </c>
      <c r="V97" s="5">
        <f t="shared" si="98"/>
        <v>1000</v>
      </c>
      <c r="W97" s="4">
        <f t="shared" si="99"/>
        <v>29.85</v>
      </c>
      <c r="X97" s="14">
        <f t="shared" si="53"/>
        <v>-0.39999999999999858</v>
      </c>
      <c r="Y97" s="5">
        <f t="shared" si="54"/>
        <v>-399.99999999999858</v>
      </c>
      <c r="Z97" s="2">
        <f t="shared" si="55"/>
        <v>0</v>
      </c>
      <c r="AA97" s="4">
        <f t="shared" si="56"/>
        <v>0</v>
      </c>
      <c r="AB97" s="13">
        <f t="shared" si="57"/>
        <v>20.3464375</v>
      </c>
      <c r="AC97" s="10">
        <f>SUM($E$4:E97)</f>
        <v>1307.5365761822873</v>
      </c>
      <c r="AD97" s="20">
        <f>SUM($AB$4:AB97)</f>
        <v>2477.2134238177082</v>
      </c>
      <c r="AF97" s="28">
        <f t="shared" si="58"/>
        <v>6.0100000000000007</v>
      </c>
      <c r="AG97" s="2">
        <f t="shared" si="59"/>
        <v>7.4625000000000004</v>
      </c>
      <c r="AH97" s="2">
        <f t="shared" si="60"/>
        <v>1.9532499999999999</v>
      </c>
      <c r="AI97" s="2">
        <f t="shared" si="81"/>
        <v>7.9632500000000004</v>
      </c>
      <c r="AJ97" s="2">
        <f t="shared" si="82"/>
        <v>1.1944874999999999</v>
      </c>
      <c r="AK97" s="2">
        <f t="shared" si="61"/>
        <v>0.1202</v>
      </c>
      <c r="AL97" s="2">
        <f t="shared" si="62"/>
        <v>3.6059999999999999</v>
      </c>
      <c r="AM97" s="2">
        <f t="shared" si="83"/>
        <v>20.3464375</v>
      </c>
      <c r="AN97" s="2">
        <f t="shared" si="63"/>
        <v>40</v>
      </c>
      <c r="AO97" s="2">
        <f t="shared" si="64"/>
        <v>14.925000000000001</v>
      </c>
      <c r="AP97" s="2">
        <f t="shared" si="65"/>
        <v>31.852999999999998</v>
      </c>
      <c r="AQ97" s="2">
        <f t="shared" si="84"/>
        <v>71.852999999999994</v>
      </c>
      <c r="AR97" s="2">
        <f t="shared" si="85"/>
        <v>10.777949999999999</v>
      </c>
      <c r="AS97" s="2">
        <f t="shared" si="66"/>
        <v>0.1202</v>
      </c>
      <c r="AT97" s="2">
        <f t="shared" si="67"/>
        <v>3.6059999999999999</v>
      </c>
      <c r="AU97" s="2">
        <f t="shared" si="86"/>
        <v>101.28214999999999</v>
      </c>
      <c r="AV97" s="2">
        <f t="shared" si="68"/>
        <v>6.0100000000000007</v>
      </c>
      <c r="AW97" s="2">
        <f t="shared" si="69"/>
        <v>2.9850000000000003</v>
      </c>
      <c r="AX97" s="2">
        <f t="shared" si="70"/>
        <v>1.2621</v>
      </c>
      <c r="AY97" s="2">
        <f t="shared" si="87"/>
        <v>7.2721000000000009</v>
      </c>
      <c r="AZ97" s="2">
        <f t="shared" si="88"/>
        <v>1.0908150000000001</v>
      </c>
      <c r="BA97" s="2">
        <f t="shared" si="71"/>
        <v>0.1202</v>
      </c>
      <c r="BB97" s="2">
        <f t="shared" si="72"/>
        <v>3.6059999999999999</v>
      </c>
      <c r="BC97" s="2">
        <f t="shared" si="89"/>
        <v>15.074115000000001</v>
      </c>
      <c r="BD97" s="2">
        <v>0</v>
      </c>
      <c r="BE97" s="2">
        <f t="shared" si="73"/>
        <v>60.1</v>
      </c>
      <c r="BF97" s="2">
        <f t="shared" si="74"/>
        <v>1.9532499999999999</v>
      </c>
      <c r="BG97" s="2">
        <f t="shared" si="90"/>
        <v>1.9532499999999999</v>
      </c>
      <c r="BH97" s="2">
        <f t="shared" si="91"/>
        <v>0.29298749999999996</v>
      </c>
      <c r="BI97" s="2">
        <f t="shared" si="75"/>
        <v>0.1202</v>
      </c>
      <c r="BJ97" s="2">
        <f t="shared" si="76"/>
        <v>3.6059999999999999</v>
      </c>
      <c r="BK97" s="2">
        <f t="shared" si="92"/>
        <v>66.072437499999992</v>
      </c>
      <c r="BL97" s="2">
        <f t="shared" si="77"/>
        <v>30250</v>
      </c>
      <c r="BM97" s="2">
        <f t="shared" si="78"/>
        <v>29850</v>
      </c>
      <c r="BN97" s="2">
        <f t="shared" si="93"/>
        <v>60100</v>
      </c>
    </row>
    <row r="98" spans="1:66" x14ac:dyDescent="0.25">
      <c r="A98" s="42">
        <v>95</v>
      </c>
      <c r="B98" s="43">
        <v>42747</v>
      </c>
      <c r="C98" s="42" t="s">
        <v>50</v>
      </c>
      <c r="D98" s="42" t="s">
        <v>148</v>
      </c>
      <c r="E98" s="6">
        <f t="shared" si="79"/>
        <v>-20.3285625</v>
      </c>
      <c r="F98" s="5" t="str">
        <f t="shared" si="94"/>
        <v>Break Even</v>
      </c>
      <c r="G98" s="4">
        <f t="shared" si="95"/>
        <v>0</v>
      </c>
      <c r="H98" s="46">
        <v>1000</v>
      </c>
      <c r="I98" s="42">
        <v>29.95</v>
      </c>
      <c r="N98" s="5">
        <f t="shared" si="96"/>
        <v>1000</v>
      </c>
      <c r="O98" s="4">
        <f t="shared" si="97"/>
        <v>29.95</v>
      </c>
      <c r="P98" s="5">
        <f t="shared" si="52"/>
        <v>1000</v>
      </c>
      <c r="Q98" s="42">
        <v>29.95</v>
      </c>
      <c r="R98" s="2">
        <f t="shared" si="51"/>
        <v>0</v>
      </c>
      <c r="T98" s="2">
        <f t="shared" si="80"/>
        <v>0</v>
      </c>
      <c r="V98" s="5">
        <f t="shared" si="98"/>
        <v>1000</v>
      </c>
      <c r="W98" s="4">
        <f t="shared" si="99"/>
        <v>29.95</v>
      </c>
      <c r="X98" s="14">
        <f t="shared" si="53"/>
        <v>0</v>
      </c>
      <c r="Y98" s="5">
        <f t="shared" si="54"/>
        <v>0</v>
      </c>
      <c r="Z98" s="2">
        <f t="shared" si="55"/>
        <v>0</v>
      </c>
      <c r="AA98" s="4">
        <f t="shared" si="56"/>
        <v>0</v>
      </c>
      <c r="AB98" s="13">
        <f t="shared" si="57"/>
        <v>20.3285625</v>
      </c>
      <c r="AC98" s="10">
        <f>SUM($E$4:E98)</f>
        <v>1287.2080136822872</v>
      </c>
      <c r="AD98" s="20">
        <f>SUM($AB$4:AB98)</f>
        <v>2497.5419863177081</v>
      </c>
      <c r="AF98" s="28">
        <f t="shared" si="58"/>
        <v>5.99</v>
      </c>
      <c r="AG98" s="2">
        <f t="shared" si="59"/>
        <v>7.4874999999999998</v>
      </c>
      <c r="AH98" s="2">
        <f t="shared" si="60"/>
        <v>1.9467499999999998</v>
      </c>
      <c r="AI98" s="2">
        <f t="shared" si="81"/>
        <v>7.93675</v>
      </c>
      <c r="AJ98" s="2">
        <f t="shared" si="82"/>
        <v>1.1905124999999999</v>
      </c>
      <c r="AK98" s="2">
        <f t="shared" si="61"/>
        <v>0.11979999999999999</v>
      </c>
      <c r="AL98" s="2">
        <f t="shared" si="62"/>
        <v>3.5940000000000003</v>
      </c>
      <c r="AM98" s="2">
        <f t="shared" si="83"/>
        <v>20.3285625</v>
      </c>
      <c r="AN98" s="2">
        <f t="shared" si="63"/>
        <v>40</v>
      </c>
      <c r="AO98" s="2">
        <f t="shared" si="64"/>
        <v>14.975</v>
      </c>
      <c r="AP98" s="2">
        <f t="shared" si="65"/>
        <v>31.747</v>
      </c>
      <c r="AQ98" s="2">
        <f t="shared" si="84"/>
        <v>71.747</v>
      </c>
      <c r="AR98" s="2">
        <f t="shared" si="85"/>
        <v>10.76205</v>
      </c>
      <c r="AS98" s="2">
        <f t="shared" si="66"/>
        <v>0.11979999999999999</v>
      </c>
      <c r="AT98" s="2">
        <f t="shared" si="67"/>
        <v>3.5940000000000003</v>
      </c>
      <c r="AU98" s="2">
        <f t="shared" si="86"/>
        <v>101.19785</v>
      </c>
      <c r="AV98" s="2">
        <f t="shared" si="68"/>
        <v>5.99</v>
      </c>
      <c r="AW98" s="2">
        <f t="shared" si="69"/>
        <v>2.9950000000000001</v>
      </c>
      <c r="AX98" s="2">
        <f t="shared" si="70"/>
        <v>1.2579</v>
      </c>
      <c r="AY98" s="2">
        <f t="shared" si="87"/>
        <v>7.2479000000000005</v>
      </c>
      <c r="AZ98" s="2">
        <f t="shared" si="88"/>
        <v>1.0871850000000001</v>
      </c>
      <c r="BA98" s="2">
        <f t="shared" si="71"/>
        <v>0.11979999999999999</v>
      </c>
      <c r="BB98" s="2">
        <f t="shared" si="72"/>
        <v>3.5940000000000003</v>
      </c>
      <c r="BC98" s="2">
        <f t="shared" si="89"/>
        <v>15.043885</v>
      </c>
      <c r="BD98" s="2">
        <v>0</v>
      </c>
      <c r="BE98" s="2">
        <f t="shared" si="73"/>
        <v>59.9</v>
      </c>
      <c r="BF98" s="2">
        <f t="shared" si="74"/>
        <v>1.9467499999999998</v>
      </c>
      <c r="BG98" s="2">
        <f t="shared" si="90"/>
        <v>1.9467499999999998</v>
      </c>
      <c r="BH98" s="2">
        <f t="shared" si="91"/>
        <v>0.29201249999999995</v>
      </c>
      <c r="BI98" s="2">
        <f t="shared" si="75"/>
        <v>0.11979999999999999</v>
      </c>
      <c r="BJ98" s="2">
        <f t="shared" si="76"/>
        <v>3.5940000000000003</v>
      </c>
      <c r="BK98" s="2">
        <f t="shared" si="92"/>
        <v>65.852562499999991</v>
      </c>
      <c r="BL98" s="2">
        <f t="shared" si="77"/>
        <v>29950</v>
      </c>
      <c r="BM98" s="2">
        <f t="shared" si="78"/>
        <v>29950</v>
      </c>
      <c r="BN98" s="2">
        <f t="shared" si="93"/>
        <v>59900</v>
      </c>
    </row>
    <row r="99" spans="1:66" x14ac:dyDescent="0.25">
      <c r="A99" s="42">
        <v>96</v>
      </c>
      <c r="B99" s="43">
        <v>42752</v>
      </c>
      <c r="C99" s="42" t="s">
        <v>149</v>
      </c>
      <c r="D99" s="42" t="s">
        <v>150</v>
      </c>
      <c r="E99" s="6">
        <f t="shared" si="79"/>
        <v>-731.24842000000001</v>
      </c>
      <c r="F99" s="5" t="str">
        <f t="shared" si="94"/>
        <v>Loss</v>
      </c>
      <c r="G99" s="4">
        <f t="shared" si="95"/>
        <v>-680</v>
      </c>
      <c r="H99" s="46">
        <v>40</v>
      </c>
      <c r="I99" s="42">
        <v>82</v>
      </c>
      <c r="N99" s="5">
        <f t="shared" si="96"/>
        <v>40</v>
      </c>
      <c r="O99" s="4">
        <f t="shared" si="97"/>
        <v>82</v>
      </c>
      <c r="P99" s="5">
        <f t="shared" si="52"/>
        <v>40</v>
      </c>
      <c r="Q99" s="42">
        <v>65</v>
      </c>
      <c r="R99" s="2">
        <f t="shared" si="51"/>
        <v>0</v>
      </c>
      <c r="T99" s="2">
        <f t="shared" si="80"/>
        <v>0</v>
      </c>
      <c r="V99" s="5">
        <f t="shared" si="98"/>
        <v>40</v>
      </c>
      <c r="W99" s="4">
        <f t="shared" si="99"/>
        <v>65</v>
      </c>
      <c r="X99" s="14">
        <f t="shared" si="53"/>
        <v>-17</v>
      </c>
      <c r="Y99" s="5">
        <f t="shared" si="54"/>
        <v>-680</v>
      </c>
      <c r="Z99" s="2">
        <f t="shared" si="55"/>
        <v>0</v>
      </c>
      <c r="AA99" s="4">
        <f t="shared" si="56"/>
        <v>0</v>
      </c>
      <c r="AB99" s="13">
        <f t="shared" si="57"/>
        <v>51.248420000000003</v>
      </c>
      <c r="AC99" s="10">
        <f>SUM($E$4:E99)</f>
        <v>555.95959368228716</v>
      </c>
      <c r="AD99" s="20">
        <f>SUM($AB$4:AB99)</f>
        <v>2548.7904063177079</v>
      </c>
      <c r="AF99" s="28">
        <f t="shared" si="58"/>
        <v>0.58800000000000008</v>
      </c>
      <c r="AG99" s="2">
        <f t="shared" si="59"/>
        <v>0.65</v>
      </c>
      <c r="AH99" s="2">
        <f t="shared" si="60"/>
        <v>0.19109999999999999</v>
      </c>
      <c r="AI99" s="2">
        <f t="shared" si="81"/>
        <v>0.77910000000000013</v>
      </c>
      <c r="AJ99" s="2">
        <f t="shared" si="82"/>
        <v>0.11686500000000001</v>
      </c>
      <c r="AK99" s="2">
        <f t="shared" si="61"/>
        <v>1.176E-2</v>
      </c>
      <c r="AL99" s="2">
        <f t="shared" si="62"/>
        <v>0.3528</v>
      </c>
      <c r="AM99" s="2">
        <f t="shared" si="83"/>
        <v>1.910525</v>
      </c>
      <c r="AN99" s="2">
        <f t="shared" si="63"/>
        <v>40</v>
      </c>
      <c r="AO99" s="2">
        <f t="shared" si="64"/>
        <v>1.3</v>
      </c>
      <c r="AP99" s="2">
        <f t="shared" si="65"/>
        <v>3.1164000000000001</v>
      </c>
      <c r="AQ99" s="2">
        <f t="shared" si="84"/>
        <v>43.116399999999999</v>
      </c>
      <c r="AR99" s="2">
        <f t="shared" si="85"/>
        <v>6.46746</v>
      </c>
      <c r="AS99" s="2">
        <f t="shared" si="66"/>
        <v>1.176E-2</v>
      </c>
      <c r="AT99" s="2">
        <f t="shared" si="67"/>
        <v>0.3528</v>
      </c>
      <c r="AU99" s="2">
        <f t="shared" si="86"/>
        <v>51.248420000000003</v>
      </c>
      <c r="AV99" s="2">
        <f t="shared" si="68"/>
        <v>0.58800000000000008</v>
      </c>
      <c r="AW99" s="2">
        <f t="shared" si="69"/>
        <v>0.26</v>
      </c>
      <c r="AX99" s="2">
        <f t="shared" si="70"/>
        <v>0.12347999999999999</v>
      </c>
      <c r="AY99" s="2">
        <f t="shared" si="87"/>
        <v>0.71148000000000011</v>
      </c>
      <c r="AZ99" s="2">
        <f t="shared" si="88"/>
        <v>0.10672200000000001</v>
      </c>
      <c r="BA99" s="2">
        <f t="shared" si="71"/>
        <v>1.176E-2</v>
      </c>
      <c r="BB99" s="2">
        <f t="shared" si="72"/>
        <v>0.3528</v>
      </c>
      <c r="BC99" s="2">
        <f t="shared" si="89"/>
        <v>1.4427620000000001</v>
      </c>
      <c r="BD99" s="2">
        <v>0</v>
      </c>
      <c r="BE99" s="2">
        <f t="shared" si="73"/>
        <v>5.88</v>
      </c>
      <c r="BF99" s="2">
        <f t="shared" si="74"/>
        <v>0.19109999999999999</v>
      </c>
      <c r="BG99" s="2">
        <f t="shared" si="90"/>
        <v>0.19109999999999999</v>
      </c>
      <c r="BH99" s="2">
        <f t="shared" si="91"/>
        <v>2.8664999999999996E-2</v>
      </c>
      <c r="BI99" s="2">
        <f t="shared" si="75"/>
        <v>1.176E-2</v>
      </c>
      <c r="BJ99" s="2">
        <f t="shared" si="76"/>
        <v>0.3528</v>
      </c>
      <c r="BK99" s="2">
        <f t="shared" si="92"/>
        <v>6.4643249999999997</v>
      </c>
      <c r="BL99" s="2">
        <f t="shared" si="77"/>
        <v>3280</v>
      </c>
      <c r="BM99" s="2">
        <f t="shared" si="78"/>
        <v>2600</v>
      </c>
      <c r="BN99" s="2">
        <f t="shared" si="93"/>
        <v>5880</v>
      </c>
    </row>
    <row r="100" spans="1:66" x14ac:dyDescent="0.25">
      <c r="A100" s="42">
        <v>97</v>
      </c>
      <c r="B100" s="43">
        <v>42753</v>
      </c>
      <c r="C100" s="42" t="s">
        <v>149</v>
      </c>
      <c r="D100" s="42" t="s">
        <v>150</v>
      </c>
      <c r="E100" s="6">
        <f t="shared" si="79"/>
        <v>547.7681</v>
      </c>
      <c r="F100" s="5" t="str">
        <f t="shared" si="94"/>
        <v>Win</v>
      </c>
      <c r="G100" s="4">
        <f t="shared" si="95"/>
        <v>600</v>
      </c>
      <c r="H100" s="46">
        <v>40</v>
      </c>
      <c r="I100" s="42">
        <v>75</v>
      </c>
      <c r="N100" s="5">
        <f t="shared" si="96"/>
        <v>40</v>
      </c>
      <c r="O100" s="4">
        <f t="shared" si="97"/>
        <v>75</v>
      </c>
      <c r="P100" s="5">
        <f t="shared" si="52"/>
        <v>40</v>
      </c>
      <c r="Q100" s="42">
        <v>90</v>
      </c>
      <c r="R100" s="2">
        <f t="shared" si="51"/>
        <v>0</v>
      </c>
      <c r="T100" s="2">
        <f t="shared" si="80"/>
        <v>0</v>
      </c>
      <c r="V100" s="5">
        <f t="shared" si="98"/>
        <v>40</v>
      </c>
      <c r="W100" s="4">
        <f t="shared" si="99"/>
        <v>90</v>
      </c>
      <c r="X100" s="14">
        <f t="shared" si="53"/>
        <v>15</v>
      </c>
      <c r="Y100" s="5">
        <f t="shared" si="54"/>
        <v>600</v>
      </c>
      <c r="Z100" s="2">
        <f t="shared" si="55"/>
        <v>0</v>
      </c>
      <c r="AA100" s="4">
        <f t="shared" si="56"/>
        <v>0</v>
      </c>
      <c r="AB100" s="13">
        <f t="shared" si="57"/>
        <v>52.231899999999996</v>
      </c>
      <c r="AC100" s="10">
        <f>SUM($E$4:E100)</f>
        <v>1103.7276936822873</v>
      </c>
      <c r="AD100" s="20">
        <f>SUM($AB$4:AB100)</f>
        <v>2601.0223063177082</v>
      </c>
      <c r="AF100" s="28">
        <f t="shared" si="58"/>
        <v>0.66</v>
      </c>
      <c r="AG100" s="2">
        <f t="shared" si="59"/>
        <v>0.9</v>
      </c>
      <c r="AH100" s="2">
        <f t="shared" si="60"/>
        <v>0.21449999999999997</v>
      </c>
      <c r="AI100" s="2">
        <f t="shared" si="81"/>
        <v>0.87450000000000006</v>
      </c>
      <c r="AJ100" s="2">
        <f t="shared" si="82"/>
        <v>0.13117500000000001</v>
      </c>
      <c r="AK100" s="2">
        <f t="shared" si="61"/>
        <v>1.32E-2</v>
      </c>
      <c r="AL100" s="2">
        <f t="shared" si="62"/>
        <v>0.39600000000000002</v>
      </c>
      <c r="AM100" s="2">
        <f t="shared" si="83"/>
        <v>2.3148750000000002</v>
      </c>
      <c r="AN100" s="2">
        <f t="shared" si="63"/>
        <v>40</v>
      </c>
      <c r="AO100" s="2">
        <f t="shared" si="64"/>
        <v>1.8</v>
      </c>
      <c r="AP100" s="2">
        <f t="shared" si="65"/>
        <v>3.4979999999999998</v>
      </c>
      <c r="AQ100" s="2">
        <f t="shared" si="84"/>
        <v>43.497999999999998</v>
      </c>
      <c r="AR100" s="2">
        <f t="shared" si="85"/>
        <v>6.5246999999999993</v>
      </c>
      <c r="AS100" s="2">
        <f t="shared" si="66"/>
        <v>1.32E-2</v>
      </c>
      <c r="AT100" s="2">
        <f t="shared" si="67"/>
        <v>0.39600000000000002</v>
      </c>
      <c r="AU100" s="2">
        <f t="shared" si="86"/>
        <v>52.231899999999996</v>
      </c>
      <c r="AV100" s="2">
        <f t="shared" si="68"/>
        <v>0.66</v>
      </c>
      <c r="AW100" s="2">
        <f t="shared" si="69"/>
        <v>0.36</v>
      </c>
      <c r="AX100" s="2">
        <f t="shared" si="70"/>
        <v>0.1386</v>
      </c>
      <c r="AY100" s="2">
        <f t="shared" si="87"/>
        <v>0.79859999999999998</v>
      </c>
      <c r="AZ100" s="2">
        <f t="shared" si="88"/>
        <v>0.11978999999999999</v>
      </c>
      <c r="BA100" s="2">
        <f t="shared" si="71"/>
        <v>1.32E-2</v>
      </c>
      <c r="BB100" s="2">
        <f t="shared" si="72"/>
        <v>0.39600000000000002</v>
      </c>
      <c r="BC100" s="2">
        <f t="shared" si="89"/>
        <v>1.6875900000000001</v>
      </c>
      <c r="BD100" s="2">
        <v>0</v>
      </c>
      <c r="BE100" s="2">
        <f t="shared" si="73"/>
        <v>6.6000000000000005</v>
      </c>
      <c r="BF100" s="2">
        <f t="shared" si="74"/>
        <v>0.21449999999999997</v>
      </c>
      <c r="BG100" s="2">
        <f t="shared" si="90"/>
        <v>0.21449999999999997</v>
      </c>
      <c r="BH100" s="2">
        <f t="shared" si="91"/>
        <v>3.2174999999999995E-2</v>
      </c>
      <c r="BI100" s="2">
        <f t="shared" si="75"/>
        <v>1.32E-2</v>
      </c>
      <c r="BJ100" s="2">
        <f t="shared" si="76"/>
        <v>0.39600000000000002</v>
      </c>
      <c r="BK100" s="2">
        <f t="shared" si="92"/>
        <v>7.2558750000000005</v>
      </c>
      <c r="BL100" s="2">
        <f t="shared" si="77"/>
        <v>3000</v>
      </c>
      <c r="BM100" s="2">
        <f t="shared" si="78"/>
        <v>3600</v>
      </c>
      <c r="BN100" s="2">
        <f t="shared" si="93"/>
        <v>6600</v>
      </c>
    </row>
    <row r="101" spans="1:66" x14ac:dyDescent="0.25">
      <c r="A101" s="42">
        <v>98</v>
      </c>
      <c r="B101" s="43">
        <v>42753</v>
      </c>
      <c r="C101" s="42" t="s">
        <v>50</v>
      </c>
      <c r="D101" s="42" t="s">
        <v>151</v>
      </c>
      <c r="E101" s="6">
        <f t="shared" si="79"/>
        <v>-39.038515625000002</v>
      </c>
      <c r="F101" s="5" t="str">
        <f t="shared" si="94"/>
        <v>Loss</v>
      </c>
      <c r="G101" s="4">
        <f t="shared" si="95"/>
        <v>-25</v>
      </c>
      <c r="H101" s="46">
        <v>50</v>
      </c>
      <c r="I101" s="42">
        <v>414</v>
      </c>
      <c r="N101" s="5">
        <f t="shared" si="96"/>
        <v>50</v>
      </c>
      <c r="O101" s="4">
        <f t="shared" si="97"/>
        <v>414</v>
      </c>
      <c r="P101" s="5">
        <f t="shared" si="52"/>
        <v>50</v>
      </c>
      <c r="Q101" s="42">
        <v>413.5</v>
      </c>
      <c r="R101" s="2">
        <f t="shared" si="51"/>
        <v>0</v>
      </c>
      <c r="T101" s="2">
        <f t="shared" si="80"/>
        <v>0</v>
      </c>
      <c r="V101" s="5">
        <f t="shared" si="98"/>
        <v>50</v>
      </c>
      <c r="W101" s="4">
        <f t="shared" si="99"/>
        <v>413.5</v>
      </c>
      <c r="X101" s="14">
        <f t="shared" si="53"/>
        <v>-0.5</v>
      </c>
      <c r="Y101" s="5">
        <f t="shared" si="54"/>
        <v>-25</v>
      </c>
      <c r="Z101" s="2">
        <f t="shared" si="55"/>
        <v>0</v>
      </c>
      <c r="AA101" s="4">
        <f t="shared" si="56"/>
        <v>0</v>
      </c>
      <c r="AB101" s="13">
        <f t="shared" si="57"/>
        <v>14.038515625</v>
      </c>
      <c r="AC101" s="10">
        <f>SUM($E$4:E101)</f>
        <v>1064.6891780572873</v>
      </c>
      <c r="AD101" s="20">
        <f>SUM($AB$4:AB101)</f>
        <v>2615.0608219427081</v>
      </c>
      <c r="AF101" s="28">
        <f t="shared" si="58"/>
        <v>4.1375000000000002</v>
      </c>
      <c r="AG101" s="2">
        <f t="shared" si="59"/>
        <v>5.1687500000000002</v>
      </c>
      <c r="AH101" s="2">
        <f t="shared" si="60"/>
        <v>1.3446874999999998</v>
      </c>
      <c r="AI101" s="2">
        <f t="shared" si="81"/>
        <v>5.4821875000000002</v>
      </c>
      <c r="AJ101" s="2">
        <f t="shared" si="82"/>
        <v>0.82232812499999997</v>
      </c>
      <c r="AK101" s="2">
        <f t="shared" si="61"/>
        <v>8.274999999999999E-2</v>
      </c>
      <c r="AL101" s="2">
        <f t="shared" si="62"/>
        <v>2.4824999999999999</v>
      </c>
      <c r="AM101" s="2">
        <f t="shared" si="83"/>
        <v>14.038515625</v>
      </c>
      <c r="AN101" s="2">
        <f t="shared" si="63"/>
        <v>40</v>
      </c>
      <c r="AO101" s="2">
        <f t="shared" si="64"/>
        <v>10.3375</v>
      </c>
      <c r="AP101" s="2">
        <f t="shared" si="65"/>
        <v>21.928750000000001</v>
      </c>
      <c r="AQ101" s="2">
        <f t="shared" si="84"/>
        <v>61.928750000000001</v>
      </c>
      <c r="AR101" s="2">
        <f t="shared" si="85"/>
        <v>9.2893124999999994</v>
      </c>
      <c r="AS101" s="2">
        <f t="shared" si="66"/>
        <v>8.274999999999999E-2</v>
      </c>
      <c r="AT101" s="2">
        <f t="shared" si="67"/>
        <v>2.4824999999999999</v>
      </c>
      <c r="AU101" s="2">
        <f t="shared" si="86"/>
        <v>84.1208125</v>
      </c>
      <c r="AV101" s="2">
        <f t="shared" si="68"/>
        <v>4.1375000000000002</v>
      </c>
      <c r="AW101" s="2">
        <f t="shared" si="69"/>
        <v>2.0674999999999999</v>
      </c>
      <c r="AX101" s="2">
        <f t="shared" si="70"/>
        <v>0.86887499999999995</v>
      </c>
      <c r="AY101" s="2">
        <f t="shared" si="87"/>
        <v>5.0063750000000002</v>
      </c>
      <c r="AZ101" s="2">
        <f t="shared" si="88"/>
        <v>0.75095624999999999</v>
      </c>
      <c r="BA101" s="2">
        <f t="shared" si="71"/>
        <v>8.274999999999999E-2</v>
      </c>
      <c r="BB101" s="2">
        <f t="shared" si="72"/>
        <v>2.4824999999999999</v>
      </c>
      <c r="BC101" s="2">
        <f t="shared" si="89"/>
        <v>10.39008125</v>
      </c>
      <c r="BD101" s="2">
        <v>0</v>
      </c>
      <c r="BE101" s="2">
        <f t="shared" si="73"/>
        <v>41.375</v>
      </c>
      <c r="BF101" s="2">
        <f t="shared" si="74"/>
        <v>1.3446874999999998</v>
      </c>
      <c r="BG101" s="2">
        <f t="shared" si="90"/>
        <v>1.3446874999999998</v>
      </c>
      <c r="BH101" s="2">
        <f t="shared" si="91"/>
        <v>0.20170312499999996</v>
      </c>
      <c r="BI101" s="2">
        <f t="shared" si="75"/>
        <v>8.274999999999999E-2</v>
      </c>
      <c r="BJ101" s="2">
        <f t="shared" si="76"/>
        <v>2.4824999999999999</v>
      </c>
      <c r="BK101" s="2">
        <f t="shared" si="92"/>
        <v>45.486640625</v>
      </c>
      <c r="BL101" s="2">
        <f t="shared" si="77"/>
        <v>20700</v>
      </c>
      <c r="BM101" s="2">
        <f t="shared" si="78"/>
        <v>20675</v>
      </c>
      <c r="BN101" s="2">
        <f t="shared" si="93"/>
        <v>41375</v>
      </c>
    </row>
    <row r="102" spans="1:66" x14ac:dyDescent="0.25">
      <c r="A102" s="42">
        <v>99</v>
      </c>
      <c r="B102" s="43">
        <v>42754</v>
      </c>
      <c r="C102" s="42" t="s">
        <v>149</v>
      </c>
      <c r="D102" s="42" t="s">
        <v>150</v>
      </c>
      <c r="E102" s="6">
        <f t="shared" si="79"/>
        <v>-764.48582299999998</v>
      </c>
      <c r="F102" s="5" t="str">
        <f t="shared" si="94"/>
        <v>Loss</v>
      </c>
      <c r="G102" s="4">
        <f t="shared" si="95"/>
        <v>-718</v>
      </c>
      <c r="H102" s="46">
        <v>40</v>
      </c>
      <c r="I102" s="42">
        <v>18</v>
      </c>
      <c r="N102" s="5">
        <f t="shared" si="96"/>
        <v>40</v>
      </c>
      <c r="O102" s="4">
        <f t="shared" si="97"/>
        <v>18</v>
      </c>
      <c r="P102" s="5">
        <f t="shared" si="52"/>
        <v>40</v>
      </c>
      <c r="Q102" s="42">
        <v>0.05</v>
      </c>
      <c r="R102" s="2">
        <f t="shared" si="51"/>
        <v>0</v>
      </c>
      <c r="T102" s="2">
        <f t="shared" si="80"/>
        <v>0</v>
      </c>
      <c r="V102" s="5">
        <f t="shared" si="98"/>
        <v>40</v>
      </c>
      <c r="W102" s="4">
        <f t="shared" si="99"/>
        <v>0.05</v>
      </c>
      <c r="X102" s="14">
        <f t="shared" si="53"/>
        <v>-17.95</v>
      </c>
      <c r="Y102" s="5">
        <f t="shared" si="54"/>
        <v>-718</v>
      </c>
      <c r="Z102" s="2">
        <f t="shared" si="55"/>
        <v>0</v>
      </c>
      <c r="AA102" s="4">
        <f t="shared" si="56"/>
        <v>0</v>
      </c>
      <c r="AB102" s="13">
        <f t="shared" si="57"/>
        <v>46.485822999999996</v>
      </c>
      <c r="AC102" s="10">
        <f>SUM($E$4:E102)</f>
        <v>300.20335505728735</v>
      </c>
      <c r="AD102" s="20">
        <f>SUM($AB$4:AB102)</f>
        <v>2661.5466449427081</v>
      </c>
      <c r="AF102" s="28">
        <f t="shared" si="58"/>
        <v>7.22E-2</v>
      </c>
      <c r="AG102" s="2">
        <f t="shared" si="59"/>
        <v>5.0000000000000001E-4</v>
      </c>
      <c r="AH102" s="2">
        <f t="shared" si="60"/>
        <v>2.3464999999999996E-2</v>
      </c>
      <c r="AI102" s="2">
        <f t="shared" si="81"/>
        <v>9.5665E-2</v>
      </c>
      <c r="AJ102" s="2">
        <f t="shared" si="82"/>
        <v>1.434975E-2</v>
      </c>
      <c r="AK102" s="2">
        <f t="shared" si="61"/>
        <v>1.4440000000000002E-3</v>
      </c>
      <c r="AL102" s="2">
        <f t="shared" si="62"/>
        <v>4.3320000000000004E-2</v>
      </c>
      <c r="AM102" s="2">
        <f t="shared" si="83"/>
        <v>0.15527874999999999</v>
      </c>
      <c r="AN102" s="2">
        <f t="shared" si="63"/>
        <v>40</v>
      </c>
      <c r="AO102" s="2">
        <f t="shared" si="64"/>
        <v>1E-3</v>
      </c>
      <c r="AP102" s="2">
        <f t="shared" si="65"/>
        <v>0.38266</v>
      </c>
      <c r="AQ102" s="2">
        <f t="shared" si="84"/>
        <v>40.382660000000001</v>
      </c>
      <c r="AR102" s="2">
        <f t="shared" si="85"/>
        <v>6.0573990000000002</v>
      </c>
      <c r="AS102" s="2">
        <f t="shared" si="66"/>
        <v>1.4440000000000002E-3</v>
      </c>
      <c r="AT102" s="2">
        <f t="shared" si="67"/>
        <v>4.3320000000000004E-2</v>
      </c>
      <c r="AU102" s="2">
        <f t="shared" si="86"/>
        <v>46.485822999999996</v>
      </c>
      <c r="AV102" s="2">
        <f t="shared" si="68"/>
        <v>7.22E-2</v>
      </c>
      <c r="AW102" s="2">
        <f t="shared" si="69"/>
        <v>2.0000000000000001E-4</v>
      </c>
      <c r="AX102" s="2">
        <f t="shared" si="70"/>
        <v>1.5161999999999998E-2</v>
      </c>
      <c r="AY102" s="2">
        <f t="shared" si="87"/>
        <v>8.7361999999999995E-2</v>
      </c>
      <c r="AZ102" s="2">
        <f t="shared" si="88"/>
        <v>1.3104299999999999E-2</v>
      </c>
      <c r="BA102" s="2">
        <f t="shared" si="71"/>
        <v>1.4440000000000002E-3</v>
      </c>
      <c r="BB102" s="2">
        <f t="shared" si="72"/>
        <v>4.3320000000000004E-2</v>
      </c>
      <c r="BC102" s="2">
        <f t="shared" si="89"/>
        <v>0.14543030000000001</v>
      </c>
      <c r="BD102" s="2">
        <v>0</v>
      </c>
      <c r="BE102" s="2">
        <f t="shared" si="73"/>
        <v>0.72199999999999998</v>
      </c>
      <c r="BF102" s="2">
        <f t="shared" si="74"/>
        <v>2.3464999999999996E-2</v>
      </c>
      <c r="BG102" s="2">
        <f t="shared" si="90"/>
        <v>2.3464999999999996E-2</v>
      </c>
      <c r="BH102" s="2">
        <f t="shared" si="91"/>
        <v>3.5197499999999994E-3</v>
      </c>
      <c r="BI102" s="2">
        <f t="shared" si="75"/>
        <v>1.4440000000000002E-3</v>
      </c>
      <c r="BJ102" s="2">
        <f t="shared" si="76"/>
        <v>4.3320000000000004E-2</v>
      </c>
      <c r="BK102" s="2">
        <f t="shared" si="92"/>
        <v>0.79374875</v>
      </c>
      <c r="BL102" s="2">
        <f t="shared" si="77"/>
        <v>720</v>
      </c>
      <c r="BM102" s="2">
        <f t="shared" si="78"/>
        <v>2</v>
      </c>
      <c r="BN102" s="2">
        <f t="shared" si="93"/>
        <v>722</v>
      </c>
    </row>
    <row r="103" spans="1:66" x14ac:dyDescent="0.25">
      <c r="A103" s="42">
        <v>100</v>
      </c>
      <c r="B103" s="43">
        <v>42754</v>
      </c>
      <c r="C103" s="42" t="s">
        <v>149</v>
      </c>
      <c r="D103" s="42" t="s">
        <v>150</v>
      </c>
      <c r="E103" s="6">
        <f t="shared" si="79"/>
        <v>-2208.99856</v>
      </c>
      <c r="F103" s="5" t="str">
        <f t="shared" si="94"/>
        <v>Loss</v>
      </c>
      <c r="G103" s="4">
        <f t="shared" si="95"/>
        <v>-2160</v>
      </c>
      <c r="H103" s="46">
        <v>40</v>
      </c>
      <c r="I103" s="42">
        <v>75</v>
      </c>
      <c r="N103" s="5">
        <f>SUM(H103,J103,L103)</f>
        <v>40</v>
      </c>
      <c r="O103" s="4">
        <f>AVERAGE(M103,K103,I103)</f>
        <v>75</v>
      </c>
      <c r="P103" s="5">
        <f>H103</f>
        <v>40</v>
      </c>
      <c r="Q103" s="42">
        <v>21</v>
      </c>
      <c r="R103" s="2">
        <f t="shared" si="51"/>
        <v>0</v>
      </c>
      <c r="T103" s="2">
        <f t="shared" si="80"/>
        <v>0</v>
      </c>
      <c r="V103" s="5">
        <f t="shared" si="98"/>
        <v>40</v>
      </c>
      <c r="W103" s="4">
        <f t="shared" si="99"/>
        <v>21</v>
      </c>
      <c r="X103" s="14">
        <f>MAX(Q103,S103,U103)-MIN(I103,K103,M103)</f>
        <v>-54</v>
      </c>
      <c r="Y103" s="5">
        <f>P103*(Q103-I103)</f>
        <v>-2160</v>
      </c>
      <c r="Z103" s="2">
        <f t="shared" si="55"/>
        <v>0</v>
      </c>
      <c r="AA103" s="4">
        <f t="shared" si="56"/>
        <v>0</v>
      </c>
      <c r="AB103" s="13">
        <f t="shared" si="57"/>
        <v>48.998560000000012</v>
      </c>
      <c r="AC103" s="10">
        <f>SUM($E$4:E103)</f>
        <v>-1908.7952049427126</v>
      </c>
      <c r="AD103" s="20">
        <f>SUM($AB$4:AB103)</f>
        <v>2710.5452049427081</v>
      </c>
      <c r="AF103" s="28">
        <f t="shared" si="58"/>
        <v>0.38400000000000001</v>
      </c>
      <c r="AG103" s="2">
        <f t="shared" si="59"/>
        <v>0.21</v>
      </c>
      <c r="AH103" s="2">
        <f t="shared" si="60"/>
        <v>0.12479999999999999</v>
      </c>
      <c r="AI103" s="2">
        <f t="shared" si="81"/>
        <v>0.50880000000000003</v>
      </c>
      <c r="AJ103" s="2">
        <f t="shared" si="82"/>
        <v>7.6319999999999999E-2</v>
      </c>
      <c r="AK103" s="2">
        <f t="shared" si="61"/>
        <v>7.6800000000000002E-3</v>
      </c>
      <c r="AL103" s="2">
        <f t="shared" si="62"/>
        <v>0.23039999999999999</v>
      </c>
      <c r="AM103" s="2">
        <f t="shared" si="83"/>
        <v>1.0332000000000001</v>
      </c>
      <c r="AN103" s="2">
        <f t="shared" si="63"/>
        <v>40</v>
      </c>
      <c r="AO103" s="2">
        <f t="shared" si="64"/>
        <v>0.42</v>
      </c>
      <c r="AP103" s="2">
        <f t="shared" si="65"/>
        <v>2.0352000000000001</v>
      </c>
      <c r="AQ103" s="2">
        <f t="shared" si="84"/>
        <v>42.035200000000003</v>
      </c>
      <c r="AR103" s="2">
        <f t="shared" si="85"/>
        <v>6.3052800000000007</v>
      </c>
      <c r="AS103" s="2">
        <f t="shared" si="66"/>
        <v>7.6800000000000002E-3</v>
      </c>
      <c r="AT103" s="2">
        <f t="shared" si="67"/>
        <v>0.23039999999999999</v>
      </c>
      <c r="AU103" s="2">
        <f t="shared" si="86"/>
        <v>48.998560000000012</v>
      </c>
      <c r="AV103" s="2">
        <f t="shared" si="68"/>
        <v>0.38400000000000001</v>
      </c>
      <c r="AW103" s="2">
        <f t="shared" si="69"/>
        <v>8.4000000000000005E-2</v>
      </c>
      <c r="AX103" s="2">
        <f t="shared" si="70"/>
        <v>8.0639999999999989E-2</v>
      </c>
      <c r="AY103" s="2">
        <f t="shared" si="87"/>
        <v>0.46464</v>
      </c>
      <c r="AZ103" s="2">
        <f t="shared" si="88"/>
        <v>6.9695999999999994E-2</v>
      </c>
      <c r="BA103" s="2">
        <f t="shared" si="71"/>
        <v>7.6800000000000002E-3</v>
      </c>
      <c r="BB103" s="2">
        <f t="shared" si="72"/>
        <v>0.23039999999999999</v>
      </c>
      <c r="BC103" s="2">
        <f t="shared" si="89"/>
        <v>0.85641600000000007</v>
      </c>
      <c r="BD103" s="2">
        <v>0</v>
      </c>
      <c r="BE103" s="2">
        <f t="shared" si="73"/>
        <v>3.84</v>
      </c>
      <c r="BF103" s="2">
        <f t="shared" si="74"/>
        <v>0.12479999999999999</v>
      </c>
      <c r="BG103" s="2">
        <f t="shared" si="90"/>
        <v>0.12479999999999999</v>
      </c>
      <c r="BH103" s="2">
        <f t="shared" si="91"/>
        <v>1.8719999999999997E-2</v>
      </c>
      <c r="BI103" s="2">
        <f t="shared" si="75"/>
        <v>7.6800000000000002E-3</v>
      </c>
      <c r="BJ103" s="2">
        <f t="shared" si="76"/>
        <v>0.23039999999999999</v>
      </c>
      <c r="BK103" s="2">
        <f t="shared" si="92"/>
        <v>4.2216000000000005</v>
      </c>
      <c r="BL103" s="2">
        <f t="shared" si="77"/>
        <v>3000</v>
      </c>
      <c r="BM103" s="2">
        <f t="shared" si="78"/>
        <v>840</v>
      </c>
      <c r="BN103" s="2">
        <f t="shared" si="93"/>
        <v>3840</v>
      </c>
    </row>
    <row r="104" spans="1:66" x14ac:dyDescent="0.25">
      <c r="A104" s="42">
        <v>101</v>
      </c>
      <c r="B104" s="43">
        <v>42754</v>
      </c>
      <c r="C104" s="42" t="s">
        <v>50</v>
      </c>
      <c r="D104" s="42" t="s">
        <v>152</v>
      </c>
      <c r="E104" s="6">
        <f t="shared" si="79"/>
        <v>-633.25509531249782</v>
      </c>
      <c r="F104" s="5" t="str">
        <f t="shared" si="94"/>
        <v>Loss</v>
      </c>
      <c r="G104" s="4">
        <f t="shared" si="95"/>
        <v>-586.44999999999777</v>
      </c>
      <c r="H104" s="46">
        <v>99</v>
      </c>
      <c r="I104" s="42">
        <v>692.4</v>
      </c>
      <c r="J104" s="42">
        <v>1</v>
      </c>
      <c r="K104" s="42">
        <v>692.4</v>
      </c>
      <c r="N104" s="5">
        <f>SUM(H104,J104,L104)</f>
        <v>100</v>
      </c>
      <c r="O104" s="4">
        <f>AVERAGE(M104,K104,I104)</f>
        <v>692.4</v>
      </c>
      <c r="P104" s="5">
        <f>H104</f>
        <v>99</v>
      </c>
      <c r="Q104" s="42">
        <v>686.5</v>
      </c>
      <c r="R104" s="2">
        <f t="shared" ref="R104:R167" si="100">J104</f>
        <v>1</v>
      </c>
      <c r="S104" s="42">
        <v>690.05</v>
      </c>
      <c r="T104" s="2">
        <f t="shared" si="80"/>
        <v>0</v>
      </c>
      <c r="V104" s="5">
        <f t="shared" si="98"/>
        <v>100</v>
      </c>
      <c r="W104" s="4">
        <f t="shared" si="99"/>
        <v>688.27499999999998</v>
      </c>
      <c r="X104" s="14">
        <f>MAX(Q104,S104,U104)-MIN(I104,K104,M104)</f>
        <v>-2.3500000000000227</v>
      </c>
      <c r="Y104" s="5">
        <f>P104*(Q104-I104)</f>
        <v>-584.09999999999775</v>
      </c>
      <c r="Z104" s="2">
        <f t="shared" si="55"/>
        <v>-2.3500000000000227</v>
      </c>
      <c r="AA104" s="4">
        <f t="shared" si="56"/>
        <v>0</v>
      </c>
      <c r="AB104" s="13">
        <f t="shared" si="57"/>
        <v>46.805095312500008</v>
      </c>
      <c r="AC104" s="10">
        <f>SUM($E$4:E104)</f>
        <v>-2542.0503002552105</v>
      </c>
      <c r="AD104" s="20">
        <f>SUM($AB$4:AB104)</f>
        <v>2757.3503002552079</v>
      </c>
      <c r="AF104" s="28">
        <f t="shared" si="58"/>
        <v>13.806750000000001</v>
      </c>
      <c r="AG104" s="2">
        <f t="shared" si="59"/>
        <v>17.206875</v>
      </c>
      <c r="AH104" s="2">
        <f t="shared" si="60"/>
        <v>4.4871937499999994</v>
      </c>
      <c r="AI104" s="2">
        <f t="shared" si="81"/>
        <v>18.29394375</v>
      </c>
      <c r="AJ104" s="2">
        <f t="shared" si="82"/>
        <v>2.7440915625</v>
      </c>
      <c r="AK104" s="2">
        <f t="shared" si="61"/>
        <v>0.27613500000000002</v>
      </c>
      <c r="AL104" s="2">
        <f t="shared" si="62"/>
        <v>8.2840500000000006</v>
      </c>
      <c r="AM104" s="2">
        <f t="shared" si="83"/>
        <v>46.805095312500008</v>
      </c>
      <c r="AN104" s="2">
        <f t="shared" si="63"/>
        <v>80</v>
      </c>
      <c r="AO104" s="2">
        <f t="shared" si="64"/>
        <v>34.41375</v>
      </c>
      <c r="AP104" s="2">
        <f t="shared" si="65"/>
        <v>73.175775000000002</v>
      </c>
      <c r="AQ104" s="2">
        <f t="shared" si="84"/>
        <v>153.17577499999999</v>
      </c>
      <c r="AR104" s="2">
        <f t="shared" si="85"/>
        <v>22.976366249999998</v>
      </c>
      <c r="AS104" s="2">
        <f t="shared" si="66"/>
        <v>0.27613500000000002</v>
      </c>
      <c r="AT104" s="2">
        <f t="shared" si="67"/>
        <v>8.2840500000000006</v>
      </c>
      <c r="AU104" s="2">
        <f t="shared" si="86"/>
        <v>219.12607625000001</v>
      </c>
      <c r="AV104" s="2">
        <f t="shared" si="68"/>
        <v>13.806750000000001</v>
      </c>
      <c r="AW104" s="2">
        <f t="shared" si="69"/>
        <v>6.8827499999999997</v>
      </c>
      <c r="AX104" s="2">
        <f t="shared" si="70"/>
        <v>2.8994174999999998</v>
      </c>
      <c r="AY104" s="2">
        <f t="shared" si="87"/>
        <v>16.706167499999999</v>
      </c>
      <c r="AZ104" s="2">
        <f t="shared" si="88"/>
        <v>2.5059251249999996</v>
      </c>
      <c r="BA104" s="2">
        <f t="shared" si="71"/>
        <v>0.27613500000000002</v>
      </c>
      <c r="BB104" s="2">
        <f t="shared" si="72"/>
        <v>8.2840500000000006</v>
      </c>
      <c r="BC104" s="2">
        <f t="shared" si="89"/>
        <v>34.655027625000002</v>
      </c>
      <c r="BD104" s="2">
        <v>0</v>
      </c>
      <c r="BE104" s="2">
        <f t="shared" si="73"/>
        <v>138.0675</v>
      </c>
      <c r="BF104" s="2">
        <f t="shared" si="74"/>
        <v>4.4871937499999994</v>
      </c>
      <c r="BG104" s="2">
        <f t="shared" si="90"/>
        <v>4.4871937499999994</v>
      </c>
      <c r="BH104" s="2">
        <f t="shared" si="91"/>
        <v>0.67307906249999994</v>
      </c>
      <c r="BI104" s="2">
        <f t="shared" si="75"/>
        <v>0.27613500000000002</v>
      </c>
      <c r="BJ104" s="2">
        <f t="shared" si="76"/>
        <v>8.2840500000000006</v>
      </c>
      <c r="BK104" s="2">
        <f t="shared" si="92"/>
        <v>151.7879578125</v>
      </c>
      <c r="BL104" s="2">
        <f t="shared" si="77"/>
        <v>69240</v>
      </c>
      <c r="BM104" s="2">
        <f t="shared" si="78"/>
        <v>68827.5</v>
      </c>
      <c r="BN104" s="2">
        <f t="shared" si="93"/>
        <v>138067.5</v>
      </c>
    </row>
    <row r="105" spans="1:66" x14ac:dyDescent="0.25">
      <c r="A105" s="42">
        <v>102</v>
      </c>
      <c r="B105" s="43">
        <v>42754</v>
      </c>
      <c r="C105" s="42" t="s">
        <v>50</v>
      </c>
      <c r="D105" s="42" t="s">
        <v>152</v>
      </c>
      <c r="E105" s="6">
        <f t="shared" si="79"/>
        <v>-388.6222140625074</v>
      </c>
      <c r="F105" s="5" t="str">
        <f t="shared" si="94"/>
        <v>Loss</v>
      </c>
      <c r="G105" s="4">
        <f t="shared" si="95"/>
        <v>-341.90000000000737</v>
      </c>
      <c r="H105" s="46">
        <v>62</v>
      </c>
      <c r="I105" s="42">
        <v>690.7</v>
      </c>
      <c r="J105" s="42">
        <v>38</v>
      </c>
      <c r="K105" s="42">
        <v>690.7</v>
      </c>
      <c r="N105" s="5">
        <f t="shared" si="96"/>
        <v>100</v>
      </c>
      <c r="O105" s="4">
        <f t="shared" si="97"/>
        <v>690.7</v>
      </c>
      <c r="P105" s="5">
        <f t="shared" si="52"/>
        <v>62</v>
      </c>
      <c r="Q105" s="42">
        <v>687.3</v>
      </c>
      <c r="R105" s="2">
        <f t="shared" si="100"/>
        <v>38</v>
      </c>
      <c r="S105" s="42">
        <v>687.25</v>
      </c>
      <c r="T105" s="2">
        <f t="shared" si="80"/>
        <v>0</v>
      </c>
      <c r="V105" s="5">
        <f t="shared" si="98"/>
        <v>100</v>
      </c>
      <c r="W105" s="4">
        <f t="shared" si="99"/>
        <v>687.27499999999998</v>
      </c>
      <c r="X105" s="14">
        <f t="shared" si="53"/>
        <v>-3.4000000000000909</v>
      </c>
      <c r="Y105" s="5">
        <f t="shared" si="54"/>
        <v>-210.80000000000564</v>
      </c>
      <c r="Z105" s="2">
        <f t="shared" si="55"/>
        <v>-131.10000000000173</v>
      </c>
      <c r="AA105" s="4">
        <f t="shared" si="56"/>
        <v>0</v>
      </c>
      <c r="AB105" s="13">
        <f t="shared" si="57"/>
        <v>46.722214062500008</v>
      </c>
      <c r="AC105" s="10">
        <f>SUM($E$4:E105)</f>
        <v>-2930.6725143177177</v>
      </c>
      <c r="AD105" s="20">
        <f>SUM($AB$4:AB105)</f>
        <v>2804.0725143177078</v>
      </c>
      <c r="AF105" s="28">
        <f t="shared" si="58"/>
        <v>13.77975</v>
      </c>
      <c r="AG105" s="2">
        <f t="shared" si="59"/>
        <v>17.181875000000002</v>
      </c>
      <c r="AH105" s="2">
        <f t="shared" si="60"/>
        <v>4.4784187499999994</v>
      </c>
      <c r="AI105" s="2">
        <f t="shared" si="81"/>
        <v>18.258168749999999</v>
      </c>
      <c r="AJ105" s="2">
        <f t="shared" si="82"/>
        <v>2.7387253124999997</v>
      </c>
      <c r="AK105" s="2">
        <f t="shared" si="61"/>
        <v>0.27559500000000003</v>
      </c>
      <c r="AL105" s="2">
        <f t="shared" si="62"/>
        <v>8.267850000000001</v>
      </c>
      <c r="AM105" s="2">
        <f t="shared" si="83"/>
        <v>46.722214062500008</v>
      </c>
      <c r="AN105" s="2">
        <f t="shared" si="63"/>
        <v>80</v>
      </c>
      <c r="AO105" s="2">
        <f t="shared" si="64"/>
        <v>34.363750000000003</v>
      </c>
      <c r="AP105" s="2">
        <f t="shared" si="65"/>
        <v>73.032674999999998</v>
      </c>
      <c r="AQ105" s="2">
        <f t="shared" si="84"/>
        <v>153.03267499999998</v>
      </c>
      <c r="AR105" s="2">
        <f t="shared" si="85"/>
        <v>22.954901249999995</v>
      </c>
      <c r="AS105" s="2">
        <f t="shared" si="66"/>
        <v>0.27559500000000003</v>
      </c>
      <c r="AT105" s="2">
        <f t="shared" si="67"/>
        <v>8.267850000000001</v>
      </c>
      <c r="AU105" s="2">
        <f t="shared" si="86"/>
        <v>218.89477125000005</v>
      </c>
      <c r="AV105" s="2">
        <f t="shared" si="68"/>
        <v>13.77975</v>
      </c>
      <c r="AW105" s="2">
        <f t="shared" si="69"/>
        <v>6.8727499999999999</v>
      </c>
      <c r="AX105" s="2">
        <f t="shared" si="70"/>
        <v>2.8937474999999999</v>
      </c>
      <c r="AY105" s="2">
        <f t="shared" si="87"/>
        <v>16.6734975</v>
      </c>
      <c r="AZ105" s="2">
        <f t="shared" si="88"/>
        <v>2.5010246249999999</v>
      </c>
      <c r="BA105" s="2">
        <f t="shared" si="71"/>
        <v>0.27559500000000003</v>
      </c>
      <c r="BB105" s="2">
        <f t="shared" si="72"/>
        <v>8.267850000000001</v>
      </c>
      <c r="BC105" s="2">
        <f t="shared" si="89"/>
        <v>34.590717124999998</v>
      </c>
      <c r="BD105" s="2">
        <v>0</v>
      </c>
      <c r="BE105" s="2">
        <f t="shared" si="73"/>
        <v>137.79750000000001</v>
      </c>
      <c r="BF105" s="2">
        <f t="shared" si="74"/>
        <v>4.4784187499999994</v>
      </c>
      <c r="BG105" s="2">
        <f t="shared" si="90"/>
        <v>4.4784187499999994</v>
      </c>
      <c r="BH105" s="2">
        <f t="shared" si="91"/>
        <v>0.67176281249999992</v>
      </c>
      <c r="BI105" s="2">
        <f t="shared" si="75"/>
        <v>0.27559500000000003</v>
      </c>
      <c r="BJ105" s="2">
        <f t="shared" si="76"/>
        <v>8.267850000000001</v>
      </c>
      <c r="BK105" s="2">
        <f t="shared" si="92"/>
        <v>151.49112656250003</v>
      </c>
      <c r="BL105" s="2">
        <f t="shared" si="77"/>
        <v>69070</v>
      </c>
      <c r="BM105" s="2">
        <f t="shared" si="78"/>
        <v>68727.5</v>
      </c>
      <c r="BN105" s="2">
        <f t="shared" si="93"/>
        <v>137797.5</v>
      </c>
    </row>
    <row r="106" spans="1:66" x14ac:dyDescent="0.25">
      <c r="A106" s="42">
        <v>103</v>
      </c>
      <c r="B106" s="43">
        <v>42754</v>
      </c>
      <c r="C106" s="42" t="s">
        <v>50</v>
      </c>
      <c r="D106" s="42" t="s">
        <v>120</v>
      </c>
      <c r="E106" s="6">
        <f t="shared" si="79"/>
        <v>-91.584156249997164</v>
      </c>
      <c r="F106" s="5" t="str">
        <f t="shared" si="94"/>
        <v>Loss</v>
      </c>
      <c r="G106" s="4">
        <f t="shared" si="95"/>
        <v>-49.999999999997158</v>
      </c>
      <c r="H106" s="46">
        <v>1000</v>
      </c>
      <c r="I106" s="42">
        <v>61.3</v>
      </c>
      <c r="N106" s="5">
        <f t="shared" si="96"/>
        <v>1000</v>
      </c>
      <c r="O106" s="4">
        <f t="shared" si="97"/>
        <v>61.3</v>
      </c>
      <c r="P106" s="5">
        <f t="shared" si="52"/>
        <v>1000</v>
      </c>
      <c r="Q106" s="42">
        <v>61.25</v>
      </c>
      <c r="R106" s="2">
        <f t="shared" si="100"/>
        <v>0</v>
      </c>
      <c r="T106" s="2">
        <f t="shared" si="80"/>
        <v>0</v>
      </c>
      <c r="V106" s="5">
        <f t="shared" si="98"/>
        <v>1000</v>
      </c>
      <c r="W106" s="4">
        <f t="shared" si="99"/>
        <v>61.25</v>
      </c>
      <c r="X106" s="14">
        <f t="shared" si="53"/>
        <v>-4.9999999999997158E-2</v>
      </c>
      <c r="Y106" s="5">
        <f t="shared" si="54"/>
        <v>-49.999999999997158</v>
      </c>
      <c r="Z106" s="2">
        <f t="shared" si="55"/>
        <v>0</v>
      </c>
      <c r="AA106" s="4">
        <f t="shared" si="56"/>
        <v>0</v>
      </c>
      <c r="AB106" s="13">
        <f t="shared" si="57"/>
        <v>41.584156250000007</v>
      </c>
      <c r="AC106" s="10">
        <f>SUM($E$4:E106)</f>
        <v>-3022.256670567715</v>
      </c>
      <c r="AD106" s="20">
        <f>SUM($AB$4:AB106)</f>
        <v>2845.6566705677078</v>
      </c>
      <c r="AF106" s="28">
        <f t="shared" si="58"/>
        <v>12.255000000000001</v>
      </c>
      <c r="AG106" s="2">
        <f t="shared" si="59"/>
        <v>15.3125</v>
      </c>
      <c r="AH106" s="2">
        <f t="shared" si="60"/>
        <v>3.9828749999999995</v>
      </c>
      <c r="AI106" s="2">
        <f t="shared" si="81"/>
        <v>16.237874999999999</v>
      </c>
      <c r="AJ106" s="2">
        <f t="shared" si="82"/>
        <v>2.4356812499999996</v>
      </c>
      <c r="AK106" s="2">
        <f t="shared" si="61"/>
        <v>0.24510000000000001</v>
      </c>
      <c r="AL106" s="2">
        <f t="shared" si="62"/>
        <v>7.3529999999999998</v>
      </c>
      <c r="AM106" s="2">
        <f t="shared" si="83"/>
        <v>41.584156250000007</v>
      </c>
      <c r="AN106" s="2">
        <f t="shared" si="63"/>
        <v>40</v>
      </c>
      <c r="AO106" s="2">
        <f t="shared" si="64"/>
        <v>30.625</v>
      </c>
      <c r="AP106" s="2">
        <f t="shared" si="65"/>
        <v>64.951499999999996</v>
      </c>
      <c r="AQ106" s="2">
        <f t="shared" si="84"/>
        <v>104.9515</v>
      </c>
      <c r="AR106" s="2">
        <f t="shared" si="85"/>
        <v>15.742724999999998</v>
      </c>
      <c r="AS106" s="2">
        <f t="shared" si="66"/>
        <v>0.24510000000000001</v>
      </c>
      <c r="AT106" s="2">
        <f t="shared" si="67"/>
        <v>7.3529999999999998</v>
      </c>
      <c r="AU106" s="2">
        <f t="shared" si="86"/>
        <v>158.91732500000003</v>
      </c>
      <c r="AV106" s="2">
        <f t="shared" si="68"/>
        <v>12.255000000000001</v>
      </c>
      <c r="AW106" s="2">
        <f t="shared" si="69"/>
        <v>6.125</v>
      </c>
      <c r="AX106" s="2">
        <f t="shared" si="70"/>
        <v>2.57355</v>
      </c>
      <c r="AY106" s="2">
        <f t="shared" si="87"/>
        <v>14.82855</v>
      </c>
      <c r="AZ106" s="2">
        <f t="shared" si="88"/>
        <v>2.2242824999999997</v>
      </c>
      <c r="BA106" s="2">
        <f t="shared" si="71"/>
        <v>0.24510000000000001</v>
      </c>
      <c r="BB106" s="2">
        <f t="shared" si="72"/>
        <v>7.3529999999999998</v>
      </c>
      <c r="BC106" s="2">
        <f t="shared" si="89"/>
        <v>30.775932500000003</v>
      </c>
      <c r="BD106" s="2">
        <v>0</v>
      </c>
      <c r="BE106" s="2">
        <f t="shared" si="73"/>
        <v>122.55</v>
      </c>
      <c r="BF106" s="2">
        <f t="shared" si="74"/>
        <v>3.9828749999999995</v>
      </c>
      <c r="BG106" s="2">
        <f t="shared" si="90"/>
        <v>3.9828749999999995</v>
      </c>
      <c r="BH106" s="2">
        <f t="shared" si="91"/>
        <v>0.59743124999999986</v>
      </c>
      <c r="BI106" s="2">
        <f t="shared" si="75"/>
        <v>0.24510000000000001</v>
      </c>
      <c r="BJ106" s="2">
        <f t="shared" si="76"/>
        <v>7.3529999999999998</v>
      </c>
      <c r="BK106" s="2">
        <f t="shared" si="92"/>
        <v>134.72840624999998</v>
      </c>
      <c r="BL106" s="2">
        <f t="shared" si="77"/>
        <v>61300</v>
      </c>
      <c r="BM106" s="2">
        <f t="shared" si="78"/>
        <v>61250</v>
      </c>
      <c r="BN106" s="2">
        <f t="shared" si="93"/>
        <v>122550</v>
      </c>
    </row>
    <row r="107" spans="1:66" x14ac:dyDescent="0.25">
      <c r="A107" s="42">
        <v>104</v>
      </c>
      <c r="B107" s="43">
        <v>42758</v>
      </c>
      <c r="C107" s="42" t="s">
        <v>149</v>
      </c>
      <c r="D107" s="42" t="s">
        <v>150</v>
      </c>
      <c r="E107" s="6">
        <f t="shared" si="79"/>
        <v>-12.091899999999995</v>
      </c>
      <c r="F107" s="5" t="str">
        <f t="shared" si="94"/>
        <v>Win</v>
      </c>
      <c r="G107" s="4">
        <f t="shared" si="95"/>
        <v>40</v>
      </c>
      <c r="H107" s="46">
        <v>40</v>
      </c>
      <c r="I107" s="42">
        <v>82</v>
      </c>
      <c r="N107" s="5">
        <f t="shared" si="96"/>
        <v>40</v>
      </c>
      <c r="O107" s="4">
        <f t="shared" si="97"/>
        <v>82</v>
      </c>
      <c r="P107" s="5">
        <f t="shared" si="52"/>
        <v>40</v>
      </c>
      <c r="Q107" s="42">
        <v>83</v>
      </c>
      <c r="R107" s="2">
        <f t="shared" si="100"/>
        <v>0</v>
      </c>
      <c r="T107" s="2">
        <f t="shared" si="80"/>
        <v>0</v>
      </c>
      <c r="V107" s="5">
        <f t="shared" si="98"/>
        <v>40</v>
      </c>
      <c r="W107" s="4">
        <f t="shared" si="99"/>
        <v>83</v>
      </c>
      <c r="X107" s="14">
        <f t="shared" si="53"/>
        <v>1</v>
      </c>
      <c r="Y107" s="5">
        <f t="shared" si="54"/>
        <v>40</v>
      </c>
      <c r="Z107" s="2">
        <f t="shared" si="55"/>
        <v>0</v>
      </c>
      <c r="AA107" s="4">
        <f t="shared" si="56"/>
        <v>0</v>
      </c>
      <c r="AB107" s="13">
        <f t="shared" si="57"/>
        <v>52.091899999999995</v>
      </c>
      <c r="AC107" s="10">
        <f>SUM($E$4:E107)</f>
        <v>-3034.3485705677149</v>
      </c>
      <c r="AD107" s="20">
        <f>SUM($AB$4:AB107)</f>
        <v>2897.7485705677077</v>
      </c>
      <c r="AF107" s="28">
        <f t="shared" si="58"/>
        <v>0.66</v>
      </c>
      <c r="AG107" s="2">
        <f t="shared" si="59"/>
        <v>0.83000000000000007</v>
      </c>
      <c r="AH107" s="2">
        <f t="shared" si="60"/>
        <v>0.21449999999999997</v>
      </c>
      <c r="AI107" s="2">
        <f t="shared" si="81"/>
        <v>0.87450000000000006</v>
      </c>
      <c r="AJ107" s="2">
        <f t="shared" si="82"/>
        <v>0.13117500000000001</v>
      </c>
      <c r="AK107" s="2">
        <f t="shared" si="61"/>
        <v>1.32E-2</v>
      </c>
      <c r="AL107" s="2">
        <f t="shared" si="62"/>
        <v>0.39600000000000002</v>
      </c>
      <c r="AM107" s="2">
        <f t="shared" si="83"/>
        <v>2.2448750000000004</v>
      </c>
      <c r="AN107" s="2">
        <f t="shared" si="63"/>
        <v>40</v>
      </c>
      <c r="AO107" s="2">
        <f t="shared" si="64"/>
        <v>1.6600000000000001</v>
      </c>
      <c r="AP107" s="2">
        <f t="shared" si="65"/>
        <v>3.4979999999999998</v>
      </c>
      <c r="AQ107" s="2">
        <f t="shared" si="84"/>
        <v>43.497999999999998</v>
      </c>
      <c r="AR107" s="2">
        <f t="shared" si="85"/>
        <v>6.5246999999999993</v>
      </c>
      <c r="AS107" s="2">
        <f t="shared" si="66"/>
        <v>1.32E-2</v>
      </c>
      <c r="AT107" s="2">
        <f t="shared" si="67"/>
        <v>0.39600000000000002</v>
      </c>
      <c r="AU107" s="2">
        <f t="shared" si="86"/>
        <v>52.091899999999995</v>
      </c>
      <c r="AV107" s="2">
        <f t="shared" si="68"/>
        <v>0.66</v>
      </c>
      <c r="AW107" s="2">
        <f t="shared" si="69"/>
        <v>0.33200000000000002</v>
      </c>
      <c r="AX107" s="2">
        <f t="shared" si="70"/>
        <v>0.1386</v>
      </c>
      <c r="AY107" s="2">
        <f t="shared" si="87"/>
        <v>0.79859999999999998</v>
      </c>
      <c r="AZ107" s="2">
        <f t="shared" si="88"/>
        <v>0.11978999999999999</v>
      </c>
      <c r="BA107" s="2">
        <f t="shared" si="71"/>
        <v>1.32E-2</v>
      </c>
      <c r="BB107" s="2">
        <f t="shared" si="72"/>
        <v>0.39600000000000002</v>
      </c>
      <c r="BC107" s="2">
        <f t="shared" si="89"/>
        <v>1.6595900000000001</v>
      </c>
      <c r="BD107" s="2">
        <v>0</v>
      </c>
      <c r="BE107" s="2">
        <f t="shared" si="73"/>
        <v>6.6000000000000005</v>
      </c>
      <c r="BF107" s="2">
        <f t="shared" si="74"/>
        <v>0.21449999999999997</v>
      </c>
      <c r="BG107" s="2">
        <f t="shared" si="90"/>
        <v>0.21449999999999997</v>
      </c>
      <c r="BH107" s="2">
        <f t="shared" si="91"/>
        <v>3.2174999999999995E-2</v>
      </c>
      <c r="BI107" s="2">
        <f t="shared" si="75"/>
        <v>1.32E-2</v>
      </c>
      <c r="BJ107" s="2">
        <f t="shared" si="76"/>
        <v>0.39600000000000002</v>
      </c>
      <c r="BK107" s="2">
        <f t="shared" si="92"/>
        <v>7.2558750000000005</v>
      </c>
      <c r="BL107" s="2">
        <f t="shared" si="77"/>
        <v>3280</v>
      </c>
      <c r="BM107" s="2">
        <f t="shared" si="78"/>
        <v>3320</v>
      </c>
      <c r="BN107" s="2">
        <f t="shared" si="93"/>
        <v>6600</v>
      </c>
    </row>
    <row r="108" spans="1:66" x14ac:dyDescent="0.25">
      <c r="A108" s="42">
        <v>105</v>
      </c>
      <c r="B108" s="43">
        <v>42758</v>
      </c>
      <c r="C108" s="42" t="s">
        <v>122</v>
      </c>
      <c r="D108" s="42" t="s">
        <v>153</v>
      </c>
      <c r="E108" s="6">
        <f t="shared" si="79"/>
        <v>1143.7477999999999</v>
      </c>
      <c r="F108" s="5" t="str">
        <f t="shared" si="94"/>
        <v>Win</v>
      </c>
      <c r="G108" s="4">
        <f t="shared" si="95"/>
        <v>1199.9999999999998</v>
      </c>
      <c r="H108" s="46">
        <v>3000</v>
      </c>
      <c r="I108" s="42">
        <v>1.6</v>
      </c>
      <c r="N108" s="5">
        <f t="shared" si="96"/>
        <v>3000</v>
      </c>
      <c r="O108" s="4">
        <f t="shared" si="97"/>
        <v>1.6</v>
      </c>
      <c r="P108" s="5">
        <f t="shared" si="52"/>
        <v>3000</v>
      </c>
      <c r="Q108" s="42">
        <v>2</v>
      </c>
      <c r="R108" s="2">
        <f t="shared" si="100"/>
        <v>0</v>
      </c>
      <c r="T108" s="2">
        <f t="shared" si="80"/>
        <v>0</v>
      </c>
      <c r="V108" s="5">
        <f t="shared" si="98"/>
        <v>3000</v>
      </c>
      <c r="W108" s="4">
        <f t="shared" si="99"/>
        <v>2</v>
      </c>
      <c r="X108" s="14">
        <f t="shared" si="53"/>
        <v>0.39999999999999991</v>
      </c>
      <c r="Y108" s="5">
        <f t="shared" si="54"/>
        <v>1199.9999999999998</v>
      </c>
      <c r="Z108" s="2">
        <f t="shared" si="55"/>
        <v>0</v>
      </c>
      <c r="AA108" s="4">
        <f t="shared" si="56"/>
        <v>0</v>
      </c>
      <c r="AB108" s="13">
        <f t="shared" si="57"/>
        <v>56.252200000000009</v>
      </c>
      <c r="AC108" s="10">
        <f>SUM($E$4:E108)</f>
        <v>-1890.600770567715</v>
      </c>
      <c r="AD108" s="20">
        <f>SUM($AB$4:AB108)</f>
        <v>2954.0007705677076</v>
      </c>
      <c r="AF108" s="28">
        <f t="shared" si="58"/>
        <v>1.08</v>
      </c>
      <c r="AG108" s="2">
        <f t="shared" si="59"/>
        <v>1.5</v>
      </c>
      <c r="AH108" s="2">
        <f t="shared" si="60"/>
        <v>0.35099999999999998</v>
      </c>
      <c r="AI108" s="2">
        <f t="shared" si="81"/>
        <v>1.431</v>
      </c>
      <c r="AJ108" s="2">
        <f t="shared" si="82"/>
        <v>0.21465000000000001</v>
      </c>
      <c r="AK108" s="2">
        <f t="shared" si="61"/>
        <v>2.1600000000000001E-2</v>
      </c>
      <c r="AL108" s="2">
        <f t="shared" si="62"/>
        <v>0.64800000000000002</v>
      </c>
      <c r="AM108" s="2">
        <f t="shared" si="83"/>
        <v>3.8152499999999998</v>
      </c>
      <c r="AN108" s="2">
        <f t="shared" si="63"/>
        <v>40</v>
      </c>
      <c r="AO108" s="2">
        <f t="shared" si="64"/>
        <v>3</v>
      </c>
      <c r="AP108" s="2">
        <f t="shared" si="65"/>
        <v>5.7240000000000002</v>
      </c>
      <c r="AQ108" s="2">
        <f t="shared" si="84"/>
        <v>45.724000000000004</v>
      </c>
      <c r="AR108" s="2">
        <f t="shared" si="85"/>
        <v>6.8586</v>
      </c>
      <c r="AS108" s="2">
        <f t="shared" si="66"/>
        <v>2.1600000000000001E-2</v>
      </c>
      <c r="AT108" s="2">
        <f t="shared" si="67"/>
        <v>0.64800000000000002</v>
      </c>
      <c r="AU108" s="2">
        <f t="shared" si="86"/>
        <v>56.252200000000009</v>
      </c>
      <c r="AV108" s="2">
        <f t="shared" si="68"/>
        <v>1.08</v>
      </c>
      <c r="AW108" s="2">
        <f t="shared" si="69"/>
        <v>0.6</v>
      </c>
      <c r="AX108" s="2">
        <f t="shared" si="70"/>
        <v>0.22679999999999997</v>
      </c>
      <c r="AY108" s="2">
        <f t="shared" si="87"/>
        <v>1.3068</v>
      </c>
      <c r="AZ108" s="2">
        <f t="shared" si="88"/>
        <v>0.19602</v>
      </c>
      <c r="BA108" s="2">
        <f t="shared" si="71"/>
        <v>2.1600000000000001E-2</v>
      </c>
      <c r="BB108" s="2">
        <f t="shared" si="72"/>
        <v>0.64800000000000002</v>
      </c>
      <c r="BC108" s="2">
        <f t="shared" si="89"/>
        <v>2.7724199999999999</v>
      </c>
      <c r="BD108" s="2">
        <v>0</v>
      </c>
      <c r="BE108" s="2">
        <f t="shared" si="73"/>
        <v>10.8</v>
      </c>
      <c r="BF108" s="2">
        <f t="shared" si="74"/>
        <v>0.35099999999999998</v>
      </c>
      <c r="BG108" s="2">
        <f t="shared" si="90"/>
        <v>0.35099999999999998</v>
      </c>
      <c r="BH108" s="2">
        <f t="shared" si="91"/>
        <v>5.2649999999999995E-2</v>
      </c>
      <c r="BI108" s="2">
        <f t="shared" si="75"/>
        <v>2.1600000000000001E-2</v>
      </c>
      <c r="BJ108" s="2">
        <f t="shared" si="76"/>
        <v>0.64800000000000002</v>
      </c>
      <c r="BK108" s="2">
        <f t="shared" si="92"/>
        <v>11.873249999999999</v>
      </c>
      <c r="BL108" s="2">
        <f t="shared" si="77"/>
        <v>4800</v>
      </c>
      <c r="BM108" s="2">
        <f t="shared" si="78"/>
        <v>6000</v>
      </c>
      <c r="BN108" s="2">
        <f t="shared" si="93"/>
        <v>10800</v>
      </c>
    </row>
    <row r="109" spans="1:66" x14ac:dyDescent="0.25">
      <c r="A109" s="42">
        <v>106</v>
      </c>
      <c r="B109" s="43">
        <v>42759</v>
      </c>
      <c r="C109" s="42" t="s">
        <v>122</v>
      </c>
      <c r="D109" s="42" t="s">
        <v>153</v>
      </c>
      <c r="E109" s="6">
        <f t="shared" si="79"/>
        <v>-652.76125000000059</v>
      </c>
      <c r="F109" s="5" t="str">
        <f t="shared" si="94"/>
        <v>Loss</v>
      </c>
      <c r="G109" s="4">
        <f t="shared" si="95"/>
        <v>-600.00000000000057</v>
      </c>
      <c r="H109" s="46">
        <v>3000</v>
      </c>
      <c r="I109" s="42">
        <v>1.35</v>
      </c>
      <c r="N109" s="5">
        <f t="shared" si="96"/>
        <v>3000</v>
      </c>
      <c r="O109" s="4">
        <f t="shared" si="97"/>
        <v>1.35</v>
      </c>
      <c r="P109" s="5">
        <f t="shared" si="52"/>
        <v>3000</v>
      </c>
      <c r="Q109" s="42">
        <v>1.1499999999999999</v>
      </c>
      <c r="R109" s="2">
        <f t="shared" si="100"/>
        <v>0</v>
      </c>
      <c r="T109" s="2">
        <f t="shared" si="80"/>
        <v>0</v>
      </c>
      <c r="V109" s="5">
        <f t="shared" si="98"/>
        <v>3000</v>
      </c>
      <c r="W109" s="4">
        <f t="shared" si="99"/>
        <v>1.1499999999999999</v>
      </c>
      <c r="X109" s="14">
        <f t="shared" si="53"/>
        <v>-0.20000000000000018</v>
      </c>
      <c r="Y109" s="5">
        <f t="shared" si="54"/>
        <v>-600.00000000000057</v>
      </c>
      <c r="Z109" s="2">
        <f t="shared" si="55"/>
        <v>0</v>
      </c>
      <c r="AA109" s="4">
        <f t="shared" si="56"/>
        <v>0</v>
      </c>
      <c r="AB109" s="13">
        <f t="shared" si="57"/>
        <v>52.761250000000004</v>
      </c>
      <c r="AC109" s="10">
        <f>SUM($E$4:E109)</f>
        <v>-2543.3620205677157</v>
      </c>
      <c r="AD109" s="20">
        <f>SUM($AB$4:AB109)</f>
        <v>3006.7620205677076</v>
      </c>
      <c r="AF109" s="28">
        <f t="shared" si="58"/>
        <v>0.75</v>
      </c>
      <c r="AG109" s="2">
        <f t="shared" si="59"/>
        <v>0.86249999999999993</v>
      </c>
      <c r="AH109" s="2">
        <f t="shared" si="60"/>
        <v>0.24374999999999997</v>
      </c>
      <c r="AI109" s="2">
        <f t="shared" si="81"/>
        <v>0.99374999999999991</v>
      </c>
      <c r="AJ109" s="2">
        <f t="shared" si="82"/>
        <v>0.14906249999999999</v>
      </c>
      <c r="AK109" s="2">
        <f t="shared" si="61"/>
        <v>1.4999999999999999E-2</v>
      </c>
      <c r="AL109" s="2">
        <f t="shared" si="62"/>
        <v>0.45</v>
      </c>
      <c r="AM109" s="2">
        <f t="shared" si="83"/>
        <v>2.4703124999999999</v>
      </c>
      <c r="AN109" s="2">
        <f t="shared" si="63"/>
        <v>40</v>
      </c>
      <c r="AO109" s="2">
        <f t="shared" si="64"/>
        <v>1.7249999999999999</v>
      </c>
      <c r="AP109" s="2">
        <f t="shared" si="65"/>
        <v>3.9749999999999996</v>
      </c>
      <c r="AQ109" s="2">
        <f t="shared" si="84"/>
        <v>43.975000000000001</v>
      </c>
      <c r="AR109" s="2">
        <f t="shared" si="85"/>
        <v>6.5962500000000004</v>
      </c>
      <c r="AS109" s="2">
        <f t="shared" si="66"/>
        <v>1.4999999999999999E-2</v>
      </c>
      <c r="AT109" s="2">
        <f t="shared" si="67"/>
        <v>0.45</v>
      </c>
      <c r="AU109" s="2">
        <f t="shared" si="86"/>
        <v>52.761250000000004</v>
      </c>
      <c r="AV109" s="2">
        <f t="shared" si="68"/>
        <v>0.75</v>
      </c>
      <c r="AW109" s="2">
        <f t="shared" si="69"/>
        <v>0.34499999999999997</v>
      </c>
      <c r="AX109" s="2">
        <f t="shared" si="70"/>
        <v>0.1575</v>
      </c>
      <c r="AY109" s="2">
        <f t="shared" si="87"/>
        <v>0.90749999999999997</v>
      </c>
      <c r="AZ109" s="2">
        <f t="shared" si="88"/>
        <v>0.136125</v>
      </c>
      <c r="BA109" s="2">
        <f t="shared" si="71"/>
        <v>1.4999999999999999E-2</v>
      </c>
      <c r="BB109" s="2">
        <f t="shared" si="72"/>
        <v>0.45</v>
      </c>
      <c r="BC109" s="2">
        <f t="shared" si="89"/>
        <v>1.8536249999999999</v>
      </c>
      <c r="BD109" s="2">
        <v>0</v>
      </c>
      <c r="BE109" s="2">
        <f t="shared" si="73"/>
        <v>7.5</v>
      </c>
      <c r="BF109" s="2">
        <f t="shared" si="74"/>
        <v>0.24374999999999997</v>
      </c>
      <c r="BG109" s="2">
        <f t="shared" si="90"/>
        <v>0.24374999999999997</v>
      </c>
      <c r="BH109" s="2">
        <f t="shared" si="91"/>
        <v>3.6562499999999991E-2</v>
      </c>
      <c r="BI109" s="2">
        <f t="shared" si="75"/>
        <v>1.4999999999999999E-2</v>
      </c>
      <c r="BJ109" s="2">
        <f t="shared" si="76"/>
        <v>0.45</v>
      </c>
      <c r="BK109" s="2">
        <f t="shared" si="92"/>
        <v>8.2453124999999989</v>
      </c>
      <c r="BL109" s="2">
        <f t="shared" si="77"/>
        <v>4050.0000000000005</v>
      </c>
      <c r="BM109" s="2">
        <f t="shared" si="78"/>
        <v>3449.9999999999995</v>
      </c>
      <c r="BN109" s="2">
        <f t="shared" si="93"/>
        <v>7500</v>
      </c>
    </row>
    <row r="110" spans="1:66" x14ac:dyDescent="0.25">
      <c r="A110" s="42">
        <v>107</v>
      </c>
      <c r="B110" s="43">
        <v>42759</v>
      </c>
      <c r="C110" s="42" t="s">
        <v>50</v>
      </c>
      <c r="D110" s="42" t="s">
        <v>154</v>
      </c>
      <c r="E110" s="6">
        <f t="shared" si="79"/>
        <v>-495.78332250000182</v>
      </c>
      <c r="F110" s="5" t="str">
        <f t="shared" si="94"/>
        <v>Loss</v>
      </c>
      <c r="G110" s="4">
        <f t="shared" si="95"/>
        <v>-408.00000000000182</v>
      </c>
      <c r="H110" s="46">
        <v>40</v>
      </c>
      <c r="I110" s="42">
        <v>1620</v>
      </c>
      <c r="J110" s="42">
        <v>40</v>
      </c>
      <c r="K110" s="42">
        <v>1620.25</v>
      </c>
      <c r="N110" s="5">
        <f>SUM(H110,J110,L110)</f>
        <v>80</v>
      </c>
      <c r="O110" s="4">
        <f>AVERAGE(M110,K110,I110)</f>
        <v>1620.125</v>
      </c>
      <c r="P110" s="5">
        <f>H110</f>
        <v>40</v>
      </c>
      <c r="Q110" s="42">
        <v>1615.05</v>
      </c>
      <c r="R110" s="2">
        <f t="shared" si="100"/>
        <v>40</v>
      </c>
      <c r="S110" s="42">
        <v>1615</v>
      </c>
      <c r="T110" s="2">
        <f t="shared" si="80"/>
        <v>0</v>
      </c>
      <c r="V110" s="5">
        <f t="shared" si="98"/>
        <v>80</v>
      </c>
      <c r="W110" s="4">
        <f t="shared" si="99"/>
        <v>1615.0250000000001</v>
      </c>
      <c r="X110" s="14">
        <f>MAX(Q110,S110,U110)-MIN(I110,K110,M110)</f>
        <v>-4.9500000000000455</v>
      </c>
      <c r="Y110" s="5">
        <f>P110*(Q110-I110)</f>
        <v>-198.00000000000182</v>
      </c>
      <c r="Z110" s="2">
        <f t="shared" si="55"/>
        <v>-210</v>
      </c>
      <c r="AA110" s="4">
        <f t="shared" si="56"/>
        <v>0</v>
      </c>
      <c r="AB110" s="13">
        <f t="shared" si="57"/>
        <v>87.783322499999997</v>
      </c>
      <c r="AC110" s="10">
        <f>SUM($E$4:E110)</f>
        <v>-3039.1453430677175</v>
      </c>
      <c r="AD110" s="20">
        <f>SUM($AB$4:AB110)</f>
        <v>3094.5453430677076</v>
      </c>
      <c r="AF110" s="28">
        <f t="shared" si="58"/>
        <v>25.8812</v>
      </c>
      <c r="AG110" s="2">
        <f t="shared" si="59"/>
        <v>32.3005</v>
      </c>
      <c r="AH110" s="2">
        <f t="shared" si="60"/>
        <v>8.411389999999999</v>
      </c>
      <c r="AI110" s="2">
        <f t="shared" si="81"/>
        <v>34.292589999999997</v>
      </c>
      <c r="AJ110" s="2">
        <f t="shared" si="82"/>
        <v>5.1438884999999992</v>
      </c>
      <c r="AK110" s="2">
        <f t="shared" si="61"/>
        <v>0.51762399999999997</v>
      </c>
      <c r="AL110" s="2">
        <f t="shared" si="62"/>
        <v>15.52872</v>
      </c>
      <c r="AM110" s="2">
        <f t="shared" si="83"/>
        <v>87.783322499999997</v>
      </c>
      <c r="AN110" s="2">
        <f t="shared" si="63"/>
        <v>80</v>
      </c>
      <c r="AO110" s="2">
        <f t="shared" si="64"/>
        <v>64.600999999999999</v>
      </c>
      <c r="AP110" s="2">
        <f t="shared" si="65"/>
        <v>137.17035999999999</v>
      </c>
      <c r="AQ110" s="2">
        <f t="shared" si="84"/>
        <v>217.17035999999999</v>
      </c>
      <c r="AR110" s="2">
        <f t="shared" si="85"/>
        <v>32.575553999999997</v>
      </c>
      <c r="AS110" s="2">
        <f t="shared" si="66"/>
        <v>0.51762399999999997</v>
      </c>
      <c r="AT110" s="2">
        <f t="shared" si="67"/>
        <v>15.52872</v>
      </c>
      <c r="AU110" s="2">
        <f t="shared" si="86"/>
        <v>330.393258</v>
      </c>
      <c r="AV110" s="2">
        <f t="shared" si="68"/>
        <v>25.8812</v>
      </c>
      <c r="AW110" s="2">
        <f t="shared" si="69"/>
        <v>12.920200000000001</v>
      </c>
      <c r="AX110" s="2">
        <f t="shared" si="70"/>
        <v>5.4350519999999998</v>
      </c>
      <c r="AY110" s="2">
        <f t="shared" si="87"/>
        <v>31.316251999999999</v>
      </c>
      <c r="AZ110" s="2">
        <f t="shared" si="88"/>
        <v>4.6974377999999994</v>
      </c>
      <c r="BA110" s="2">
        <f t="shared" si="71"/>
        <v>0.51762399999999997</v>
      </c>
      <c r="BB110" s="2">
        <f t="shared" si="72"/>
        <v>15.52872</v>
      </c>
      <c r="BC110" s="2">
        <f t="shared" si="89"/>
        <v>64.980233800000008</v>
      </c>
      <c r="BD110" s="2">
        <v>0</v>
      </c>
      <c r="BE110" s="2">
        <f t="shared" si="73"/>
        <v>258.81200000000001</v>
      </c>
      <c r="BF110" s="2">
        <f t="shared" si="74"/>
        <v>8.411389999999999</v>
      </c>
      <c r="BG110" s="2">
        <f t="shared" si="90"/>
        <v>8.411389999999999</v>
      </c>
      <c r="BH110" s="2">
        <f t="shared" si="91"/>
        <v>1.2617084999999999</v>
      </c>
      <c r="BI110" s="2">
        <f t="shared" si="75"/>
        <v>0.51762399999999997</v>
      </c>
      <c r="BJ110" s="2">
        <f t="shared" si="76"/>
        <v>15.52872</v>
      </c>
      <c r="BK110" s="2">
        <f t="shared" si="92"/>
        <v>284.53144250000003</v>
      </c>
      <c r="BL110" s="2">
        <f t="shared" si="77"/>
        <v>129610</v>
      </c>
      <c r="BM110" s="2">
        <f t="shared" si="78"/>
        <v>129202</v>
      </c>
      <c r="BN110" s="2">
        <f t="shared" si="93"/>
        <v>258812</v>
      </c>
    </row>
    <row r="111" spans="1:66" x14ac:dyDescent="0.25">
      <c r="A111" s="42">
        <v>108</v>
      </c>
      <c r="B111" s="43">
        <v>42759</v>
      </c>
      <c r="C111" s="42" t="s">
        <v>50</v>
      </c>
      <c r="D111" s="42" t="s">
        <v>154</v>
      </c>
      <c r="E111" s="6">
        <f t="shared" si="79"/>
        <v>-372.98360746875176</v>
      </c>
      <c r="F111" s="5" t="str">
        <f t="shared" si="94"/>
        <v>Loss</v>
      </c>
      <c r="G111" s="4">
        <f t="shared" si="95"/>
        <v>-307.80000000000177</v>
      </c>
      <c r="H111" s="46">
        <v>49</v>
      </c>
      <c r="I111" s="42">
        <v>1631</v>
      </c>
      <c r="J111" s="42">
        <v>10</v>
      </c>
      <c r="K111" s="42">
        <v>1631.6</v>
      </c>
      <c r="N111" s="5">
        <f>SUM(H111,J111,L111)</f>
        <v>59</v>
      </c>
      <c r="O111" s="4">
        <f>AVERAGE(M111,K111,I111)</f>
        <v>1631.3</v>
      </c>
      <c r="P111" s="5">
        <f>H111</f>
        <v>49</v>
      </c>
      <c r="Q111" s="42">
        <v>1625.8</v>
      </c>
      <c r="R111" s="2">
        <f t="shared" si="100"/>
        <v>10</v>
      </c>
      <c r="S111" s="42">
        <v>1626.3</v>
      </c>
      <c r="T111" s="2">
        <f>L111</f>
        <v>0</v>
      </c>
      <c r="V111" s="5">
        <f t="shared" si="98"/>
        <v>59</v>
      </c>
      <c r="W111" s="4">
        <f t="shared" si="99"/>
        <v>1626.05</v>
      </c>
      <c r="X111" s="14">
        <f>MAX(Q111,S111,U111)-MIN(I111,K111,M111)</f>
        <v>-4.7000000000000455</v>
      </c>
      <c r="Y111" s="5">
        <f>P111*(Q111-I111)</f>
        <v>-254.80000000000223</v>
      </c>
      <c r="Z111" s="2">
        <f t="shared" si="55"/>
        <v>-52.999999999999545</v>
      </c>
      <c r="AA111" s="4">
        <f>T111*(U111-M111)</f>
        <v>0</v>
      </c>
      <c r="AB111" s="13">
        <f t="shared" si="57"/>
        <v>65.183607468749997</v>
      </c>
      <c r="AC111" s="10">
        <f>SUM($E$4:E111)</f>
        <v>-3412.1289505364693</v>
      </c>
      <c r="AD111" s="20">
        <f>SUM($AB$4:AB111)</f>
        <v>3159.7289505364574</v>
      </c>
      <c r="AF111" s="28">
        <f t="shared" si="58"/>
        <v>19.218364999999999</v>
      </c>
      <c r="AG111" s="2">
        <f t="shared" si="59"/>
        <v>23.984237500000003</v>
      </c>
      <c r="AH111" s="2">
        <f t="shared" si="60"/>
        <v>6.2459686249999988</v>
      </c>
      <c r="AI111" s="2">
        <f t="shared" si="81"/>
        <v>25.464333624999998</v>
      </c>
      <c r="AJ111" s="2">
        <f t="shared" si="82"/>
        <v>3.8196500437499994</v>
      </c>
      <c r="AK111" s="2">
        <f t="shared" si="61"/>
        <v>0.38436730000000002</v>
      </c>
      <c r="AL111" s="2">
        <f t="shared" si="62"/>
        <v>11.531019000000001</v>
      </c>
      <c r="AM111" s="2">
        <f t="shared" si="83"/>
        <v>65.183607468749997</v>
      </c>
      <c r="AN111" s="2">
        <f t="shared" si="63"/>
        <v>80</v>
      </c>
      <c r="AO111" s="2">
        <f t="shared" si="64"/>
        <v>47.968475000000005</v>
      </c>
      <c r="AP111" s="2">
        <f t="shared" si="65"/>
        <v>101.85733449999999</v>
      </c>
      <c r="AQ111" s="2">
        <f t="shared" si="84"/>
        <v>181.85733449999998</v>
      </c>
      <c r="AR111" s="2">
        <f t="shared" si="85"/>
        <v>27.278600174999998</v>
      </c>
      <c r="AS111" s="2">
        <f t="shared" si="66"/>
        <v>0.38436730000000002</v>
      </c>
      <c r="AT111" s="2">
        <f t="shared" si="67"/>
        <v>11.531019000000001</v>
      </c>
      <c r="AU111" s="2">
        <f t="shared" si="86"/>
        <v>269.01979597500002</v>
      </c>
      <c r="AV111" s="2">
        <f t="shared" si="68"/>
        <v>19.218364999999999</v>
      </c>
      <c r="AW111" s="2">
        <f t="shared" si="69"/>
        <v>9.5936950000000003</v>
      </c>
      <c r="AX111" s="2">
        <f t="shared" si="70"/>
        <v>4.0358566499999995</v>
      </c>
      <c r="AY111" s="2">
        <f t="shared" si="87"/>
        <v>23.254221649999998</v>
      </c>
      <c r="AZ111" s="2">
        <f t="shared" si="88"/>
        <v>3.4881332474999995</v>
      </c>
      <c r="BA111" s="2">
        <f t="shared" si="71"/>
        <v>0.38436730000000002</v>
      </c>
      <c r="BB111" s="2">
        <f t="shared" si="72"/>
        <v>11.531019000000001</v>
      </c>
      <c r="BC111" s="2">
        <f t="shared" si="89"/>
        <v>48.251436197500006</v>
      </c>
      <c r="BD111" s="2">
        <v>0</v>
      </c>
      <c r="BE111" s="2">
        <f t="shared" si="73"/>
        <v>192.18365</v>
      </c>
      <c r="BF111" s="2">
        <f t="shared" si="74"/>
        <v>6.2459686249999988</v>
      </c>
      <c r="BG111" s="2">
        <f t="shared" si="90"/>
        <v>6.2459686249999988</v>
      </c>
      <c r="BH111" s="2">
        <f t="shared" si="91"/>
        <v>0.9368952937499998</v>
      </c>
      <c r="BI111" s="2">
        <f t="shared" si="75"/>
        <v>0.38436730000000002</v>
      </c>
      <c r="BJ111" s="2">
        <f t="shared" si="76"/>
        <v>11.531019000000001</v>
      </c>
      <c r="BK111" s="2">
        <f t="shared" si="92"/>
        <v>211.28190021875002</v>
      </c>
      <c r="BL111" s="2">
        <f t="shared" si="77"/>
        <v>96246.7</v>
      </c>
      <c r="BM111" s="2">
        <f t="shared" si="78"/>
        <v>95936.95</v>
      </c>
      <c r="BN111" s="2">
        <f t="shared" si="93"/>
        <v>192183.65</v>
      </c>
    </row>
    <row r="112" spans="1:66" x14ac:dyDescent="0.25">
      <c r="A112" s="42">
        <v>109</v>
      </c>
      <c r="B112" s="43">
        <v>42759</v>
      </c>
      <c r="C112" s="42" t="s">
        <v>50</v>
      </c>
      <c r="D112" s="42" t="s">
        <v>154</v>
      </c>
      <c r="E112" s="6">
        <f t="shared" si="79"/>
        <v>-137.35349587500261</v>
      </c>
      <c r="F112" s="5" t="str">
        <f t="shared" si="94"/>
        <v>Loss</v>
      </c>
      <c r="G112" s="4">
        <f t="shared" si="95"/>
        <v>-114.15000000000259</v>
      </c>
      <c r="H112" s="46">
        <v>15</v>
      </c>
      <c r="I112" s="42">
        <v>1631.65</v>
      </c>
      <c r="J112" s="42">
        <v>6</v>
      </c>
      <c r="K112" s="42">
        <v>1631.65</v>
      </c>
      <c r="N112" s="5">
        <f>SUM(H112,J112,L112)</f>
        <v>21</v>
      </c>
      <c r="O112" s="4">
        <f>AVERAGE(M112,K112,I112)</f>
        <v>1631.65</v>
      </c>
      <c r="P112" s="5">
        <f>H112</f>
        <v>15</v>
      </c>
      <c r="Q112" s="42">
        <v>1626.3</v>
      </c>
      <c r="R112" s="2">
        <f t="shared" si="100"/>
        <v>6</v>
      </c>
      <c r="S112" s="42">
        <v>1626</v>
      </c>
      <c r="T112" s="2">
        <f t="shared" si="80"/>
        <v>0</v>
      </c>
      <c r="V112" s="5">
        <f t="shared" si="98"/>
        <v>21</v>
      </c>
      <c r="W112" s="4">
        <f t="shared" si="99"/>
        <v>1626.15</v>
      </c>
      <c r="X112" s="14">
        <f>MAX(Q112,S112,U112)-MIN(I112,K112,M112)</f>
        <v>-5.3500000000001364</v>
      </c>
      <c r="Y112" s="5">
        <f>P112*(Q112-I112)</f>
        <v>-80.250000000002046</v>
      </c>
      <c r="Z112" s="2">
        <f t="shared" si="55"/>
        <v>-33.900000000000546</v>
      </c>
      <c r="AA112" s="4">
        <f t="shared" si="56"/>
        <v>0</v>
      </c>
      <c r="AB112" s="13">
        <f t="shared" si="57"/>
        <v>23.203495875000005</v>
      </c>
      <c r="AC112" s="10">
        <f>SUM($E$4:E112)</f>
        <v>-3549.4824464114718</v>
      </c>
      <c r="AD112" s="20">
        <f>SUM($AB$4:AB112)</f>
        <v>3182.9324464114575</v>
      </c>
      <c r="AF112" s="28">
        <f t="shared" si="58"/>
        <v>6.8413800000000009</v>
      </c>
      <c r="AG112" s="2">
        <f t="shared" si="59"/>
        <v>8.5372875000000015</v>
      </c>
      <c r="AH112" s="2">
        <f t="shared" si="60"/>
        <v>2.2234484999999999</v>
      </c>
      <c r="AI112" s="2">
        <f t="shared" si="81"/>
        <v>9.0648285000000008</v>
      </c>
      <c r="AJ112" s="2">
        <f t="shared" si="82"/>
        <v>1.359724275</v>
      </c>
      <c r="AK112" s="2">
        <f t="shared" si="61"/>
        <v>0.13682759999999999</v>
      </c>
      <c r="AL112" s="2">
        <f t="shared" si="62"/>
        <v>4.1048280000000004</v>
      </c>
      <c r="AM112" s="2">
        <f t="shared" si="83"/>
        <v>23.203495875000005</v>
      </c>
      <c r="AN112" s="2">
        <f t="shared" si="63"/>
        <v>80</v>
      </c>
      <c r="AO112" s="2">
        <f t="shared" si="64"/>
        <v>17.074575000000003</v>
      </c>
      <c r="AP112" s="2">
        <f t="shared" si="65"/>
        <v>36.259314000000003</v>
      </c>
      <c r="AQ112" s="2">
        <f t="shared" si="84"/>
        <v>116.259314</v>
      </c>
      <c r="AR112" s="2">
        <f t="shared" si="85"/>
        <v>17.438897099999998</v>
      </c>
      <c r="AS112" s="2">
        <f t="shared" si="66"/>
        <v>0.13682759999999999</v>
      </c>
      <c r="AT112" s="2">
        <f t="shared" si="67"/>
        <v>4.1048280000000004</v>
      </c>
      <c r="AU112" s="2">
        <f t="shared" si="86"/>
        <v>155.01444169999999</v>
      </c>
      <c r="AV112" s="2">
        <f t="shared" si="68"/>
        <v>6.8413800000000009</v>
      </c>
      <c r="AW112" s="2">
        <f t="shared" si="69"/>
        <v>3.4149150000000006</v>
      </c>
      <c r="AX112" s="2">
        <f t="shared" si="70"/>
        <v>1.4366897999999999</v>
      </c>
      <c r="AY112" s="2">
        <f t="shared" si="87"/>
        <v>8.2780698000000008</v>
      </c>
      <c r="AZ112" s="2">
        <f t="shared" si="88"/>
        <v>1.2417104700000001</v>
      </c>
      <c r="BA112" s="2">
        <f t="shared" si="71"/>
        <v>0.13682759999999999</v>
      </c>
      <c r="BB112" s="2">
        <f t="shared" si="72"/>
        <v>4.1048280000000004</v>
      </c>
      <c r="BC112" s="2">
        <f t="shared" si="89"/>
        <v>17.176350870000004</v>
      </c>
      <c r="BD112" s="2">
        <v>0</v>
      </c>
      <c r="BE112" s="2">
        <f t="shared" si="73"/>
        <v>68.413800000000009</v>
      </c>
      <c r="BF112" s="2">
        <f t="shared" si="74"/>
        <v>2.2234484999999999</v>
      </c>
      <c r="BG112" s="2">
        <f t="shared" si="90"/>
        <v>2.2234484999999999</v>
      </c>
      <c r="BH112" s="2">
        <f t="shared" si="91"/>
        <v>0.333517275</v>
      </c>
      <c r="BI112" s="2">
        <f t="shared" si="75"/>
        <v>0.13682759999999999</v>
      </c>
      <c r="BJ112" s="2">
        <f t="shared" si="76"/>
        <v>4.1048280000000004</v>
      </c>
      <c r="BK112" s="2">
        <f t="shared" si="92"/>
        <v>75.212421375000019</v>
      </c>
      <c r="BL112" s="2">
        <f t="shared" si="77"/>
        <v>34264.65</v>
      </c>
      <c r="BM112" s="2">
        <f t="shared" si="78"/>
        <v>34149.15</v>
      </c>
      <c r="BN112" s="2">
        <f t="shared" si="93"/>
        <v>68413.8</v>
      </c>
    </row>
    <row r="113" spans="1:66" x14ac:dyDescent="0.25">
      <c r="A113" s="42">
        <v>110</v>
      </c>
      <c r="B113" s="43">
        <v>42759</v>
      </c>
      <c r="C113" s="42" t="s">
        <v>50</v>
      </c>
      <c r="D113" s="42" t="s">
        <v>154</v>
      </c>
      <c r="E113" s="6">
        <f t="shared" si="79"/>
        <v>2979.9192499999999</v>
      </c>
      <c r="F113" s="5" t="str">
        <f t="shared" si="94"/>
        <v>Win</v>
      </c>
      <c r="G113" s="4">
        <f t="shared" si="95"/>
        <v>3070</v>
      </c>
      <c r="H113" s="46">
        <v>13</v>
      </c>
      <c r="I113" s="42">
        <v>1635</v>
      </c>
      <c r="J113" s="42">
        <v>67</v>
      </c>
      <c r="K113" s="42">
        <v>1635</v>
      </c>
      <c r="N113" s="5">
        <f t="shared" si="96"/>
        <v>80</v>
      </c>
      <c r="O113" s="4">
        <f t="shared" si="97"/>
        <v>1635</v>
      </c>
      <c r="P113" s="5">
        <f t="shared" si="52"/>
        <v>13</v>
      </c>
      <c r="Q113" s="42">
        <v>1665</v>
      </c>
      <c r="R113" s="2">
        <f t="shared" si="100"/>
        <v>67</v>
      </c>
      <c r="S113" s="42">
        <v>1675</v>
      </c>
      <c r="T113" s="2">
        <f t="shared" si="80"/>
        <v>0</v>
      </c>
      <c r="V113" s="5">
        <f t="shared" si="98"/>
        <v>80</v>
      </c>
      <c r="W113" s="4">
        <f t="shared" si="99"/>
        <v>1670</v>
      </c>
      <c r="X113" s="14">
        <f t="shared" si="53"/>
        <v>40</v>
      </c>
      <c r="Y113" s="5">
        <f t="shared" si="54"/>
        <v>390</v>
      </c>
      <c r="Z113" s="2">
        <f t="shared" si="55"/>
        <v>2680</v>
      </c>
      <c r="AA113" s="4">
        <f t="shared" si="56"/>
        <v>0</v>
      </c>
      <c r="AB113" s="13">
        <f t="shared" si="57"/>
        <v>90.080750000000009</v>
      </c>
      <c r="AC113" s="10">
        <f>SUM($E$4:E113)</f>
        <v>-569.56319641147184</v>
      </c>
      <c r="AD113" s="20">
        <f>SUM($AB$4:AB113)</f>
        <v>3273.0131964114576</v>
      </c>
      <c r="AF113" s="28">
        <f t="shared" si="58"/>
        <v>26.44</v>
      </c>
      <c r="AG113" s="2">
        <f t="shared" si="59"/>
        <v>33.4</v>
      </c>
      <c r="AH113" s="2">
        <f t="shared" si="60"/>
        <v>8.593</v>
      </c>
      <c r="AI113" s="2">
        <f t="shared" si="81"/>
        <v>35.033000000000001</v>
      </c>
      <c r="AJ113" s="2">
        <f t="shared" si="82"/>
        <v>5.25495</v>
      </c>
      <c r="AK113" s="2">
        <f t="shared" si="61"/>
        <v>0.52880000000000005</v>
      </c>
      <c r="AL113" s="2">
        <f t="shared" si="62"/>
        <v>15.864000000000001</v>
      </c>
      <c r="AM113" s="2">
        <f t="shared" si="83"/>
        <v>90.080750000000009</v>
      </c>
      <c r="AN113" s="2">
        <f t="shared" si="63"/>
        <v>80</v>
      </c>
      <c r="AO113" s="2">
        <f t="shared" si="64"/>
        <v>66.8</v>
      </c>
      <c r="AP113" s="2">
        <f t="shared" si="65"/>
        <v>140.13200000000001</v>
      </c>
      <c r="AQ113" s="2">
        <f t="shared" si="84"/>
        <v>220.13200000000001</v>
      </c>
      <c r="AR113" s="2">
        <f t="shared" si="85"/>
        <v>33.019799999999996</v>
      </c>
      <c r="AS113" s="2">
        <f t="shared" si="66"/>
        <v>0.52880000000000005</v>
      </c>
      <c r="AT113" s="2">
        <f t="shared" si="67"/>
        <v>15.864000000000001</v>
      </c>
      <c r="AU113" s="2">
        <f t="shared" si="86"/>
        <v>336.34459999999996</v>
      </c>
      <c r="AV113" s="2">
        <f t="shared" si="68"/>
        <v>26.44</v>
      </c>
      <c r="AW113" s="2">
        <f t="shared" si="69"/>
        <v>13.36</v>
      </c>
      <c r="AX113" s="2">
        <f t="shared" si="70"/>
        <v>5.5523999999999996</v>
      </c>
      <c r="AY113" s="2">
        <f t="shared" si="87"/>
        <v>31.9924</v>
      </c>
      <c r="AZ113" s="2">
        <f t="shared" si="88"/>
        <v>4.7988599999999995</v>
      </c>
      <c r="BA113" s="2">
        <f t="shared" si="71"/>
        <v>0.52880000000000005</v>
      </c>
      <c r="BB113" s="2">
        <f t="shared" si="72"/>
        <v>15.864000000000001</v>
      </c>
      <c r="BC113" s="2">
        <f t="shared" si="89"/>
        <v>66.544059999999988</v>
      </c>
      <c r="BD113" s="2">
        <v>0</v>
      </c>
      <c r="BE113" s="2">
        <f t="shared" si="73"/>
        <v>264.39999999999998</v>
      </c>
      <c r="BF113" s="2">
        <f t="shared" si="74"/>
        <v>8.593</v>
      </c>
      <c r="BG113" s="2">
        <f t="shared" si="90"/>
        <v>8.593</v>
      </c>
      <c r="BH113" s="2">
        <f t="shared" si="91"/>
        <v>1.28895</v>
      </c>
      <c r="BI113" s="2">
        <f t="shared" si="75"/>
        <v>0.52880000000000005</v>
      </c>
      <c r="BJ113" s="2">
        <f t="shared" si="76"/>
        <v>15.864000000000001</v>
      </c>
      <c r="BK113" s="2">
        <f t="shared" si="92"/>
        <v>290.67474999999996</v>
      </c>
      <c r="BL113" s="2">
        <f t="shared" si="77"/>
        <v>130800</v>
      </c>
      <c r="BM113" s="2">
        <f t="shared" si="78"/>
        <v>133600</v>
      </c>
      <c r="BN113" s="2">
        <f t="shared" si="93"/>
        <v>264400</v>
      </c>
    </row>
    <row r="114" spans="1:66" x14ac:dyDescent="0.25">
      <c r="A114" s="42">
        <v>111</v>
      </c>
      <c r="B114" s="43">
        <v>42759</v>
      </c>
      <c r="C114" s="42" t="s">
        <v>50</v>
      </c>
      <c r="D114" s="42" t="s">
        <v>154</v>
      </c>
      <c r="E114" s="6">
        <f t="shared" si="79"/>
        <v>-91.76700000000001</v>
      </c>
      <c r="F114" s="5" t="str">
        <f t="shared" si="94"/>
        <v>Break Even</v>
      </c>
      <c r="G114" s="4">
        <f t="shared" si="95"/>
        <v>0</v>
      </c>
      <c r="H114" s="46">
        <v>80</v>
      </c>
      <c r="I114" s="42">
        <v>1690</v>
      </c>
      <c r="N114" s="5">
        <f t="shared" si="96"/>
        <v>80</v>
      </c>
      <c r="O114" s="4">
        <f t="shared" si="97"/>
        <v>1690</v>
      </c>
      <c r="P114" s="5">
        <f t="shared" si="52"/>
        <v>80</v>
      </c>
      <c r="Q114" s="42">
        <v>1690</v>
      </c>
      <c r="R114" s="2">
        <f t="shared" si="100"/>
        <v>0</v>
      </c>
      <c r="T114" s="2">
        <f t="shared" si="80"/>
        <v>0</v>
      </c>
      <c r="V114" s="5">
        <f t="shared" si="98"/>
        <v>80</v>
      </c>
      <c r="W114" s="4">
        <f t="shared" si="99"/>
        <v>1690</v>
      </c>
      <c r="X114" s="14">
        <f t="shared" si="53"/>
        <v>0</v>
      </c>
      <c r="Y114" s="5">
        <f t="shared" si="54"/>
        <v>0</v>
      </c>
      <c r="Z114" s="2">
        <f t="shared" si="55"/>
        <v>0</v>
      </c>
      <c r="AA114" s="4">
        <f t="shared" si="56"/>
        <v>0</v>
      </c>
      <c r="AB114" s="13">
        <f t="shared" si="57"/>
        <v>91.76700000000001</v>
      </c>
      <c r="AC114" s="10">
        <f>SUM($E$4:E114)</f>
        <v>-661.33019641147189</v>
      </c>
      <c r="AD114" s="20">
        <f>SUM($AB$4:AB114)</f>
        <v>3364.7801964114574</v>
      </c>
      <c r="AF114" s="28">
        <f t="shared" si="58"/>
        <v>27.040000000000003</v>
      </c>
      <c r="AG114" s="2">
        <f t="shared" si="59"/>
        <v>33.799999999999997</v>
      </c>
      <c r="AH114" s="2">
        <f t="shared" si="60"/>
        <v>8.7879999999999985</v>
      </c>
      <c r="AI114" s="2">
        <f t="shared" si="81"/>
        <v>35.828000000000003</v>
      </c>
      <c r="AJ114" s="2">
        <f t="shared" si="82"/>
        <v>5.3742000000000001</v>
      </c>
      <c r="AK114" s="2">
        <f t="shared" si="61"/>
        <v>0.54080000000000006</v>
      </c>
      <c r="AL114" s="2">
        <f t="shared" si="62"/>
        <v>16.224</v>
      </c>
      <c r="AM114" s="2">
        <f t="shared" si="83"/>
        <v>91.76700000000001</v>
      </c>
      <c r="AN114" s="2">
        <f t="shared" si="63"/>
        <v>40</v>
      </c>
      <c r="AO114" s="2">
        <f t="shared" si="64"/>
        <v>67.599999999999994</v>
      </c>
      <c r="AP114" s="2">
        <f t="shared" si="65"/>
        <v>143.31199999999998</v>
      </c>
      <c r="AQ114" s="2">
        <f t="shared" si="84"/>
        <v>183.31199999999998</v>
      </c>
      <c r="AR114" s="2">
        <f t="shared" si="85"/>
        <v>27.496799999999997</v>
      </c>
      <c r="AS114" s="2">
        <f t="shared" si="66"/>
        <v>0.54080000000000006</v>
      </c>
      <c r="AT114" s="2">
        <f t="shared" si="67"/>
        <v>16.224</v>
      </c>
      <c r="AU114" s="2">
        <f t="shared" si="86"/>
        <v>295.17359999999996</v>
      </c>
      <c r="AV114" s="2">
        <f t="shared" si="68"/>
        <v>27.040000000000003</v>
      </c>
      <c r="AW114" s="2">
        <f t="shared" si="69"/>
        <v>13.52</v>
      </c>
      <c r="AX114" s="2">
        <f t="shared" si="70"/>
        <v>5.6783999999999999</v>
      </c>
      <c r="AY114" s="2">
        <f t="shared" si="87"/>
        <v>32.718400000000003</v>
      </c>
      <c r="AZ114" s="2">
        <f t="shared" si="88"/>
        <v>4.9077600000000006</v>
      </c>
      <c r="BA114" s="2">
        <f t="shared" si="71"/>
        <v>0.54080000000000006</v>
      </c>
      <c r="BB114" s="2">
        <f t="shared" si="72"/>
        <v>16.224</v>
      </c>
      <c r="BC114" s="2">
        <f t="shared" si="89"/>
        <v>67.910960000000003</v>
      </c>
      <c r="BD114" s="2">
        <v>0</v>
      </c>
      <c r="BE114" s="2">
        <f t="shared" si="73"/>
        <v>270.39999999999998</v>
      </c>
      <c r="BF114" s="2">
        <f t="shared" si="74"/>
        <v>8.7879999999999985</v>
      </c>
      <c r="BG114" s="2">
        <f t="shared" si="90"/>
        <v>8.7879999999999985</v>
      </c>
      <c r="BH114" s="2">
        <f t="shared" si="91"/>
        <v>1.3181999999999998</v>
      </c>
      <c r="BI114" s="2">
        <f t="shared" si="75"/>
        <v>0.54080000000000006</v>
      </c>
      <c r="BJ114" s="2">
        <f t="shared" si="76"/>
        <v>16.224</v>
      </c>
      <c r="BK114" s="2">
        <f t="shared" si="92"/>
        <v>297.27099999999996</v>
      </c>
      <c r="BL114" s="2">
        <f t="shared" si="77"/>
        <v>135200</v>
      </c>
      <c r="BM114" s="2">
        <f t="shared" si="78"/>
        <v>135200</v>
      </c>
      <c r="BN114" s="2">
        <f t="shared" si="93"/>
        <v>270400</v>
      </c>
    </row>
    <row r="115" spans="1:66" x14ac:dyDescent="0.25">
      <c r="A115" s="42">
        <v>112</v>
      </c>
      <c r="B115" s="43">
        <v>42760</v>
      </c>
      <c r="C115" s="42" t="s">
        <v>122</v>
      </c>
      <c r="D115" s="42" t="s">
        <v>124</v>
      </c>
      <c r="E115" s="6">
        <f t="shared" si="79"/>
        <v>-575.22283750000008</v>
      </c>
      <c r="F115" s="5" t="str">
        <f t="shared" si="94"/>
        <v>Loss</v>
      </c>
      <c r="G115" s="4">
        <f t="shared" si="95"/>
        <v>-525.00000000000011</v>
      </c>
      <c r="H115" s="46">
        <v>3500</v>
      </c>
      <c r="I115" s="42">
        <v>0.75</v>
      </c>
      <c r="N115" s="5">
        <f t="shared" si="96"/>
        <v>3500</v>
      </c>
      <c r="O115" s="4">
        <f t="shared" si="97"/>
        <v>0.75</v>
      </c>
      <c r="P115" s="5">
        <f t="shared" si="52"/>
        <v>3500</v>
      </c>
      <c r="Q115" s="42">
        <v>0.6</v>
      </c>
      <c r="R115" s="2">
        <f t="shared" si="100"/>
        <v>0</v>
      </c>
      <c r="T115" s="2">
        <f t="shared" si="80"/>
        <v>0</v>
      </c>
      <c r="V115" s="5">
        <f t="shared" si="98"/>
        <v>3500</v>
      </c>
      <c r="W115" s="4">
        <f t="shared" si="99"/>
        <v>0.6</v>
      </c>
      <c r="X115" s="14">
        <f t="shared" si="53"/>
        <v>-0.15000000000000002</v>
      </c>
      <c r="Y115" s="5">
        <f t="shared" si="54"/>
        <v>-525.00000000000011</v>
      </c>
      <c r="Z115" s="2">
        <f t="shared" si="55"/>
        <v>0</v>
      </c>
      <c r="AA115" s="4">
        <f t="shared" si="56"/>
        <v>0</v>
      </c>
      <c r="AB115" s="13">
        <f t="shared" si="57"/>
        <v>50.22283749999999</v>
      </c>
      <c r="AC115" s="10">
        <f>SUM($E$4:E115)</f>
        <v>-1236.5530339114721</v>
      </c>
      <c r="AD115" s="20">
        <f>SUM($AB$4:AB115)</f>
        <v>3415.0030339114574</v>
      </c>
      <c r="AF115" s="28">
        <f t="shared" si="58"/>
        <v>0.47250000000000003</v>
      </c>
      <c r="AG115" s="2">
        <f t="shared" si="59"/>
        <v>0.52500000000000002</v>
      </c>
      <c r="AH115" s="2">
        <f t="shared" si="60"/>
        <v>0.15356249999999999</v>
      </c>
      <c r="AI115" s="2">
        <f t="shared" si="81"/>
        <v>0.62606249999999997</v>
      </c>
      <c r="AJ115" s="2">
        <f t="shared" si="82"/>
        <v>9.3909374999999989E-2</v>
      </c>
      <c r="AK115" s="2">
        <f t="shared" si="61"/>
        <v>9.4500000000000001E-3</v>
      </c>
      <c r="AL115" s="2">
        <f t="shared" si="62"/>
        <v>0.28350000000000003</v>
      </c>
      <c r="AM115" s="2">
        <f t="shared" si="83"/>
        <v>1.5379218750000001</v>
      </c>
      <c r="AN115" s="2">
        <f t="shared" si="63"/>
        <v>40</v>
      </c>
      <c r="AO115" s="2">
        <f t="shared" si="64"/>
        <v>1.05</v>
      </c>
      <c r="AP115" s="2">
        <f t="shared" si="65"/>
        <v>2.5042499999999999</v>
      </c>
      <c r="AQ115" s="2">
        <f t="shared" si="84"/>
        <v>42.504249999999999</v>
      </c>
      <c r="AR115" s="2">
        <f t="shared" si="85"/>
        <v>6.3756374999999998</v>
      </c>
      <c r="AS115" s="2">
        <f t="shared" si="66"/>
        <v>9.4500000000000001E-3</v>
      </c>
      <c r="AT115" s="2">
        <f t="shared" si="67"/>
        <v>0.28350000000000003</v>
      </c>
      <c r="AU115" s="2">
        <f t="shared" si="86"/>
        <v>50.22283749999999</v>
      </c>
      <c r="AV115" s="2">
        <f t="shared" si="68"/>
        <v>0.47250000000000003</v>
      </c>
      <c r="AW115" s="2">
        <f t="shared" si="69"/>
        <v>0.21000000000000002</v>
      </c>
      <c r="AX115" s="2">
        <f t="shared" si="70"/>
        <v>9.9224999999999994E-2</v>
      </c>
      <c r="AY115" s="2">
        <f t="shared" si="87"/>
        <v>0.57172500000000004</v>
      </c>
      <c r="AZ115" s="2">
        <f t="shared" si="88"/>
        <v>8.5758750000000009E-2</v>
      </c>
      <c r="BA115" s="2">
        <f t="shared" si="71"/>
        <v>9.4500000000000001E-3</v>
      </c>
      <c r="BB115" s="2">
        <f t="shared" si="72"/>
        <v>0.28350000000000003</v>
      </c>
      <c r="BC115" s="2">
        <f t="shared" si="89"/>
        <v>1.1604337500000002</v>
      </c>
      <c r="BD115" s="2">
        <v>0</v>
      </c>
      <c r="BE115" s="2">
        <f t="shared" si="73"/>
        <v>4.7250000000000005</v>
      </c>
      <c r="BF115" s="2">
        <f t="shared" si="74"/>
        <v>0.15356249999999999</v>
      </c>
      <c r="BG115" s="2">
        <f t="shared" si="90"/>
        <v>0.15356249999999999</v>
      </c>
      <c r="BH115" s="2">
        <f t="shared" si="91"/>
        <v>2.3034374999999999E-2</v>
      </c>
      <c r="BI115" s="2">
        <f t="shared" si="75"/>
        <v>9.4500000000000001E-3</v>
      </c>
      <c r="BJ115" s="2">
        <f t="shared" si="76"/>
        <v>0.28350000000000003</v>
      </c>
      <c r="BK115" s="2">
        <f t="shared" si="92"/>
        <v>5.1945468750000003</v>
      </c>
      <c r="BL115" s="2">
        <f t="shared" si="77"/>
        <v>2625</v>
      </c>
      <c r="BM115" s="2">
        <f t="shared" si="78"/>
        <v>2100</v>
      </c>
      <c r="BN115" s="2">
        <f t="shared" si="93"/>
        <v>4725</v>
      </c>
    </row>
    <row r="116" spans="1:66" x14ac:dyDescent="0.25">
      <c r="A116" s="42">
        <v>113</v>
      </c>
      <c r="B116" s="43">
        <v>42760</v>
      </c>
      <c r="C116" s="42" t="s">
        <v>122</v>
      </c>
      <c r="D116" s="42" t="s">
        <v>131</v>
      </c>
      <c r="E116" s="6">
        <f t="shared" si="79"/>
        <v>-2399.1406000000002</v>
      </c>
      <c r="F116" s="5" t="str">
        <f t="shared" si="94"/>
        <v>Loss</v>
      </c>
      <c r="G116" s="4">
        <f t="shared" si="95"/>
        <v>-2300</v>
      </c>
      <c r="H116" s="46">
        <v>1000</v>
      </c>
      <c r="I116" s="42">
        <v>1.9</v>
      </c>
      <c r="J116" s="42">
        <v>2000</v>
      </c>
      <c r="K116" s="42">
        <v>1.7</v>
      </c>
      <c r="N116" s="5">
        <f t="shared" si="96"/>
        <v>3000</v>
      </c>
      <c r="O116" s="4">
        <f t="shared" si="97"/>
        <v>1.7999999999999998</v>
      </c>
      <c r="P116" s="5">
        <f t="shared" si="52"/>
        <v>1000</v>
      </c>
      <c r="Q116" s="42">
        <v>1</v>
      </c>
      <c r="R116" s="2">
        <f t="shared" si="100"/>
        <v>2000</v>
      </c>
      <c r="S116" s="42">
        <v>1</v>
      </c>
      <c r="T116" s="2">
        <f t="shared" si="80"/>
        <v>0</v>
      </c>
      <c r="V116" s="5">
        <f t="shared" si="98"/>
        <v>3000</v>
      </c>
      <c r="W116" s="4">
        <f t="shared" si="99"/>
        <v>1</v>
      </c>
      <c r="X116" s="14">
        <f t="shared" si="53"/>
        <v>-0.7</v>
      </c>
      <c r="Y116" s="5">
        <f t="shared" si="54"/>
        <v>-899.99999999999989</v>
      </c>
      <c r="Z116" s="2">
        <f t="shared" si="55"/>
        <v>-1400</v>
      </c>
      <c r="AA116" s="4">
        <f t="shared" si="56"/>
        <v>0</v>
      </c>
      <c r="AB116" s="13">
        <f t="shared" si="57"/>
        <v>99.140600000000006</v>
      </c>
      <c r="AC116" s="10">
        <f>SUM($E$4:E116)</f>
        <v>-3635.6936339114723</v>
      </c>
      <c r="AD116" s="20">
        <f>SUM($AB$4:AB116)</f>
        <v>3514.1436339114575</v>
      </c>
      <c r="AF116" s="28">
        <f t="shared" si="58"/>
        <v>0.84000000000000008</v>
      </c>
      <c r="AG116" s="2">
        <f t="shared" si="59"/>
        <v>0.75</v>
      </c>
      <c r="AH116" s="2">
        <f t="shared" si="60"/>
        <v>0.27299999999999996</v>
      </c>
      <c r="AI116" s="2">
        <f t="shared" si="81"/>
        <v>1.113</v>
      </c>
      <c r="AJ116" s="2">
        <f t="shared" si="82"/>
        <v>0.16694999999999999</v>
      </c>
      <c r="AK116" s="2">
        <f t="shared" si="61"/>
        <v>1.6800000000000002E-2</v>
      </c>
      <c r="AL116" s="2">
        <f t="shared" si="62"/>
        <v>0.504</v>
      </c>
      <c r="AM116" s="2">
        <f t="shared" si="83"/>
        <v>2.5507499999999999</v>
      </c>
      <c r="AN116" s="2">
        <f t="shared" si="63"/>
        <v>80</v>
      </c>
      <c r="AO116" s="2">
        <f t="shared" si="64"/>
        <v>1.5</v>
      </c>
      <c r="AP116" s="2">
        <f t="shared" si="65"/>
        <v>4.452</v>
      </c>
      <c r="AQ116" s="2">
        <f t="shared" si="84"/>
        <v>84.451999999999998</v>
      </c>
      <c r="AR116" s="2">
        <f t="shared" si="85"/>
        <v>12.6678</v>
      </c>
      <c r="AS116" s="2">
        <f t="shared" si="66"/>
        <v>1.6800000000000002E-2</v>
      </c>
      <c r="AT116" s="2">
        <f t="shared" si="67"/>
        <v>0.504</v>
      </c>
      <c r="AU116" s="2">
        <f t="shared" si="86"/>
        <v>99.140600000000006</v>
      </c>
      <c r="AV116" s="2">
        <f t="shared" si="68"/>
        <v>0.84000000000000008</v>
      </c>
      <c r="AW116" s="2">
        <f t="shared" si="69"/>
        <v>0.3</v>
      </c>
      <c r="AX116" s="2">
        <f t="shared" si="70"/>
        <v>0.1764</v>
      </c>
      <c r="AY116" s="2">
        <f t="shared" si="87"/>
        <v>1.0164</v>
      </c>
      <c r="AZ116" s="2">
        <f t="shared" si="88"/>
        <v>0.15245999999999998</v>
      </c>
      <c r="BA116" s="2">
        <f t="shared" si="71"/>
        <v>1.6800000000000002E-2</v>
      </c>
      <c r="BB116" s="2">
        <f t="shared" si="72"/>
        <v>0.504</v>
      </c>
      <c r="BC116" s="2">
        <f t="shared" si="89"/>
        <v>1.9896600000000002</v>
      </c>
      <c r="BD116" s="2">
        <v>0</v>
      </c>
      <c r="BE116" s="2">
        <f t="shared" si="73"/>
        <v>8.4</v>
      </c>
      <c r="BF116" s="2">
        <f t="shared" si="74"/>
        <v>0.27299999999999996</v>
      </c>
      <c r="BG116" s="2">
        <f t="shared" si="90"/>
        <v>0.27299999999999996</v>
      </c>
      <c r="BH116" s="2">
        <f t="shared" si="91"/>
        <v>4.0949999999999993E-2</v>
      </c>
      <c r="BI116" s="2">
        <f t="shared" si="75"/>
        <v>1.6800000000000002E-2</v>
      </c>
      <c r="BJ116" s="2">
        <f t="shared" si="76"/>
        <v>0.504</v>
      </c>
      <c r="BK116" s="2">
        <f t="shared" si="92"/>
        <v>9.23475</v>
      </c>
      <c r="BL116" s="2">
        <f t="shared" si="77"/>
        <v>5399.9999999999991</v>
      </c>
      <c r="BM116" s="2">
        <f t="shared" si="78"/>
        <v>3000</v>
      </c>
      <c r="BN116" s="2">
        <f t="shared" si="93"/>
        <v>8400</v>
      </c>
    </row>
    <row r="117" spans="1:66" x14ac:dyDescent="0.25">
      <c r="A117" s="42">
        <v>114</v>
      </c>
      <c r="B117" s="43">
        <v>42760</v>
      </c>
      <c r="C117" s="42" t="s">
        <v>122</v>
      </c>
      <c r="D117" s="42" t="s">
        <v>131</v>
      </c>
      <c r="E117" s="6">
        <f t="shared" si="79"/>
        <v>-501.83117499999969</v>
      </c>
      <c r="F117" s="5" t="str">
        <f t="shared" si="94"/>
        <v>Loss</v>
      </c>
      <c r="G117" s="4">
        <f t="shared" si="95"/>
        <v>-449.99999999999972</v>
      </c>
      <c r="H117" s="46">
        <v>3000</v>
      </c>
      <c r="I117" s="42">
        <v>1.1499999999999999</v>
      </c>
      <c r="N117" s="5">
        <f t="shared" si="96"/>
        <v>3000</v>
      </c>
      <c r="O117" s="4">
        <f t="shared" si="97"/>
        <v>1.1499999999999999</v>
      </c>
      <c r="P117" s="5">
        <f t="shared" si="52"/>
        <v>3000</v>
      </c>
      <c r="Q117" s="42">
        <v>1</v>
      </c>
      <c r="R117" s="2">
        <f t="shared" si="100"/>
        <v>0</v>
      </c>
      <c r="T117" s="2">
        <f t="shared" si="80"/>
        <v>0</v>
      </c>
      <c r="V117" s="5">
        <f t="shared" si="98"/>
        <v>3000</v>
      </c>
      <c r="W117" s="4">
        <f t="shared" si="99"/>
        <v>1</v>
      </c>
      <c r="X117" s="14">
        <f t="shared" si="53"/>
        <v>-0.14999999999999991</v>
      </c>
      <c r="Y117" s="5">
        <f t="shared" si="54"/>
        <v>-449.99999999999972</v>
      </c>
      <c r="Z117" s="2">
        <f t="shared" si="55"/>
        <v>0</v>
      </c>
      <c r="AA117" s="4">
        <f t="shared" si="56"/>
        <v>0</v>
      </c>
      <c r="AB117" s="13">
        <f t="shared" si="57"/>
        <v>51.831175000000002</v>
      </c>
      <c r="AC117" s="10">
        <f>SUM($E$4:E117)</f>
        <v>-4137.5248089114721</v>
      </c>
      <c r="AD117" s="20">
        <f>SUM($AB$4:AB117)</f>
        <v>3565.9748089114573</v>
      </c>
      <c r="AF117" s="28">
        <f t="shared" si="58"/>
        <v>0.64500000000000002</v>
      </c>
      <c r="AG117" s="2">
        <f t="shared" si="59"/>
        <v>0.75</v>
      </c>
      <c r="AH117" s="2">
        <f t="shared" si="60"/>
        <v>0.20962499999999998</v>
      </c>
      <c r="AI117" s="2">
        <f t="shared" si="81"/>
        <v>0.85462499999999997</v>
      </c>
      <c r="AJ117" s="2">
        <f t="shared" si="82"/>
        <v>0.12819375</v>
      </c>
      <c r="AK117" s="2">
        <f t="shared" si="61"/>
        <v>1.2899999999999998E-2</v>
      </c>
      <c r="AL117" s="2">
        <f t="shared" si="62"/>
        <v>0.38700000000000001</v>
      </c>
      <c r="AM117" s="2">
        <f t="shared" si="83"/>
        <v>2.1327187499999996</v>
      </c>
      <c r="AN117" s="2">
        <f t="shared" si="63"/>
        <v>40</v>
      </c>
      <c r="AO117" s="2">
        <f t="shared" si="64"/>
        <v>1.5</v>
      </c>
      <c r="AP117" s="2">
        <f t="shared" si="65"/>
        <v>3.4184999999999999</v>
      </c>
      <c r="AQ117" s="2">
        <f t="shared" si="84"/>
        <v>43.418500000000002</v>
      </c>
      <c r="AR117" s="2">
        <f t="shared" si="85"/>
        <v>6.5127750000000004</v>
      </c>
      <c r="AS117" s="2">
        <f t="shared" si="66"/>
        <v>1.2899999999999998E-2</v>
      </c>
      <c r="AT117" s="2">
        <f t="shared" si="67"/>
        <v>0.38700000000000001</v>
      </c>
      <c r="AU117" s="2">
        <f t="shared" si="86"/>
        <v>51.831175000000002</v>
      </c>
      <c r="AV117" s="2">
        <f t="shared" si="68"/>
        <v>0.64500000000000002</v>
      </c>
      <c r="AW117" s="2">
        <f t="shared" si="69"/>
        <v>0.3</v>
      </c>
      <c r="AX117" s="2">
        <f t="shared" si="70"/>
        <v>0.13544999999999999</v>
      </c>
      <c r="AY117" s="2">
        <f t="shared" si="87"/>
        <v>0.78044999999999998</v>
      </c>
      <c r="AZ117" s="2">
        <f t="shared" si="88"/>
        <v>0.11706749999999999</v>
      </c>
      <c r="BA117" s="2">
        <f t="shared" si="71"/>
        <v>1.2899999999999998E-2</v>
      </c>
      <c r="BB117" s="2">
        <f t="shared" si="72"/>
        <v>0.38700000000000001</v>
      </c>
      <c r="BC117" s="2">
        <f t="shared" si="89"/>
        <v>1.5974174999999999</v>
      </c>
      <c r="BD117" s="2">
        <v>0</v>
      </c>
      <c r="BE117" s="2">
        <f t="shared" si="73"/>
        <v>6.45</v>
      </c>
      <c r="BF117" s="2">
        <f t="shared" si="74"/>
        <v>0.20962499999999998</v>
      </c>
      <c r="BG117" s="2">
        <f t="shared" si="90"/>
        <v>0.20962499999999998</v>
      </c>
      <c r="BH117" s="2">
        <f t="shared" si="91"/>
        <v>3.1443749999999993E-2</v>
      </c>
      <c r="BI117" s="2">
        <f t="shared" si="75"/>
        <v>1.2899999999999998E-2</v>
      </c>
      <c r="BJ117" s="2">
        <f t="shared" si="76"/>
        <v>0.38700000000000001</v>
      </c>
      <c r="BK117" s="2">
        <f t="shared" si="92"/>
        <v>7.09096875</v>
      </c>
      <c r="BL117" s="2">
        <f t="shared" si="77"/>
        <v>3449.9999999999995</v>
      </c>
      <c r="BM117" s="2">
        <f t="shared" si="78"/>
        <v>3000</v>
      </c>
      <c r="BN117" s="2">
        <f t="shared" si="93"/>
        <v>6450</v>
      </c>
    </row>
    <row r="118" spans="1:66" x14ac:dyDescent="0.25">
      <c r="A118" s="42">
        <v>115</v>
      </c>
      <c r="B118" s="43">
        <v>42760</v>
      </c>
      <c r="C118" s="42" t="s">
        <v>122</v>
      </c>
      <c r="D118" s="42" t="s">
        <v>131</v>
      </c>
      <c r="E118" s="6">
        <f t="shared" si="79"/>
        <v>4741.0048000000006</v>
      </c>
      <c r="F118" s="5" t="str">
        <f t="shared" si="94"/>
        <v>Win</v>
      </c>
      <c r="G118" s="4">
        <f t="shared" si="95"/>
        <v>4800.0000000000009</v>
      </c>
      <c r="H118" s="46">
        <v>4000</v>
      </c>
      <c r="I118" s="42">
        <v>1</v>
      </c>
      <c r="N118" s="5">
        <f t="shared" si="96"/>
        <v>4000</v>
      </c>
      <c r="O118" s="4">
        <f t="shared" si="97"/>
        <v>1</v>
      </c>
      <c r="P118" s="5">
        <f t="shared" si="52"/>
        <v>4000</v>
      </c>
      <c r="Q118" s="42">
        <v>2.2000000000000002</v>
      </c>
      <c r="R118" s="2">
        <f t="shared" si="100"/>
        <v>0</v>
      </c>
      <c r="T118" s="2">
        <f t="shared" si="80"/>
        <v>0</v>
      </c>
      <c r="V118" s="5">
        <f t="shared" si="98"/>
        <v>4000</v>
      </c>
      <c r="W118" s="4">
        <f t="shared" si="99"/>
        <v>2.2000000000000002</v>
      </c>
      <c r="X118" s="14">
        <f t="shared" si="53"/>
        <v>1.2000000000000002</v>
      </c>
      <c r="Y118" s="5">
        <f t="shared" si="54"/>
        <v>4800.0000000000009</v>
      </c>
      <c r="Z118" s="2">
        <f t="shared" si="55"/>
        <v>0</v>
      </c>
      <c r="AA118" s="4">
        <f t="shared" si="56"/>
        <v>0</v>
      </c>
      <c r="AB118" s="13">
        <f t="shared" si="57"/>
        <v>58.995199999999997</v>
      </c>
      <c r="AC118" s="10">
        <f>SUM($E$4:E118)</f>
        <v>603.47999108852855</v>
      </c>
      <c r="AD118" s="20">
        <f>SUM($AB$4:AB118)</f>
        <v>3624.9700089114572</v>
      </c>
      <c r="AF118" s="28">
        <f t="shared" si="58"/>
        <v>1.28</v>
      </c>
      <c r="AG118" s="2">
        <f t="shared" si="59"/>
        <v>2.2000000000000002</v>
      </c>
      <c r="AH118" s="2">
        <f t="shared" si="60"/>
        <v>0.41599999999999998</v>
      </c>
      <c r="AI118" s="2">
        <f t="shared" si="81"/>
        <v>1.696</v>
      </c>
      <c r="AJ118" s="2">
        <f t="shared" si="82"/>
        <v>0.25439999999999996</v>
      </c>
      <c r="AK118" s="2">
        <f t="shared" si="61"/>
        <v>2.5600000000000001E-2</v>
      </c>
      <c r="AL118" s="2">
        <f t="shared" si="62"/>
        <v>0.76800000000000002</v>
      </c>
      <c r="AM118" s="2">
        <f t="shared" si="83"/>
        <v>4.944</v>
      </c>
      <c r="AN118" s="2">
        <f t="shared" si="63"/>
        <v>40</v>
      </c>
      <c r="AO118" s="2">
        <f t="shared" si="64"/>
        <v>4.4000000000000004</v>
      </c>
      <c r="AP118" s="2">
        <f t="shared" si="65"/>
        <v>6.7839999999999998</v>
      </c>
      <c r="AQ118" s="2">
        <f t="shared" si="84"/>
        <v>46.783999999999999</v>
      </c>
      <c r="AR118" s="2">
        <f t="shared" si="85"/>
        <v>7.0175999999999998</v>
      </c>
      <c r="AS118" s="2">
        <f t="shared" si="66"/>
        <v>2.5600000000000001E-2</v>
      </c>
      <c r="AT118" s="2">
        <f t="shared" si="67"/>
        <v>0.76800000000000002</v>
      </c>
      <c r="AU118" s="2">
        <f t="shared" si="86"/>
        <v>58.995199999999997</v>
      </c>
      <c r="AV118" s="2">
        <f t="shared" si="68"/>
        <v>1.28</v>
      </c>
      <c r="AW118" s="2">
        <f t="shared" si="69"/>
        <v>0.88000000000000012</v>
      </c>
      <c r="AX118" s="2">
        <f t="shared" si="70"/>
        <v>0.26879999999999998</v>
      </c>
      <c r="AY118" s="2">
        <f t="shared" si="87"/>
        <v>1.5488</v>
      </c>
      <c r="AZ118" s="2">
        <f t="shared" si="88"/>
        <v>0.23231999999999997</v>
      </c>
      <c r="BA118" s="2">
        <f t="shared" si="71"/>
        <v>2.5600000000000001E-2</v>
      </c>
      <c r="BB118" s="2">
        <f t="shared" si="72"/>
        <v>0.76800000000000002</v>
      </c>
      <c r="BC118" s="2">
        <f t="shared" si="89"/>
        <v>3.45472</v>
      </c>
      <c r="BD118" s="2">
        <v>0</v>
      </c>
      <c r="BE118" s="2">
        <f t="shared" si="73"/>
        <v>12.8</v>
      </c>
      <c r="BF118" s="2">
        <f t="shared" si="74"/>
        <v>0.41599999999999998</v>
      </c>
      <c r="BG118" s="2">
        <f t="shared" si="90"/>
        <v>0.41599999999999998</v>
      </c>
      <c r="BH118" s="2">
        <f t="shared" si="91"/>
        <v>6.2399999999999997E-2</v>
      </c>
      <c r="BI118" s="2">
        <f t="shared" si="75"/>
        <v>2.5600000000000001E-2</v>
      </c>
      <c r="BJ118" s="2">
        <f t="shared" si="76"/>
        <v>0.76800000000000002</v>
      </c>
      <c r="BK118" s="2">
        <f t="shared" si="92"/>
        <v>14.072000000000003</v>
      </c>
      <c r="BL118" s="2">
        <f t="shared" si="77"/>
        <v>4000</v>
      </c>
      <c r="BM118" s="2">
        <f t="shared" si="78"/>
        <v>8800</v>
      </c>
      <c r="BN118" s="2">
        <f t="shared" si="93"/>
        <v>12800</v>
      </c>
    </row>
    <row r="119" spans="1:66" x14ac:dyDescent="0.25">
      <c r="A119" s="42">
        <v>116</v>
      </c>
      <c r="B119" s="43">
        <v>42765</v>
      </c>
      <c r="C119" s="42" t="s">
        <v>50</v>
      </c>
      <c r="D119" s="42" t="s">
        <v>20</v>
      </c>
      <c r="E119" s="6">
        <f t="shared" si="79"/>
        <v>163.55805208333305</v>
      </c>
      <c r="F119" s="5" t="str">
        <f t="shared" si="94"/>
        <v>Win</v>
      </c>
      <c r="G119" s="4">
        <f t="shared" si="95"/>
        <v>230.2999999999997</v>
      </c>
      <c r="H119" s="46">
        <v>150</v>
      </c>
      <c r="I119" s="42">
        <v>98</v>
      </c>
      <c r="J119" s="42">
        <v>406</v>
      </c>
      <c r="K119" s="42">
        <v>98</v>
      </c>
      <c r="L119" s="42">
        <v>444</v>
      </c>
      <c r="M119" s="44">
        <v>98</v>
      </c>
      <c r="N119" s="5">
        <f t="shared" si="96"/>
        <v>1000</v>
      </c>
      <c r="O119" s="4">
        <f t="shared" si="97"/>
        <v>98</v>
      </c>
      <c r="P119" s="5">
        <f t="shared" si="52"/>
        <v>150</v>
      </c>
      <c r="Q119" s="42">
        <v>99.4</v>
      </c>
      <c r="R119" s="2">
        <f t="shared" si="100"/>
        <v>406</v>
      </c>
      <c r="S119" s="42">
        <v>98.05</v>
      </c>
      <c r="T119" s="2">
        <f t="shared" si="80"/>
        <v>444</v>
      </c>
      <c r="U119" s="44">
        <v>98</v>
      </c>
      <c r="V119" s="5">
        <f t="shared" si="98"/>
        <v>1000</v>
      </c>
      <c r="W119" s="4">
        <f t="shared" si="99"/>
        <v>98.483333333333334</v>
      </c>
      <c r="X119" s="14">
        <f t="shared" si="53"/>
        <v>1.4000000000000057</v>
      </c>
      <c r="Y119" s="5">
        <f t="shared" si="54"/>
        <v>210.00000000000085</v>
      </c>
      <c r="Z119" s="2">
        <f t="shared" si="55"/>
        <v>20.299999999998846</v>
      </c>
      <c r="AA119" s="4">
        <f t="shared" si="56"/>
        <v>0</v>
      </c>
      <c r="AB119" s="13">
        <f t="shared" si="57"/>
        <v>66.74194791666666</v>
      </c>
      <c r="AC119" s="10">
        <f>SUM($E$4:E119)</f>
        <v>767.03804317186155</v>
      </c>
      <c r="AD119" s="20">
        <f>SUM($AB$4:AB119)</f>
        <v>3691.7119568281237</v>
      </c>
      <c r="AF119" s="28">
        <f t="shared" si="58"/>
        <v>19.648333333333333</v>
      </c>
      <c r="AG119" s="2">
        <f t="shared" si="59"/>
        <v>24.620833333333334</v>
      </c>
      <c r="AH119" s="2">
        <f t="shared" si="60"/>
        <v>6.3857083333333318</v>
      </c>
      <c r="AI119" s="2">
        <f t="shared" si="81"/>
        <v>26.034041666666667</v>
      </c>
      <c r="AJ119" s="2">
        <f t="shared" si="82"/>
        <v>3.9051062499999998</v>
      </c>
      <c r="AK119" s="2">
        <f t="shared" si="61"/>
        <v>0.39296666666666658</v>
      </c>
      <c r="AL119" s="2">
        <f t="shared" si="62"/>
        <v>11.789</v>
      </c>
      <c r="AM119" s="2">
        <f t="shared" si="83"/>
        <v>66.74194791666666</v>
      </c>
      <c r="AN119" s="2">
        <f t="shared" si="63"/>
        <v>120</v>
      </c>
      <c r="AO119" s="2">
        <f t="shared" si="64"/>
        <v>49.241666666666667</v>
      </c>
      <c r="AP119" s="2">
        <f t="shared" si="65"/>
        <v>104.13616666666665</v>
      </c>
      <c r="AQ119" s="2">
        <f t="shared" si="84"/>
        <v>224.13616666666667</v>
      </c>
      <c r="AR119" s="2">
        <f t="shared" si="85"/>
        <v>33.620424999999997</v>
      </c>
      <c r="AS119" s="2">
        <f t="shared" si="66"/>
        <v>0.39296666666666658</v>
      </c>
      <c r="AT119" s="2">
        <f t="shared" si="67"/>
        <v>11.789</v>
      </c>
      <c r="AU119" s="2">
        <f t="shared" si="86"/>
        <v>319.18022500000001</v>
      </c>
      <c r="AV119" s="2">
        <f t="shared" si="68"/>
        <v>19.648333333333333</v>
      </c>
      <c r="AW119" s="2">
        <f t="shared" si="69"/>
        <v>9.8483333333333345</v>
      </c>
      <c r="AX119" s="2">
        <f t="shared" si="70"/>
        <v>4.1261499999999991</v>
      </c>
      <c r="AY119" s="2">
        <f t="shared" si="87"/>
        <v>23.774483333333333</v>
      </c>
      <c r="AZ119" s="2">
        <f t="shared" si="88"/>
        <v>3.5661725</v>
      </c>
      <c r="BA119" s="2">
        <f t="shared" si="71"/>
        <v>0.39296666666666658</v>
      </c>
      <c r="BB119" s="2">
        <f t="shared" si="72"/>
        <v>11.789</v>
      </c>
      <c r="BC119" s="2">
        <f t="shared" si="89"/>
        <v>49.370955833333333</v>
      </c>
      <c r="BD119" s="2">
        <v>0</v>
      </c>
      <c r="BE119" s="2">
        <f t="shared" si="73"/>
        <v>196.48333333333332</v>
      </c>
      <c r="BF119" s="2">
        <f t="shared" si="74"/>
        <v>6.3857083333333318</v>
      </c>
      <c r="BG119" s="2">
        <f t="shared" si="90"/>
        <v>6.3857083333333318</v>
      </c>
      <c r="BH119" s="2">
        <f t="shared" si="91"/>
        <v>0.95785624999999974</v>
      </c>
      <c r="BI119" s="2">
        <f t="shared" si="75"/>
        <v>0.39296666666666658</v>
      </c>
      <c r="BJ119" s="2">
        <f t="shared" si="76"/>
        <v>11.789</v>
      </c>
      <c r="BK119" s="2">
        <f t="shared" si="92"/>
        <v>216.00886458333329</v>
      </c>
      <c r="BL119" s="2">
        <f t="shared" si="77"/>
        <v>98000</v>
      </c>
      <c r="BM119" s="2">
        <f t="shared" si="78"/>
        <v>98483.333333333328</v>
      </c>
      <c r="BN119" s="2">
        <f t="shared" si="93"/>
        <v>196483.33333333331</v>
      </c>
    </row>
    <row r="120" spans="1:66" x14ac:dyDescent="0.25">
      <c r="A120" s="42">
        <v>117</v>
      </c>
      <c r="B120" s="43">
        <v>42765</v>
      </c>
      <c r="C120" s="42" t="s">
        <v>50</v>
      </c>
      <c r="D120" s="42" t="s">
        <v>20</v>
      </c>
      <c r="E120" s="6">
        <f t="shared" si="79"/>
        <v>-2066.94625</v>
      </c>
      <c r="F120" s="5" t="str">
        <f t="shared" si="94"/>
        <v>Loss</v>
      </c>
      <c r="G120" s="4">
        <f t="shared" si="95"/>
        <v>-2000</v>
      </c>
      <c r="H120" s="46">
        <v>1000</v>
      </c>
      <c r="I120" s="42">
        <v>100</v>
      </c>
      <c r="N120" s="5">
        <f t="shared" si="96"/>
        <v>1000</v>
      </c>
      <c r="O120" s="4">
        <f t="shared" si="97"/>
        <v>100</v>
      </c>
      <c r="P120" s="5">
        <f t="shared" si="52"/>
        <v>1000</v>
      </c>
      <c r="Q120" s="42">
        <v>98</v>
      </c>
      <c r="R120" s="2">
        <f t="shared" si="100"/>
        <v>0</v>
      </c>
      <c r="T120" s="2">
        <f t="shared" si="80"/>
        <v>0</v>
      </c>
      <c r="V120" s="5">
        <f t="shared" si="98"/>
        <v>1000</v>
      </c>
      <c r="W120" s="4">
        <f t="shared" si="99"/>
        <v>98</v>
      </c>
      <c r="X120" s="14">
        <f t="shared" si="53"/>
        <v>-2</v>
      </c>
      <c r="Y120" s="5">
        <f t="shared" si="54"/>
        <v>-2000</v>
      </c>
      <c r="Z120" s="2">
        <f t="shared" si="55"/>
        <v>0</v>
      </c>
      <c r="AA120" s="4">
        <f t="shared" si="56"/>
        <v>0</v>
      </c>
      <c r="AB120" s="13">
        <f t="shared" si="57"/>
        <v>66.946249999999992</v>
      </c>
      <c r="AC120" s="10">
        <f>SUM($E$4:E120)</f>
        <v>-1299.9082068281384</v>
      </c>
      <c r="AD120" s="20">
        <f>SUM($AB$4:AB120)</f>
        <v>3758.6582068281236</v>
      </c>
      <c r="AF120" s="28">
        <f t="shared" si="58"/>
        <v>19.8</v>
      </c>
      <c r="AG120" s="2">
        <f t="shared" si="59"/>
        <v>24.5</v>
      </c>
      <c r="AH120" s="2">
        <f t="shared" si="60"/>
        <v>6.4349999999999996</v>
      </c>
      <c r="AI120" s="2">
        <f t="shared" si="81"/>
        <v>26.234999999999999</v>
      </c>
      <c r="AJ120" s="2">
        <f t="shared" si="82"/>
        <v>3.9352499999999999</v>
      </c>
      <c r="AK120" s="2">
        <f t="shared" si="61"/>
        <v>0.39600000000000002</v>
      </c>
      <c r="AL120" s="2">
        <f t="shared" si="62"/>
        <v>11.88</v>
      </c>
      <c r="AM120" s="2">
        <f t="shared" si="83"/>
        <v>66.946249999999992</v>
      </c>
      <c r="AN120" s="2">
        <f t="shared" si="63"/>
        <v>40</v>
      </c>
      <c r="AO120" s="2">
        <f t="shared" si="64"/>
        <v>49</v>
      </c>
      <c r="AP120" s="2">
        <f t="shared" si="65"/>
        <v>104.94</v>
      </c>
      <c r="AQ120" s="2">
        <f t="shared" si="84"/>
        <v>144.94</v>
      </c>
      <c r="AR120" s="2">
        <f t="shared" si="85"/>
        <v>21.741</v>
      </c>
      <c r="AS120" s="2">
        <f t="shared" si="66"/>
        <v>0.39600000000000002</v>
      </c>
      <c r="AT120" s="2">
        <f t="shared" si="67"/>
        <v>11.88</v>
      </c>
      <c r="AU120" s="2">
        <f t="shared" si="86"/>
        <v>227.95699999999997</v>
      </c>
      <c r="AV120" s="2">
        <f t="shared" si="68"/>
        <v>19.8</v>
      </c>
      <c r="AW120" s="2">
        <f t="shared" si="69"/>
        <v>9.8000000000000007</v>
      </c>
      <c r="AX120" s="2">
        <f t="shared" si="70"/>
        <v>4.1579999999999995</v>
      </c>
      <c r="AY120" s="2">
        <f t="shared" si="87"/>
        <v>23.957999999999998</v>
      </c>
      <c r="AZ120" s="2">
        <f t="shared" si="88"/>
        <v>3.5936999999999997</v>
      </c>
      <c r="BA120" s="2">
        <f t="shared" si="71"/>
        <v>0.39600000000000002</v>
      </c>
      <c r="BB120" s="2">
        <f t="shared" si="72"/>
        <v>11.88</v>
      </c>
      <c r="BC120" s="2">
        <f t="shared" si="89"/>
        <v>49.627700000000004</v>
      </c>
      <c r="BD120" s="2">
        <v>0</v>
      </c>
      <c r="BE120" s="2">
        <f t="shared" si="73"/>
        <v>198</v>
      </c>
      <c r="BF120" s="2">
        <f t="shared" si="74"/>
        <v>6.4349999999999996</v>
      </c>
      <c r="BG120" s="2">
        <f t="shared" si="90"/>
        <v>6.4349999999999996</v>
      </c>
      <c r="BH120" s="2">
        <f t="shared" si="91"/>
        <v>0.96524999999999994</v>
      </c>
      <c r="BI120" s="2">
        <f t="shared" si="75"/>
        <v>0.39600000000000002</v>
      </c>
      <c r="BJ120" s="2">
        <f t="shared" si="76"/>
        <v>11.88</v>
      </c>
      <c r="BK120" s="2">
        <f t="shared" si="92"/>
        <v>217.67624999999998</v>
      </c>
      <c r="BL120" s="2">
        <f t="shared" si="77"/>
        <v>100000</v>
      </c>
      <c r="BM120" s="2">
        <f t="shared" si="78"/>
        <v>98000</v>
      </c>
      <c r="BN120" s="2">
        <f t="shared" si="93"/>
        <v>198000</v>
      </c>
    </row>
    <row r="121" spans="1:66" x14ac:dyDescent="0.25">
      <c r="A121" s="42">
        <v>118</v>
      </c>
      <c r="B121" s="43">
        <v>42765</v>
      </c>
      <c r="C121" s="42" t="s">
        <v>50</v>
      </c>
      <c r="D121" s="42" t="s">
        <v>20</v>
      </c>
      <c r="E121" s="6">
        <f t="shared" si="79"/>
        <v>-3099.4012499999999</v>
      </c>
      <c r="F121" s="5" t="str">
        <f t="shared" si="94"/>
        <v>Loss</v>
      </c>
      <c r="G121" s="4">
        <f t="shared" si="95"/>
        <v>-3000</v>
      </c>
      <c r="H121" s="46">
        <v>1500</v>
      </c>
      <c r="I121" s="42">
        <v>99</v>
      </c>
      <c r="N121" s="5">
        <f t="shared" si="96"/>
        <v>1500</v>
      </c>
      <c r="O121" s="4">
        <f t="shared" si="97"/>
        <v>99</v>
      </c>
      <c r="P121" s="5">
        <f t="shared" si="52"/>
        <v>1500</v>
      </c>
      <c r="Q121" s="42">
        <v>97</v>
      </c>
      <c r="R121" s="2">
        <f t="shared" si="100"/>
        <v>0</v>
      </c>
      <c r="T121" s="2">
        <f t="shared" si="80"/>
        <v>0</v>
      </c>
      <c r="V121" s="5">
        <f t="shared" si="98"/>
        <v>1500</v>
      </c>
      <c r="W121" s="4">
        <f t="shared" si="99"/>
        <v>97</v>
      </c>
      <c r="X121" s="14">
        <f t="shared" si="53"/>
        <v>-2</v>
      </c>
      <c r="Y121" s="5">
        <f t="shared" si="54"/>
        <v>-3000</v>
      </c>
      <c r="Z121" s="2">
        <f t="shared" si="55"/>
        <v>0</v>
      </c>
      <c r="AA121" s="4">
        <f t="shared" si="56"/>
        <v>0</v>
      </c>
      <c r="AB121" s="13">
        <f t="shared" si="57"/>
        <v>99.401250000000005</v>
      </c>
      <c r="AC121" s="10">
        <f>SUM($E$4:E121)</f>
        <v>-4399.3094568281385</v>
      </c>
      <c r="AD121" s="20">
        <f>SUM($AB$4:AB121)</f>
        <v>3858.0594568281235</v>
      </c>
      <c r="AF121" s="28">
        <f t="shared" si="58"/>
        <v>29.400000000000002</v>
      </c>
      <c r="AG121" s="2">
        <f t="shared" si="59"/>
        <v>36.375</v>
      </c>
      <c r="AH121" s="2">
        <f t="shared" si="60"/>
        <v>9.5549999999999997</v>
      </c>
      <c r="AI121" s="2">
        <f t="shared" si="81"/>
        <v>38.954999999999998</v>
      </c>
      <c r="AJ121" s="2">
        <f t="shared" si="82"/>
        <v>5.8432499999999994</v>
      </c>
      <c r="AK121" s="2">
        <f t="shared" si="61"/>
        <v>0.58799999999999997</v>
      </c>
      <c r="AL121" s="2">
        <f t="shared" si="62"/>
        <v>17.64</v>
      </c>
      <c r="AM121" s="2">
        <f t="shared" si="83"/>
        <v>99.401250000000005</v>
      </c>
      <c r="AN121" s="2">
        <f t="shared" si="63"/>
        <v>40</v>
      </c>
      <c r="AO121" s="2">
        <f t="shared" si="64"/>
        <v>72.75</v>
      </c>
      <c r="AP121" s="2">
        <f t="shared" si="65"/>
        <v>155.82</v>
      </c>
      <c r="AQ121" s="2">
        <f t="shared" si="84"/>
        <v>195.82</v>
      </c>
      <c r="AR121" s="2">
        <f t="shared" si="85"/>
        <v>29.372999999999998</v>
      </c>
      <c r="AS121" s="2">
        <f t="shared" si="66"/>
        <v>0.58799999999999997</v>
      </c>
      <c r="AT121" s="2">
        <f t="shared" si="67"/>
        <v>17.64</v>
      </c>
      <c r="AU121" s="2">
        <f t="shared" si="86"/>
        <v>316.17099999999999</v>
      </c>
      <c r="AV121" s="2">
        <f t="shared" si="68"/>
        <v>29.400000000000002</v>
      </c>
      <c r="AW121" s="2">
        <f t="shared" si="69"/>
        <v>14.549999999999999</v>
      </c>
      <c r="AX121" s="2">
        <f t="shared" si="70"/>
        <v>6.1739999999999995</v>
      </c>
      <c r="AY121" s="2">
        <f t="shared" si="87"/>
        <v>35.573999999999998</v>
      </c>
      <c r="AZ121" s="2">
        <f t="shared" si="88"/>
        <v>5.3360999999999992</v>
      </c>
      <c r="BA121" s="2">
        <f t="shared" si="71"/>
        <v>0.58799999999999997</v>
      </c>
      <c r="BB121" s="2">
        <f t="shared" si="72"/>
        <v>17.64</v>
      </c>
      <c r="BC121" s="2">
        <f t="shared" si="89"/>
        <v>73.688100000000006</v>
      </c>
      <c r="BD121" s="2">
        <v>0</v>
      </c>
      <c r="BE121" s="2">
        <f t="shared" si="73"/>
        <v>294</v>
      </c>
      <c r="BF121" s="2">
        <f t="shared" si="74"/>
        <v>9.5549999999999997</v>
      </c>
      <c r="BG121" s="2">
        <f t="shared" si="90"/>
        <v>9.5549999999999997</v>
      </c>
      <c r="BH121" s="2">
        <f t="shared" si="91"/>
        <v>1.4332499999999999</v>
      </c>
      <c r="BI121" s="2">
        <f t="shared" si="75"/>
        <v>0.58799999999999997</v>
      </c>
      <c r="BJ121" s="2">
        <f t="shared" si="76"/>
        <v>17.64</v>
      </c>
      <c r="BK121" s="2">
        <f t="shared" si="92"/>
        <v>323.21625</v>
      </c>
      <c r="BL121" s="2">
        <f t="shared" si="77"/>
        <v>148500</v>
      </c>
      <c r="BM121" s="2">
        <f t="shared" si="78"/>
        <v>145500</v>
      </c>
      <c r="BN121" s="2">
        <f t="shared" si="93"/>
        <v>294000</v>
      </c>
    </row>
    <row r="122" spans="1:66" x14ac:dyDescent="0.25">
      <c r="A122" s="42">
        <v>119</v>
      </c>
      <c r="B122" s="43">
        <v>42765</v>
      </c>
      <c r="C122" s="42" t="s">
        <v>50</v>
      </c>
      <c r="D122" s="42" t="s">
        <v>20</v>
      </c>
      <c r="E122" s="6">
        <f t="shared" si="79"/>
        <v>-1215.8137812500056</v>
      </c>
      <c r="F122" s="5" t="str">
        <f t="shared" si="94"/>
        <v>Loss</v>
      </c>
      <c r="G122" s="4">
        <f t="shared" si="95"/>
        <v>-1150.0000000000057</v>
      </c>
      <c r="H122" s="46">
        <v>1000</v>
      </c>
      <c r="I122" s="42">
        <v>97.75</v>
      </c>
      <c r="N122" s="5">
        <f t="shared" si="96"/>
        <v>1000</v>
      </c>
      <c r="O122" s="4">
        <f t="shared" si="97"/>
        <v>97.75</v>
      </c>
      <c r="P122" s="5">
        <f t="shared" si="52"/>
        <v>1000</v>
      </c>
      <c r="Q122" s="42">
        <v>96.6</v>
      </c>
      <c r="R122" s="2">
        <f t="shared" si="100"/>
        <v>0</v>
      </c>
      <c r="T122" s="2">
        <f t="shared" si="80"/>
        <v>0</v>
      </c>
      <c r="V122" s="5">
        <f t="shared" si="98"/>
        <v>1000</v>
      </c>
      <c r="W122" s="4">
        <f t="shared" si="99"/>
        <v>96.6</v>
      </c>
      <c r="X122" s="14">
        <f t="shared" si="53"/>
        <v>-1.1500000000000057</v>
      </c>
      <c r="Y122" s="5">
        <f t="shared" si="54"/>
        <v>-1150.0000000000057</v>
      </c>
      <c r="Z122" s="2">
        <f t="shared" si="55"/>
        <v>0</v>
      </c>
      <c r="AA122" s="4">
        <f t="shared" si="56"/>
        <v>0</v>
      </c>
      <c r="AB122" s="13">
        <f t="shared" si="57"/>
        <v>65.813781250000005</v>
      </c>
      <c r="AC122" s="10">
        <f>SUM($E$4:E122)</f>
        <v>-5615.1232380781439</v>
      </c>
      <c r="AD122" s="20">
        <f>SUM($AB$4:AB122)</f>
        <v>3923.8732380781234</v>
      </c>
      <c r="AF122" s="28">
        <f t="shared" si="58"/>
        <v>19.435000000000002</v>
      </c>
      <c r="AG122" s="2">
        <f t="shared" si="59"/>
        <v>24.15</v>
      </c>
      <c r="AH122" s="2">
        <f t="shared" si="60"/>
        <v>6.3163749999999999</v>
      </c>
      <c r="AI122" s="2">
        <f t="shared" si="81"/>
        <v>25.751375000000003</v>
      </c>
      <c r="AJ122" s="2">
        <f t="shared" si="82"/>
        <v>3.8627062500000005</v>
      </c>
      <c r="AK122" s="2">
        <f t="shared" si="61"/>
        <v>0.38870000000000005</v>
      </c>
      <c r="AL122" s="2">
        <f t="shared" si="62"/>
        <v>11.661</v>
      </c>
      <c r="AM122" s="2">
        <f t="shared" si="83"/>
        <v>65.813781250000005</v>
      </c>
      <c r="AN122" s="2">
        <f t="shared" si="63"/>
        <v>40</v>
      </c>
      <c r="AO122" s="2">
        <f t="shared" si="64"/>
        <v>48.3</v>
      </c>
      <c r="AP122" s="2">
        <f t="shared" si="65"/>
        <v>103.0055</v>
      </c>
      <c r="AQ122" s="2">
        <f t="shared" si="84"/>
        <v>143.00549999999998</v>
      </c>
      <c r="AR122" s="2">
        <f t="shared" si="85"/>
        <v>21.450824999999998</v>
      </c>
      <c r="AS122" s="2">
        <f t="shared" si="66"/>
        <v>0.38870000000000005</v>
      </c>
      <c r="AT122" s="2">
        <f t="shared" si="67"/>
        <v>11.661</v>
      </c>
      <c r="AU122" s="2">
        <f t="shared" si="86"/>
        <v>224.80602500000001</v>
      </c>
      <c r="AV122" s="2">
        <f t="shared" si="68"/>
        <v>19.435000000000002</v>
      </c>
      <c r="AW122" s="2">
        <f t="shared" si="69"/>
        <v>9.66</v>
      </c>
      <c r="AX122" s="2">
        <f t="shared" si="70"/>
        <v>4.0813499999999996</v>
      </c>
      <c r="AY122" s="2">
        <f t="shared" si="87"/>
        <v>23.516350000000003</v>
      </c>
      <c r="AZ122" s="2">
        <f t="shared" si="88"/>
        <v>3.5274525000000003</v>
      </c>
      <c r="BA122" s="2">
        <f t="shared" si="71"/>
        <v>0.38870000000000005</v>
      </c>
      <c r="BB122" s="2">
        <f t="shared" si="72"/>
        <v>11.661</v>
      </c>
      <c r="BC122" s="2">
        <f t="shared" si="89"/>
        <v>48.753502500000003</v>
      </c>
      <c r="BD122" s="2">
        <v>0</v>
      </c>
      <c r="BE122" s="2">
        <f t="shared" si="73"/>
        <v>194.35</v>
      </c>
      <c r="BF122" s="2">
        <f t="shared" si="74"/>
        <v>6.3163749999999999</v>
      </c>
      <c r="BG122" s="2">
        <f t="shared" si="90"/>
        <v>6.3163749999999999</v>
      </c>
      <c r="BH122" s="2">
        <f t="shared" si="91"/>
        <v>0.94745624999999989</v>
      </c>
      <c r="BI122" s="2">
        <f t="shared" si="75"/>
        <v>0.38870000000000005</v>
      </c>
      <c r="BJ122" s="2">
        <f t="shared" si="76"/>
        <v>11.661</v>
      </c>
      <c r="BK122" s="2">
        <f t="shared" si="92"/>
        <v>213.66353124999998</v>
      </c>
      <c r="BL122" s="2">
        <f t="shared" si="77"/>
        <v>97750</v>
      </c>
      <c r="BM122" s="2">
        <f t="shared" si="78"/>
        <v>96600</v>
      </c>
      <c r="BN122" s="2">
        <f t="shared" si="93"/>
        <v>194350</v>
      </c>
    </row>
    <row r="123" spans="1:66" x14ac:dyDescent="0.25">
      <c r="A123" s="42">
        <v>120</v>
      </c>
      <c r="B123" s="43">
        <v>42766</v>
      </c>
      <c r="C123" s="42" t="s">
        <v>50</v>
      </c>
      <c r="D123" s="42" t="s">
        <v>20</v>
      </c>
      <c r="E123" s="6">
        <f t="shared" si="79"/>
        <v>459.81132499999319</v>
      </c>
      <c r="F123" s="5" t="str">
        <f t="shared" si="94"/>
        <v>Win</v>
      </c>
      <c r="G123" s="4">
        <f t="shared" si="95"/>
        <v>519.99999999999318</v>
      </c>
      <c r="H123" s="46">
        <v>800</v>
      </c>
      <c r="I123" s="42">
        <v>110.4</v>
      </c>
      <c r="N123" s="5">
        <f t="shared" si="96"/>
        <v>800</v>
      </c>
      <c r="O123" s="4">
        <f t="shared" si="97"/>
        <v>110.4</v>
      </c>
      <c r="P123" s="5">
        <f t="shared" si="52"/>
        <v>800</v>
      </c>
      <c r="Q123" s="42">
        <v>111.05</v>
      </c>
      <c r="R123" s="2">
        <f t="shared" si="100"/>
        <v>0</v>
      </c>
      <c r="T123" s="2">
        <f t="shared" si="80"/>
        <v>0</v>
      </c>
      <c r="V123" s="5">
        <f t="shared" si="98"/>
        <v>800</v>
      </c>
      <c r="W123" s="4">
        <f t="shared" si="99"/>
        <v>111.05</v>
      </c>
      <c r="X123" s="14">
        <f t="shared" si="53"/>
        <v>0.64999999999999147</v>
      </c>
      <c r="Y123" s="5">
        <f t="shared" si="54"/>
        <v>519.99999999999318</v>
      </c>
      <c r="Z123" s="2">
        <f t="shared" si="55"/>
        <v>0</v>
      </c>
      <c r="AA123" s="4">
        <f t="shared" si="56"/>
        <v>0</v>
      </c>
      <c r="AB123" s="13">
        <f t="shared" si="57"/>
        <v>60.188675000000003</v>
      </c>
      <c r="AC123" s="10">
        <f>SUM($E$4:E123)</f>
        <v>-5155.3119130781506</v>
      </c>
      <c r="AD123" s="20">
        <f>SUM($AB$4:AB123)</f>
        <v>3984.0619130781233</v>
      </c>
      <c r="AF123" s="28">
        <f t="shared" si="58"/>
        <v>17.716000000000001</v>
      </c>
      <c r="AG123" s="2">
        <f t="shared" si="59"/>
        <v>22.21</v>
      </c>
      <c r="AH123" s="2">
        <f t="shared" si="60"/>
        <v>5.7576999999999998</v>
      </c>
      <c r="AI123" s="2">
        <f t="shared" si="81"/>
        <v>23.473700000000001</v>
      </c>
      <c r="AJ123" s="2">
        <f t="shared" si="82"/>
        <v>3.521055</v>
      </c>
      <c r="AK123" s="2">
        <f t="shared" si="61"/>
        <v>0.35431999999999997</v>
      </c>
      <c r="AL123" s="2">
        <f t="shared" si="62"/>
        <v>10.6296</v>
      </c>
      <c r="AM123" s="2">
        <f t="shared" si="83"/>
        <v>60.188675000000003</v>
      </c>
      <c r="AN123" s="2">
        <f t="shared" si="63"/>
        <v>40</v>
      </c>
      <c r="AO123" s="2">
        <f t="shared" si="64"/>
        <v>44.42</v>
      </c>
      <c r="AP123" s="2">
        <f t="shared" si="65"/>
        <v>93.894800000000004</v>
      </c>
      <c r="AQ123" s="2">
        <f t="shared" si="84"/>
        <v>133.8948</v>
      </c>
      <c r="AR123" s="2">
        <f t="shared" si="85"/>
        <v>20.084219999999998</v>
      </c>
      <c r="AS123" s="2">
        <f t="shared" si="66"/>
        <v>0.35431999999999997</v>
      </c>
      <c r="AT123" s="2">
        <f t="shared" si="67"/>
        <v>10.6296</v>
      </c>
      <c r="AU123" s="2">
        <f t="shared" si="86"/>
        <v>209.38293999999999</v>
      </c>
      <c r="AV123" s="2">
        <f t="shared" si="68"/>
        <v>17.716000000000001</v>
      </c>
      <c r="AW123" s="2">
        <f t="shared" si="69"/>
        <v>8.8840000000000003</v>
      </c>
      <c r="AX123" s="2">
        <f t="shared" si="70"/>
        <v>3.7203599999999999</v>
      </c>
      <c r="AY123" s="2">
        <f t="shared" si="87"/>
        <v>21.436360000000001</v>
      </c>
      <c r="AZ123" s="2">
        <f t="shared" si="88"/>
        <v>3.2154539999999998</v>
      </c>
      <c r="BA123" s="2">
        <f t="shared" si="71"/>
        <v>0.35431999999999997</v>
      </c>
      <c r="BB123" s="2">
        <f t="shared" si="72"/>
        <v>10.6296</v>
      </c>
      <c r="BC123" s="2">
        <f t="shared" si="89"/>
        <v>44.519734</v>
      </c>
      <c r="BD123" s="2">
        <v>0</v>
      </c>
      <c r="BE123" s="2">
        <f t="shared" si="73"/>
        <v>177.16</v>
      </c>
      <c r="BF123" s="2">
        <f t="shared" si="74"/>
        <v>5.7576999999999998</v>
      </c>
      <c r="BG123" s="2">
        <f t="shared" si="90"/>
        <v>5.7576999999999998</v>
      </c>
      <c r="BH123" s="2">
        <f t="shared" si="91"/>
        <v>0.86365499999999995</v>
      </c>
      <c r="BI123" s="2">
        <f t="shared" si="75"/>
        <v>0.35431999999999997</v>
      </c>
      <c r="BJ123" s="2">
        <f t="shared" si="76"/>
        <v>10.6296</v>
      </c>
      <c r="BK123" s="2">
        <f t="shared" si="92"/>
        <v>194.765275</v>
      </c>
      <c r="BL123" s="2">
        <f t="shared" si="77"/>
        <v>88320</v>
      </c>
      <c r="BM123" s="2">
        <f t="shared" si="78"/>
        <v>88840</v>
      </c>
      <c r="BN123" s="2">
        <f t="shared" si="93"/>
        <v>177160</v>
      </c>
    </row>
    <row r="124" spans="1:66" x14ac:dyDescent="0.25">
      <c r="A124" s="42">
        <v>121</v>
      </c>
      <c r="B124" s="43">
        <v>42766</v>
      </c>
      <c r="C124" s="42" t="s">
        <v>50</v>
      </c>
      <c r="D124" s="42" t="s">
        <v>20</v>
      </c>
      <c r="E124" s="6">
        <f t="shared" si="79"/>
        <v>-419.56282500000231</v>
      </c>
      <c r="F124" s="5" t="str">
        <f t="shared" si="94"/>
        <v>Loss</v>
      </c>
      <c r="G124" s="4">
        <f t="shared" si="95"/>
        <v>-360.00000000000227</v>
      </c>
      <c r="H124" s="46">
        <v>800</v>
      </c>
      <c r="I124" s="42">
        <v>110</v>
      </c>
      <c r="N124" s="5">
        <f t="shared" si="96"/>
        <v>800</v>
      </c>
      <c r="O124" s="4">
        <f t="shared" si="97"/>
        <v>110</v>
      </c>
      <c r="P124" s="5">
        <f t="shared" si="52"/>
        <v>800</v>
      </c>
      <c r="Q124" s="42">
        <v>109.55</v>
      </c>
      <c r="R124" s="2">
        <f t="shared" si="100"/>
        <v>0</v>
      </c>
      <c r="T124" s="2">
        <f t="shared" si="80"/>
        <v>0</v>
      </c>
      <c r="V124" s="5">
        <f t="shared" si="98"/>
        <v>800</v>
      </c>
      <c r="W124" s="4">
        <f t="shared" si="99"/>
        <v>109.55</v>
      </c>
      <c r="X124" s="14">
        <f t="shared" si="53"/>
        <v>-0.45000000000000284</v>
      </c>
      <c r="Y124" s="5">
        <f t="shared" si="54"/>
        <v>-360.00000000000227</v>
      </c>
      <c r="Z124" s="2">
        <f t="shared" si="55"/>
        <v>0</v>
      </c>
      <c r="AA124" s="4">
        <f t="shared" si="56"/>
        <v>0</v>
      </c>
      <c r="AB124" s="13">
        <f t="shared" si="57"/>
        <v>59.562825000000011</v>
      </c>
      <c r="AC124" s="10">
        <f>SUM($E$4:E124)</f>
        <v>-5574.8747380781533</v>
      </c>
      <c r="AD124" s="20">
        <f>SUM($AB$4:AB124)</f>
        <v>4043.6247380781233</v>
      </c>
      <c r="AF124" s="28">
        <f t="shared" si="58"/>
        <v>17.564</v>
      </c>
      <c r="AG124" s="2">
        <f t="shared" si="59"/>
        <v>21.91</v>
      </c>
      <c r="AH124" s="2">
        <f t="shared" si="60"/>
        <v>5.7082999999999995</v>
      </c>
      <c r="AI124" s="2">
        <f t="shared" si="81"/>
        <v>23.272300000000001</v>
      </c>
      <c r="AJ124" s="2">
        <f t="shared" si="82"/>
        <v>3.4908450000000002</v>
      </c>
      <c r="AK124" s="2">
        <f t="shared" si="61"/>
        <v>0.35127999999999998</v>
      </c>
      <c r="AL124" s="2">
        <f t="shared" si="62"/>
        <v>10.538400000000001</v>
      </c>
      <c r="AM124" s="2">
        <f t="shared" si="83"/>
        <v>59.562825000000011</v>
      </c>
      <c r="AN124" s="2">
        <f t="shared" si="63"/>
        <v>40</v>
      </c>
      <c r="AO124" s="2">
        <f t="shared" si="64"/>
        <v>43.82</v>
      </c>
      <c r="AP124" s="2">
        <f t="shared" si="65"/>
        <v>93.089199999999991</v>
      </c>
      <c r="AQ124" s="2">
        <f t="shared" si="84"/>
        <v>133.08920000000001</v>
      </c>
      <c r="AR124" s="2">
        <f t="shared" si="85"/>
        <v>19.963380000000001</v>
      </c>
      <c r="AS124" s="2">
        <f t="shared" si="66"/>
        <v>0.35127999999999998</v>
      </c>
      <c r="AT124" s="2">
        <f t="shared" si="67"/>
        <v>10.538400000000001</v>
      </c>
      <c r="AU124" s="2">
        <f t="shared" si="86"/>
        <v>207.76226</v>
      </c>
      <c r="AV124" s="2">
        <f t="shared" si="68"/>
        <v>17.564</v>
      </c>
      <c r="AW124" s="2">
        <f t="shared" si="69"/>
        <v>8.7639999999999993</v>
      </c>
      <c r="AX124" s="2">
        <f t="shared" si="70"/>
        <v>3.6884399999999999</v>
      </c>
      <c r="AY124" s="2">
        <f t="shared" si="87"/>
        <v>21.25244</v>
      </c>
      <c r="AZ124" s="2">
        <f t="shared" si="88"/>
        <v>3.1878660000000001</v>
      </c>
      <c r="BA124" s="2">
        <f t="shared" si="71"/>
        <v>0.35127999999999998</v>
      </c>
      <c r="BB124" s="2">
        <f t="shared" si="72"/>
        <v>10.538400000000001</v>
      </c>
      <c r="BC124" s="2">
        <f t="shared" si="89"/>
        <v>44.093986000000008</v>
      </c>
      <c r="BD124" s="2">
        <v>0</v>
      </c>
      <c r="BE124" s="2">
        <f t="shared" si="73"/>
        <v>175.64000000000001</v>
      </c>
      <c r="BF124" s="2">
        <f t="shared" si="74"/>
        <v>5.7082999999999995</v>
      </c>
      <c r="BG124" s="2">
        <f t="shared" si="90"/>
        <v>5.7082999999999995</v>
      </c>
      <c r="BH124" s="2">
        <f t="shared" si="91"/>
        <v>0.85624499999999992</v>
      </c>
      <c r="BI124" s="2">
        <f t="shared" si="75"/>
        <v>0.35127999999999998</v>
      </c>
      <c r="BJ124" s="2">
        <f t="shared" si="76"/>
        <v>10.538400000000001</v>
      </c>
      <c r="BK124" s="2">
        <f t="shared" si="92"/>
        <v>193.09422500000002</v>
      </c>
      <c r="BL124" s="2">
        <f t="shared" si="77"/>
        <v>88000</v>
      </c>
      <c r="BM124" s="2">
        <f t="shared" si="78"/>
        <v>87640</v>
      </c>
      <c r="BN124" s="2">
        <f t="shared" si="93"/>
        <v>175640</v>
      </c>
    </row>
    <row r="125" spans="1:66" x14ac:dyDescent="0.25">
      <c r="A125" s="42">
        <v>122</v>
      </c>
      <c r="B125" s="43">
        <v>42766</v>
      </c>
      <c r="C125" s="42" t="s">
        <v>50</v>
      </c>
      <c r="D125" s="42" t="s">
        <v>20</v>
      </c>
      <c r="E125" s="6">
        <f t="shared" si="79"/>
        <v>-659.31562499999995</v>
      </c>
      <c r="F125" s="5" t="str">
        <f t="shared" si="94"/>
        <v>Loss</v>
      </c>
      <c r="G125" s="4">
        <f t="shared" si="95"/>
        <v>-600</v>
      </c>
      <c r="H125" s="46">
        <v>800</v>
      </c>
      <c r="I125" s="42">
        <v>109.75</v>
      </c>
      <c r="N125" s="5">
        <f t="shared" si="96"/>
        <v>800</v>
      </c>
      <c r="O125" s="4">
        <f t="shared" si="97"/>
        <v>109.75</v>
      </c>
      <c r="P125" s="5">
        <f t="shared" si="52"/>
        <v>800</v>
      </c>
      <c r="Q125" s="42">
        <v>109</v>
      </c>
      <c r="R125" s="2">
        <f t="shared" si="100"/>
        <v>0</v>
      </c>
      <c r="T125" s="2">
        <f t="shared" si="80"/>
        <v>0</v>
      </c>
      <c r="V125" s="5">
        <f t="shared" si="98"/>
        <v>800</v>
      </c>
      <c r="W125" s="4">
        <f t="shared" si="99"/>
        <v>109</v>
      </c>
      <c r="X125" s="14">
        <f t="shared" si="53"/>
        <v>-0.75</v>
      </c>
      <c r="Y125" s="5">
        <f t="shared" si="54"/>
        <v>-600</v>
      </c>
      <c r="Z125" s="2">
        <f t="shared" si="55"/>
        <v>0</v>
      </c>
      <c r="AA125" s="4">
        <f t="shared" si="56"/>
        <v>0</v>
      </c>
      <c r="AB125" s="13">
        <f t="shared" si="57"/>
        <v>59.315624999999997</v>
      </c>
      <c r="AC125" s="10">
        <f>SUM($E$4:E125)</f>
        <v>-6234.1903630781535</v>
      </c>
      <c r="AD125" s="20">
        <f>SUM($AB$4:AB125)</f>
        <v>4102.9403630781235</v>
      </c>
      <c r="AF125" s="28">
        <f t="shared" si="58"/>
        <v>17.5</v>
      </c>
      <c r="AG125" s="2">
        <f t="shared" si="59"/>
        <v>21.8</v>
      </c>
      <c r="AH125" s="2">
        <f t="shared" si="60"/>
        <v>5.6874999999999991</v>
      </c>
      <c r="AI125" s="2">
        <f t="shared" si="81"/>
        <v>23.1875</v>
      </c>
      <c r="AJ125" s="2">
        <f t="shared" si="82"/>
        <v>3.4781249999999999</v>
      </c>
      <c r="AK125" s="2">
        <f t="shared" si="61"/>
        <v>0.35000000000000003</v>
      </c>
      <c r="AL125" s="2">
        <f t="shared" si="62"/>
        <v>10.5</v>
      </c>
      <c r="AM125" s="2">
        <f t="shared" si="83"/>
        <v>59.315624999999997</v>
      </c>
      <c r="AN125" s="2">
        <f t="shared" si="63"/>
        <v>40</v>
      </c>
      <c r="AO125" s="2">
        <f t="shared" si="64"/>
        <v>43.6</v>
      </c>
      <c r="AP125" s="2">
        <f t="shared" si="65"/>
        <v>92.75</v>
      </c>
      <c r="AQ125" s="2">
        <f t="shared" si="84"/>
        <v>132.75</v>
      </c>
      <c r="AR125" s="2">
        <f t="shared" si="85"/>
        <v>19.912499999999998</v>
      </c>
      <c r="AS125" s="2">
        <f t="shared" si="66"/>
        <v>0.35000000000000003</v>
      </c>
      <c r="AT125" s="2">
        <f t="shared" si="67"/>
        <v>10.5</v>
      </c>
      <c r="AU125" s="2">
        <f t="shared" si="86"/>
        <v>207.11249999999998</v>
      </c>
      <c r="AV125" s="2">
        <f t="shared" si="68"/>
        <v>17.5</v>
      </c>
      <c r="AW125" s="2">
        <f t="shared" si="69"/>
        <v>8.7200000000000006</v>
      </c>
      <c r="AX125" s="2">
        <f t="shared" si="70"/>
        <v>3.6749999999999998</v>
      </c>
      <c r="AY125" s="2">
        <f t="shared" si="87"/>
        <v>21.175000000000001</v>
      </c>
      <c r="AZ125" s="2">
        <f t="shared" si="88"/>
        <v>3.17625</v>
      </c>
      <c r="BA125" s="2">
        <f t="shared" si="71"/>
        <v>0.35000000000000003</v>
      </c>
      <c r="BB125" s="2">
        <f t="shared" si="72"/>
        <v>10.5</v>
      </c>
      <c r="BC125" s="2">
        <f t="shared" si="89"/>
        <v>43.921250000000001</v>
      </c>
      <c r="BD125" s="2">
        <v>0</v>
      </c>
      <c r="BE125" s="2">
        <f t="shared" si="73"/>
        <v>175</v>
      </c>
      <c r="BF125" s="2">
        <f t="shared" si="74"/>
        <v>5.6874999999999991</v>
      </c>
      <c r="BG125" s="2">
        <f t="shared" si="90"/>
        <v>5.6874999999999991</v>
      </c>
      <c r="BH125" s="2">
        <f t="shared" si="91"/>
        <v>0.8531249999999998</v>
      </c>
      <c r="BI125" s="2">
        <f t="shared" si="75"/>
        <v>0.35000000000000003</v>
      </c>
      <c r="BJ125" s="2">
        <f t="shared" si="76"/>
        <v>10.5</v>
      </c>
      <c r="BK125" s="2">
        <f t="shared" si="92"/>
        <v>192.390625</v>
      </c>
      <c r="BL125" s="2">
        <f t="shared" si="77"/>
        <v>87800</v>
      </c>
      <c r="BM125" s="2">
        <f t="shared" si="78"/>
        <v>87200</v>
      </c>
      <c r="BN125" s="2">
        <f t="shared" si="93"/>
        <v>175000</v>
      </c>
    </row>
    <row r="126" spans="1:66" x14ac:dyDescent="0.25">
      <c r="A126" s="42">
        <v>123</v>
      </c>
      <c r="B126" s="43">
        <v>42766</v>
      </c>
      <c r="C126" s="42" t="s">
        <v>50</v>
      </c>
      <c r="D126" s="42" t="s">
        <v>20</v>
      </c>
      <c r="E126" s="6">
        <f t="shared" si="79"/>
        <v>-219.60140000000229</v>
      </c>
      <c r="F126" s="5" t="str">
        <f t="shared" si="94"/>
        <v>Loss</v>
      </c>
      <c r="G126" s="4">
        <f t="shared" si="95"/>
        <v>-160.00000000000227</v>
      </c>
      <c r="H126" s="46">
        <v>800</v>
      </c>
      <c r="I126" s="42">
        <v>109.9</v>
      </c>
      <c r="N126" s="5">
        <f t="shared" si="96"/>
        <v>800</v>
      </c>
      <c r="O126" s="4">
        <f t="shared" si="97"/>
        <v>109.9</v>
      </c>
      <c r="P126" s="5">
        <f t="shared" si="52"/>
        <v>800</v>
      </c>
      <c r="Q126" s="42">
        <v>109.7</v>
      </c>
      <c r="R126" s="2">
        <f t="shared" si="100"/>
        <v>0</v>
      </c>
      <c r="T126" s="2">
        <f t="shared" si="80"/>
        <v>0</v>
      </c>
      <c r="V126" s="5">
        <f t="shared" si="98"/>
        <v>800</v>
      </c>
      <c r="W126" s="4">
        <f t="shared" si="99"/>
        <v>109.7</v>
      </c>
      <c r="X126" s="14">
        <f t="shared" si="53"/>
        <v>-0.20000000000000284</v>
      </c>
      <c r="Y126" s="5">
        <f t="shared" si="54"/>
        <v>-160.00000000000227</v>
      </c>
      <c r="Z126" s="2">
        <f t="shared" si="55"/>
        <v>0</v>
      </c>
      <c r="AA126" s="4">
        <f t="shared" si="56"/>
        <v>0</v>
      </c>
      <c r="AB126" s="13">
        <f t="shared" si="57"/>
        <v>59.601399999999998</v>
      </c>
      <c r="AC126" s="10">
        <f>SUM($E$4:E126)</f>
        <v>-6453.7917630781558</v>
      </c>
      <c r="AD126" s="20">
        <f>SUM($AB$4:AB126)</f>
        <v>4162.541763078123</v>
      </c>
      <c r="AF126" s="28">
        <f t="shared" si="58"/>
        <v>17.568000000000001</v>
      </c>
      <c r="AG126" s="2">
        <f t="shared" si="59"/>
        <v>21.94</v>
      </c>
      <c r="AH126" s="2">
        <f t="shared" si="60"/>
        <v>5.7095999999999991</v>
      </c>
      <c r="AI126" s="2">
        <f t="shared" si="81"/>
        <v>23.2776</v>
      </c>
      <c r="AJ126" s="2">
        <f t="shared" si="82"/>
        <v>3.4916399999999999</v>
      </c>
      <c r="AK126" s="2">
        <f t="shared" si="61"/>
        <v>0.35136000000000001</v>
      </c>
      <c r="AL126" s="2">
        <f t="shared" si="62"/>
        <v>10.540800000000001</v>
      </c>
      <c r="AM126" s="2">
        <f t="shared" si="83"/>
        <v>59.601399999999998</v>
      </c>
      <c r="AN126" s="2">
        <f t="shared" si="63"/>
        <v>40</v>
      </c>
      <c r="AO126" s="2">
        <f t="shared" si="64"/>
        <v>43.88</v>
      </c>
      <c r="AP126" s="2">
        <f t="shared" si="65"/>
        <v>93.110399999999998</v>
      </c>
      <c r="AQ126" s="2">
        <f t="shared" si="84"/>
        <v>133.1104</v>
      </c>
      <c r="AR126" s="2">
        <f t="shared" si="85"/>
        <v>19.966559999999998</v>
      </c>
      <c r="AS126" s="2">
        <f t="shared" si="66"/>
        <v>0.35136000000000001</v>
      </c>
      <c r="AT126" s="2">
        <f t="shared" si="67"/>
        <v>10.540800000000001</v>
      </c>
      <c r="AU126" s="2">
        <f t="shared" si="86"/>
        <v>207.84911999999997</v>
      </c>
      <c r="AV126" s="2">
        <f t="shared" si="68"/>
        <v>17.568000000000001</v>
      </c>
      <c r="AW126" s="2">
        <f t="shared" si="69"/>
        <v>8.7759999999999998</v>
      </c>
      <c r="AX126" s="2">
        <f t="shared" si="70"/>
        <v>3.6892799999999997</v>
      </c>
      <c r="AY126" s="2">
        <f t="shared" si="87"/>
        <v>21.257280000000002</v>
      </c>
      <c r="AZ126" s="2">
        <f t="shared" si="88"/>
        <v>3.1885920000000003</v>
      </c>
      <c r="BA126" s="2">
        <f t="shared" si="71"/>
        <v>0.35136000000000001</v>
      </c>
      <c r="BB126" s="2">
        <f t="shared" si="72"/>
        <v>10.540800000000001</v>
      </c>
      <c r="BC126" s="2">
        <f t="shared" si="89"/>
        <v>44.114032000000009</v>
      </c>
      <c r="BD126" s="2">
        <v>0</v>
      </c>
      <c r="BE126" s="2">
        <f t="shared" si="73"/>
        <v>175.68</v>
      </c>
      <c r="BF126" s="2">
        <f t="shared" si="74"/>
        <v>5.7095999999999991</v>
      </c>
      <c r="BG126" s="2">
        <f t="shared" si="90"/>
        <v>5.7095999999999991</v>
      </c>
      <c r="BH126" s="2">
        <f t="shared" si="91"/>
        <v>0.85643999999999987</v>
      </c>
      <c r="BI126" s="2">
        <f t="shared" si="75"/>
        <v>0.35136000000000001</v>
      </c>
      <c r="BJ126" s="2">
        <f t="shared" si="76"/>
        <v>10.540800000000001</v>
      </c>
      <c r="BK126" s="2">
        <f t="shared" si="92"/>
        <v>193.13819999999998</v>
      </c>
      <c r="BL126" s="2">
        <f t="shared" si="77"/>
        <v>87920</v>
      </c>
      <c r="BM126" s="2">
        <f t="shared" si="78"/>
        <v>87760</v>
      </c>
      <c r="BN126" s="2">
        <f t="shared" si="93"/>
        <v>175680</v>
      </c>
    </row>
    <row r="127" spans="1:66" x14ac:dyDescent="0.25">
      <c r="A127" s="42">
        <v>124</v>
      </c>
      <c r="B127" s="43">
        <v>42766</v>
      </c>
      <c r="C127" s="42" t="s">
        <v>50</v>
      </c>
      <c r="D127" s="42" t="s">
        <v>20</v>
      </c>
      <c r="E127" s="6">
        <f t="shared" si="79"/>
        <v>2858.9140250000046</v>
      </c>
      <c r="F127" s="5" t="str">
        <f t="shared" si="94"/>
        <v>Win</v>
      </c>
      <c r="G127" s="4">
        <f t="shared" si="95"/>
        <v>2920.0000000000045</v>
      </c>
      <c r="H127" s="46">
        <v>800</v>
      </c>
      <c r="I127" s="42">
        <v>110</v>
      </c>
      <c r="N127" s="5">
        <f t="shared" si="96"/>
        <v>800</v>
      </c>
      <c r="O127" s="4">
        <f t="shared" si="97"/>
        <v>110</v>
      </c>
      <c r="P127" s="5">
        <f t="shared" si="52"/>
        <v>800</v>
      </c>
      <c r="Q127" s="42">
        <v>113.65</v>
      </c>
      <c r="R127" s="2">
        <f t="shared" si="100"/>
        <v>0</v>
      </c>
      <c r="T127" s="2">
        <f t="shared" si="80"/>
        <v>0</v>
      </c>
      <c r="V127" s="5">
        <f t="shared" si="98"/>
        <v>800</v>
      </c>
      <c r="W127" s="4">
        <f t="shared" si="99"/>
        <v>113.65</v>
      </c>
      <c r="X127" s="14">
        <f t="shared" si="53"/>
        <v>3.6500000000000057</v>
      </c>
      <c r="Y127" s="5">
        <f t="shared" si="54"/>
        <v>2920.0000000000045</v>
      </c>
      <c r="Z127" s="2">
        <f t="shared" si="55"/>
        <v>0</v>
      </c>
      <c r="AA127" s="4">
        <f t="shared" si="56"/>
        <v>0</v>
      </c>
      <c r="AB127" s="13">
        <f t="shared" si="57"/>
        <v>61.085975000000005</v>
      </c>
      <c r="AC127" s="10">
        <f>SUM($E$4:E127)</f>
        <v>-3594.8777380781512</v>
      </c>
      <c r="AD127" s="20">
        <f>SUM($AB$4:AB127)</f>
        <v>4223.627738078123</v>
      </c>
      <c r="AF127" s="28">
        <f t="shared" si="58"/>
        <v>17.891999999999999</v>
      </c>
      <c r="AG127" s="2">
        <f t="shared" si="59"/>
        <v>22.730000000000004</v>
      </c>
      <c r="AH127" s="2">
        <f t="shared" si="60"/>
        <v>5.8148999999999997</v>
      </c>
      <c r="AI127" s="2">
        <f t="shared" si="81"/>
        <v>23.706899999999997</v>
      </c>
      <c r="AJ127" s="2">
        <f t="shared" si="82"/>
        <v>3.5560349999999996</v>
      </c>
      <c r="AK127" s="2">
        <f t="shared" si="61"/>
        <v>0.35784000000000005</v>
      </c>
      <c r="AL127" s="2">
        <f t="shared" si="62"/>
        <v>10.735200000000001</v>
      </c>
      <c r="AM127" s="2">
        <f t="shared" si="83"/>
        <v>61.085975000000005</v>
      </c>
      <c r="AN127" s="2">
        <f t="shared" si="63"/>
        <v>40</v>
      </c>
      <c r="AO127" s="2">
        <f t="shared" si="64"/>
        <v>45.460000000000008</v>
      </c>
      <c r="AP127" s="2">
        <f t="shared" si="65"/>
        <v>94.82759999999999</v>
      </c>
      <c r="AQ127" s="2">
        <f t="shared" si="84"/>
        <v>134.82759999999999</v>
      </c>
      <c r="AR127" s="2">
        <f t="shared" si="85"/>
        <v>20.224139999999998</v>
      </c>
      <c r="AS127" s="2">
        <f t="shared" si="66"/>
        <v>0.35784000000000005</v>
      </c>
      <c r="AT127" s="2">
        <f t="shared" si="67"/>
        <v>10.735200000000001</v>
      </c>
      <c r="AU127" s="2">
        <f t="shared" si="86"/>
        <v>211.60478000000001</v>
      </c>
      <c r="AV127" s="2">
        <f t="shared" si="68"/>
        <v>17.891999999999999</v>
      </c>
      <c r="AW127" s="2">
        <f t="shared" si="69"/>
        <v>9.0920000000000005</v>
      </c>
      <c r="AX127" s="2">
        <f t="shared" si="70"/>
        <v>3.75732</v>
      </c>
      <c r="AY127" s="2">
        <f t="shared" si="87"/>
        <v>21.649319999999999</v>
      </c>
      <c r="AZ127" s="2">
        <f t="shared" si="88"/>
        <v>3.247398</v>
      </c>
      <c r="BA127" s="2">
        <f t="shared" si="71"/>
        <v>0.35784000000000005</v>
      </c>
      <c r="BB127" s="2">
        <f t="shared" si="72"/>
        <v>10.735200000000001</v>
      </c>
      <c r="BC127" s="2">
        <f t="shared" si="89"/>
        <v>45.081758000000001</v>
      </c>
      <c r="BD127" s="2">
        <v>0</v>
      </c>
      <c r="BE127" s="2">
        <f t="shared" si="73"/>
        <v>178.92000000000002</v>
      </c>
      <c r="BF127" s="2">
        <f t="shared" si="74"/>
        <v>5.8148999999999997</v>
      </c>
      <c r="BG127" s="2">
        <f t="shared" si="90"/>
        <v>5.8148999999999997</v>
      </c>
      <c r="BH127" s="2">
        <f t="shared" si="91"/>
        <v>0.87223499999999998</v>
      </c>
      <c r="BI127" s="2">
        <f t="shared" si="75"/>
        <v>0.35784000000000005</v>
      </c>
      <c r="BJ127" s="2">
        <f t="shared" si="76"/>
        <v>10.735200000000001</v>
      </c>
      <c r="BK127" s="2">
        <f t="shared" si="92"/>
        <v>196.700175</v>
      </c>
      <c r="BL127" s="2">
        <f t="shared" si="77"/>
        <v>88000</v>
      </c>
      <c r="BM127" s="2">
        <f t="shared" si="78"/>
        <v>90920</v>
      </c>
      <c r="BN127" s="2">
        <f t="shared" si="93"/>
        <v>178920</v>
      </c>
    </row>
    <row r="128" spans="1:66" x14ac:dyDescent="0.25">
      <c r="A128" s="42">
        <v>125</v>
      </c>
      <c r="B128" s="43">
        <v>42767</v>
      </c>
      <c r="C128" s="42" t="s">
        <v>122</v>
      </c>
      <c r="D128" s="42" t="s">
        <v>114</v>
      </c>
      <c r="E128" s="6">
        <f t="shared" si="79"/>
        <v>-2216.5180000000009</v>
      </c>
      <c r="F128" s="5" t="str">
        <f t="shared" si="94"/>
        <v>Loss</v>
      </c>
      <c r="G128" s="4">
        <f t="shared" si="95"/>
        <v>-2160.0000000000009</v>
      </c>
      <c r="H128" s="46">
        <v>2400</v>
      </c>
      <c r="I128" s="42">
        <v>2.95</v>
      </c>
      <c r="N128" s="5">
        <f t="shared" si="96"/>
        <v>2400</v>
      </c>
      <c r="O128" s="4">
        <f t="shared" si="97"/>
        <v>2.95</v>
      </c>
      <c r="P128" s="5">
        <f t="shared" si="52"/>
        <v>2400</v>
      </c>
      <c r="Q128" s="42">
        <v>2.0499999999999998</v>
      </c>
      <c r="R128" s="2">
        <f t="shared" si="100"/>
        <v>0</v>
      </c>
      <c r="T128" s="2">
        <f t="shared" si="80"/>
        <v>0</v>
      </c>
      <c r="V128" s="5">
        <f t="shared" si="98"/>
        <v>2400</v>
      </c>
      <c r="W128" s="4">
        <f t="shared" si="99"/>
        <v>2.0499999999999998</v>
      </c>
      <c r="X128" s="14">
        <f t="shared" si="53"/>
        <v>-0.90000000000000036</v>
      </c>
      <c r="Y128" s="5">
        <f t="shared" si="54"/>
        <v>-2160.0000000000009</v>
      </c>
      <c r="Z128" s="2">
        <f t="shared" si="55"/>
        <v>0</v>
      </c>
      <c r="AA128" s="4">
        <f t="shared" si="56"/>
        <v>0</v>
      </c>
      <c r="AB128" s="13">
        <f t="shared" si="57"/>
        <v>56.518000000000001</v>
      </c>
      <c r="AC128" s="10">
        <f>SUM($E$4:E128)</f>
        <v>-5811.3957380781521</v>
      </c>
      <c r="AD128" s="20">
        <f>SUM($AB$4:AB128)</f>
        <v>4280.145738078123</v>
      </c>
      <c r="AF128" s="28">
        <f t="shared" si="58"/>
        <v>1.2</v>
      </c>
      <c r="AG128" s="2">
        <f t="shared" si="59"/>
        <v>1.2299999999999998</v>
      </c>
      <c r="AH128" s="2">
        <f t="shared" si="60"/>
        <v>0.38999999999999996</v>
      </c>
      <c r="AI128" s="2">
        <f t="shared" si="81"/>
        <v>1.5899999999999999</v>
      </c>
      <c r="AJ128" s="2">
        <f t="shared" si="82"/>
        <v>0.23849999999999996</v>
      </c>
      <c r="AK128" s="2">
        <f t="shared" si="61"/>
        <v>2.3999999999999997E-2</v>
      </c>
      <c r="AL128" s="2">
        <f t="shared" si="62"/>
        <v>0.72</v>
      </c>
      <c r="AM128" s="2">
        <f t="shared" si="83"/>
        <v>3.8025000000000002</v>
      </c>
      <c r="AN128" s="2">
        <f t="shared" si="63"/>
        <v>40</v>
      </c>
      <c r="AO128" s="2">
        <f t="shared" si="64"/>
        <v>2.4599999999999995</v>
      </c>
      <c r="AP128" s="2">
        <f t="shared" si="65"/>
        <v>6.3599999999999994</v>
      </c>
      <c r="AQ128" s="2">
        <f t="shared" si="84"/>
        <v>46.36</v>
      </c>
      <c r="AR128" s="2">
        <f t="shared" si="85"/>
        <v>6.9539999999999997</v>
      </c>
      <c r="AS128" s="2">
        <f t="shared" si="66"/>
        <v>2.3999999999999997E-2</v>
      </c>
      <c r="AT128" s="2">
        <f t="shared" si="67"/>
        <v>0.72</v>
      </c>
      <c r="AU128" s="2">
        <f t="shared" si="86"/>
        <v>56.518000000000001</v>
      </c>
      <c r="AV128" s="2">
        <f t="shared" si="68"/>
        <v>1.2</v>
      </c>
      <c r="AW128" s="2">
        <f t="shared" si="69"/>
        <v>0.49199999999999999</v>
      </c>
      <c r="AX128" s="2">
        <f t="shared" si="70"/>
        <v>0.252</v>
      </c>
      <c r="AY128" s="2">
        <f t="shared" si="87"/>
        <v>1.452</v>
      </c>
      <c r="AZ128" s="2">
        <f t="shared" si="88"/>
        <v>0.21779999999999999</v>
      </c>
      <c r="BA128" s="2">
        <f t="shared" si="71"/>
        <v>2.3999999999999997E-2</v>
      </c>
      <c r="BB128" s="2">
        <f t="shared" si="72"/>
        <v>0.72</v>
      </c>
      <c r="BC128" s="2">
        <f t="shared" si="89"/>
        <v>2.9058000000000002</v>
      </c>
      <c r="BD128" s="2">
        <v>0</v>
      </c>
      <c r="BE128" s="2">
        <f t="shared" si="73"/>
        <v>12</v>
      </c>
      <c r="BF128" s="2">
        <f t="shared" si="74"/>
        <v>0.38999999999999996</v>
      </c>
      <c r="BG128" s="2">
        <f t="shared" si="90"/>
        <v>0.38999999999999996</v>
      </c>
      <c r="BH128" s="2">
        <f t="shared" si="91"/>
        <v>5.849999999999999E-2</v>
      </c>
      <c r="BI128" s="2">
        <f t="shared" si="75"/>
        <v>2.3999999999999997E-2</v>
      </c>
      <c r="BJ128" s="2">
        <f t="shared" si="76"/>
        <v>0.72</v>
      </c>
      <c r="BK128" s="2">
        <f t="shared" si="92"/>
        <v>13.192500000000001</v>
      </c>
      <c r="BL128" s="2">
        <f t="shared" si="77"/>
        <v>7080</v>
      </c>
      <c r="BM128" s="2">
        <f t="shared" si="78"/>
        <v>4920</v>
      </c>
      <c r="BN128" s="2">
        <f t="shared" si="93"/>
        <v>12000</v>
      </c>
    </row>
    <row r="129" spans="1:66" x14ac:dyDescent="0.25">
      <c r="A129" s="42">
        <v>126</v>
      </c>
      <c r="B129" s="43">
        <v>42767</v>
      </c>
      <c r="C129" s="42" t="s">
        <v>122</v>
      </c>
      <c r="D129" s="42" t="s">
        <v>114</v>
      </c>
      <c r="E129" s="6">
        <f t="shared" si="79"/>
        <v>-535.16872000000046</v>
      </c>
      <c r="F129" s="5" t="str">
        <f t="shared" si="94"/>
        <v>Loss</v>
      </c>
      <c r="G129" s="4">
        <f t="shared" si="95"/>
        <v>-480.00000000000045</v>
      </c>
      <c r="H129" s="46">
        <v>2400</v>
      </c>
      <c r="I129" s="42">
        <v>2.2000000000000002</v>
      </c>
      <c r="N129" s="5">
        <f t="shared" si="96"/>
        <v>2400</v>
      </c>
      <c r="O129" s="4">
        <f t="shared" si="97"/>
        <v>2.2000000000000002</v>
      </c>
      <c r="P129" s="5">
        <f t="shared" si="52"/>
        <v>2400</v>
      </c>
      <c r="Q129" s="42">
        <v>2</v>
      </c>
      <c r="R129" s="2">
        <f t="shared" si="100"/>
        <v>0</v>
      </c>
      <c r="T129" s="2">
        <f t="shared" si="80"/>
        <v>0</v>
      </c>
      <c r="V129" s="5">
        <f t="shared" si="98"/>
        <v>2400</v>
      </c>
      <c r="W129" s="4">
        <f t="shared" si="99"/>
        <v>2</v>
      </c>
      <c r="X129" s="14">
        <f t="shared" si="53"/>
        <v>-0.20000000000000018</v>
      </c>
      <c r="Y129" s="5">
        <f t="shared" si="54"/>
        <v>-480.00000000000045</v>
      </c>
      <c r="Z129" s="2">
        <f t="shared" si="55"/>
        <v>0</v>
      </c>
      <c r="AA129" s="4">
        <f t="shared" si="56"/>
        <v>0</v>
      </c>
      <c r="AB129" s="13">
        <f t="shared" si="57"/>
        <v>55.168719999999993</v>
      </c>
      <c r="AC129" s="10">
        <f>SUM($E$4:E129)</f>
        <v>-6346.5644580781527</v>
      </c>
      <c r="AD129" s="20">
        <f>SUM($AB$4:AB129)</f>
        <v>4335.3144580781227</v>
      </c>
      <c r="AF129" s="28">
        <f t="shared" si="58"/>
        <v>1.008</v>
      </c>
      <c r="AG129" s="2">
        <f t="shared" si="59"/>
        <v>1.2</v>
      </c>
      <c r="AH129" s="2">
        <f t="shared" si="60"/>
        <v>0.32759999999999995</v>
      </c>
      <c r="AI129" s="2">
        <f t="shared" si="81"/>
        <v>1.3355999999999999</v>
      </c>
      <c r="AJ129" s="2">
        <f t="shared" si="82"/>
        <v>0.20033999999999999</v>
      </c>
      <c r="AK129" s="2">
        <f t="shared" si="61"/>
        <v>2.0160000000000001E-2</v>
      </c>
      <c r="AL129" s="2">
        <f t="shared" si="62"/>
        <v>0.6048</v>
      </c>
      <c r="AM129" s="2">
        <f t="shared" si="83"/>
        <v>3.3609000000000004</v>
      </c>
      <c r="AN129" s="2">
        <f t="shared" si="63"/>
        <v>40</v>
      </c>
      <c r="AO129" s="2">
        <f t="shared" si="64"/>
        <v>2.4</v>
      </c>
      <c r="AP129" s="2">
        <f t="shared" si="65"/>
        <v>5.3423999999999996</v>
      </c>
      <c r="AQ129" s="2">
        <f t="shared" si="84"/>
        <v>45.342399999999998</v>
      </c>
      <c r="AR129" s="2">
        <f t="shared" si="85"/>
        <v>6.8013599999999999</v>
      </c>
      <c r="AS129" s="2">
        <f t="shared" si="66"/>
        <v>2.0160000000000001E-2</v>
      </c>
      <c r="AT129" s="2">
        <f t="shared" si="67"/>
        <v>0.6048</v>
      </c>
      <c r="AU129" s="2">
        <f t="shared" si="86"/>
        <v>55.168719999999993</v>
      </c>
      <c r="AV129" s="2">
        <f t="shared" si="68"/>
        <v>1.008</v>
      </c>
      <c r="AW129" s="2">
        <f t="shared" si="69"/>
        <v>0.48000000000000004</v>
      </c>
      <c r="AX129" s="2">
        <f t="shared" si="70"/>
        <v>0.21167999999999998</v>
      </c>
      <c r="AY129" s="2">
        <f t="shared" si="87"/>
        <v>1.2196799999999999</v>
      </c>
      <c r="AZ129" s="2">
        <f t="shared" si="88"/>
        <v>0.18295199999999998</v>
      </c>
      <c r="BA129" s="2">
        <f t="shared" si="71"/>
        <v>2.0160000000000001E-2</v>
      </c>
      <c r="BB129" s="2">
        <f t="shared" si="72"/>
        <v>0.6048</v>
      </c>
      <c r="BC129" s="2">
        <f t="shared" si="89"/>
        <v>2.5075919999999998</v>
      </c>
      <c r="BD129" s="2">
        <v>0</v>
      </c>
      <c r="BE129" s="2">
        <f t="shared" si="73"/>
        <v>10.08</v>
      </c>
      <c r="BF129" s="2">
        <f t="shared" si="74"/>
        <v>0.32759999999999995</v>
      </c>
      <c r="BG129" s="2">
        <f t="shared" si="90"/>
        <v>0.32759999999999995</v>
      </c>
      <c r="BH129" s="2">
        <f t="shared" si="91"/>
        <v>4.9139999999999989E-2</v>
      </c>
      <c r="BI129" s="2">
        <f t="shared" si="75"/>
        <v>2.0160000000000001E-2</v>
      </c>
      <c r="BJ129" s="2">
        <f t="shared" si="76"/>
        <v>0.6048</v>
      </c>
      <c r="BK129" s="2">
        <f t="shared" si="92"/>
        <v>11.081700000000001</v>
      </c>
      <c r="BL129" s="2">
        <f t="shared" si="77"/>
        <v>5280</v>
      </c>
      <c r="BM129" s="2">
        <f t="shared" si="78"/>
        <v>4800</v>
      </c>
      <c r="BN129" s="2">
        <f t="shared" si="93"/>
        <v>10080</v>
      </c>
    </row>
    <row r="130" spans="1:66" x14ac:dyDescent="0.25">
      <c r="A130" s="42">
        <v>127</v>
      </c>
      <c r="B130" s="43">
        <v>42767</v>
      </c>
      <c r="C130" s="42" t="s">
        <v>149</v>
      </c>
      <c r="D130" s="42" t="s">
        <v>150</v>
      </c>
      <c r="E130" s="6">
        <f t="shared" si="79"/>
        <v>-94.600186000000065</v>
      </c>
      <c r="F130" s="5" t="str">
        <f t="shared" si="94"/>
        <v>Loss</v>
      </c>
      <c r="G130" s="4">
        <f t="shared" si="95"/>
        <v>-44.000000000000057</v>
      </c>
      <c r="H130" s="46">
        <v>40</v>
      </c>
      <c r="I130" s="42">
        <v>63.1</v>
      </c>
      <c r="N130" s="5">
        <f t="shared" si="96"/>
        <v>40</v>
      </c>
      <c r="O130" s="4">
        <f t="shared" si="97"/>
        <v>63.1</v>
      </c>
      <c r="P130" s="5">
        <f t="shared" si="52"/>
        <v>40</v>
      </c>
      <c r="Q130" s="42">
        <v>62</v>
      </c>
      <c r="R130" s="2">
        <f t="shared" si="100"/>
        <v>0</v>
      </c>
      <c r="T130" s="2">
        <f t="shared" si="80"/>
        <v>0</v>
      </c>
      <c r="V130" s="5">
        <f t="shared" si="98"/>
        <v>40</v>
      </c>
      <c r="W130" s="4">
        <f t="shared" si="99"/>
        <v>62</v>
      </c>
      <c r="X130" s="14">
        <f t="shared" si="53"/>
        <v>-1.1000000000000014</v>
      </c>
      <c r="Y130" s="5">
        <f t="shared" si="54"/>
        <v>-44.000000000000057</v>
      </c>
      <c r="Z130" s="2">
        <f t="shared" si="55"/>
        <v>0</v>
      </c>
      <c r="AA130" s="4">
        <f t="shared" si="56"/>
        <v>0</v>
      </c>
      <c r="AB130" s="13">
        <f t="shared" si="57"/>
        <v>50.600186000000008</v>
      </c>
      <c r="AC130" s="10">
        <f>SUM($E$4:E130)</f>
        <v>-6441.1646440781524</v>
      </c>
      <c r="AD130" s="20">
        <f>SUM($AB$4:AB130)</f>
        <v>4385.9146440781224</v>
      </c>
      <c r="AF130" s="28">
        <f t="shared" si="58"/>
        <v>0.50040000000000007</v>
      </c>
      <c r="AG130" s="2">
        <f t="shared" si="59"/>
        <v>0.62</v>
      </c>
      <c r="AH130" s="2">
        <f t="shared" si="60"/>
        <v>0.16263</v>
      </c>
      <c r="AI130" s="2">
        <f t="shared" si="81"/>
        <v>0.66303000000000001</v>
      </c>
      <c r="AJ130" s="2">
        <f t="shared" si="82"/>
        <v>9.9454500000000001E-2</v>
      </c>
      <c r="AK130" s="2">
        <f t="shared" si="61"/>
        <v>1.0008E-2</v>
      </c>
      <c r="AL130" s="2">
        <f t="shared" si="62"/>
        <v>0.30024000000000001</v>
      </c>
      <c r="AM130" s="2">
        <f t="shared" si="83"/>
        <v>1.6927325000000002</v>
      </c>
      <c r="AN130" s="2">
        <f t="shared" si="63"/>
        <v>40</v>
      </c>
      <c r="AO130" s="2">
        <f t="shared" si="64"/>
        <v>1.24</v>
      </c>
      <c r="AP130" s="2">
        <f t="shared" si="65"/>
        <v>2.65212</v>
      </c>
      <c r="AQ130" s="2">
        <f t="shared" si="84"/>
        <v>42.652119999999996</v>
      </c>
      <c r="AR130" s="2">
        <f t="shared" si="85"/>
        <v>6.3978179999999991</v>
      </c>
      <c r="AS130" s="2">
        <f t="shared" si="66"/>
        <v>1.0008E-2</v>
      </c>
      <c r="AT130" s="2">
        <f t="shared" si="67"/>
        <v>0.30024000000000001</v>
      </c>
      <c r="AU130" s="2">
        <f t="shared" si="86"/>
        <v>50.600186000000008</v>
      </c>
      <c r="AV130" s="2">
        <f t="shared" si="68"/>
        <v>0.50040000000000007</v>
      </c>
      <c r="AW130" s="2">
        <f t="shared" si="69"/>
        <v>0.248</v>
      </c>
      <c r="AX130" s="2">
        <f t="shared" si="70"/>
        <v>0.105084</v>
      </c>
      <c r="AY130" s="2">
        <f t="shared" si="87"/>
        <v>0.60548400000000002</v>
      </c>
      <c r="AZ130" s="2">
        <f t="shared" si="88"/>
        <v>9.0822600000000003E-2</v>
      </c>
      <c r="BA130" s="2">
        <f t="shared" si="71"/>
        <v>1.0008E-2</v>
      </c>
      <c r="BB130" s="2">
        <f t="shared" si="72"/>
        <v>0.30024000000000001</v>
      </c>
      <c r="BC130" s="2">
        <f t="shared" si="89"/>
        <v>1.2545546000000001</v>
      </c>
      <c r="BD130" s="2">
        <v>0</v>
      </c>
      <c r="BE130" s="2">
        <f t="shared" si="73"/>
        <v>5.0040000000000004</v>
      </c>
      <c r="BF130" s="2">
        <f t="shared" si="74"/>
        <v>0.16263</v>
      </c>
      <c r="BG130" s="2">
        <f t="shared" si="90"/>
        <v>0.16263</v>
      </c>
      <c r="BH130" s="2">
        <f t="shared" si="91"/>
        <v>2.43945E-2</v>
      </c>
      <c r="BI130" s="2">
        <f t="shared" si="75"/>
        <v>1.0008E-2</v>
      </c>
      <c r="BJ130" s="2">
        <f t="shared" si="76"/>
        <v>0.30024000000000001</v>
      </c>
      <c r="BK130" s="2">
        <f t="shared" si="92"/>
        <v>5.5012724999999998</v>
      </c>
      <c r="BL130" s="2">
        <f t="shared" si="77"/>
        <v>2524</v>
      </c>
      <c r="BM130" s="2">
        <f t="shared" si="78"/>
        <v>2480</v>
      </c>
      <c r="BN130" s="2">
        <f t="shared" si="93"/>
        <v>5004</v>
      </c>
    </row>
    <row r="131" spans="1:66" x14ac:dyDescent="0.25">
      <c r="A131" s="42">
        <v>128</v>
      </c>
      <c r="B131" s="43">
        <v>42768</v>
      </c>
      <c r="C131" s="42" t="s">
        <v>50</v>
      </c>
      <c r="D131" s="42" t="s">
        <v>114</v>
      </c>
      <c r="E131" s="6">
        <f t="shared" si="79"/>
        <v>-320.76985781249829</v>
      </c>
      <c r="F131" s="5" t="str">
        <f t="shared" si="94"/>
        <v>Loss</v>
      </c>
      <c r="G131" s="4">
        <f t="shared" si="95"/>
        <v>-292.49999999999829</v>
      </c>
      <c r="H131" s="46">
        <v>150</v>
      </c>
      <c r="I131" s="42">
        <v>279</v>
      </c>
      <c r="N131" s="5">
        <f t="shared" si="96"/>
        <v>150</v>
      </c>
      <c r="O131" s="4">
        <f t="shared" si="97"/>
        <v>279</v>
      </c>
      <c r="P131" s="5">
        <f t="shared" si="52"/>
        <v>150</v>
      </c>
      <c r="Q131" s="42">
        <v>277.05</v>
      </c>
      <c r="R131" s="2">
        <f t="shared" si="100"/>
        <v>0</v>
      </c>
      <c r="T131" s="2">
        <f t="shared" si="80"/>
        <v>0</v>
      </c>
      <c r="V131" s="5">
        <f t="shared" si="98"/>
        <v>150</v>
      </c>
      <c r="W131" s="4">
        <f t="shared" si="99"/>
        <v>277.05</v>
      </c>
      <c r="X131" s="14">
        <f t="shared" si="53"/>
        <v>-1.9499999999999886</v>
      </c>
      <c r="Y131" s="5">
        <f t="shared" si="54"/>
        <v>-292.49999999999829</v>
      </c>
      <c r="Z131" s="2">
        <f t="shared" si="55"/>
        <v>0</v>
      </c>
      <c r="AA131" s="4">
        <f t="shared" si="56"/>
        <v>0</v>
      </c>
      <c r="AB131" s="13">
        <f t="shared" si="57"/>
        <v>28.2698578125</v>
      </c>
      <c r="AC131" s="10">
        <f>SUM($E$4:E131)</f>
        <v>-6761.9345018906506</v>
      </c>
      <c r="AD131" s="20">
        <f>SUM($AB$4:AB131)</f>
        <v>4414.1845018906224</v>
      </c>
      <c r="AF131" s="28">
        <f t="shared" si="58"/>
        <v>8.3407499999999999</v>
      </c>
      <c r="AG131" s="2">
        <f t="shared" si="59"/>
        <v>10.389374999999999</v>
      </c>
      <c r="AH131" s="2">
        <f t="shared" si="60"/>
        <v>2.7107437499999998</v>
      </c>
      <c r="AI131" s="2">
        <f t="shared" si="81"/>
        <v>11.051493749999999</v>
      </c>
      <c r="AJ131" s="2">
        <f t="shared" si="82"/>
        <v>1.6577240624999998</v>
      </c>
      <c r="AK131" s="2">
        <f t="shared" si="61"/>
        <v>0.16681499999999999</v>
      </c>
      <c r="AL131" s="2">
        <f t="shared" si="62"/>
        <v>5.0044500000000003</v>
      </c>
      <c r="AM131" s="2">
        <f t="shared" si="83"/>
        <v>28.2698578125</v>
      </c>
      <c r="AN131" s="2">
        <f t="shared" si="63"/>
        <v>40</v>
      </c>
      <c r="AO131" s="2">
        <f t="shared" si="64"/>
        <v>20.778749999999999</v>
      </c>
      <c r="AP131" s="2">
        <f t="shared" si="65"/>
        <v>44.205974999999995</v>
      </c>
      <c r="AQ131" s="2">
        <f t="shared" si="84"/>
        <v>84.205974999999995</v>
      </c>
      <c r="AR131" s="2">
        <f t="shared" si="85"/>
        <v>12.630896249999999</v>
      </c>
      <c r="AS131" s="2">
        <f t="shared" si="66"/>
        <v>0.16681499999999999</v>
      </c>
      <c r="AT131" s="2">
        <f t="shared" si="67"/>
        <v>5.0044500000000003</v>
      </c>
      <c r="AU131" s="2">
        <f t="shared" si="86"/>
        <v>122.78688625000001</v>
      </c>
      <c r="AV131" s="2">
        <f t="shared" si="68"/>
        <v>8.3407499999999999</v>
      </c>
      <c r="AW131" s="2">
        <f t="shared" si="69"/>
        <v>4.1557500000000003</v>
      </c>
      <c r="AX131" s="2">
        <f t="shared" si="70"/>
        <v>1.7515574999999999</v>
      </c>
      <c r="AY131" s="2">
        <f t="shared" si="87"/>
        <v>10.0923075</v>
      </c>
      <c r="AZ131" s="2">
        <f t="shared" si="88"/>
        <v>1.5138461249999999</v>
      </c>
      <c r="BA131" s="2">
        <f t="shared" si="71"/>
        <v>0.16681499999999999</v>
      </c>
      <c r="BB131" s="2">
        <f t="shared" si="72"/>
        <v>5.0044500000000003</v>
      </c>
      <c r="BC131" s="2">
        <f t="shared" si="89"/>
        <v>20.933168625</v>
      </c>
      <c r="BD131" s="2">
        <v>0</v>
      </c>
      <c r="BE131" s="2">
        <f t="shared" si="73"/>
        <v>83.407499999999999</v>
      </c>
      <c r="BF131" s="2">
        <f t="shared" si="74"/>
        <v>2.7107437499999998</v>
      </c>
      <c r="BG131" s="2">
        <f t="shared" si="90"/>
        <v>2.7107437499999998</v>
      </c>
      <c r="BH131" s="2">
        <f t="shared" si="91"/>
        <v>0.40661156249999997</v>
      </c>
      <c r="BI131" s="2">
        <f t="shared" si="75"/>
        <v>0.16681499999999999</v>
      </c>
      <c r="BJ131" s="2">
        <f t="shared" si="76"/>
        <v>5.0044500000000003</v>
      </c>
      <c r="BK131" s="2">
        <f t="shared" si="92"/>
        <v>91.696120312500014</v>
      </c>
      <c r="BL131" s="2">
        <f t="shared" si="77"/>
        <v>41850</v>
      </c>
      <c r="BM131" s="2">
        <f t="shared" si="78"/>
        <v>41557.5</v>
      </c>
      <c r="BN131" s="2">
        <f t="shared" si="93"/>
        <v>83407.5</v>
      </c>
    </row>
    <row r="132" spans="1:66" x14ac:dyDescent="0.25">
      <c r="A132" s="42">
        <v>129</v>
      </c>
      <c r="B132" s="43">
        <v>42768</v>
      </c>
      <c r="C132" s="42" t="s">
        <v>122</v>
      </c>
      <c r="D132" s="42" t="s">
        <v>114</v>
      </c>
      <c r="E132" s="6">
        <f t="shared" si="79"/>
        <v>10440.59008</v>
      </c>
      <c r="F132" s="5" t="str">
        <f t="shared" si="94"/>
        <v>Win</v>
      </c>
      <c r="G132" s="4">
        <f t="shared" si="95"/>
        <v>10560</v>
      </c>
      <c r="H132" s="46">
        <v>2400</v>
      </c>
      <c r="I132" s="42">
        <v>2.15</v>
      </c>
      <c r="J132" s="42">
        <v>2400</v>
      </c>
      <c r="K132" s="42">
        <v>1.25</v>
      </c>
      <c r="N132" s="5">
        <f t="shared" si="96"/>
        <v>4800</v>
      </c>
      <c r="O132" s="4">
        <f t="shared" si="97"/>
        <v>1.7</v>
      </c>
      <c r="P132" s="5">
        <f t="shared" ref="P132:P195" si="101">H132</f>
        <v>2400</v>
      </c>
      <c r="Q132" s="42">
        <v>3.9</v>
      </c>
      <c r="R132" s="2">
        <f t="shared" si="100"/>
        <v>2400</v>
      </c>
      <c r="S132" s="42">
        <v>3.9</v>
      </c>
      <c r="T132" s="2">
        <f t="shared" si="80"/>
        <v>0</v>
      </c>
      <c r="V132" s="5">
        <f t="shared" si="98"/>
        <v>4800</v>
      </c>
      <c r="W132" s="4">
        <f t="shared" si="99"/>
        <v>3.9</v>
      </c>
      <c r="X132" s="14">
        <f t="shared" ref="X132:X195" si="102">MAX(Q132,S132,U132)-MIN(I132,K132,M132)</f>
        <v>2.65</v>
      </c>
      <c r="Y132" s="5">
        <f t="shared" ref="Y132:Y195" si="103">P132*(Q132-I132)</f>
        <v>4200</v>
      </c>
      <c r="Z132" s="2">
        <f t="shared" ref="Z132:Z195" si="104">R132*(S132-K132)</f>
        <v>6360</v>
      </c>
      <c r="AA132" s="4">
        <f t="shared" ref="AA132:AA195" si="105">T132*(U132-M132)</f>
        <v>0</v>
      </c>
      <c r="AB132" s="13">
        <f t="shared" ref="AB132:AB195" si="106">IF(C132="EQ Intraday",AM132,IF(C132="Index Option",AU132,IF(C132="Index Future",BC132,IF(C132="EQ Delivery",BK132,IF(C132="Stock Option",AU132,IF(C132="Stock Future",BC132,IF(C132="",0,"Error")))))))</f>
        <v>119.40992</v>
      </c>
      <c r="AC132" s="10">
        <f>SUM($E$4:E132)</f>
        <v>3678.6555781093493</v>
      </c>
      <c r="AD132" s="20">
        <f>SUM($AB$4:AB132)</f>
        <v>4533.5944218906225</v>
      </c>
      <c r="AF132" s="28">
        <f t="shared" ref="AF132:AF195" si="107">MIN(IF(ISBLANK(U132)=FALSE,120,IF(ISBLANK(S132)=FALSE,80,40)),(((V132*W132)+(N132*O132))*0.0001))</f>
        <v>2.6880000000000002</v>
      </c>
      <c r="AG132" s="2">
        <f t="shared" ref="AG132:AG195" si="108">(0.00025*V132*W132)</f>
        <v>4.68</v>
      </c>
      <c r="AH132" s="2">
        <f t="shared" ref="AH132:AH195" si="109">(0.0000325*((V132*W132)+(N132*O132)))</f>
        <v>0.87359999999999993</v>
      </c>
      <c r="AI132" s="2">
        <f t="shared" si="81"/>
        <v>3.5616000000000003</v>
      </c>
      <c r="AJ132" s="2">
        <f t="shared" si="82"/>
        <v>0.53424000000000005</v>
      </c>
      <c r="AK132" s="2">
        <f t="shared" ref="AK132:AK195" si="110">(((V132*W132)+(N132*O132))/10000000)*20</f>
        <v>5.3759999999999995E-2</v>
      </c>
      <c r="AL132" s="2">
        <f t="shared" ref="AL132:AL195" si="111">0.00006*((V132*W132)+(N132*O132))</f>
        <v>1.6128</v>
      </c>
      <c r="AM132" s="2">
        <f t="shared" si="83"/>
        <v>10.442400000000001</v>
      </c>
      <c r="AN132" s="2">
        <f t="shared" ref="AN132:AN195" si="112">COUNT(H132,J132,L132)*40</f>
        <v>80</v>
      </c>
      <c r="AO132" s="2">
        <f t="shared" ref="AO132:AO195" si="113">0.0005*V132*W132</f>
        <v>9.36</v>
      </c>
      <c r="AP132" s="2">
        <f t="shared" ref="AP132:AP195" si="114">0.00053*((N132*O132)+(V132*W132))</f>
        <v>14.2464</v>
      </c>
      <c r="AQ132" s="2">
        <f t="shared" si="84"/>
        <v>94.246399999999994</v>
      </c>
      <c r="AR132" s="2">
        <f t="shared" si="85"/>
        <v>14.136959999999998</v>
      </c>
      <c r="AS132" s="2">
        <f t="shared" ref="AS132:AS195" si="115">(((V132*W132)+(N132*O132))/10000000)*20</f>
        <v>5.3759999999999995E-2</v>
      </c>
      <c r="AT132" s="2">
        <f t="shared" ref="AT132:AT195" si="116">0.00006*((V132*W132)+(N132*O132))</f>
        <v>1.6128</v>
      </c>
      <c r="AU132" s="2">
        <f t="shared" si="86"/>
        <v>119.40992</v>
      </c>
      <c r="AV132" s="2">
        <f t="shared" ref="AV132:AV195" si="117">MIN(IF(ISBLANK(U132)=FALSE,120,IF(ISBLANK(S132)=FALSE,80,40)),(((V132*W132)+(N132*O132))*0.0001))</f>
        <v>2.6880000000000002</v>
      </c>
      <c r="AW132" s="2">
        <f t="shared" ref="AW132:AW195" si="118">0.0001*V132*W132</f>
        <v>1.8720000000000001</v>
      </c>
      <c r="AX132" s="2">
        <f t="shared" ref="AX132:AX195" si="119">0.000021*((N132*O132)+(V132*W132))</f>
        <v>0.56447999999999998</v>
      </c>
      <c r="AY132" s="2">
        <f t="shared" si="87"/>
        <v>3.2524800000000003</v>
      </c>
      <c r="AZ132" s="2">
        <f t="shared" si="88"/>
        <v>0.48787200000000003</v>
      </c>
      <c r="BA132" s="2">
        <f t="shared" ref="BA132:BA195" si="120">(((V132*W132)+(N132*O132))/10000000)*20</f>
        <v>5.3759999999999995E-2</v>
      </c>
      <c r="BB132" s="2">
        <f t="shared" ref="BB132:BB195" si="121">0.00006*((V132*W132)+(N132*O132))</f>
        <v>1.6128</v>
      </c>
      <c r="BC132" s="2">
        <f t="shared" si="89"/>
        <v>7.278912</v>
      </c>
      <c r="BD132" s="2">
        <v>0</v>
      </c>
      <c r="BE132" s="2">
        <f t="shared" ref="BE132:BE195" si="122">0.001*((N132*O132)+(V132*W132))</f>
        <v>26.88</v>
      </c>
      <c r="BF132" s="2">
        <f t="shared" ref="BF132:BF195" si="123">(0.0000325*((V132*W132)+(N132*O132)))</f>
        <v>0.87359999999999993</v>
      </c>
      <c r="BG132" s="2">
        <f t="shared" si="90"/>
        <v>0.87359999999999993</v>
      </c>
      <c r="BH132" s="2">
        <f t="shared" si="91"/>
        <v>0.13103999999999999</v>
      </c>
      <c r="BI132" s="2">
        <f t="shared" ref="BI132:BI195" si="124">(((V132*W132)+(N132*O132))/10000000)*20</f>
        <v>5.3759999999999995E-2</v>
      </c>
      <c r="BJ132" s="2">
        <f t="shared" ref="BJ132:BJ195" si="125">0.00006*((V132*W132)+(N132*O132))</f>
        <v>1.6128</v>
      </c>
      <c r="BK132" s="2">
        <f t="shared" si="92"/>
        <v>29.551199999999998</v>
      </c>
      <c r="BL132" s="2">
        <f t="shared" ref="BL132:BL195" si="126">N132*O132</f>
        <v>8160</v>
      </c>
      <c r="BM132" s="2">
        <f t="shared" ref="BM132:BM195" si="127">V132*W132</f>
        <v>18720</v>
      </c>
      <c r="BN132" s="2">
        <f t="shared" si="93"/>
        <v>26880</v>
      </c>
    </row>
    <row r="133" spans="1:66" x14ac:dyDescent="0.25">
      <c r="A133" s="42">
        <v>130</v>
      </c>
      <c r="B133" s="43">
        <v>42776</v>
      </c>
      <c r="C133" s="42" t="s">
        <v>149</v>
      </c>
      <c r="D133" s="42" t="s">
        <v>155</v>
      </c>
      <c r="E133" s="6">
        <f t="shared" ref="E133:E196" si="128">G133-AB133</f>
        <v>-2074.4331625</v>
      </c>
      <c r="F133" s="5" t="str">
        <f t="shared" si="94"/>
        <v>Loss</v>
      </c>
      <c r="G133" s="4">
        <f t="shared" si="95"/>
        <v>-2025</v>
      </c>
      <c r="H133" s="46">
        <v>75</v>
      </c>
      <c r="I133" s="42">
        <v>42</v>
      </c>
      <c r="N133" s="5">
        <f t="shared" si="96"/>
        <v>75</v>
      </c>
      <c r="O133" s="4">
        <f t="shared" si="97"/>
        <v>42</v>
      </c>
      <c r="P133" s="5">
        <f t="shared" si="101"/>
        <v>75</v>
      </c>
      <c r="Q133" s="42">
        <v>15</v>
      </c>
      <c r="R133" s="2">
        <f t="shared" si="100"/>
        <v>0</v>
      </c>
      <c r="T133" s="2">
        <f t="shared" ref="T133:T196" si="129">L133</f>
        <v>0</v>
      </c>
      <c r="V133" s="5">
        <f t="shared" si="98"/>
        <v>75</v>
      </c>
      <c r="W133" s="4">
        <f t="shared" si="99"/>
        <v>15</v>
      </c>
      <c r="X133" s="14">
        <f t="shared" si="102"/>
        <v>-27</v>
      </c>
      <c r="Y133" s="5">
        <f t="shared" si="103"/>
        <v>-2025</v>
      </c>
      <c r="Z133" s="2">
        <f t="shared" si="104"/>
        <v>0</v>
      </c>
      <c r="AA133" s="4">
        <f t="shared" si="105"/>
        <v>0</v>
      </c>
      <c r="AB133" s="13">
        <f t="shared" si="106"/>
        <v>49.433162500000002</v>
      </c>
      <c r="AC133" s="10">
        <f>SUM($E$4:E133)</f>
        <v>1604.2224156093494</v>
      </c>
      <c r="AD133" s="20">
        <f>SUM($AB$4:AB133)</f>
        <v>4583.0275843906229</v>
      </c>
      <c r="AF133" s="28">
        <f t="shared" si="107"/>
        <v>0.42750000000000005</v>
      </c>
      <c r="AG133" s="2">
        <f t="shared" si="108"/>
        <v>0.28125</v>
      </c>
      <c r="AH133" s="2">
        <f t="shared" si="109"/>
        <v>0.13893749999999999</v>
      </c>
      <c r="AI133" s="2">
        <f t="shared" ref="AI133:AI196" si="130">AH133+AF133</f>
        <v>0.56643750000000004</v>
      </c>
      <c r="AJ133" s="2">
        <f t="shared" ref="AJ133:AJ196" si="131">0.15*AI133</f>
        <v>8.4965625000000003E-2</v>
      </c>
      <c r="AK133" s="2">
        <f t="shared" si="110"/>
        <v>8.5500000000000003E-3</v>
      </c>
      <c r="AL133" s="2">
        <f t="shared" si="111"/>
        <v>0.25650000000000001</v>
      </c>
      <c r="AM133" s="2">
        <f t="shared" ref="AM133:AM196" si="132">SUM(AF133:AH133,AJ133:AL133)</f>
        <v>1.1977031249999999</v>
      </c>
      <c r="AN133" s="2">
        <f t="shared" si="112"/>
        <v>40</v>
      </c>
      <c r="AO133" s="2">
        <f t="shared" si="113"/>
        <v>0.5625</v>
      </c>
      <c r="AP133" s="2">
        <f t="shared" si="114"/>
        <v>2.2657499999999997</v>
      </c>
      <c r="AQ133" s="2">
        <f t="shared" ref="AQ133:AQ196" si="133">AN133+AP133</f>
        <v>42.265749999999997</v>
      </c>
      <c r="AR133" s="2">
        <f t="shared" ref="AR133:AR196" si="134">0.15*AQ133</f>
        <v>6.3398624999999997</v>
      </c>
      <c r="AS133" s="2">
        <f t="shared" si="115"/>
        <v>8.5500000000000003E-3</v>
      </c>
      <c r="AT133" s="2">
        <f t="shared" si="116"/>
        <v>0.25650000000000001</v>
      </c>
      <c r="AU133" s="2">
        <f t="shared" ref="AU133:AU196" si="135">SUM(AN133:AP133,AR133:AT133)</f>
        <v>49.433162500000002</v>
      </c>
      <c r="AV133" s="2">
        <f t="shared" si="117"/>
        <v>0.42750000000000005</v>
      </c>
      <c r="AW133" s="2">
        <f t="shared" si="118"/>
        <v>0.1125</v>
      </c>
      <c r="AX133" s="2">
        <f t="shared" si="119"/>
        <v>8.9774999999999994E-2</v>
      </c>
      <c r="AY133" s="2">
        <f t="shared" ref="AY133:AY196" si="136">AV133+AX133</f>
        <v>0.51727500000000004</v>
      </c>
      <c r="AZ133" s="2">
        <f t="shared" ref="AZ133:AZ196" si="137">0.15*AY133</f>
        <v>7.759125E-2</v>
      </c>
      <c r="BA133" s="2">
        <f t="shared" si="120"/>
        <v>8.5500000000000003E-3</v>
      </c>
      <c r="BB133" s="2">
        <f t="shared" si="121"/>
        <v>0.25650000000000001</v>
      </c>
      <c r="BC133" s="2">
        <f t="shared" ref="BC133:BC196" si="138">SUM(AV133:AX133,AZ133:BB133)</f>
        <v>0.97241624999999998</v>
      </c>
      <c r="BD133" s="2">
        <v>0</v>
      </c>
      <c r="BE133" s="2">
        <f t="shared" si="122"/>
        <v>4.2750000000000004</v>
      </c>
      <c r="BF133" s="2">
        <f t="shared" si="123"/>
        <v>0.13893749999999999</v>
      </c>
      <c r="BG133" s="2">
        <f t="shared" ref="BG133:BG196" si="139">BD133+BF133</f>
        <v>0.13893749999999999</v>
      </c>
      <c r="BH133" s="2">
        <f t="shared" ref="BH133:BH196" si="140">0.15*BG133</f>
        <v>2.0840624999999998E-2</v>
      </c>
      <c r="BI133" s="2">
        <f t="shared" si="124"/>
        <v>8.5500000000000003E-3</v>
      </c>
      <c r="BJ133" s="2">
        <f t="shared" si="125"/>
        <v>0.25650000000000001</v>
      </c>
      <c r="BK133" s="2">
        <f t="shared" ref="BK133:BK196" si="141">SUM(BD133:BF133,BH133:BJ133)</f>
        <v>4.6998281249999998</v>
      </c>
      <c r="BL133" s="2">
        <f t="shared" si="126"/>
        <v>3150</v>
      </c>
      <c r="BM133" s="2">
        <f t="shared" si="127"/>
        <v>1125</v>
      </c>
      <c r="BN133" s="2">
        <f t="shared" ref="BN133:BN196" si="142">BM133+BL133</f>
        <v>4275</v>
      </c>
    </row>
    <row r="134" spans="1:66" x14ac:dyDescent="0.25">
      <c r="A134" s="42">
        <v>131</v>
      </c>
      <c r="B134" s="43">
        <v>42781</v>
      </c>
      <c r="C134" s="42" t="s">
        <v>122</v>
      </c>
      <c r="D134" s="42" t="s">
        <v>142</v>
      </c>
      <c r="E134" s="6">
        <f t="shared" si="128"/>
        <v>100.64510000000014</v>
      </c>
      <c r="F134" s="5" t="str">
        <f t="shared" ref="F134:F197" si="143">IF(G134&gt;0,"Win",IF(G134=0,"Break Even","Loss"))</f>
        <v>Win</v>
      </c>
      <c r="G134" s="4">
        <f t="shared" ref="G134:G197" si="144">SUM(Y134,Z134,AA134)</f>
        <v>150.00000000000014</v>
      </c>
      <c r="H134" s="46">
        <v>1500</v>
      </c>
      <c r="I134" s="42">
        <v>1.1499999999999999</v>
      </c>
      <c r="N134" s="5">
        <f t="shared" ref="N134:N197" si="145">SUM(H134,J134,L134)</f>
        <v>1500</v>
      </c>
      <c r="O134" s="4">
        <f t="shared" ref="O134:O197" si="146">AVERAGE(M134,K134,I134)</f>
        <v>1.1499999999999999</v>
      </c>
      <c r="P134" s="5">
        <f t="shared" si="101"/>
        <v>1500</v>
      </c>
      <c r="Q134" s="42">
        <v>1.25</v>
      </c>
      <c r="R134" s="2">
        <f t="shared" si="100"/>
        <v>0</v>
      </c>
      <c r="T134" s="2">
        <f t="shared" si="129"/>
        <v>0</v>
      </c>
      <c r="V134" s="5">
        <f t="shared" ref="V134:V197" si="147">SUM(P134,R134,T134)</f>
        <v>1500</v>
      </c>
      <c r="W134" s="4">
        <f t="shared" ref="W134:W197" si="148">AVERAGE(Q134,S134,U134)</f>
        <v>1.25</v>
      </c>
      <c r="X134" s="14">
        <f t="shared" si="102"/>
        <v>0.10000000000000009</v>
      </c>
      <c r="Y134" s="5">
        <f t="shared" si="103"/>
        <v>150.00000000000014</v>
      </c>
      <c r="Z134" s="2">
        <f t="shared" si="104"/>
        <v>0</v>
      </c>
      <c r="AA134" s="4">
        <f t="shared" si="105"/>
        <v>0</v>
      </c>
      <c r="AB134" s="13">
        <f t="shared" si="106"/>
        <v>49.354900000000001</v>
      </c>
      <c r="AC134" s="10">
        <f>SUM($E$4:E134)</f>
        <v>1704.8675156093495</v>
      </c>
      <c r="AD134" s="20">
        <f>SUM($AB$4:AB134)</f>
        <v>4632.3824843906232</v>
      </c>
      <c r="AF134" s="28">
        <f t="shared" si="107"/>
        <v>0.36000000000000004</v>
      </c>
      <c r="AG134" s="2">
        <f t="shared" si="108"/>
        <v>0.46875</v>
      </c>
      <c r="AH134" s="2">
        <f t="shared" si="109"/>
        <v>0.11699999999999999</v>
      </c>
      <c r="AI134" s="2">
        <f t="shared" si="130"/>
        <v>0.47700000000000004</v>
      </c>
      <c r="AJ134" s="2">
        <f t="shared" si="131"/>
        <v>7.1550000000000002E-2</v>
      </c>
      <c r="AK134" s="2">
        <f t="shared" si="110"/>
        <v>7.2000000000000007E-3</v>
      </c>
      <c r="AL134" s="2">
        <f t="shared" si="111"/>
        <v>0.216</v>
      </c>
      <c r="AM134" s="2">
        <f t="shared" si="132"/>
        <v>1.2405000000000002</v>
      </c>
      <c r="AN134" s="2">
        <f t="shared" si="112"/>
        <v>40</v>
      </c>
      <c r="AO134" s="2">
        <f t="shared" si="113"/>
        <v>0.9375</v>
      </c>
      <c r="AP134" s="2">
        <f t="shared" si="114"/>
        <v>1.9079999999999999</v>
      </c>
      <c r="AQ134" s="2">
        <f t="shared" si="133"/>
        <v>41.908000000000001</v>
      </c>
      <c r="AR134" s="2">
        <f t="shared" si="134"/>
        <v>6.2862</v>
      </c>
      <c r="AS134" s="2">
        <f t="shared" si="115"/>
        <v>7.2000000000000007E-3</v>
      </c>
      <c r="AT134" s="2">
        <f t="shared" si="116"/>
        <v>0.216</v>
      </c>
      <c r="AU134" s="2">
        <f t="shared" si="135"/>
        <v>49.354900000000001</v>
      </c>
      <c r="AV134" s="2">
        <f t="shared" si="117"/>
        <v>0.36000000000000004</v>
      </c>
      <c r="AW134" s="2">
        <f t="shared" si="118"/>
        <v>0.1875</v>
      </c>
      <c r="AX134" s="2">
        <f t="shared" si="119"/>
        <v>7.5600000000000001E-2</v>
      </c>
      <c r="AY134" s="2">
        <f t="shared" si="136"/>
        <v>0.43560000000000004</v>
      </c>
      <c r="AZ134" s="2">
        <f t="shared" si="137"/>
        <v>6.5340000000000009E-2</v>
      </c>
      <c r="BA134" s="2">
        <f t="shared" si="120"/>
        <v>7.2000000000000007E-3</v>
      </c>
      <c r="BB134" s="2">
        <f t="shared" si="121"/>
        <v>0.216</v>
      </c>
      <c r="BC134" s="2">
        <f t="shared" si="138"/>
        <v>0.91164000000000012</v>
      </c>
      <c r="BD134" s="2">
        <v>0</v>
      </c>
      <c r="BE134" s="2">
        <f t="shared" si="122"/>
        <v>3.6</v>
      </c>
      <c r="BF134" s="2">
        <f t="shared" si="123"/>
        <v>0.11699999999999999</v>
      </c>
      <c r="BG134" s="2">
        <f t="shared" si="139"/>
        <v>0.11699999999999999</v>
      </c>
      <c r="BH134" s="2">
        <f t="shared" si="140"/>
        <v>1.755E-2</v>
      </c>
      <c r="BI134" s="2">
        <f t="shared" si="124"/>
        <v>7.2000000000000007E-3</v>
      </c>
      <c r="BJ134" s="2">
        <f t="shared" si="125"/>
        <v>0.216</v>
      </c>
      <c r="BK134" s="2">
        <f t="shared" si="141"/>
        <v>3.9577500000000003</v>
      </c>
      <c r="BL134" s="2">
        <f t="shared" si="126"/>
        <v>1724.9999999999998</v>
      </c>
      <c r="BM134" s="2">
        <f t="shared" si="127"/>
        <v>1875</v>
      </c>
      <c r="BN134" s="2">
        <f t="shared" si="142"/>
        <v>3600</v>
      </c>
    </row>
    <row r="135" spans="1:66" x14ac:dyDescent="0.25">
      <c r="A135" s="42">
        <v>132</v>
      </c>
      <c r="B135" s="43">
        <v>42782</v>
      </c>
      <c r="C135" s="42" t="s">
        <v>149</v>
      </c>
      <c r="D135" s="42" t="s">
        <v>155</v>
      </c>
      <c r="E135" s="6">
        <f t="shared" si="128"/>
        <v>1401.8748399999999</v>
      </c>
      <c r="F135" s="5" t="str">
        <f t="shared" si="143"/>
        <v>Win</v>
      </c>
      <c r="G135" s="4">
        <f t="shared" si="144"/>
        <v>1500</v>
      </c>
      <c r="H135" s="46">
        <v>75</v>
      </c>
      <c r="I135" s="42">
        <v>16.5</v>
      </c>
      <c r="J135" s="42">
        <v>75</v>
      </c>
      <c r="K135" s="42">
        <v>15.1</v>
      </c>
      <c r="N135" s="5">
        <f t="shared" si="145"/>
        <v>150</v>
      </c>
      <c r="O135" s="4">
        <f t="shared" si="146"/>
        <v>15.8</v>
      </c>
      <c r="P135" s="5">
        <f t="shared" si="101"/>
        <v>75</v>
      </c>
      <c r="Q135" s="42">
        <v>25.8</v>
      </c>
      <c r="R135" s="2">
        <f t="shared" si="100"/>
        <v>75</v>
      </c>
      <c r="S135" s="42">
        <v>25.8</v>
      </c>
      <c r="T135" s="2">
        <f t="shared" si="129"/>
        <v>0</v>
      </c>
      <c r="V135" s="5">
        <f t="shared" si="147"/>
        <v>150</v>
      </c>
      <c r="W135" s="4">
        <f t="shared" si="148"/>
        <v>25.8</v>
      </c>
      <c r="X135" s="14">
        <f t="shared" si="102"/>
        <v>10.700000000000001</v>
      </c>
      <c r="Y135" s="5">
        <f t="shared" si="103"/>
        <v>697.5</v>
      </c>
      <c r="Z135" s="2">
        <f t="shared" si="104"/>
        <v>802.50000000000011</v>
      </c>
      <c r="AA135" s="4">
        <f t="shared" si="105"/>
        <v>0</v>
      </c>
      <c r="AB135" s="13">
        <f t="shared" si="106"/>
        <v>98.125159999999994</v>
      </c>
      <c r="AC135" s="10">
        <f>SUM($E$4:E135)</f>
        <v>3106.7423556093495</v>
      </c>
      <c r="AD135" s="20">
        <f>SUM($AB$4:AB135)</f>
        <v>4730.5076443906228</v>
      </c>
      <c r="AF135" s="28">
        <f t="shared" si="107"/>
        <v>0.624</v>
      </c>
      <c r="AG135" s="2">
        <f t="shared" si="108"/>
        <v>0.96750000000000003</v>
      </c>
      <c r="AH135" s="2">
        <f t="shared" si="109"/>
        <v>0.20279999999999998</v>
      </c>
      <c r="AI135" s="2">
        <f t="shared" si="130"/>
        <v>0.82679999999999998</v>
      </c>
      <c r="AJ135" s="2">
        <f t="shared" si="131"/>
        <v>0.12401999999999999</v>
      </c>
      <c r="AK135" s="2">
        <f t="shared" si="110"/>
        <v>1.248E-2</v>
      </c>
      <c r="AL135" s="2">
        <f t="shared" si="111"/>
        <v>0.37440000000000001</v>
      </c>
      <c r="AM135" s="2">
        <f t="shared" si="132"/>
        <v>2.3051999999999997</v>
      </c>
      <c r="AN135" s="2">
        <f t="shared" si="112"/>
        <v>80</v>
      </c>
      <c r="AO135" s="2">
        <f t="shared" si="113"/>
        <v>1.9350000000000001</v>
      </c>
      <c r="AP135" s="2">
        <f t="shared" si="114"/>
        <v>3.3071999999999999</v>
      </c>
      <c r="AQ135" s="2">
        <f t="shared" si="133"/>
        <v>83.307199999999995</v>
      </c>
      <c r="AR135" s="2">
        <f t="shared" si="134"/>
        <v>12.496079999999999</v>
      </c>
      <c r="AS135" s="2">
        <f t="shared" si="115"/>
        <v>1.248E-2</v>
      </c>
      <c r="AT135" s="2">
        <f t="shared" si="116"/>
        <v>0.37440000000000001</v>
      </c>
      <c r="AU135" s="2">
        <f t="shared" si="135"/>
        <v>98.125159999999994</v>
      </c>
      <c r="AV135" s="2">
        <f t="shared" si="117"/>
        <v>0.624</v>
      </c>
      <c r="AW135" s="2">
        <f t="shared" si="118"/>
        <v>0.38700000000000007</v>
      </c>
      <c r="AX135" s="2">
        <f t="shared" si="119"/>
        <v>0.13103999999999999</v>
      </c>
      <c r="AY135" s="2">
        <f t="shared" si="136"/>
        <v>0.75503999999999993</v>
      </c>
      <c r="AZ135" s="2">
        <f t="shared" si="137"/>
        <v>0.11325599999999998</v>
      </c>
      <c r="BA135" s="2">
        <f t="shared" si="120"/>
        <v>1.248E-2</v>
      </c>
      <c r="BB135" s="2">
        <f t="shared" si="121"/>
        <v>0.37440000000000001</v>
      </c>
      <c r="BC135" s="2">
        <f t="shared" si="138"/>
        <v>1.6421760000000003</v>
      </c>
      <c r="BD135" s="2">
        <v>0</v>
      </c>
      <c r="BE135" s="2">
        <f t="shared" si="122"/>
        <v>6.24</v>
      </c>
      <c r="BF135" s="2">
        <f t="shared" si="123"/>
        <v>0.20279999999999998</v>
      </c>
      <c r="BG135" s="2">
        <f t="shared" si="139"/>
        <v>0.20279999999999998</v>
      </c>
      <c r="BH135" s="2">
        <f t="shared" si="140"/>
        <v>3.0419999999999996E-2</v>
      </c>
      <c r="BI135" s="2">
        <f t="shared" si="124"/>
        <v>1.248E-2</v>
      </c>
      <c r="BJ135" s="2">
        <f t="shared" si="125"/>
        <v>0.37440000000000001</v>
      </c>
      <c r="BK135" s="2">
        <f t="shared" si="141"/>
        <v>6.8601000000000001</v>
      </c>
      <c r="BL135" s="2">
        <f t="shared" si="126"/>
        <v>2370</v>
      </c>
      <c r="BM135" s="2">
        <f t="shared" si="127"/>
        <v>3870</v>
      </c>
      <c r="BN135" s="2">
        <f t="shared" si="142"/>
        <v>6240</v>
      </c>
    </row>
    <row r="136" spans="1:66" x14ac:dyDescent="0.25">
      <c r="A136" s="42">
        <v>133</v>
      </c>
      <c r="B136" s="43">
        <v>42787</v>
      </c>
      <c r="C136" s="42" t="s">
        <v>50</v>
      </c>
      <c r="D136" s="42" t="s">
        <v>156</v>
      </c>
      <c r="E136" s="6">
        <f t="shared" si="128"/>
        <v>-258.741175</v>
      </c>
      <c r="F136" s="5" t="str">
        <f t="shared" si="143"/>
        <v>Loss</v>
      </c>
      <c r="G136" s="4">
        <f t="shared" si="144"/>
        <v>-200</v>
      </c>
      <c r="H136" s="46">
        <v>800</v>
      </c>
      <c r="I136" s="42">
        <v>108.35</v>
      </c>
      <c r="N136" s="5">
        <f t="shared" si="145"/>
        <v>800</v>
      </c>
      <c r="O136" s="4">
        <f t="shared" si="146"/>
        <v>108.35</v>
      </c>
      <c r="P136" s="5">
        <f t="shared" si="101"/>
        <v>800</v>
      </c>
      <c r="Q136" s="42">
        <v>108.1</v>
      </c>
      <c r="R136" s="2">
        <f t="shared" si="100"/>
        <v>0</v>
      </c>
      <c r="T136" s="2">
        <f t="shared" si="129"/>
        <v>0</v>
      </c>
      <c r="V136" s="5">
        <f t="shared" si="147"/>
        <v>800</v>
      </c>
      <c r="W136" s="4">
        <f t="shared" si="148"/>
        <v>108.1</v>
      </c>
      <c r="X136" s="14">
        <f t="shared" si="102"/>
        <v>-0.25</v>
      </c>
      <c r="Y136" s="5">
        <f t="shared" si="103"/>
        <v>-200</v>
      </c>
      <c r="Z136" s="2">
        <f t="shared" si="104"/>
        <v>0</v>
      </c>
      <c r="AA136" s="4">
        <f t="shared" si="105"/>
        <v>0</v>
      </c>
      <c r="AB136" s="13">
        <f t="shared" si="106"/>
        <v>58.741175000000005</v>
      </c>
      <c r="AC136" s="10">
        <f>SUM($E$4:E136)</f>
        <v>2848.0011806093494</v>
      </c>
      <c r="AD136" s="20">
        <f>SUM($AB$4:AB136)</f>
        <v>4789.2488193906229</v>
      </c>
      <c r="AF136" s="28">
        <f t="shared" si="107"/>
        <v>17.316000000000003</v>
      </c>
      <c r="AG136" s="2">
        <f t="shared" si="108"/>
        <v>21.62</v>
      </c>
      <c r="AH136" s="2">
        <f t="shared" si="109"/>
        <v>5.6276999999999999</v>
      </c>
      <c r="AI136" s="2">
        <f t="shared" si="130"/>
        <v>22.943700000000003</v>
      </c>
      <c r="AJ136" s="2">
        <f t="shared" si="131"/>
        <v>3.4415550000000006</v>
      </c>
      <c r="AK136" s="2">
        <f t="shared" si="110"/>
        <v>0.34632000000000002</v>
      </c>
      <c r="AL136" s="2">
        <f t="shared" si="111"/>
        <v>10.3896</v>
      </c>
      <c r="AM136" s="2">
        <f t="shared" si="132"/>
        <v>58.741175000000005</v>
      </c>
      <c r="AN136" s="2">
        <f t="shared" si="112"/>
        <v>40</v>
      </c>
      <c r="AO136" s="2">
        <f t="shared" si="113"/>
        <v>43.24</v>
      </c>
      <c r="AP136" s="2">
        <f t="shared" si="114"/>
        <v>91.774799999999999</v>
      </c>
      <c r="AQ136" s="2">
        <f t="shared" si="133"/>
        <v>131.7748</v>
      </c>
      <c r="AR136" s="2">
        <f t="shared" si="134"/>
        <v>19.766220000000001</v>
      </c>
      <c r="AS136" s="2">
        <f t="shared" si="115"/>
        <v>0.34632000000000002</v>
      </c>
      <c r="AT136" s="2">
        <f t="shared" si="116"/>
        <v>10.3896</v>
      </c>
      <c r="AU136" s="2">
        <f t="shared" si="135"/>
        <v>205.51694000000001</v>
      </c>
      <c r="AV136" s="2">
        <f t="shared" si="117"/>
        <v>17.316000000000003</v>
      </c>
      <c r="AW136" s="2">
        <f t="shared" si="118"/>
        <v>8.6479999999999997</v>
      </c>
      <c r="AX136" s="2">
        <f t="shared" si="119"/>
        <v>3.6363599999999998</v>
      </c>
      <c r="AY136" s="2">
        <f t="shared" si="136"/>
        <v>20.952360000000002</v>
      </c>
      <c r="AZ136" s="2">
        <f t="shared" si="137"/>
        <v>3.1428540000000003</v>
      </c>
      <c r="BA136" s="2">
        <f t="shared" si="120"/>
        <v>0.34632000000000002</v>
      </c>
      <c r="BB136" s="2">
        <f t="shared" si="121"/>
        <v>10.3896</v>
      </c>
      <c r="BC136" s="2">
        <f t="shared" si="138"/>
        <v>43.479134000000002</v>
      </c>
      <c r="BD136" s="2">
        <v>0</v>
      </c>
      <c r="BE136" s="2">
        <f t="shared" si="122"/>
        <v>173.16</v>
      </c>
      <c r="BF136" s="2">
        <f t="shared" si="123"/>
        <v>5.6276999999999999</v>
      </c>
      <c r="BG136" s="2">
        <f t="shared" si="139"/>
        <v>5.6276999999999999</v>
      </c>
      <c r="BH136" s="2">
        <f t="shared" si="140"/>
        <v>0.84415499999999999</v>
      </c>
      <c r="BI136" s="2">
        <f t="shared" si="124"/>
        <v>0.34632000000000002</v>
      </c>
      <c r="BJ136" s="2">
        <f t="shared" si="125"/>
        <v>10.3896</v>
      </c>
      <c r="BK136" s="2">
        <f t="shared" si="141"/>
        <v>190.36777499999999</v>
      </c>
      <c r="BL136" s="2">
        <f t="shared" si="126"/>
        <v>86680</v>
      </c>
      <c r="BM136" s="2">
        <f t="shared" si="127"/>
        <v>86480</v>
      </c>
      <c r="BN136" s="2">
        <f t="shared" si="142"/>
        <v>173160</v>
      </c>
    </row>
    <row r="137" spans="1:66" x14ac:dyDescent="0.25">
      <c r="A137" s="42">
        <v>134</v>
      </c>
      <c r="B137" s="43">
        <v>42788</v>
      </c>
      <c r="C137" s="42" t="s">
        <v>50</v>
      </c>
      <c r="D137" s="42" t="s">
        <v>157</v>
      </c>
      <c r="E137" s="6">
        <f t="shared" si="128"/>
        <v>-507.14540625000285</v>
      </c>
      <c r="F137" s="5" t="str">
        <f t="shared" si="143"/>
        <v>Loss</v>
      </c>
      <c r="G137" s="4">
        <f t="shared" si="144"/>
        <v>-450.00000000000284</v>
      </c>
      <c r="H137" s="46">
        <v>1000</v>
      </c>
      <c r="I137" s="42">
        <v>84.5</v>
      </c>
      <c r="N137" s="5">
        <f t="shared" si="145"/>
        <v>1000</v>
      </c>
      <c r="O137" s="4">
        <f t="shared" si="146"/>
        <v>84.5</v>
      </c>
      <c r="P137" s="5">
        <f t="shared" si="101"/>
        <v>1000</v>
      </c>
      <c r="Q137" s="42">
        <v>84.05</v>
      </c>
      <c r="R137" s="2">
        <f t="shared" si="100"/>
        <v>0</v>
      </c>
      <c r="T137" s="2">
        <f t="shared" si="129"/>
        <v>0</v>
      </c>
      <c r="V137" s="5">
        <f t="shared" si="147"/>
        <v>1000</v>
      </c>
      <c r="W137" s="4">
        <f t="shared" si="148"/>
        <v>84.05</v>
      </c>
      <c r="X137" s="14">
        <f t="shared" si="102"/>
        <v>-0.45000000000000284</v>
      </c>
      <c r="Y137" s="5">
        <f t="shared" si="103"/>
        <v>-450.00000000000284</v>
      </c>
      <c r="Z137" s="2">
        <f t="shared" si="104"/>
        <v>0</v>
      </c>
      <c r="AA137" s="4">
        <f t="shared" si="105"/>
        <v>0</v>
      </c>
      <c r="AB137" s="13">
        <f t="shared" si="106"/>
        <v>57.145406249999994</v>
      </c>
      <c r="AC137" s="10">
        <f>SUM($E$4:E137)</f>
        <v>2340.8557743593465</v>
      </c>
      <c r="AD137" s="20">
        <f>SUM($AB$4:AB137)</f>
        <v>4846.3942256406226</v>
      </c>
      <c r="AF137" s="28">
        <f t="shared" si="107"/>
        <v>16.855</v>
      </c>
      <c r="AG137" s="2">
        <f t="shared" si="108"/>
        <v>21.012499999999999</v>
      </c>
      <c r="AH137" s="2">
        <f t="shared" si="109"/>
        <v>5.4778749999999992</v>
      </c>
      <c r="AI137" s="2">
        <f t="shared" si="130"/>
        <v>22.332875000000001</v>
      </c>
      <c r="AJ137" s="2">
        <f t="shared" si="131"/>
        <v>3.34993125</v>
      </c>
      <c r="AK137" s="2">
        <f t="shared" si="110"/>
        <v>0.33709999999999996</v>
      </c>
      <c r="AL137" s="2">
        <f t="shared" si="111"/>
        <v>10.113</v>
      </c>
      <c r="AM137" s="2">
        <f t="shared" si="132"/>
        <v>57.145406249999994</v>
      </c>
      <c r="AN137" s="2">
        <f t="shared" si="112"/>
        <v>40</v>
      </c>
      <c r="AO137" s="2">
        <f t="shared" si="113"/>
        <v>42.024999999999999</v>
      </c>
      <c r="AP137" s="2">
        <f t="shared" si="114"/>
        <v>89.331499999999991</v>
      </c>
      <c r="AQ137" s="2">
        <f t="shared" si="133"/>
        <v>129.33150000000001</v>
      </c>
      <c r="AR137" s="2">
        <f t="shared" si="134"/>
        <v>19.399725</v>
      </c>
      <c r="AS137" s="2">
        <f t="shared" si="115"/>
        <v>0.33709999999999996</v>
      </c>
      <c r="AT137" s="2">
        <f t="shared" si="116"/>
        <v>10.113</v>
      </c>
      <c r="AU137" s="2">
        <f t="shared" si="135"/>
        <v>201.20632499999996</v>
      </c>
      <c r="AV137" s="2">
        <f t="shared" si="117"/>
        <v>16.855</v>
      </c>
      <c r="AW137" s="2">
        <f t="shared" si="118"/>
        <v>8.4049999999999994</v>
      </c>
      <c r="AX137" s="2">
        <f t="shared" si="119"/>
        <v>3.5395499999999998</v>
      </c>
      <c r="AY137" s="2">
        <f t="shared" si="136"/>
        <v>20.394549999999999</v>
      </c>
      <c r="AZ137" s="2">
        <f t="shared" si="137"/>
        <v>3.0591824999999999</v>
      </c>
      <c r="BA137" s="2">
        <f t="shared" si="120"/>
        <v>0.33709999999999996</v>
      </c>
      <c r="BB137" s="2">
        <f t="shared" si="121"/>
        <v>10.113</v>
      </c>
      <c r="BC137" s="2">
        <f t="shared" si="138"/>
        <v>42.308832499999994</v>
      </c>
      <c r="BD137" s="2">
        <v>0</v>
      </c>
      <c r="BE137" s="2">
        <f t="shared" si="122"/>
        <v>168.55</v>
      </c>
      <c r="BF137" s="2">
        <f t="shared" si="123"/>
        <v>5.4778749999999992</v>
      </c>
      <c r="BG137" s="2">
        <f t="shared" si="139"/>
        <v>5.4778749999999992</v>
      </c>
      <c r="BH137" s="2">
        <f t="shared" si="140"/>
        <v>0.82168124999999981</v>
      </c>
      <c r="BI137" s="2">
        <f t="shared" si="124"/>
        <v>0.33709999999999996</v>
      </c>
      <c r="BJ137" s="2">
        <f t="shared" si="125"/>
        <v>10.113</v>
      </c>
      <c r="BK137" s="2">
        <f t="shared" si="141"/>
        <v>185.29965625000003</v>
      </c>
      <c r="BL137" s="2">
        <f t="shared" si="126"/>
        <v>84500</v>
      </c>
      <c r="BM137" s="2">
        <f t="shared" si="127"/>
        <v>84050</v>
      </c>
      <c r="BN137" s="2">
        <f t="shared" si="142"/>
        <v>168550</v>
      </c>
    </row>
    <row r="138" spans="1:66" x14ac:dyDescent="0.25">
      <c r="A138" s="42">
        <v>135</v>
      </c>
      <c r="B138" s="43">
        <v>42789</v>
      </c>
      <c r="C138" s="42" t="s">
        <v>50</v>
      </c>
      <c r="D138" s="42" t="s">
        <v>158</v>
      </c>
      <c r="E138" s="6">
        <f t="shared" si="128"/>
        <v>-341.23236875000396</v>
      </c>
      <c r="F138" s="5" t="str">
        <f t="shared" si="143"/>
        <v>Loss</v>
      </c>
      <c r="G138" s="4">
        <f t="shared" si="144"/>
        <v>-280.00000000000398</v>
      </c>
      <c r="H138" s="46">
        <v>700</v>
      </c>
      <c r="I138" s="42">
        <v>129.15</v>
      </c>
      <c r="N138" s="5">
        <f t="shared" si="145"/>
        <v>700</v>
      </c>
      <c r="O138" s="4">
        <f t="shared" si="146"/>
        <v>129.15</v>
      </c>
      <c r="P138" s="5">
        <f t="shared" si="101"/>
        <v>700</v>
      </c>
      <c r="Q138" s="42">
        <v>128.75</v>
      </c>
      <c r="R138" s="2">
        <f t="shared" si="100"/>
        <v>0</v>
      </c>
      <c r="T138" s="2">
        <f t="shared" si="129"/>
        <v>0</v>
      </c>
      <c r="V138" s="5">
        <f t="shared" si="147"/>
        <v>700</v>
      </c>
      <c r="W138" s="4">
        <f t="shared" si="148"/>
        <v>128.75</v>
      </c>
      <c r="X138" s="14">
        <f t="shared" si="102"/>
        <v>-0.40000000000000568</v>
      </c>
      <c r="Y138" s="5">
        <f t="shared" si="103"/>
        <v>-280.00000000000398</v>
      </c>
      <c r="Z138" s="2">
        <f t="shared" si="104"/>
        <v>0</v>
      </c>
      <c r="AA138" s="4">
        <f t="shared" si="105"/>
        <v>0</v>
      </c>
      <c r="AB138" s="13">
        <f t="shared" si="106"/>
        <v>61.232368750000006</v>
      </c>
      <c r="AC138" s="10">
        <f>SUM($E$4:E138)</f>
        <v>1999.6234056093426</v>
      </c>
      <c r="AD138" s="20">
        <f>SUM($AB$4:AB138)</f>
        <v>4907.6265943906228</v>
      </c>
      <c r="AF138" s="28">
        <f t="shared" si="107"/>
        <v>18.053000000000001</v>
      </c>
      <c r="AG138" s="2">
        <f t="shared" si="108"/>
        <v>22.531250000000004</v>
      </c>
      <c r="AH138" s="2">
        <f t="shared" si="109"/>
        <v>5.8672249999999995</v>
      </c>
      <c r="AI138" s="2">
        <f t="shared" si="130"/>
        <v>23.920225000000002</v>
      </c>
      <c r="AJ138" s="2">
        <f t="shared" si="131"/>
        <v>3.5880337500000001</v>
      </c>
      <c r="AK138" s="2">
        <f t="shared" si="110"/>
        <v>0.36105999999999999</v>
      </c>
      <c r="AL138" s="2">
        <f t="shared" si="111"/>
        <v>10.831799999999999</v>
      </c>
      <c r="AM138" s="2">
        <f t="shared" si="132"/>
        <v>61.232368750000006</v>
      </c>
      <c r="AN138" s="2">
        <f t="shared" si="112"/>
        <v>40</v>
      </c>
      <c r="AO138" s="2">
        <f t="shared" si="113"/>
        <v>45.062500000000007</v>
      </c>
      <c r="AP138" s="2">
        <f t="shared" si="114"/>
        <v>95.680899999999994</v>
      </c>
      <c r="AQ138" s="2">
        <f t="shared" si="133"/>
        <v>135.68090000000001</v>
      </c>
      <c r="AR138" s="2">
        <f t="shared" si="134"/>
        <v>20.352135000000001</v>
      </c>
      <c r="AS138" s="2">
        <f t="shared" si="115"/>
        <v>0.36105999999999999</v>
      </c>
      <c r="AT138" s="2">
        <f t="shared" si="116"/>
        <v>10.831799999999999</v>
      </c>
      <c r="AU138" s="2">
        <f t="shared" si="135"/>
        <v>212.28839500000001</v>
      </c>
      <c r="AV138" s="2">
        <f t="shared" si="117"/>
        <v>18.053000000000001</v>
      </c>
      <c r="AW138" s="2">
        <f t="shared" si="118"/>
        <v>9.0125000000000011</v>
      </c>
      <c r="AX138" s="2">
        <f t="shared" si="119"/>
        <v>3.7911299999999999</v>
      </c>
      <c r="AY138" s="2">
        <f t="shared" si="136"/>
        <v>21.84413</v>
      </c>
      <c r="AZ138" s="2">
        <f t="shared" si="137"/>
        <v>3.2766194999999998</v>
      </c>
      <c r="BA138" s="2">
        <f t="shared" si="120"/>
        <v>0.36105999999999999</v>
      </c>
      <c r="BB138" s="2">
        <f t="shared" si="121"/>
        <v>10.831799999999999</v>
      </c>
      <c r="BC138" s="2">
        <f t="shared" si="138"/>
        <v>45.326109500000001</v>
      </c>
      <c r="BD138" s="2">
        <v>0</v>
      </c>
      <c r="BE138" s="2">
        <f t="shared" si="122"/>
        <v>180.53</v>
      </c>
      <c r="BF138" s="2">
        <f t="shared" si="123"/>
        <v>5.8672249999999995</v>
      </c>
      <c r="BG138" s="2">
        <f t="shared" si="139"/>
        <v>5.8672249999999995</v>
      </c>
      <c r="BH138" s="2">
        <f t="shared" si="140"/>
        <v>0.88008374999999994</v>
      </c>
      <c r="BI138" s="2">
        <f t="shared" si="124"/>
        <v>0.36105999999999999</v>
      </c>
      <c r="BJ138" s="2">
        <f t="shared" si="125"/>
        <v>10.831799999999999</v>
      </c>
      <c r="BK138" s="2">
        <f t="shared" si="141"/>
        <v>198.47016875</v>
      </c>
      <c r="BL138" s="2">
        <f t="shared" si="126"/>
        <v>90405</v>
      </c>
      <c r="BM138" s="2">
        <f t="shared" si="127"/>
        <v>90125</v>
      </c>
      <c r="BN138" s="2">
        <f t="shared" si="142"/>
        <v>180530</v>
      </c>
    </row>
    <row r="139" spans="1:66" x14ac:dyDescent="0.25">
      <c r="A139" s="42">
        <v>136</v>
      </c>
      <c r="B139" s="43">
        <v>42789</v>
      </c>
      <c r="C139" s="42" t="s">
        <v>50</v>
      </c>
      <c r="D139" s="42" t="s">
        <v>159</v>
      </c>
      <c r="E139" s="6">
        <f t="shared" si="128"/>
        <v>-1182.1452456249981</v>
      </c>
      <c r="F139" s="5" t="str">
        <f t="shared" si="143"/>
        <v>Loss</v>
      </c>
      <c r="G139" s="4">
        <f t="shared" si="144"/>
        <v>-1138.9999999999982</v>
      </c>
      <c r="H139" s="46">
        <v>170</v>
      </c>
      <c r="I139" s="42">
        <v>378.5</v>
      </c>
      <c r="N139" s="5">
        <f t="shared" si="145"/>
        <v>170</v>
      </c>
      <c r="O139" s="4">
        <f t="shared" si="146"/>
        <v>378.5</v>
      </c>
      <c r="P139" s="5">
        <f t="shared" si="101"/>
        <v>170</v>
      </c>
      <c r="Q139" s="42">
        <v>371.8</v>
      </c>
      <c r="R139" s="2">
        <f t="shared" si="100"/>
        <v>0</v>
      </c>
      <c r="T139" s="2">
        <f t="shared" si="129"/>
        <v>0</v>
      </c>
      <c r="V139" s="5">
        <f t="shared" si="147"/>
        <v>170</v>
      </c>
      <c r="W139" s="4">
        <f t="shared" si="148"/>
        <v>371.8</v>
      </c>
      <c r="X139" s="14">
        <f t="shared" si="102"/>
        <v>-6.6999999999999886</v>
      </c>
      <c r="Y139" s="5">
        <f t="shared" si="103"/>
        <v>-1138.9999999999982</v>
      </c>
      <c r="Z139" s="2">
        <f t="shared" si="104"/>
        <v>0</v>
      </c>
      <c r="AA139" s="4">
        <f t="shared" si="105"/>
        <v>0</v>
      </c>
      <c r="AB139" s="13">
        <f t="shared" si="106"/>
        <v>43.145245625000001</v>
      </c>
      <c r="AC139" s="10">
        <f>SUM($E$4:E139)</f>
        <v>817.47815998434453</v>
      </c>
      <c r="AD139" s="20">
        <f>SUM($AB$4:AB139)</f>
        <v>4950.7718400156227</v>
      </c>
      <c r="AF139" s="28">
        <f t="shared" si="107"/>
        <v>12.755100000000001</v>
      </c>
      <c r="AG139" s="2">
        <f t="shared" si="108"/>
        <v>15.801500000000001</v>
      </c>
      <c r="AH139" s="2">
        <f t="shared" si="109"/>
        <v>4.1454074999999992</v>
      </c>
      <c r="AI139" s="2">
        <f t="shared" si="130"/>
        <v>16.9005075</v>
      </c>
      <c r="AJ139" s="2">
        <f t="shared" si="131"/>
        <v>2.5350761249999998</v>
      </c>
      <c r="AK139" s="2">
        <f t="shared" si="110"/>
        <v>0.255102</v>
      </c>
      <c r="AL139" s="2">
        <f t="shared" si="111"/>
        <v>7.65306</v>
      </c>
      <c r="AM139" s="2">
        <f t="shared" si="132"/>
        <v>43.145245625000001</v>
      </c>
      <c r="AN139" s="2">
        <f t="shared" si="112"/>
        <v>40</v>
      </c>
      <c r="AO139" s="2">
        <f t="shared" si="113"/>
        <v>31.603000000000002</v>
      </c>
      <c r="AP139" s="2">
        <f t="shared" si="114"/>
        <v>67.602029999999999</v>
      </c>
      <c r="AQ139" s="2">
        <f t="shared" si="133"/>
        <v>107.60203</v>
      </c>
      <c r="AR139" s="2">
        <f t="shared" si="134"/>
        <v>16.140304499999999</v>
      </c>
      <c r="AS139" s="2">
        <f t="shared" si="115"/>
        <v>0.255102</v>
      </c>
      <c r="AT139" s="2">
        <f t="shared" si="116"/>
        <v>7.65306</v>
      </c>
      <c r="AU139" s="2">
        <f t="shared" si="135"/>
        <v>163.25349650000004</v>
      </c>
      <c r="AV139" s="2">
        <f t="shared" si="117"/>
        <v>12.755100000000001</v>
      </c>
      <c r="AW139" s="2">
        <f t="shared" si="118"/>
        <v>6.3206000000000007</v>
      </c>
      <c r="AX139" s="2">
        <f t="shared" si="119"/>
        <v>2.6785709999999998</v>
      </c>
      <c r="AY139" s="2">
        <f t="shared" si="136"/>
        <v>15.433671</v>
      </c>
      <c r="AZ139" s="2">
        <f t="shared" si="137"/>
        <v>2.3150506499999999</v>
      </c>
      <c r="BA139" s="2">
        <f t="shared" si="120"/>
        <v>0.255102</v>
      </c>
      <c r="BB139" s="2">
        <f t="shared" si="121"/>
        <v>7.65306</v>
      </c>
      <c r="BC139" s="2">
        <f t="shared" si="138"/>
        <v>31.977483650000003</v>
      </c>
      <c r="BD139" s="2">
        <v>0</v>
      </c>
      <c r="BE139" s="2">
        <f t="shared" si="122"/>
        <v>127.551</v>
      </c>
      <c r="BF139" s="2">
        <f t="shared" si="123"/>
        <v>4.1454074999999992</v>
      </c>
      <c r="BG139" s="2">
        <f t="shared" si="139"/>
        <v>4.1454074999999992</v>
      </c>
      <c r="BH139" s="2">
        <f t="shared" si="140"/>
        <v>0.62181112499999991</v>
      </c>
      <c r="BI139" s="2">
        <f t="shared" si="124"/>
        <v>0.255102</v>
      </c>
      <c r="BJ139" s="2">
        <f t="shared" si="125"/>
        <v>7.65306</v>
      </c>
      <c r="BK139" s="2">
        <f t="shared" si="141"/>
        <v>140.22638062499999</v>
      </c>
      <c r="BL139" s="2">
        <f t="shared" si="126"/>
        <v>64345</v>
      </c>
      <c r="BM139" s="2">
        <f t="shared" si="127"/>
        <v>63206</v>
      </c>
      <c r="BN139" s="2">
        <f t="shared" si="142"/>
        <v>127551</v>
      </c>
    </row>
    <row r="140" spans="1:66" x14ac:dyDescent="0.25">
      <c r="A140" s="42">
        <v>137</v>
      </c>
      <c r="B140" s="43">
        <v>42789</v>
      </c>
      <c r="C140" s="42" t="s">
        <v>50</v>
      </c>
      <c r="D140" s="42" t="s">
        <v>159</v>
      </c>
      <c r="E140" s="6">
        <f t="shared" si="128"/>
        <v>-394.94193124999885</v>
      </c>
      <c r="F140" s="5" t="str">
        <f t="shared" si="143"/>
        <v>Loss</v>
      </c>
      <c r="G140" s="4">
        <f t="shared" si="144"/>
        <v>-369.99999999999886</v>
      </c>
      <c r="H140" s="46">
        <v>100</v>
      </c>
      <c r="I140" s="42">
        <v>370</v>
      </c>
      <c r="N140" s="5">
        <f t="shared" si="145"/>
        <v>100</v>
      </c>
      <c r="O140" s="4">
        <f t="shared" si="146"/>
        <v>370</v>
      </c>
      <c r="P140" s="5">
        <f t="shared" si="101"/>
        <v>100</v>
      </c>
      <c r="Q140" s="42">
        <v>366.3</v>
      </c>
      <c r="R140" s="2">
        <f t="shared" si="100"/>
        <v>0</v>
      </c>
      <c r="T140" s="2">
        <f t="shared" si="129"/>
        <v>0</v>
      </c>
      <c r="V140" s="5">
        <f t="shared" si="147"/>
        <v>100</v>
      </c>
      <c r="W140" s="4">
        <f t="shared" si="148"/>
        <v>366.3</v>
      </c>
      <c r="X140" s="14">
        <f t="shared" si="102"/>
        <v>-3.6999999999999886</v>
      </c>
      <c r="Y140" s="5">
        <f t="shared" si="103"/>
        <v>-369.99999999999886</v>
      </c>
      <c r="Z140" s="2">
        <f t="shared" si="104"/>
        <v>0</v>
      </c>
      <c r="AA140" s="4">
        <f t="shared" si="105"/>
        <v>0</v>
      </c>
      <c r="AB140" s="13">
        <f t="shared" si="106"/>
        <v>24.94193125</v>
      </c>
      <c r="AC140" s="10">
        <f>SUM($E$4:E140)</f>
        <v>422.53622873434568</v>
      </c>
      <c r="AD140" s="20">
        <f>SUM($AB$4:AB140)</f>
        <v>4975.7137712656231</v>
      </c>
      <c r="AF140" s="28">
        <f t="shared" si="107"/>
        <v>7.3630000000000004</v>
      </c>
      <c r="AG140" s="2">
        <f t="shared" si="108"/>
        <v>9.1575000000000006</v>
      </c>
      <c r="AH140" s="2">
        <f t="shared" si="109"/>
        <v>2.3929749999999999</v>
      </c>
      <c r="AI140" s="2">
        <f t="shared" si="130"/>
        <v>9.7559749999999994</v>
      </c>
      <c r="AJ140" s="2">
        <f t="shared" si="131"/>
        <v>1.46339625</v>
      </c>
      <c r="AK140" s="2">
        <f t="shared" si="110"/>
        <v>0.14726</v>
      </c>
      <c r="AL140" s="2">
        <f t="shared" si="111"/>
        <v>4.4177999999999997</v>
      </c>
      <c r="AM140" s="2">
        <f t="shared" si="132"/>
        <v>24.94193125</v>
      </c>
      <c r="AN140" s="2">
        <f t="shared" si="112"/>
        <v>40</v>
      </c>
      <c r="AO140" s="2">
        <f t="shared" si="113"/>
        <v>18.315000000000001</v>
      </c>
      <c r="AP140" s="2">
        <f t="shared" si="114"/>
        <v>39.023899999999998</v>
      </c>
      <c r="AQ140" s="2">
        <f t="shared" si="133"/>
        <v>79.023899999999998</v>
      </c>
      <c r="AR140" s="2">
        <f t="shared" si="134"/>
        <v>11.853584999999999</v>
      </c>
      <c r="AS140" s="2">
        <f t="shared" si="115"/>
        <v>0.14726</v>
      </c>
      <c r="AT140" s="2">
        <f t="shared" si="116"/>
        <v>4.4177999999999997</v>
      </c>
      <c r="AU140" s="2">
        <f t="shared" si="135"/>
        <v>113.75754499999999</v>
      </c>
      <c r="AV140" s="2">
        <f t="shared" si="117"/>
        <v>7.3630000000000004</v>
      </c>
      <c r="AW140" s="2">
        <f t="shared" si="118"/>
        <v>3.6630000000000003</v>
      </c>
      <c r="AX140" s="2">
        <f t="shared" si="119"/>
        <v>1.54623</v>
      </c>
      <c r="AY140" s="2">
        <f t="shared" si="136"/>
        <v>8.9092300000000009</v>
      </c>
      <c r="AZ140" s="2">
        <f t="shared" si="137"/>
        <v>1.3363845000000001</v>
      </c>
      <c r="BA140" s="2">
        <f t="shared" si="120"/>
        <v>0.14726</v>
      </c>
      <c r="BB140" s="2">
        <f t="shared" si="121"/>
        <v>4.4177999999999997</v>
      </c>
      <c r="BC140" s="2">
        <f t="shared" si="138"/>
        <v>18.473674499999998</v>
      </c>
      <c r="BD140" s="2">
        <v>0</v>
      </c>
      <c r="BE140" s="2">
        <f t="shared" si="122"/>
        <v>73.63</v>
      </c>
      <c r="BF140" s="2">
        <f t="shared" si="123"/>
        <v>2.3929749999999999</v>
      </c>
      <c r="BG140" s="2">
        <f t="shared" si="139"/>
        <v>2.3929749999999999</v>
      </c>
      <c r="BH140" s="2">
        <f t="shared" si="140"/>
        <v>0.35894624999999997</v>
      </c>
      <c r="BI140" s="2">
        <f t="shared" si="124"/>
        <v>0.14726</v>
      </c>
      <c r="BJ140" s="2">
        <f t="shared" si="125"/>
        <v>4.4177999999999997</v>
      </c>
      <c r="BK140" s="2">
        <f t="shared" si="141"/>
        <v>80.946981250000007</v>
      </c>
      <c r="BL140" s="2">
        <f t="shared" si="126"/>
        <v>37000</v>
      </c>
      <c r="BM140" s="2">
        <f t="shared" si="127"/>
        <v>36630</v>
      </c>
      <c r="BN140" s="2">
        <f t="shared" si="142"/>
        <v>73630</v>
      </c>
    </row>
    <row r="141" spans="1:66" x14ac:dyDescent="0.25">
      <c r="A141" s="42">
        <v>138</v>
      </c>
      <c r="B141" s="43">
        <v>42793</v>
      </c>
      <c r="C141" s="42" t="s">
        <v>50</v>
      </c>
      <c r="D141" s="42" t="s">
        <v>158</v>
      </c>
      <c r="E141" s="6">
        <f t="shared" si="128"/>
        <v>-686.36838749999663</v>
      </c>
      <c r="F141" s="5" t="str">
        <f t="shared" si="143"/>
        <v>Loss</v>
      </c>
      <c r="G141" s="4">
        <f t="shared" si="144"/>
        <v>-659.99999999999659</v>
      </c>
      <c r="H141" s="46">
        <v>300</v>
      </c>
      <c r="I141" s="42">
        <v>131</v>
      </c>
      <c r="N141" s="5">
        <f t="shared" si="145"/>
        <v>300</v>
      </c>
      <c r="O141" s="4">
        <f t="shared" si="146"/>
        <v>131</v>
      </c>
      <c r="P141" s="5">
        <f t="shared" si="101"/>
        <v>300</v>
      </c>
      <c r="Q141" s="42">
        <v>128.80000000000001</v>
      </c>
      <c r="R141" s="2">
        <f t="shared" si="100"/>
        <v>0</v>
      </c>
      <c r="T141" s="2">
        <f t="shared" si="129"/>
        <v>0</v>
      </c>
      <c r="V141" s="5">
        <f t="shared" si="147"/>
        <v>300</v>
      </c>
      <c r="W141" s="4">
        <f t="shared" si="148"/>
        <v>128.80000000000001</v>
      </c>
      <c r="X141" s="14">
        <f t="shared" si="102"/>
        <v>-2.1999999999999886</v>
      </c>
      <c r="Y141" s="5">
        <f t="shared" si="103"/>
        <v>-659.99999999999659</v>
      </c>
      <c r="Z141" s="2">
        <f t="shared" si="104"/>
        <v>0</v>
      </c>
      <c r="AA141" s="4">
        <f t="shared" si="105"/>
        <v>0</v>
      </c>
      <c r="AB141" s="13">
        <f t="shared" si="106"/>
        <v>26.368387500000001</v>
      </c>
      <c r="AC141" s="10">
        <f>SUM($E$4:E141)</f>
        <v>-263.83215876565095</v>
      </c>
      <c r="AD141" s="20">
        <f>SUM($AB$4:AB141)</f>
        <v>5002.0821587656228</v>
      </c>
      <c r="AF141" s="28">
        <f t="shared" si="107"/>
        <v>7.7940000000000005</v>
      </c>
      <c r="AG141" s="2">
        <f t="shared" si="108"/>
        <v>9.66</v>
      </c>
      <c r="AH141" s="2">
        <f t="shared" si="109"/>
        <v>2.5330499999999998</v>
      </c>
      <c r="AI141" s="2">
        <f t="shared" si="130"/>
        <v>10.32705</v>
      </c>
      <c r="AJ141" s="2">
        <f t="shared" si="131"/>
        <v>1.5490575</v>
      </c>
      <c r="AK141" s="2">
        <f t="shared" si="110"/>
        <v>0.15587999999999999</v>
      </c>
      <c r="AL141" s="2">
        <f t="shared" si="111"/>
        <v>4.6764000000000001</v>
      </c>
      <c r="AM141" s="2">
        <f t="shared" si="132"/>
        <v>26.368387500000001</v>
      </c>
      <c r="AN141" s="2">
        <f t="shared" si="112"/>
        <v>40</v>
      </c>
      <c r="AO141" s="2">
        <f t="shared" si="113"/>
        <v>19.32</v>
      </c>
      <c r="AP141" s="2">
        <f t="shared" si="114"/>
        <v>41.308199999999999</v>
      </c>
      <c r="AQ141" s="2">
        <f t="shared" si="133"/>
        <v>81.308199999999999</v>
      </c>
      <c r="AR141" s="2">
        <f t="shared" si="134"/>
        <v>12.19623</v>
      </c>
      <c r="AS141" s="2">
        <f t="shared" si="115"/>
        <v>0.15587999999999999</v>
      </c>
      <c r="AT141" s="2">
        <f t="shared" si="116"/>
        <v>4.6764000000000001</v>
      </c>
      <c r="AU141" s="2">
        <f t="shared" si="135"/>
        <v>117.65670999999999</v>
      </c>
      <c r="AV141" s="2">
        <f t="shared" si="117"/>
        <v>7.7940000000000005</v>
      </c>
      <c r="AW141" s="2">
        <f t="shared" si="118"/>
        <v>3.8640000000000008</v>
      </c>
      <c r="AX141" s="2">
        <f t="shared" si="119"/>
        <v>1.6367399999999999</v>
      </c>
      <c r="AY141" s="2">
        <f t="shared" si="136"/>
        <v>9.4307400000000001</v>
      </c>
      <c r="AZ141" s="2">
        <f t="shared" si="137"/>
        <v>1.4146110000000001</v>
      </c>
      <c r="BA141" s="2">
        <f t="shared" si="120"/>
        <v>0.15587999999999999</v>
      </c>
      <c r="BB141" s="2">
        <f t="shared" si="121"/>
        <v>4.6764000000000001</v>
      </c>
      <c r="BC141" s="2">
        <f t="shared" si="138"/>
        <v>19.541631000000002</v>
      </c>
      <c r="BD141" s="2">
        <v>0</v>
      </c>
      <c r="BE141" s="2">
        <f t="shared" si="122"/>
        <v>77.94</v>
      </c>
      <c r="BF141" s="2">
        <f t="shared" si="123"/>
        <v>2.5330499999999998</v>
      </c>
      <c r="BG141" s="2">
        <f t="shared" si="139"/>
        <v>2.5330499999999998</v>
      </c>
      <c r="BH141" s="2">
        <f t="shared" si="140"/>
        <v>0.37995749999999995</v>
      </c>
      <c r="BI141" s="2">
        <f t="shared" si="124"/>
        <v>0.15587999999999999</v>
      </c>
      <c r="BJ141" s="2">
        <f t="shared" si="125"/>
        <v>4.6764000000000001</v>
      </c>
      <c r="BK141" s="2">
        <f t="shared" si="141"/>
        <v>85.685287500000001</v>
      </c>
      <c r="BL141" s="2">
        <f t="shared" si="126"/>
        <v>39300</v>
      </c>
      <c r="BM141" s="2">
        <f t="shared" si="127"/>
        <v>38640</v>
      </c>
      <c r="BN141" s="2">
        <f t="shared" si="142"/>
        <v>77940</v>
      </c>
    </row>
    <row r="142" spans="1:66" x14ac:dyDescent="0.25">
      <c r="A142" s="42">
        <v>139</v>
      </c>
      <c r="B142" s="43">
        <v>42802</v>
      </c>
      <c r="C142" s="42" t="s">
        <v>50</v>
      </c>
      <c r="D142" s="42" t="s">
        <v>153</v>
      </c>
      <c r="E142" s="6">
        <f t="shared" si="128"/>
        <v>-1408.2161437499863</v>
      </c>
      <c r="F142" s="5" t="str">
        <f t="shared" si="143"/>
        <v>Loss</v>
      </c>
      <c r="G142" s="4">
        <f t="shared" si="144"/>
        <v>-1289.9999999999864</v>
      </c>
      <c r="H142" s="46">
        <v>600</v>
      </c>
      <c r="I142" s="42">
        <v>291.75</v>
      </c>
      <c r="N142" s="5">
        <f t="shared" si="145"/>
        <v>600</v>
      </c>
      <c r="O142" s="4">
        <f t="shared" si="146"/>
        <v>291.75</v>
      </c>
      <c r="P142" s="5">
        <f t="shared" si="101"/>
        <v>600</v>
      </c>
      <c r="Q142" s="42">
        <v>289.60000000000002</v>
      </c>
      <c r="R142" s="2">
        <f t="shared" si="100"/>
        <v>0</v>
      </c>
      <c r="T142" s="2">
        <f t="shared" si="129"/>
        <v>0</v>
      </c>
      <c r="V142" s="5">
        <f t="shared" si="147"/>
        <v>600</v>
      </c>
      <c r="W142" s="4">
        <f t="shared" si="148"/>
        <v>289.60000000000002</v>
      </c>
      <c r="X142" s="14">
        <f t="shared" si="102"/>
        <v>-2.1499999999999773</v>
      </c>
      <c r="Y142" s="5">
        <f t="shared" si="103"/>
        <v>-1289.9999999999864</v>
      </c>
      <c r="Z142" s="2">
        <f t="shared" si="104"/>
        <v>0</v>
      </c>
      <c r="AA142" s="4">
        <f t="shared" si="105"/>
        <v>0</v>
      </c>
      <c r="AB142" s="13">
        <f t="shared" si="106"/>
        <v>118.21614375</v>
      </c>
      <c r="AC142" s="10">
        <f>SUM($E$4:E142)</f>
        <v>-1672.0483025156373</v>
      </c>
      <c r="AD142" s="20">
        <f>SUM($AB$4:AB142)</f>
        <v>5120.2983025156227</v>
      </c>
      <c r="AF142" s="28">
        <f t="shared" si="107"/>
        <v>34.881</v>
      </c>
      <c r="AG142" s="2">
        <f t="shared" si="108"/>
        <v>43.440000000000005</v>
      </c>
      <c r="AH142" s="2">
        <f t="shared" si="109"/>
        <v>11.336324999999999</v>
      </c>
      <c r="AI142" s="2">
        <f t="shared" si="130"/>
        <v>46.217325000000002</v>
      </c>
      <c r="AJ142" s="2">
        <f t="shared" si="131"/>
        <v>6.9325987500000004</v>
      </c>
      <c r="AK142" s="2">
        <f t="shared" si="110"/>
        <v>0.69762000000000002</v>
      </c>
      <c r="AL142" s="2">
        <f t="shared" si="111"/>
        <v>20.928599999999999</v>
      </c>
      <c r="AM142" s="2">
        <f t="shared" si="132"/>
        <v>118.21614375</v>
      </c>
      <c r="AN142" s="2">
        <f t="shared" si="112"/>
        <v>40</v>
      </c>
      <c r="AO142" s="2">
        <f t="shared" si="113"/>
        <v>86.88000000000001</v>
      </c>
      <c r="AP142" s="2">
        <f t="shared" si="114"/>
        <v>184.86929999999998</v>
      </c>
      <c r="AQ142" s="2">
        <f t="shared" si="133"/>
        <v>224.86929999999998</v>
      </c>
      <c r="AR142" s="2">
        <f t="shared" si="134"/>
        <v>33.730394999999994</v>
      </c>
      <c r="AS142" s="2">
        <f t="shared" si="115"/>
        <v>0.69762000000000002</v>
      </c>
      <c r="AT142" s="2">
        <f t="shared" si="116"/>
        <v>20.928599999999999</v>
      </c>
      <c r="AU142" s="2">
        <f t="shared" si="135"/>
        <v>367.10591499999998</v>
      </c>
      <c r="AV142" s="2">
        <f t="shared" si="117"/>
        <v>34.881</v>
      </c>
      <c r="AW142" s="2">
        <f t="shared" si="118"/>
        <v>17.376000000000001</v>
      </c>
      <c r="AX142" s="2">
        <f t="shared" si="119"/>
        <v>7.3250099999999998</v>
      </c>
      <c r="AY142" s="2">
        <f t="shared" si="136"/>
        <v>42.206009999999999</v>
      </c>
      <c r="AZ142" s="2">
        <f t="shared" si="137"/>
        <v>6.3309014999999995</v>
      </c>
      <c r="BA142" s="2">
        <f t="shared" si="120"/>
        <v>0.69762000000000002</v>
      </c>
      <c r="BB142" s="2">
        <f t="shared" si="121"/>
        <v>20.928599999999999</v>
      </c>
      <c r="BC142" s="2">
        <f t="shared" si="138"/>
        <v>87.539131500000011</v>
      </c>
      <c r="BD142" s="2">
        <v>0</v>
      </c>
      <c r="BE142" s="2">
        <f t="shared" si="122"/>
        <v>348.81</v>
      </c>
      <c r="BF142" s="2">
        <f t="shared" si="123"/>
        <v>11.336324999999999</v>
      </c>
      <c r="BG142" s="2">
        <f t="shared" si="139"/>
        <v>11.336324999999999</v>
      </c>
      <c r="BH142" s="2">
        <f t="shared" si="140"/>
        <v>1.7004487499999998</v>
      </c>
      <c r="BI142" s="2">
        <f t="shared" si="124"/>
        <v>0.69762000000000002</v>
      </c>
      <c r="BJ142" s="2">
        <f t="shared" si="125"/>
        <v>20.928599999999999</v>
      </c>
      <c r="BK142" s="2">
        <f t="shared" si="141"/>
        <v>383.47299375</v>
      </c>
      <c r="BL142" s="2">
        <f t="shared" si="126"/>
        <v>175050</v>
      </c>
      <c r="BM142" s="2">
        <f t="shared" si="127"/>
        <v>173760</v>
      </c>
      <c r="BN142" s="2">
        <f t="shared" si="142"/>
        <v>348810</v>
      </c>
    </row>
    <row r="143" spans="1:66" x14ac:dyDescent="0.25">
      <c r="A143" s="42">
        <v>140</v>
      </c>
      <c r="B143" s="43">
        <v>42803</v>
      </c>
      <c r="C143" s="42" t="s">
        <v>50</v>
      </c>
      <c r="D143" s="42" t="s">
        <v>160</v>
      </c>
      <c r="E143" s="6">
        <f t="shared" si="128"/>
        <v>482.03546875000001</v>
      </c>
      <c r="F143" s="5" t="str">
        <f t="shared" si="143"/>
        <v>Win</v>
      </c>
      <c r="G143" s="4">
        <f t="shared" si="144"/>
        <v>500</v>
      </c>
      <c r="H143" s="46">
        <v>250</v>
      </c>
      <c r="I143" s="42">
        <v>104.5</v>
      </c>
      <c r="N143" s="5">
        <f t="shared" si="145"/>
        <v>250</v>
      </c>
      <c r="O143" s="4">
        <f t="shared" si="146"/>
        <v>104.5</v>
      </c>
      <c r="P143" s="5">
        <f t="shared" si="101"/>
        <v>250</v>
      </c>
      <c r="Q143" s="42">
        <v>106.5</v>
      </c>
      <c r="R143" s="2">
        <f t="shared" si="100"/>
        <v>0</v>
      </c>
      <c r="T143" s="2">
        <f t="shared" si="129"/>
        <v>0</v>
      </c>
      <c r="V143" s="5">
        <f t="shared" si="147"/>
        <v>250</v>
      </c>
      <c r="W143" s="4">
        <f t="shared" si="148"/>
        <v>106.5</v>
      </c>
      <c r="X143" s="14">
        <f t="shared" si="102"/>
        <v>2</v>
      </c>
      <c r="Y143" s="5">
        <f t="shared" si="103"/>
        <v>500</v>
      </c>
      <c r="Z143" s="2">
        <f t="shared" si="104"/>
        <v>0</v>
      </c>
      <c r="AA143" s="4">
        <f t="shared" si="105"/>
        <v>0</v>
      </c>
      <c r="AB143" s="13">
        <f t="shared" si="106"/>
        <v>17.96453125</v>
      </c>
      <c r="AC143" s="10">
        <f>SUM($E$4:E143)</f>
        <v>-1190.0128337656372</v>
      </c>
      <c r="AD143" s="20">
        <f>SUM($AB$4:AB143)</f>
        <v>5138.2628337656224</v>
      </c>
      <c r="AF143" s="28">
        <f t="shared" si="107"/>
        <v>5.2750000000000004</v>
      </c>
      <c r="AG143" s="2">
        <f t="shared" si="108"/>
        <v>6.65625</v>
      </c>
      <c r="AH143" s="2">
        <f t="shared" si="109"/>
        <v>1.7143749999999998</v>
      </c>
      <c r="AI143" s="2">
        <f t="shared" si="130"/>
        <v>6.9893749999999999</v>
      </c>
      <c r="AJ143" s="2">
        <f t="shared" si="131"/>
        <v>1.04840625</v>
      </c>
      <c r="AK143" s="2">
        <f t="shared" si="110"/>
        <v>0.10550000000000001</v>
      </c>
      <c r="AL143" s="2">
        <f t="shared" si="111"/>
        <v>3.165</v>
      </c>
      <c r="AM143" s="2">
        <f t="shared" si="132"/>
        <v>17.96453125</v>
      </c>
      <c r="AN143" s="2">
        <f t="shared" si="112"/>
        <v>40</v>
      </c>
      <c r="AO143" s="2">
        <f t="shared" si="113"/>
        <v>13.3125</v>
      </c>
      <c r="AP143" s="2">
        <f t="shared" si="114"/>
        <v>27.9575</v>
      </c>
      <c r="AQ143" s="2">
        <f t="shared" si="133"/>
        <v>67.957499999999996</v>
      </c>
      <c r="AR143" s="2">
        <f t="shared" si="134"/>
        <v>10.193624999999999</v>
      </c>
      <c r="AS143" s="2">
        <f t="shared" si="115"/>
        <v>0.10550000000000001</v>
      </c>
      <c r="AT143" s="2">
        <f t="shared" si="116"/>
        <v>3.165</v>
      </c>
      <c r="AU143" s="2">
        <f t="shared" si="135"/>
        <v>94.734125000000006</v>
      </c>
      <c r="AV143" s="2">
        <f t="shared" si="117"/>
        <v>5.2750000000000004</v>
      </c>
      <c r="AW143" s="2">
        <f t="shared" si="118"/>
        <v>2.6625000000000001</v>
      </c>
      <c r="AX143" s="2">
        <f t="shared" si="119"/>
        <v>1.10775</v>
      </c>
      <c r="AY143" s="2">
        <f t="shared" si="136"/>
        <v>6.3827500000000006</v>
      </c>
      <c r="AZ143" s="2">
        <f t="shared" si="137"/>
        <v>0.9574125</v>
      </c>
      <c r="BA143" s="2">
        <f t="shared" si="120"/>
        <v>0.10550000000000001</v>
      </c>
      <c r="BB143" s="2">
        <f t="shared" si="121"/>
        <v>3.165</v>
      </c>
      <c r="BC143" s="2">
        <f t="shared" si="138"/>
        <v>13.273162499999998</v>
      </c>
      <c r="BD143" s="2">
        <v>0</v>
      </c>
      <c r="BE143" s="2">
        <f t="shared" si="122"/>
        <v>52.75</v>
      </c>
      <c r="BF143" s="2">
        <f t="shared" si="123"/>
        <v>1.7143749999999998</v>
      </c>
      <c r="BG143" s="2">
        <f t="shared" si="139"/>
        <v>1.7143749999999998</v>
      </c>
      <c r="BH143" s="2">
        <f t="shared" si="140"/>
        <v>0.25715624999999998</v>
      </c>
      <c r="BI143" s="2">
        <f t="shared" si="124"/>
        <v>0.10550000000000001</v>
      </c>
      <c r="BJ143" s="2">
        <f t="shared" si="125"/>
        <v>3.165</v>
      </c>
      <c r="BK143" s="2">
        <f t="shared" si="141"/>
        <v>57.992031249999997</v>
      </c>
      <c r="BL143" s="2">
        <f t="shared" si="126"/>
        <v>26125</v>
      </c>
      <c r="BM143" s="2">
        <f t="shared" si="127"/>
        <v>26625</v>
      </c>
      <c r="BN143" s="2">
        <f t="shared" si="142"/>
        <v>52750</v>
      </c>
    </row>
    <row r="144" spans="1:66" x14ac:dyDescent="0.25">
      <c r="A144" s="42">
        <v>141</v>
      </c>
      <c r="B144" s="43">
        <v>42803</v>
      </c>
      <c r="C144" s="42" t="s">
        <v>50</v>
      </c>
      <c r="D144" s="42" t="s">
        <v>160</v>
      </c>
      <c r="E144" s="6">
        <f t="shared" si="128"/>
        <v>-216.02033593750141</v>
      </c>
      <c r="F144" s="5" t="str">
        <f t="shared" si="143"/>
        <v>Loss</v>
      </c>
      <c r="G144" s="4">
        <f t="shared" si="144"/>
        <v>-162.50000000000142</v>
      </c>
      <c r="H144" s="46">
        <v>250</v>
      </c>
      <c r="I144" s="42">
        <v>105</v>
      </c>
      <c r="J144" s="42">
        <v>250</v>
      </c>
      <c r="K144" s="42">
        <v>105.75</v>
      </c>
      <c r="L144" s="42">
        <v>250</v>
      </c>
      <c r="M144" s="44">
        <v>105.1</v>
      </c>
      <c r="N144" s="5">
        <f t="shared" si="145"/>
        <v>750</v>
      </c>
      <c r="O144" s="4">
        <f t="shared" si="146"/>
        <v>105.28333333333335</v>
      </c>
      <c r="P144" s="5">
        <f t="shared" si="101"/>
        <v>250</v>
      </c>
      <c r="Q144" s="42">
        <v>104.5</v>
      </c>
      <c r="R144" s="2">
        <f t="shared" si="100"/>
        <v>250</v>
      </c>
      <c r="S144" s="42">
        <v>105.1</v>
      </c>
      <c r="T144" s="2">
        <f t="shared" si="129"/>
        <v>250</v>
      </c>
      <c r="U144" s="44">
        <v>105.6</v>
      </c>
      <c r="V144" s="5">
        <f t="shared" si="147"/>
        <v>750</v>
      </c>
      <c r="W144" s="4">
        <f t="shared" si="148"/>
        <v>105.06666666666666</v>
      </c>
      <c r="X144" s="14">
        <f t="shared" si="102"/>
        <v>0.59999999999999432</v>
      </c>
      <c r="Y144" s="5">
        <f t="shared" si="103"/>
        <v>-125</v>
      </c>
      <c r="Z144" s="2">
        <f t="shared" si="104"/>
        <v>-162.50000000000142</v>
      </c>
      <c r="AA144" s="4">
        <f t="shared" si="105"/>
        <v>125</v>
      </c>
      <c r="AB144" s="13">
        <f t="shared" si="106"/>
        <v>53.520335937500001</v>
      </c>
      <c r="AC144" s="10">
        <f>SUM($E$4:E144)</f>
        <v>-1406.0331697031386</v>
      </c>
      <c r="AD144" s="20">
        <f>SUM($AB$4:AB144)</f>
        <v>5191.7831697031224</v>
      </c>
      <c r="AF144" s="28">
        <f t="shared" si="107"/>
        <v>15.776250000000001</v>
      </c>
      <c r="AG144" s="2">
        <f t="shared" si="108"/>
        <v>19.7</v>
      </c>
      <c r="AH144" s="2">
        <f t="shared" si="109"/>
        <v>5.1272812499999993</v>
      </c>
      <c r="AI144" s="2">
        <f t="shared" si="130"/>
        <v>20.90353125</v>
      </c>
      <c r="AJ144" s="2">
        <f t="shared" si="131"/>
        <v>3.1355296875000001</v>
      </c>
      <c r="AK144" s="2">
        <f t="shared" si="110"/>
        <v>0.31552499999999994</v>
      </c>
      <c r="AL144" s="2">
        <f t="shared" si="111"/>
        <v>9.4657499999999999</v>
      </c>
      <c r="AM144" s="2">
        <f t="shared" si="132"/>
        <v>53.520335937500001</v>
      </c>
      <c r="AN144" s="2">
        <f t="shared" si="112"/>
        <v>120</v>
      </c>
      <c r="AO144" s="2">
        <f t="shared" si="113"/>
        <v>39.4</v>
      </c>
      <c r="AP144" s="2">
        <f t="shared" si="114"/>
        <v>83.614125000000001</v>
      </c>
      <c r="AQ144" s="2">
        <f t="shared" si="133"/>
        <v>203.614125</v>
      </c>
      <c r="AR144" s="2">
        <f t="shared" si="134"/>
        <v>30.54211875</v>
      </c>
      <c r="AS144" s="2">
        <f t="shared" si="115"/>
        <v>0.31552499999999994</v>
      </c>
      <c r="AT144" s="2">
        <f t="shared" si="116"/>
        <v>9.4657499999999999</v>
      </c>
      <c r="AU144" s="2">
        <f t="shared" si="135"/>
        <v>283.33751875000002</v>
      </c>
      <c r="AV144" s="2">
        <f t="shared" si="117"/>
        <v>15.776250000000001</v>
      </c>
      <c r="AW144" s="2">
        <f t="shared" si="118"/>
        <v>7.879999999999999</v>
      </c>
      <c r="AX144" s="2">
        <f t="shared" si="119"/>
        <v>3.3130124999999997</v>
      </c>
      <c r="AY144" s="2">
        <f t="shared" si="136"/>
        <v>19.0892625</v>
      </c>
      <c r="AZ144" s="2">
        <f t="shared" si="137"/>
        <v>2.8633893750000001</v>
      </c>
      <c r="BA144" s="2">
        <f t="shared" si="120"/>
        <v>0.31552499999999994</v>
      </c>
      <c r="BB144" s="2">
        <f t="shared" si="121"/>
        <v>9.4657499999999999</v>
      </c>
      <c r="BC144" s="2">
        <f t="shared" si="138"/>
        <v>39.613926875000004</v>
      </c>
      <c r="BD144" s="2">
        <v>0</v>
      </c>
      <c r="BE144" s="2">
        <f t="shared" si="122"/>
        <v>157.76250000000002</v>
      </c>
      <c r="BF144" s="2">
        <f t="shared" si="123"/>
        <v>5.1272812499999993</v>
      </c>
      <c r="BG144" s="2">
        <f t="shared" si="139"/>
        <v>5.1272812499999993</v>
      </c>
      <c r="BH144" s="2">
        <f t="shared" si="140"/>
        <v>0.76909218749999986</v>
      </c>
      <c r="BI144" s="2">
        <f t="shared" si="124"/>
        <v>0.31552499999999994</v>
      </c>
      <c r="BJ144" s="2">
        <f t="shared" si="125"/>
        <v>9.4657499999999999</v>
      </c>
      <c r="BK144" s="2">
        <f t="shared" si="141"/>
        <v>173.44014843750006</v>
      </c>
      <c r="BL144" s="2">
        <f t="shared" si="126"/>
        <v>78962.500000000015</v>
      </c>
      <c r="BM144" s="2">
        <f t="shared" si="127"/>
        <v>78800</v>
      </c>
      <c r="BN144" s="2">
        <f t="shared" si="142"/>
        <v>157762.5</v>
      </c>
    </row>
    <row r="145" spans="1:66" x14ac:dyDescent="0.25">
      <c r="A145" s="42">
        <v>142</v>
      </c>
      <c r="B145" s="43">
        <v>42803</v>
      </c>
      <c r="C145" s="42" t="s">
        <v>149</v>
      </c>
      <c r="D145" s="42" t="s">
        <v>155</v>
      </c>
      <c r="E145" s="6">
        <f t="shared" si="128"/>
        <v>-7327.5737149999995</v>
      </c>
      <c r="F145" s="5" t="str">
        <f t="shared" si="143"/>
        <v>Loss</v>
      </c>
      <c r="G145" s="4">
        <f t="shared" si="144"/>
        <v>-7230</v>
      </c>
      <c r="H145" s="46">
        <v>300</v>
      </c>
      <c r="I145" s="42">
        <v>17.399999999999999</v>
      </c>
      <c r="J145" s="42">
        <v>300</v>
      </c>
      <c r="K145" s="42">
        <v>8</v>
      </c>
      <c r="N145" s="5">
        <f t="shared" si="145"/>
        <v>600</v>
      </c>
      <c r="O145" s="4">
        <f t="shared" si="146"/>
        <v>12.7</v>
      </c>
      <c r="P145" s="5">
        <f t="shared" si="101"/>
        <v>300</v>
      </c>
      <c r="Q145" s="42">
        <v>0.65</v>
      </c>
      <c r="R145" s="2">
        <f t="shared" si="100"/>
        <v>300</v>
      </c>
      <c r="S145" s="42">
        <v>0.65</v>
      </c>
      <c r="T145" s="2">
        <f t="shared" si="129"/>
        <v>0</v>
      </c>
      <c r="V145" s="5">
        <f t="shared" si="147"/>
        <v>600</v>
      </c>
      <c r="W145" s="4">
        <f t="shared" si="148"/>
        <v>0.65</v>
      </c>
      <c r="X145" s="14">
        <f t="shared" si="102"/>
        <v>-7.35</v>
      </c>
      <c r="Y145" s="5">
        <f t="shared" si="103"/>
        <v>-5025</v>
      </c>
      <c r="Z145" s="2">
        <f t="shared" si="104"/>
        <v>-2205</v>
      </c>
      <c r="AA145" s="4">
        <f t="shared" si="105"/>
        <v>0</v>
      </c>
      <c r="AB145" s="13">
        <f t="shared" si="106"/>
        <v>97.573714999999979</v>
      </c>
      <c r="AC145" s="10">
        <f>SUM($E$4:E145)</f>
        <v>-8733.6068847031383</v>
      </c>
      <c r="AD145" s="20">
        <f>SUM($AB$4:AB145)</f>
        <v>5289.356884703122</v>
      </c>
      <c r="AF145" s="28">
        <f t="shared" si="107"/>
        <v>0.80100000000000005</v>
      </c>
      <c r="AG145" s="2">
        <f t="shared" si="108"/>
        <v>9.7500000000000003E-2</v>
      </c>
      <c r="AH145" s="2">
        <f t="shared" si="109"/>
        <v>0.26032499999999997</v>
      </c>
      <c r="AI145" s="2">
        <f t="shared" si="130"/>
        <v>1.0613250000000001</v>
      </c>
      <c r="AJ145" s="2">
        <f t="shared" si="131"/>
        <v>0.15919875</v>
      </c>
      <c r="AK145" s="2">
        <f t="shared" si="110"/>
        <v>1.602E-2</v>
      </c>
      <c r="AL145" s="2">
        <f t="shared" si="111"/>
        <v>0.48060000000000003</v>
      </c>
      <c r="AM145" s="2">
        <f t="shared" si="132"/>
        <v>1.8146437500000001</v>
      </c>
      <c r="AN145" s="2">
        <f t="shared" si="112"/>
        <v>80</v>
      </c>
      <c r="AO145" s="2">
        <f t="shared" si="113"/>
        <v>0.19500000000000001</v>
      </c>
      <c r="AP145" s="2">
        <f t="shared" si="114"/>
        <v>4.2452999999999994</v>
      </c>
      <c r="AQ145" s="2">
        <f t="shared" si="133"/>
        <v>84.2453</v>
      </c>
      <c r="AR145" s="2">
        <f t="shared" si="134"/>
        <v>12.636794999999999</v>
      </c>
      <c r="AS145" s="2">
        <f t="shared" si="115"/>
        <v>1.602E-2</v>
      </c>
      <c r="AT145" s="2">
        <f t="shared" si="116"/>
        <v>0.48060000000000003</v>
      </c>
      <c r="AU145" s="2">
        <f t="shared" si="135"/>
        <v>97.573714999999979</v>
      </c>
      <c r="AV145" s="2">
        <f t="shared" si="117"/>
        <v>0.80100000000000005</v>
      </c>
      <c r="AW145" s="2">
        <f t="shared" si="118"/>
        <v>3.9000000000000007E-2</v>
      </c>
      <c r="AX145" s="2">
        <f t="shared" si="119"/>
        <v>0.16821</v>
      </c>
      <c r="AY145" s="2">
        <f t="shared" si="136"/>
        <v>0.96921000000000002</v>
      </c>
      <c r="AZ145" s="2">
        <f t="shared" si="137"/>
        <v>0.1453815</v>
      </c>
      <c r="BA145" s="2">
        <f t="shared" si="120"/>
        <v>1.602E-2</v>
      </c>
      <c r="BB145" s="2">
        <f t="shared" si="121"/>
        <v>0.48060000000000003</v>
      </c>
      <c r="BC145" s="2">
        <f t="shared" si="138"/>
        <v>1.6502115000000002</v>
      </c>
      <c r="BD145" s="2">
        <v>0</v>
      </c>
      <c r="BE145" s="2">
        <f t="shared" si="122"/>
        <v>8.01</v>
      </c>
      <c r="BF145" s="2">
        <f t="shared" si="123"/>
        <v>0.26032499999999997</v>
      </c>
      <c r="BG145" s="2">
        <f t="shared" si="139"/>
        <v>0.26032499999999997</v>
      </c>
      <c r="BH145" s="2">
        <f t="shared" si="140"/>
        <v>3.9048749999999993E-2</v>
      </c>
      <c r="BI145" s="2">
        <f t="shared" si="124"/>
        <v>1.602E-2</v>
      </c>
      <c r="BJ145" s="2">
        <f t="shared" si="125"/>
        <v>0.48060000000000003</v>
      </c>
      <c r="BK145" s="2">
        <f t="shared" si="141"/>
        <v>8.805993749999999</v>
      </c>
      <c r="BL145" s="2">
        <f t="shared" si="126"/>
        <v>7620</v>
      </c>
      <c r="BM145" s="2">
        <f t="shared" si="127"/>
        <v>390</v>
      </c>
      <c r="BN145" s="2">
        <f t="shared" si="142"/>
        <v>8010</v>
      </c>
    </row>
    <row r="146" spans="1:66" x14ac:dyDescent="0.25">
      <c r="A146" s="42">
        <v>143</v>
      </c>
      <c r="B146" s="43">
        <v>42814</v>
      </c>
      <c r="C146" s="42" t="s">
        <v>50</v>
      </c>
      <c r="D146" s="42" t="s">
        <v>20</v>
      </c>
      <c r="E146" s="6">
        <f t="shared" si="128"/>
        <v>1042.63778125</v>
      </c>
      <c r="F146" s="5" t="str">
        <f t="shared" si="143"/>
        <v>Win</v>
      </c>
      <c r="G146" s="4">
        <f t="shared" si="144"/>
        <v>1225</v>
      </c>
      <c r="H146" s="46">
        <v>1000</v>
      </c>
      <c r="I146" s="42">
        <v>101</v>
      </c>
      <c r="J146" s="42">
        <v>900</v>
      </c>
      <c r="K146" s="42">
        <v>98.25</v>
      </c>
      <c r="L146" s="42">
        <v>800</v>
      </c>
      <c r="M146" s="44">
        <v>98.25</v>
      </c>
      <c r="N146" s="5">
        <f t="shared" si="145"/>
        <v>2700</v>
      </c>
      <c r="O146" s="4">
        <f t="shared" si="146"/>
        <v>99.166666666666671</v>
      </c>
      <c r="P146" s="5">
        <f t="shared" si="101"/>
        <v>1000</v>
      </c>
      <c r="Q146" s="42">
        <v>100</v>
      </c>
      <c r="R146" s="2">
        <f t="shared" si="100"/>
        <v>900</v>
      </c>
      <c r="S146" s="42">
        <v>100.5</v>
      </c>
      <c r="T146" s="2">
        <f t="shared" si="129"/>
        <v>800</v>
      </c>
      <c r="U146" s="44">
        <v>98.5</v>
      </c>
      <c r="V146" s="5">
        <f t="shared" si="147"/>
        <v>2700</v>
      </c>
      <c r="W146" s="4">
        <f t="shared" si="148"/>
        <v>99.666666666666671</v>
      </c>
      <c r="X146" s="14">
        <f t="shared" si="102"/>
        <v>2.25</v>
      </c>
      <c r="Y146" s="5">
        <f t="shared" si="103"/>
        <v>-1000</v>
      </c>
      <c r="Z146" s="2">
        <f t="shared" si="104"/>
        <v>2025</v>
      </c>
      <c r="AA146" s="4">
        <f t="shared" si="105"/>
        <v>200</v>
      </c>
      <c r="AB146" s="13">
        <f t="shared" si="106"/>
        <v>182.36221875000001</v>
      </c>
      <c r="AC146" s="10">
        <f>SUM($E$4:E146)</f>
        <v>-7690.9691034531388</v>
      </c>
      <c r="AD146" s="20">
        <f>SUM($AB$4:AB146)</f>
        <v>5471.7191034531224</v>
      </c>
      <c r="AF146" s="28">
        <f t="shared" si="107"/>
        <v>53.685000000000002</v>
      </c>
      <c r="AG146" s="2">
        <f t="shared" si="108"/>
        <v>67.275000000000006</v>
      </c>
      <c r="AH146" s="2">
        <f t="shared" si="109"/>
        <v>17.447624999999999</v>
      </c>
      <c r="AI146" s="2">
        <f t="shared" si="130"/>
        <v>71.132625000000004</v>
      </c>
      <c r="AJ146" s="2">
        <f t="shared" si="131"/>
        <v>10.66989375</v>
      </c>
      <c r="AK146" s="2">
        <f t="shared" si="110"/>
        <v>1.0736999999999999</v>
      </c>
      <c r="AL146" s="2">
        <f t="shared" si="111"/>
        <v>32.210999999999999</v>
      </c>
      <c r="AM146" s="2">
        <f t="shared" si="132"/>
        <v>182.36221875000001</v>
      </c>
      <c r="AN146" s="2">
        <f t="shared" si="112"/>
        <v>120</v>
      </c>
      <c r="AO146" s="2">
        <f t="shared" si="113"/>
        <v>134.55000000000001</v>
      </c>
      <c r="AP146" s="2">
        <f t="shared" si="114"/>
        <v>284.53050000000002</v>
      </c>
      <c r="AQ146" s="2">
        <f t="shared" si="133"/>
        <v>404.53050000000002</v>
      </c>
      <c r="AR146" s="2">
        <f t="shared" si="134"/>
        <v>60.679575</v>
      </c>
      <c r="AS146" s="2">
        <f t="shared" si="115"/>
        <v>1.0736999999999999</v>
      </c>
      <c r="AT146" s="2">
        <f t="shared" si="116"/>
        <v>32.210999999999999</v>
      </c>
      <c r="AU146" s="2">
        <f t="shared" si="135"/>
        <v>633.04477500000007</v>
      </c>
      <c r="AV146" s="2">
        <f t="shared" si="117"/>
        <v>53.685000000000002</v>
      </c>
      <c r="AW146" s="2">
        <f t="shared" si="118"/>
        <v>26.910000000000004</v>
      </c>
      <c r="AX146" s="2">
        <f t="shared" si="119"/>
        <v>11.273849999999999</v>
      </c>
      <c r="AY146" s="2">
        <f t="shared" si="136"/>
        <v>64.958849999999998</v>
      </c>
      <c r="AZ146" s="2">
        <f t="shared" si="137"/>
        <v>9.7438275000000001</v>
      </c>
      <c r="BA146" s="2">
        <f t="shared" si="120"/>
        <v>1.0736999999999999</v>
      </c>
      <c r="BB146" s="2">
        <f t="shared" si="121"/>
        <v>32.210999999999999</v>
      </c>
      <c r="BC146" s="2">
        <f t="shared" si="138"/>
        <v>134.8973775</v>
      </c>
      <c r="BD146" s="2">
        <v>0</v>
      </c>
      <c r="BE146" s="2">
        <f t="shared" si="122"/>
        <v>536.85</v>
      </c>
      <c r="BF146" s="2">
        <f t="shared" si="123"/>
        <v>17.447624999999999</v>
      </c>
      <c r="BG146" s="2">
        <f t="shared" si="139"/>
        <v>17.447624999999999</v>
      </c>
      <c r="BH146" s="2">
        <f t="shared" si="140"/>
        <v>2.6171437499999999</v>
      </c>
      <c r="BI146" s="2">
        <f t="shared" si="124"/>
        <v>1.0736999999999999</v>
      </c>
      <c r="BJ146" s="2">
        <f t="shared" si="125"/>
        <v>32.210999999999999</v>
      </c>
      <c r="BK146" s="2">
        <f t="shared" si="141"/>
        <v>590.19946875000005</v>
      </c>
      <c r="BL146" s="2">
        <f t="shared" si="126"/>
        <v>267750</v>
      </c>
      <c r="BM146" s="2">
        <f t="shared" si="127"/>
        <v>269100</v>
      </c>
      <c r="BN146" s="2">
        <f t="shared" si="142"/>
        <v>536850</v>
      </c>
    </row>
    <row r="147" spans="1:66" x14ac:dyDescent="0.25">
      <c r="A147" s="42">
        <v>144</v>
      </c>
      <c r="B147" s="43">
        <v>42814</v>
      </c>
      <c r="C147" s="42" t="s">
        <v>50</v>
      </c>
      <c r="D147" s="42" t="s">
        <v>20</v>
      </c>
      <c r="E147" s="6">
        <f t="shared" si="128"/>
        <v>1156.5978483333329</v>
      </c>
      <c r="F147" s="5" t="str">
        <f t="shared" si="143"/>
        <v>Win</v>
      </c>
      <c r="G147" s="4">
        <f t="shared" si="144"/>
        <v>1454.9999999999995</v>
      </c>
      <c r="H147" s="46">
        <v>1000</v>
      </c>
      <c r="I147" s="42">
        <v>100.5</v>
      </c>
      <c r="J147" s="42">
        <v>1700</v>
      </c>
      <c r="K147" s="42">
        <v>99</v>
      </c>
      <c r="L147" s="42">
        <v>1700</v>
      </c>
      <c r="M147" s="44">
        <v>99.95</v>
      </c>
      <c r="N147" s="5">
        <f t="shared" si="145"/>
        <v>4400</v>
      </c>
      <c r="O147" s="4">
        <f t="shared" si="146"/>
        <v>99.816666666666663</v>
      </c>
      <c r="P147" s="5">
        <f t="shared" si="101"/>
        <v>1000</v>
      </c>
      <c r="Q147" s="42">
        <v>99.49</v>
      </c>
      <c r="R147" s="2">
        <f t="shared" si="100"/>
        <v>1700</v>
      </c>
      <c r="S147" s="42">
        <v>99.9</v>
      </c>
      <c r="T147" s="2">
        <f t="shared" si="129"/>
        <v>1700</v>
      </c>
      <c r="U147" s="44">
        <v>100.5</v>
      </c>
      <c r="V147" s="5">
        <f t="shared" si="147"/>
        <v>4400</v>
      </c>
      <c r="W147" s="4">
        <f t="shared" si="148"/>
        <v>99.963333333333324</v>
      </c>
      <c r="X147" s="14">
        <f t="shared" si="102"/>
        <v>1.5</v>
      </c>
      <c r="Y147" s="5">
        <f t="shared" si="103"/>
        <v>-1010.0000000000051</v>
      </c>
      <c r="Z147" s="2">
        <f t="shared" si="104"/>
        <v>1530.0000000000095</v>
      </c>
      <c r="AA147" s="4">
        <f t="shared" si="105"/>
        <v>934.99999999999523</v>
      </c>
      <c r="AB147" s="13">
        <f t="shared" si="106"/>
        <v>298.40215166666667</v>
      </c>
      <c r="AC147" s="10">
        <f>SUM($E$4:E147)</f>
        <v>-6534.3712551198059</v>
      </c>
      <c r="AD147" s="20">
        <f>SUM($AB$4:AB147)</f>
        <v>5770.1212551197896</v>
      </c>
      <c r="AF147" s="28">
        <f t="shared" si="107"/>
        <v>87.903199999999998</v>
      </c>
      <c r="AG147" s="2">
        <f t="shared" si="108"/>
        <v>109.95966666666666</v>
      </c>
      <c r="AH147" s="2">
        <f t="shared" si="109"/>
        <v>28.568539999999999</v>
      </c>
      <c r="AI147" s="2">
        <f t="shared" si="130"/>
        <v>116.47174</v>
      </c>
      <c r="AJ147" s="2">
        <f t="shared" si="131"/>
        <v>17.470761</v>
      </c>
      <c r="AK147" s="2">
        <f t="shared" si="110"/>
        <v>1.7580640000000001</v>
      </c>
      <c r="AL147" s="2">
        <f t="shared" si="111"/>
        <v>52.74192</v>
      </c>
      <c r="AM147" s="2">
        <f t="shared" si="132"/>
        <v>298.40215166666667</v>
      </c>
      <c r="AN147" s="2">
        <f t="shared" si="112"/>
        <v>120</v>
      </c>
      <c r="AO147" s="2">
        <f t="shared" si="113"/>
        <v>219.91933333333333</v>
      </c>
      <c r="AP147" s="2">
        <f t="shared" si="114"/>
        <v>465.88695999999999</v>
      </c>
      <c r="AQ147" s="2">
        <f t="shared" si="133"/>
        <v>585.88696000000004</v>
      </c>
      <c r="AR147" s="2">
        <f t="shared" si="134"/>
        <v>87.883043999999998</v>
      </c>
      <c r="AS147" s="2">
        <f t="shared" si="115"/>
        <v>1.7580640000000001</v>
      </c>
      <c r="AT147" s="2">
        <f t="shared" si="116"/>
        <v>52.74192</v>
      </c>
      <c r="AU147" s="2">
        <f t="shared" si="135"/>
        <v>948.1893213333334</v>
      </c>
      <c r="AV147" s="2">
        <f t="shared" si="117"/>
        <v>87.903199999999998</v>
      </c>
      <c r="AW147" s="2">
        <f t="shared" si="118"/>
        <v>43.983866666666664</v>
      </c>
      <c r="AX147" s="2">
        <f t="shared" si="119"/>
        <v>18.459671999999998</v>
      </c>
      <c r="AY147" s="2">
        <f t="shared" si="136"/>
        <v>106.362872</v>
      </c>
      <c r="AZ147" s="2">
        <f t="shared" si="137"/>
        <v>15.954430799999999</v>
      </c>
      <c r="BA147" s="2">
        <f t="shared" si="120"/>
        <v>1.7580640000000001</v>
      </c>
      <c r="BB147" s="2">
        <f t="shared" si="121"/>
        <v>52.74192</v>
      </c>
      <c r="BC147" s="2">
        <f t="shared" si="138"/>
        <v>220.80115346666668</v>
      </c>
      <c r="BD147" s="2">
        <v>0</v>
      </c>
      <c r="BE147" s="2">
        <f t="shared" si="122"/>
        <v>879.03200000000004</v>
      </c>
      <c r="BF147" s="2">
        <f t="shared" si="123"/>
        <v>28.568539999999999</v>
      </c>
      <c r="BG147" s="2">
        <f t="shared" si="139"/>
        <v>28.568539999999999</v>
      </c>
      <c r="BH147" s="2">
        <f t="shared" si="140"/>
        <v>4.2852809999999995</v>
      </c>
      <c r="BI147" s="2">
        <f t="shared" si="124"/>
        <v>1.7580640000000001</v>
      </c>
      <c r="BJ147" s="2">
        <f t="shared" si="125"/>
        <v>52.74192</v>
      </c>
      <c r="BK147" s="2">
        <f t="shared" si="141"/>
        <v>966.38580500000012</v>
      </c>
      <c r="BL147" s="2">
        <f t="shared" si="126"/>
        <v>439193.33333333331</v>
      </c>
      <c r="BM147" s="2">
        <f t="shared" si="127"/>
        <v>439838.66666666663</v>
      </c>
      <c r="BN147" s="2">
        <f t="shared" si="142"/>
        <v>879032</v>
      </c>
    </row>
    <row r="148" spans="1:66" x14ac:dyDescent="0.25">
      <c r="A148" s="42">
        <v>145</v>
      </c>
      <c r="B148" s="43">
        <v>42814</v>
      </c>
      <c r="C148" s="42" t="s">
        <v>50</v>
      </c>
      <c r="D148" s="42" t="s">
        <v>20</v>
      </c>
      <c r="E148" s="6">
        <f t="shared" si="128"/>
        <v>-1898.0008593750192</v>
      </c>
      <c r="F148" s="5" t="str">
        <f t="shared" si="143"/>
        <v>Loss</v>
      </c>
      <c r="G148" s="4">
        <f t="shared" si="144"/>
        <v>-1785.0000000000193</v>
      </c>
      <c r="H148" s="46">
        <v>1700</v>
      </c>
      <c r="I148" s="42">
        <v>98.65</v>
      </c>
      <c r="N148" s="5">
        <f t="shared" si="145"/>
        <v>1700</v>
      </c>
      <c r="O148" s="4">
        <f t="shared" si="146"/>
        <v>98.65</v>
      </c>
      <c r="P148" s="5">
        <f t="shared" si="101"/>
        <v>1700</v>
      </c>
      <c r="Q148" s="42">
        <v>97.6</v>
      </c>
      <c r="R148" s="2">
        <f t="shared" si="100"/>
        <v>0</v>
      </c>
      <c r="T148" s="2">
        <f t="shared" si="129"/>
        <v>0</v>
      </c>
      <c r="V148" s="5">
        <f t="shared" si="147"/>
        <v>1700</v>
      </c>
      <c r="W148" s="4">
        <f t="shared" si="148"/>
        <v>97.6</v>
      </c>
      <c r="X148" s="14">
        <f t="shared" si="102"/>
        <v>-1.0500000000000114</v>
      </c>
      <c r="Y148" s="5">
        <f t="shared" si="103"/>
        <v>-1785.0000000000193</v>
      </c>
      <c r="Z148" s="2">
        <f t="shared" si="104"/>
        <v>0</v>
      </c>
      <c r="AA148" s="4">
        <f t="shared" si="105"/>
        <v>0</v>
      </c>
      <c r="AB148" s="13">
        <f t="shared" si="106"/>
        <v>113.00085937499999</v>
      </c>
      <c r="AC148" s="10">
        <f>SUM($E$4:E148)</f>
        <v>-8432.3721144948249</v>
      </c>
      <c r="AD148" s="20">
        <f>SUM($AB$4:AB148)</f>
        <v>5883.1221144947895</v>
      </c>
      <c r="AF148" s="28">
        <f t="shared" si="107"/>
        <v>33.362500000000004</v>
      </c>
      <c r="AG148" s="2">
        <f t="shared" si="108"/>
        <v>41.48</v>
      </c>
      <c r="AH148" s="2">
        <f t="shared" si="109"/>
        <v>10.842812499999999</v>
      </c>
      <c r="AI148" s="2">
        <f t="shared" si="130"/>
        <v>44.205312500000005</v>
      </c>
      <c r="AJ148" s="2">
        <f t="shared" si="131"/>
        <v>6.6307968750000006</v>
      </c>
      <c r="AK148" s="2">
        <f t="shared" si="110"/>
        <v>0.66725000000000012</v>
      </c>
      <c r="AL148" s="2">
        <f t="shared" si="111"/>
        <v>20.017500000000002</v>
      </c>
      <c r="AM148" s="2">
        <f t="shared" si="132"/>
        <v>113.00085937499999</v>
      </c>
      <c r="AN148" s="2">
        <f t="shared" si="112"/>
        <v>40</v>
      </c>
      <c r="AO148" s="2">
        <f t="shared" si="113"/>
        <v>82.96</v>
      </c>
      <c r="AP148" s="2">
        <f t="shared" si="114"/>
        <v>176.82124999999999</v>
      </c>
      <c r="AQ148" s="2">
        <f t="shared" si="133"/>
        <v>216.82124999999999</v>
      </c>
      <c r="AR148" s="2">
        <f t="shared" si="134"/>
        <v>32.523187499999999</v>
      </c>
      <c r="AS148" s="2">
        <f t="shared" si="115"/>
        <v>0.66725000000000012</v>
      </c>
      <c r="AT148" s="2">
        <f t="shared" si="116"/>
        <v>20.017500000000002</v>
      </c>
      <c r="AU148" s="2">
        <f t="shared" si="135"/>
        <v>352.98918750000001</v>
      </c>
      <c r="AV148" s="2">
        <f t="shared" si="117"/>
        <v>33.362500000000004</v>
      </c>
      <c r="AW148" s="2">
        <f t="shared" si="118"/>
        <v>16.591999999999999</v>
      </c>
      <c r="AX148" s="2">
        <f t="shared" si="119"/>
        <v>7.0061249999999999</v>
      </c>
      <c r="AY148" s="2">
        <f t="shared" si="136"/>
        <v>40.368625000000002</v>
      </c>
      <c r="AZ148" s="2">
        <f t="shared" si="137"/>
        <v>6.0552937499999997</v>
      </c>
      <c r="BA148" s="2">
        <f t="shared" si="120"/>
        <v>0.66725000000000012</v>
      </c>
      <c r="BB148" s="2">
        <f t="shared" si="121"/>
        <v>20.017500000000002</v>
      </c>
      <c r="BC148" s="2">
        <f t="shared" si="138"/>
        <v>83.700668750000006</v>
      </c>
      <c r="BD148" s="2">
        <v>0</v>
      </c>
      <c r="BE148" s="2">
        <f t="shared" si="122"/>
        <v>333.625</v>
      </c>
      <c r="BF148" s="2">
        <f t="shared" si="123"/>
        <v>10.842812499999999</v>
      </c>
      <c r="BG148" s="2">
        <f t="shared" si="139"/>
        <v>10.842812499999999</v>
      </c>
      <c r="BH148" s="2">
        <f t="shared" si="140"/>
        <v>1.6264218749999999</v>
      </c>
      <c r="BI148" s="2">
        <f t="shared" si="124"/>
        <v>0.66725000000000012</v>
      </c>
      <c r="BJ148" s="2">
        <f t="shared" si="125"/>
        <v>20.017500000000002</v>
      </c>
      <c r="BK148" s="2">
        <f t="shared" si="141"/>
        <v>366.77898437499999</v>
      </c>
      <c r="BL148" s="2">
        <f t="shared" si="126"/>
        <v>167705</v>
      </c>
      <c r="BM148" s="2">
        <f t="shared" si="127"/>
        <v>165920</v>
      </c>
      <c r="BN148" s="2">
        <f t="shared" si="142"/>
        <v>333625</v>
      </c>
    </row>
    <row r="149" spans="1:66" x14ac:dyDescent="0.25">
      <c r="A149" s="42">
        <v>146</v>
      </c>
      <c r="B149" s="43">
        <v>42815</v>
      </c>
      <c r="C149" s="42" t="s">
        <v>50</v>
      </c>
      <c r="D149" s="42" t="s">
        <v>125</v>
      </c>
      <c r="E149" s="6">
        <f t="shared" si="128"/>
        <v>-471.68071874999998</v>
      </c>
      <c r="F149" s="5" t="str">
        <f t="shared" si="143"/>
        <v>Loss</v>
      </c>
      <c r="G149" s="4">
        <f t="shared" si="144"/>
        <v>-450</v>
      </c>
      <c r="H149" s="46">
        <v>50</v>
      </c>
      <c r="I149" s="42">
        <v>645</v>
      </c>
      <c r="N149" s="5">
        <f t="shared" si="145"/>
        <v>50</v>
      </c>
      <c r="O149" s="4">
        <f t="shared" si="146"/>
        <v>645</v>
      </c>
      <c r="P149" s="5">
        <f t="shared" si="101"/>
        <v>50</v>
      </c>
      <c r="Q149" s="42">
        <v>636</v>
      </c>
      <c r="R149" s="2">
        <f t="shared" si="100"/>
        <v>0</v>
      </c>
      <c r="T149" s="2">
        <f t="shared" si="129"/>
        <v>0</v>
      </c>
      <c r="V149" s="5">
        <f t="shared" si="147"/>
        <v>50</v>
      </c>
      <c r="W149" s="4">
        <f t="shared" si="148"/>
        <v>636</v>
      </c>
      <c r="X149" s="14">
        <f t="shared" si="102"/>
        <v>-9</v>
      </c>
      <c r="Y149" s="5">
        <f t="shared" si="103"/>
        <v>-450</v>
      </c>
      <c r="Z149" s="2">
        <f t="shared" si="104"/>
        <v>0</v>
      </c>
      <c r="AA149" s="4">
        <f t="shared" si="105"/>
        <v>0</v>
      </c>
      <c r="AB149" s="13">
        <f t="shared" si="106"/>
        <v>21.68071875</v>
      </c>
      <c r="AC149" s="10">
        <f>SUM($E$4:E149)</f>
        <v>-8904.0528332448248</v>
      </c>
      <c r="AD149" s="20">
        <f>SUM($AB$4:AB149)</f>
        <v>5904.8028332447893</v>
      </c>
      <c r="AF149" s="28">
        <f t="shared" si="107"/>
        <v>6.4050000000000002</v>
      </c>
      <c r="AG149" s="2">
        <f t="shared" si="108"/>
        <v>7.95</v>
      </c>
      <c r="AH149" s="2">
        <f t="shared" si="109"/>
        <v>2.0816249999999998</v>
      </c>
      <c r="AI149" s="2">
        <f t="shared" si="130"/>
        <v>8.4866250000000001</v>
      </c>
      <c r="AJ149" s="2">
        <f t="shared" si="131"/>
        <v>1.2729937499999999</v>
      </c>
      <c r="AK149" s="2">
        <f t="shared" si="110"/>
        <v>0.12809999999999999</v>
      </c>
      <c r="AL149" s="2">
        <f t="shared" si="111"/>
        <v>3.843</v>
      </c>
      <c r="AM149" s="2">
        <f t="shared" si="132"/>
        <v>21.68071875</v>
      </c>
      <c r="AN149" s="2">
        <f t="shared" si="112"/>
        <v>40</v>
      </c>
      <c r="AO149" s="2">
        <f t="shared" si="113"/>
        <v>15.9</v>
      </c>
      <c r="AP149" s="2">
        <f t="shared" si="114"/>
        <v>33.9465</v>
      </c>
      <c r="AQ149" s="2">
        <f t="shared" si="133"/>
        <v>73.9465</v>
      </c>
      <c r="AR149" s="2">
        <f t="shared" si="134"/>
        <v>11.091975</v>
      </c>
      <c r="AS149" s="2">
        <f t="shared" si="115"/>
        <v>0.12809999999999999</v>
      </c>
      <c r="AT149" s="2">
        <f t="shared" si="116"/>
        <v>3.843</v>
      </c>
      <c r="AU149" s="2">
        <f t="shared" si="135"/>
        <v>104.909575</v>
      </c>
      <c r="AV149" s="2">
        <f t="shared" si="117"/>
        <v>6.4050000000000002</v>
      </c>
      <c r="AW149" s="2">
        <f t="shared" si="118"/>
        <v>3.18</v>
      </c>
      <c r="AX149" s="2">
        <f t="shared" si="119"/>
        <v>1.3450499999999999</v>
      </c>
      <c r="AY149" s="2">
        <f t="shared" si="136"/>
        <v>7.7500499999999999</v>
      </c>
      <c r="AZ149" s="2">
        <f t="shared" si="137"/>
        <v>1.1625075</v>
      </c>
      <c r="BA149" s="2">
        <f t="shared" si="120"/>
        <v>0.12809999999999999</v>
      </c>
      <c r="BB149" s="2">
        <f t="shared" si="121"/>
        <v>3.843</v>
      </c>
      <c r="BC149" s="2">
        <f t="shared" si="138"/>
        <v>16.063657500000001</v>
      </c>
      <c r="BD149" s="2">
        <v>0</v>
      </c>
      <c r="BE149" s="2">
        <f t="shared" si="122"/>
        <v>64.05</v>
      </c>
      <c r="BF149" s="2">
        <f t="shared" si="123"/>
        <v>2.0816249999999998</v>
      </c>
      <c r="BG149" s="2">
        <f t="shared" si="139"/>
        <v>2.0816249999999998</v>
      </c>
      <c r="BH149" s="2">
        <f t="shared" si="140"/>
        <v>0.31224374999999999</v>
      </c>
      <c r="BI149" s="2">
        <f t="shared" si="124"/>
        <v>0.12809999999999999</v>
      </c>
      <c r="BJ149" s="2">
        <f t="shared" si="125"/>
        <v>3.843</v>
      </c>
      <c r="BK149" s="2">
        <f t="shared" si="141"/>
        <v>70.41496875</v>
      </c>
      <c r="BL149" s="2">
        <f t="shared" si="126"/>
        <v>32250</v>
      </c>
      <c r="BM149" s="2">
        <f t="shared" si="127"/>
        <v>31800</v>
      </c>
      <c r="BN149" s="2">
        <f t="shared" si="142"/>
        <v>64050</v>
      </c>
    </row>
    <row r="150" spans="1:66" x14ac:dyDescent="0.25">
      <c r="A150" s="42">
        <v>147</v>
      </c>
      <c r="B150" s="43">
        <v>42815</v>
      </c>
      <c r="C150" s="42" t="s">
        <v>50</v>
      </c>
      <c r="D150" s="42" t="s">
        <v>125</v>
      </c>
      <c r="E150" s="6">
        <f t="shared" si="128"/>
        <v>646.30492968750002</v>
      </c>
      <c r="F150" s="5" t="str">
        <f t="shared" si="143"/>
        <v>Win</v>
      </c>
      <c r="G150" s="4">
        <f t="shared" si="144"/>
        <v>712.5</v>
      </c>
      <c r="H150" s="46">
        <v>50</v>
      </c>
      <c r="I150" s="42">
        <v>656</v>
      </c>
      <c r="J150" s="42">
        <v>50</v>
      </c>
      <c r="K150" s="42">
        <v>642.15</v>
      </c>
      <c r="L150" s="42">
        <v>50</v>
      </c>
      <c r="M150" s="44">
        <v>642.6</v>
      </c>
      <c r="N150" s="5">
        <f t="shared" si="145"/>
        <v>150</v>
      </c>
      <c r="O150" s="4">
        <f t="shared" si="146"/>
        <v>646.91666666666663</v>
      </c>
      <c r="P150" s="5">
        <f t="shared" si="101"/>
        <v>50</v>
      </c>
      <c r="Q150" s="42">
        <v>645</v>
      </c>
      <c r="R150" s="2">
        <f t="shared" si="100"/>
        <v>50</v>
      </c>
      <c r="S150" s="42">
        <v>655</v>
      </c>
      <c r="T150" s="2">
        <f t="shared" si="129"/>
        <v>50</v>
      </c>
      <c r="U150" s="44">
        <v>655</v>
      </c>
      <c r="V150" s="5">
        <f t="shared" si="147"/>
        <v>150</v>
      </c>
      <c r="W150" s="4">
        <f t="shared" si="148"/>
        <v>651.66666666666663</v>
      </c>
      <c r="X150" s="14">
        <f t="shared" si="102"/>
        <v>12.850000000000023</v>
      </c>
      <c r="Y150" s="5">
        <f t="shared" si="103"/>
        <v>-550</v>
      </c>
      <c r="Z150" s="2">
        <f t="shared" si="104"/>
        <v>642.50000000000114</v>
      </c>
      <c r="AA150" s="4">
        <f t="shared" si="105"/>
        <v>619.99999999999886</v>
      </c>
      <c r="AB150" s="13">
        <f t="shared" si="106"/>
        <v>66.195070312499993</v>
      </c>
      <c r="AC150" s="10">
        <f>SUM($E$4:E150)</f>
        <v>-8257.7479035573251</v>
      </c>
      <c r="AD150" s="20">
        <f>SUM($AB$4:AB150)</f>
        <v>5970.9979035572896</v>
      </c>
      <c r="AF150" s="28">
        <f t="shared" si="107"/>
        <v>19.478750000000002</v>
      </c>
      <c r="AG150" s="2">
        <f t="shared" si="108"/>
        <v>24.437499999999996</v>
      </c>
      <c r="AH150" s="2">
        <f t="shared" si="109"/>
        <v>6.3305937499999994</v>
      </c>
      <c r="AI150" s="2">
        <f t="shared" si="130"/>
        <v>25.80934375</v>
      </c>
      <c r="AJ150" s="2">
        <f t="shared" si="131"/>
        <v>3.8714015625</v>
      </c>
      <c r="AK150" s="2">
        <f t="shared" si="110"/>
        <v>0.389575</v>
      </c>
      <c r="AL150" s="2">
        <f t="shared" si="111"/>
        <v>11.687250000000001</v>
      </c>
      <c r="AM150" s="2">
        <f t="shared" si="132"/>
        <v>66.195070312499993</v>
      </c>
      <c r="AN150" s="2">
        <f t="shared" si="112"/>
        <v>120</v>
      </c>
      <c r="AO150" s="2">
        <f t="shared" si="113"/>
        <v>48.874999999999993</v>
      </c>
      <c r="AP150" s="2">
        <f t="shared" si="114"/>
        <v>103.237375</v>
      </c>
      <c r="AQ150" s="2">
        <f t="shared" si="133"/>
        <v>223.23737499999999</v>
      </c>
      <c r="AR150" s="2">
        <f t="shared" si="134"/>
        <v>33.485606249999996</v>
      </c>
      <c r="AS150" s="2">
        <f t="shared" si="115"/>
        <v>0.389575</v>
      </c>
      <c r="AT150" s="2">
        <f t="shared" si="116"/>
        <v>11.687250000000001</v>
      </c>
      <c r="AU150" s="2">
        <f t="shared" si="135"/>
        <v>317.67480624999996</v>
      </c>
      <c r="AV150" s="2">
        <f t="shared" si="117"/>
        <v>19.478750000000002</v>
      </c>
      <c r="AW150" s="2">
        <f t="shared" si="118"/>
        <v>9.7750000000000004</v>
      </c>
      <c r="AX150" s="2">
        <f t="shared" si="119"/>
        <v>4.0905374999999999</v>
      </c>
      <c r="AY150" s="2">
        <f t="shared" si="136"/>
        <v>23.569287500000002</v>
      </c>
      <c r="AZ150" s="2">
        <f t="shared" si="137"/>
        <v>3.5353931250000001</v>
      </c>
      <c r="BA150" s="2">
        <f t="shared" si="120"/>
        <v>0.389575</v>
      </c>
      <c r="BB150" s="2">
        <f t="shared" si="121"/>
        <v>11.687250000000001</v>
      </c>
      <c r="BC150" s="2">
        <f t="shared" si="138"/>
        <v>48.956505625000005</v>
      </c>
      <c r="BD150" s="2">
        <v>0</v>
      </c>
      <c r="BE150" s="2">
        <f t="shared" si="122"/>
        <v>194.78749999999999</v>
      </c>
      <c r="BF150" s="2">
        <f t="shared" si="123"/>
        <v>6.3305937499999994</v>
      </c>
      <c r="BG150" s="2">
        <f t="shared" si="139"/>
        <v>6.3305937499999994</v>
      </c>
      <c r="BH150" s="2">
        <f t="shared" si="140"/>
        <v>0.94958906249999986</v>
      </c>
      <c r="BI150" s="2">
        <f t="shared" si="124"/>
        <v>0.389575</v>
      </c>
      <c r="BJ150" s="2">
        <f t="shared" si="125"/>
        <v>11.687250000000001</v>
      </c>
      <c r="BK150" s="2">
        <f t="shared" si="141"/>
        <v>214.1445078125</v>
      </c>
      <c r="BL150" s="2">
        <f t="shared" si="126"/>
        <v>97037.5</v>
      </c>
      <c r="BM150" s="2">
        <f t="shared" si="127"/>
        <v>97750</v>
      </c>
      <c r="BN150" s="2">
        <f t="shared" si="142"/>
        <v>194787.5</v>
      </c>
    </row>
    <row r="151" spans="1:66" x14ac:dyDescent="0.25">
      <c r="A151" s="42">
        <v>148</v>
      </c>
      <c r="B151" s="43">
        <v>42815</v>
      </c>
      <c r="C151" s="42" t="s">
        <v>50</v>
      </c>
      <c r="D151" s="42" t="s">
        <v>20</v>
      </c>
      <c r="E151" s="6">
        <f t="shared" si="128"/>
        <v>-494.65259374999857</v>
      </c>
      <c r="F151" s="5" t="str">
        <f t="shared" si="143"/>
        <v>Loss</v>
      </c>
      <c r="G151" s="4">
        <f t="shared" si="144"/>
        <v>-399.99999999999858</v>
      </c>
      <c r="H151" s="46">
        <v>500</v>
      </c>
      <c r="I151" s="42">
        <v>93.35</v>
      </c>
      <c r="J151" s="42">
        <v>500</v>
      </c>
      <c r="K151" s="42">
        <v>92.95</v>
      </c>
      <c r="L151" s="42">
        <v>500</v>
      </c>
      <c r="M151" s="44">
        <v>93.15</v>
      </c>
      <c r="N151" s="5">
        <f t="shared" si="145"/>
        <v>1500</v>
      </c>
      <c r="O151" s="4">
        <f t="shared" si="146"/>
        <v>93.15000000000002</v>
      </c>
      <c r="P151" s="5">
        <f t="shared" si="101"/>
        <v>500</v>
      </c>
      <c r="Q151" s="42">
        <v>92.95</v>
      </c>
      <c r="R151" s="2">
        <f t="shared" si="100"/>
        <v>500</v>
      </c>
      <c r="S151" s="42">
        <v>92.95</v>
      </c>
      <c r="T151" s="2">
        <f t="shared" si="129"/>
        <v>500</v>
      </c>
      <c r="U151" s="44">
        <v>92.75</v>
      </c>
      <c r="V151" s="5">
        <f t="shared" si="147"/>
        <v>1500</v>
      </c>
      <c r="W151" s="4">
        <f t="shared" si="148"/>
        <v>92.883333333333326</v>
      </c>
      <c r="X151" s="14">
        <f t="shared" si="102"/>
        <v>0</v>
      </c>
      <c r="Y151" s="5">
        <f t="shared" si="103"/>
        <v>-199.99999999999574</v>
      </c>
      <c r="Z151" s="2">
        <f t="shared" si="104"/>
        <v>0</v>
      </c>
      <c r="AA151" s="4">
        <f t="shared" si="105"/>
        <v>-200.00000000000284</v>
      </c>
      <c r="AB151" s="13">
        <f t="shared" si="106"/>
        <v>94.652593749999994</v>
      </c>
      <c r="AC151" s="10">
        <f>SUM($E$4:E151)</f>
        <v>-8752.4004973073243</v>
      </c>
      <c r="AD151" s="20">
        <f>SUM($AB$4:AB151)</f>
        <v>6065.6504973072897</v>
      </c>
      <c r="AF151" s="28">
        <f t="shared" si="107"/>
        <v>27.905000000000001</v>
      </c>
      <c r="AG151" s="2">
        <f t="shared" si="108"/>
        <v>34.831249999999997</v>
      </c>
      <c r="AH151" s="2">
        <f t="shared" si="109"/>
        <v>9.0691249999999997</v>
      </c>
      <c r="AI151" s="2">
        <f t="shared" si="130"/>
        <v>36.974125000000001</v>
      </c>
      <c r="AJ151" s="2">
        <f t="shared" si="131"/>
        <v>5.5461187499999998</v>
      </c>
      <c r="AK151" s="2">
        <f t="shared" si="110"/>
        <v>0.55810000000000004</v>
      </c>
      <c r="AL151" s="2">
        <f t="shared" si="111"/>
        <v>16.743000000000002</v>
      </c>
      <c r="AM151" s="2">
        <f t="shared" si="132"/>
        <v>94.652593749999994</v>
      </c>
      <c r="AN151" s="2">
        <f t="shared" si="112"/>
        <v>120</v>
      </c>
      <c r="AO151" s="2">
        <f t="shared" si="113"/>
        <v>69.662499999999994</v>
      </c>
      <c r="AP151" s="2">
        <f t="shared" si="114"/>
        <v>147.8965</v>
      </c>
      <c r="AQ151" s="2">
        <f t="shared" si="133"/>
        <v>267.8965</v>
      </c>
      <c r="AR151" s="2">
        <f t="shared" si="134"/>
        <v>40.184474999999999</v>
      </c>
      <c r="AS151" s="2">
        <f t="shared" si="115"/>
        <v>0.55810000000000004</v>
      </c>
      <c r="AT151" s="2">
        <f t="shared" si="116"/>
        <v>16.743000000000002</v>
      </c>
      <c r="AU151" s="2">
        <f t="shared" si="135"/>
        <v>395.04457500000001</v>
      </c>
      <c r="AV151" s="2">
        <f t="shared" si="117"/>
        <v>27.905000000000001</v>
      </c>
      <c r="AW151" s="2">
        <f t="shared" si="118"/>
        <v>13.932499999999999</v>
      </c>
      <c r="AX151" s="2">
        <f t="shared" si="119"/>
        <v>5.8600499999999993</v>
      </c>
      <c r="AY151" s="2">
        <f t="shared" si="136"/>
        <v>33.765050000000002</v>
      </c>
      <c r="AZ151" s="2">
        <f t="shared" si="137"/>
        <v>5.0647574999999998</v>
      </c>
      <c r="BA151" s="2">
        <f t="shared" si="120"/>
        <v>0.55810000000000004</v>
      </c>
      <c r="BB151" s="2">
        <f t="shared" si="121"/>
        <v>16.743000000000002</v>
      </c>
      <c r="BC151" s="2">
        <f t="shared" si="138"/>
        <v>70.063407500000011</v>
      </c>
      <c r="BD151" s="2">
        <v>0</v>
      </c>
      <c r="BE151" s="2">
        <f t="shared" si="122"/>
        <v>279.05</v>
      </c>
      <c r="BF151" s="2">
        <f t="shared" si="123"/>
        <v>9.0691249999999997</v>
      </c>
      <c r="BG151" s="2">
        <f t="shared" si="139"/>
        <v>9.0691249999999997</v>
      </c>
      <c r="BH151" s="2">
        <f t="shared" si="140"/>
        <v>1.3603687499999999</v>
      </c>
      <c r="BI151" s="2">
        <f t="shared" si="124"/>
        <v>0.55810000000000004</v>
      </c>
      <c r="BJ151" s="2">
        <f t="shared" si="125"/>
        <v>16.743000000000002</v>
      </c>
      <c r="BK151" s="2">
        <f t="shared" si="141"/>
        <v>306.78059375000004</v>
      </c>
      <c r="BL151" s="2">
        <f t="shared" si="126"/>
        <v>139725.00000000003</v>
      </c>
      <c r="BM151" s="2">
        <f t="shared" si="127"/>
        <v>139325</v>
      </c>
      <c r="BN151" s="2">
        <f t="shared" si="142"/>
        <v>279050</v>
      </c>
    </row>
    <row r="152" spans="1:66" x14ac:dyDescent="0.25">
      <c r="A152" s="42">
        <v>149</v>
      </c>
      <c r="B152" s="43">
        <v>42815</v>
      </c>
      <c r="C152" s="42" t="s">
        <v>50</v>
      </c>
      <c r="D152" s="42" t="s">
        <v>20</v>
      </c>
      <c r="E152" s="6">
        <f t="shared" si="128"/>
        <v>1549.7897291666709</v>
      </c>
      <c r="F152" s="5" t="str">
        <f t="shared" si="143"/>
        <v>Win</v>
      </c>
      <c r="G152" s="4">
        <f t="shared" si="144"/>
        <v>1675.0000000000043</v>
      </c>
      <c r="H152" s="46">
        <v>500</v>
      </c>
      <c r="I152" s="42">
        <v>93.35</v>
      </c>
      <c r="J152" s="42">
        <v>500</v>
      </c>
      <c r="K152" s="42">
        <v>91.05</v>
      </c>
      <c r="L152" s="42">
        <v>1000</v>
      </c>
      <c r="M152" s="44">
        <v>90.7</v>
      </c>
      <c r="N152" s="5">
        <f t="shared" si="145"/>
        <v>2000</v>
      </c>
      <c r="O152" s="4">
        <f t="shared" si="146"/>
        <v>91.7</v>
      </c>
      <c r="P152" s="5">
        <f t="shared" si="101"/>
        <v>500</v>
      </c>
      <c r="Q152" s="42">
        <v>92.8</v>
      </c>
      <c r="R152" s="2">
        <f t="shared" si="100"/>
        <v>500</v>
      </c>
      <c r="S152" s="42">
        <v>92.95</v>
      </c>
      <c r="T152" s="2">
        <f t="shared" si="129"/>
        <v>1000</v>
      </c>
      <c r="U152" s="44">
        <v>91.7</v>
      </c>
      <c r="V152" s="5">
        <f t="shared" si="147"/>
        <v>2000</v>
      </c>
      <c r="W152" s="4">
        <f t="shared" si="148"/>
        <v>92.483333333333334</v>
      </c>
      <c r="X152" s="14">
        <f t="shared" si="102"/>
        <v>2.25</v>
      </c>
      <c r="Y152" s="5">
        <f t="shared" si="103"/>
        <v>-274.99999999999858</v>
      </c>
      <c r="Z152" s="2">
        <f t="shared" si="104"/>
        <v>950.00000000000284</v>
      </c>
      <c r="AA152" s="4">
        <f t="shared" si="105"/>
        <v>1000</v>
      </c>
      <c r="AB152" s="13">
        <f t="shared" si="106"/>
        <v>125.21027083333334</v>
      </c>
      <c r="AC152" s="10">
        <f>SUM($E$4:E152)</f>
        <v>-7202.6107681406538</v>
      </c>
      <c r="AD152" s="20">
        <f>SUM($AB$4:AB152)</f>
        <v>6190.8607681406229</v>
      </c>
      <c r="AF152" s="28">
        <f t="shared" si="107"/>
        <v>36.836666666666666</v>
      </c>
      <c r="AG152" s="2">
        <f t="shared" si="108"/>
        <v>46.241666666666667</v>
      </c>
      <c r="AH152" s="2">
        <f t="shared" si="109"/>
        <v>11.971916666666665</v>
      </c>
      <c r="AI152" s="2">
        <f t="shared" si="130"/>
        <v>48.808583333333331</v>
      </c>
      <c r="AJ152" s="2">
        <f t="shared" si="131"/>
        <v>7.3212874999999995</v>
      </c>
      <c r="AK152" s="2">
        <f t="shared" si="110"/>
        <v>0.73673333333333324</v>
      </c>
      <c r="AL152" s="2">
        <f t="shared" si="111"/>
        <v>22.101999999999997</v>
      </c>
      <c r="AM152" s="2">
        <f t="shared" si="132"/>
        <v>125.21027083333334</v>
      </c>
      <c r="AN152" s="2">
        <f t="shared" si="112"/>
        <v>120</v>
      </c>
      <c r="AO152" s="2">
        <f t="shared" si="113"/>
        <v>92.483333333333334</v>
      </c>
      <c r="AP152" s="2">
        <f t="shared" si="114"/>
        <v>195.2343333333333</v>
      </c>
      <c r="AQ152" s="2">
        <f t="shared" si="133"/>
        <v>315.23433333333332</v>
      </c>
      <c r="AR152" s="2">
        <f t="shared" si="134"/>
        <v>47.285149999999994</v>
      </c>
      <c r="AS152" s="2">
        <f t="shared" si="115"/>
        <v>0.73673333333333324</v>
      </c>
      <c r="AT152" s="2">
        <f t="shared" si="116"/>
        <v>22.101999999999997</v>
      </c>
      <c r="AU152" s="2">
        <f t="shared" si="135"/>
        <v>477.84154999999998</v>
      </c>
      <c r="AV152" s="2">
        <f t="shared" si="117"/>
        <v>36.836666666666666</v>
      </c>
      <c r="AW152" s="2">
        <f t="shared" si="118"/>
        <v>18.496666666666666</v>
      </c>
      <c r="AX152" s="2">
        <f t="shared" si="119"/>
        <v>7.7356999999999987</v>
      </c>
      <c r="AY152" s="2">
        <f t="shared" si="136"/>
        <v>44.572366666666667</v>
      </c>
      <c r="AZ152" s="2">
        <f t="shared" si="137"/>
        <v>6.6858550000000001</v>
      </c>
      <c r="BA152" s="2">
        <f t="shared" si="120"/>
        <v>0.73673333333333324</v>
      </c>
      <c r="BB152" s="2">
        <f t="shared" si="121"/>
        <v>22.101999999999997</v>
      </c>
      <c r="BC152" s="2">
        <f t="shared" si="138"/>
        <v>92.59362166666665</v>
      </c>
      <c r="BD152" s="2">
        <v>0</v>
      </c>
      <c r="BE152" s="2">
        <f t="shared" si="122"/>
        <v>368.36666666666662</v>
      </c>
      <c r="BF152" s="2">
        <f t="shared" si="123"/>
        <v>11.971916666666665</v>
      </c>
      <c r="BG152" s="2">
        <f t="shared" si="139"/>
        <v>11.971916666666665</v>
      </c>
      <c r="BH152" s="2">
        <f t="shared" si="140"/>
        <v>1.7957874999999996</v>
      </c>
      <c r="BI152" s="2">
        <f t="shared" si="124"/>
        <v>0.73673333333333324</v>
      </c>
      <c r="BJ152" s="2">
        <f t="shared" si="125"/>
        <v>22.101999999999997</v>
      </c>
      <c r="BK152" s="2">
        <f t="shared" si="141"/>
        <v>404.97310416666664</v>
      </c>
      <c r="BL152" s="2">
        <f t="shared" si="126"/>
        <v>183400</v>
      </c>
      <c r="BM152" s="2">
        <f t="shared" si="127"/>
        <v>184966.66666666666</v>
      </c>
      <c r="BN152" s="2">
        <f t="shared" si="142"/>
        <v>368366.66666666663</v>
      </c>
    </row>
    <row r="153" spans="1:66" x14ac:dyDescent="0.25">
      <c r="A153" s="42">
        <v>150</v>
      </c>
      <c r="B153" s="43">
        <v>42815</v>
      </c>
      <c r="C153" s="42" t="s">
        <v>50</v>
      </c>
      <c r="D153" s="42" t="s">
        <v>20</v>
      </c>
      <c r="E153" s="6">
        <f t="shared" si="128"/>
        <v>11.943234375002845</v>
      </c>
      <c r="F153" s="5" t="str">
        <f t="shared" si="143"/>
        <v>Win</v>
      </c>
      <c r="G153" s="4">
        <f t="shared" si="144"/>
        <v>75.000000000002842</v>
      </c>
      <c r="H153" s="46">
        <v>500</v>
      </c>
      <c r="I153" s="42">
        <v>93</v>
      </c>
      <c r="J153" s="42">
        <v>500</v>
      </c>
      <c r="K153" s="42">
        <v>92.7</v>
      </c>
      <c r="N153" s="5">
        <f t="shared" si="145"/>
        <v>1000</v>
      </c>
      <c r="O153" s="4">
        <f t="shared" si="146"/>
        <v>92.85</v>
      </c>
      <c r="P153" s="5">
        <f t="shared" si="101"/>
        <v>500</v>
      </c>
      <c r="Q153" s="42">
        <v>92.9</v>
      </c>
      <c r="R153" s="2">
        <f t="shared" si="100"/>
        <v>500</v>
      </c>
      <c r="S153" s="42">
        <v>92.95</v>
      </c>
      <c r="T153" s="2">
        <f t="shared" si="129"/>
        <v>0</v>
      </c>
      <c r="V153" s="5">
        <f t="shared" si="147"/>
        <v>1000</v>
      </c>
      <c r="W153" s="4">
        <f t="shared" si="148"/>
        <v>92.925000000000011</v>
      </c>
      <c r="X153" s="14">
        <f t="shared" si="102"/>
        <v>0.25</v>
      </c>
      <c r="Y153" s="5">
        <f t="shared" si="103"/>
        <v>-49.999999999997158</v>
      </c>
      <c r="Z153" s="2">
        <f t="shared" si="104"/>
        <v>125</v>
      </c>
      <c r="AA153" s="4">
        <f t="shared" si="105"/>
        <v>0</v>
      </c>
      <c r="AB153" s="13">
        <f t="shared" si="106"/>
        <v>63.056765624999997</v>
      </c>
      <c r="AC153" s="10">
        <f>SUM($E$4:E153)</f>
        <v>-7190.6675337656507</v>
      </c>
      <c r="AD153" s="20">
        <f>SUM($AB$4:AB153)</f>
        <v>6253.9175337656225</v>
      </c>
      <c r="AF153" s="28">
        <f t="shared" si="107"/>
        <v>18.577500000000001</v>
      </c>
      <c r="AG153" s="2">
        <f t="shared" si="108"/>
        <v>23.231250000000003</v>
      </c>
      <c r="AH153" s="2">
        <f t="shared" si="109"/>
        <v>6.0376874999999997</v>
      </c>
      <c r="AI153" s="2">
        <f t="shared" si="130"/>
        <v>24.615187500000001</v>
      </c>
      <c r="AJ153" s="2">
        <f t="shared" si="131"/>
        <v>3.6922781250000001</v>
      </c>
      <c r="AK153" s="2">
        <f t="shared" si="110"/>
        <v>0.37154999999999999</v>
      </c>
      <c r="AL153" s="2">
        <f t="shared" si="111"/>
        <v>11.1465</v>
      </c>
      <c r="AM153" s="2">
        <f t="shared" si="132"/>
        <v>63.056765624999997</v>
      </c>
      <c r="AN153" s="2">
        <f t="shared" si="112"/>
        <v>80</v>
      </c>
      <c r="AO153" s="2">
        <f t="shared" si="113"/>
        <v>46.462500000000006</v>
      </c>
      <c r="AP153" s="2">
        <f t="shared" si="114"/>
        <v>98.46074999999999</v>
      </c>
      <c r="AQ153" s="2">
        <f t="shared" si="133"/>
        <v>178.46074999999999</v>
      </c>
      <c r="AR153" s="2">
        <f t="shared" si="134"/>
        <v>26.769112499999999</v>
      </c>
      <c r="AS153" s="2">
        <f t="shared" si="115"/>
        <v>0.37154999999999999</v>
      </c>
      <c r="AT153" s="2">
        <f t="shared" si="116"/>
        <v>11.1465</v>
      </c>
      <c r="AU153" s="2">
        <f t="shared" si="135"/>
        <v>263.21041250000002</v>
      </c>
      <c r="AV153" s="2">
        <f t="shared" si="117"/>
        <v>18.577500000000001</v>
      </c>
      <c r="AW153" s="2">
        <f t="shared" si="118"/>
        <v>9.2925000000000022</v>
      </c>
      <c r="AX153" s="2">
        <f t="shared" si="119"/>
        <v>3.9012749999999996</v>
      </c>
      <c r="AY153" s="2">
        <f t="shared" si="136"/>
        <v>22.478774999999999</v>
      </c>
      <c r="AZ153" s="2">
        <f t="shared" si="137"/>
        <v>3.3718162499999997</v>
      </c>
      <c r="BA153" s="2">
        <f t="shared" si="120"/>
        <v>0.37154999999999999</v>
      </c>
      <c r="BB153" s="2">
        <f t="shared" si="121"/>
        <v>11.1465</v>
      </c>
      <c r="BC153" s="2">
        <f t="shared" si="138"/>
        <v>46.66114125</v>
      </c>
      <c r="BD153" s="2">
        <v>0</v>
      </c>
      <c r="BE153" s="2">
        <f t="shared" si="122"/>
        <v>185.77500000000001</v>
      </c>
      <c r="BF153" s="2">
        <f t="shared" si="123"/>
        <v>6.0376874999999997</v>
      </c>
      <c r="BG153" s="2">
        <f t="shared" si="139"/>
        <v>6.0376874999999997</v>
      </c>
      <c r="BH153" s="2">
        <f t="shared" si="140"/>
        <v>0.90565312499999995</v>
      </c>
      <c r="BI153" s="2">
        <f t="shared" si="124"/>
        <v>0.37154999999999999</v>
      </c>
      <c r="BJ153" s="2">
        <f t="shared" si="125"/>
        <v>11.1465</v>
      </c>
      <c r="BK153" s="2">
        <f t="shared" si="141"/>
        <v>204.23639062500001</v>
      </c>
      <c r="BL153" s="2">
        <f t="shared" si="126"/>
        <v>92850</v>
      </c>
      <c r="BM153" s="2">
        <f t="shared" si="127"/>
        <v>92925.000000000015</v>
      </c>
      <c r="BN153" s="2">
        <f t="shared" si="142"/>
        <v>185775</v>
      </c>
    </row>
    <row r="154" spans="1:66" x14ac:dyDescent="0.25">
      <c r="A154" s="42">
        <v>151</v>
      </c>
      <c r="B154" s="43">
        <v>42816</v>
      </c>
      <c r="C154" s="42" t="s">
        <v>50</v>
      </c>
      <c r="D154" s="42" t="s">
        <v>20</v>
      </c>
      <c r="E154" s="6">
        <f t="shared" si="128"/>
        <v>575.46368750000283</v>
      </c>
      <c r="F154" s="5" t="str">
        <f t="shared" si="143"/>
        <v>Win</v>
      </c>
      <c r="G154" s="4">
        <f t="shared" si="144"/>
        <v>700.00000000000284</v>
      </c>
      <c r="H154" s="46">
        <v>1000</v>
      </c>
      <c r="I154" s="42">
        <v>91.65</v>
      </c>
      <c r="J154" s="42">
        <v>1000</v>
      </c>
      <c r="K154" s="42">
        <v>91.35</v>
      </c>
      <c r="N154" s="5">
        <f t="shared" si="145"/>
        <v>2000</v>
      </c>
      <c r="O154" s="4">
        <f t="shared" si="146"/>
        <v>91.5</v>
      </c>
      <c r="P154" s="5">
        <f t="shared" si="101"/>
        <v>1000</v>
      </c>
      <c r="Q154" s="42">
        <v>92</v>
      </c>
      <c r="R154" s="2">
        <f t="shared" si="100"/>
        <v>1000</v>
      </c>
      <c r="S154" s="42">
        <v>91.7</v>
      </c>
      <c r="T154" s="2">
        <f t="shared" si="129"/>
        <v>0</v>
      </c>
      <c r="V154" s="5">
        <f t="shared" si="147"/>
        <v>2000</v>
      </c>
      <c r="W154" s="4">
        <f t="shared" si="148"/>
        <v>91.85</v>
      </c>
      <c r="X154" s="14">
        <f t="shared" si="102"/>
        <v>0.65000000000000568</v>
      </c>
      <c r="Y154" s="5">
        <f t="shared" si="103"/>
        <v>349.99999999999432</v>
      </c>
      <c r="Z154" s="2">
        <f t="shared" si="104"/>
        <v>350.00000000000853</v>
      </c>
      <c r="AA154" s="4">
        <f t="shared" si="105"/>
        <v>0</v>
      </c>
      <c r="AB154" s="13">
        <f t="shared" si="106"/>
        <v>124.53631249999999</v>
      </c>
      <c r="AC154" s="10">
        <f>SUM($E$4:E154)</f>
        <v>-6615.2038462656474</v>
      </c>
      <c r="AD154" s="20">
        <f>SUM($AB$4:AB154)</f>
        <v>6378.4538462656228</v>
      </c>
      <c r="AF154" s="28">
        <f t="shared" si="107"/>
        <v>36.67</v>
      </c>
      <c r="AG154" s="2">
        <f t="shared" si="108"/>
        <v>45.924999999999997</v>
      </c>
      <c r="AH154" s="2">
        <f t="shared" si="109"/>
        <v>11.91775</v>
      </c>
      <c r="AI154" s="2">
        <f t="shared" si="130"/>
        <v>48.58775</v>
      </c>
      <c r="AJ154" s="2">
        <f t="shared" si="131"/>
        <v>7.2881624999999994</v>
      </c>
      <c r="AK154" s="2">
        <f t="shared" si="110"/>
        <v>0.73340000000000005</v>
      </c>
      <c r="AL154" s="2">
        <f t="shared" si="111"/>
        <v>22.001999999999999</v>
      </c>
      <c r="AM154" s="2">
        <f t="shared" si="132"/>
        <v>124.53631249999999</v>
      </c>
      <c r="AN154" s="2">
        <f t="shared" si="112"/>
        <v>80</v>
      </c>
      <c r="AO154" s="2">
        <f t="shared" si="113"/>
        <v>91.85</v>
      </c>
      <c r="AP154" s="2">
        <f t="shared" si="114"/>
        <v>194.351</v>
      </c>
      <c r="AQ154" s="2">
        <f t="shared" si="133"/>
        <v>274.351</v>
      </c>
      <c r="AR154" s="2">
        <f t="shared" si="134"/>
        <v>41.152650000000001</v>
      </c>
      <c r="AS154" s="2">
        <f t="shared" si="115"/>
        <v>0.73340000000000005</v>
      </c>
      <c r="AT154" s="2">
        <f t="shared" si="116"/>
        <v>22.001999999999999</v>
      </c>
      <c r="AU154" s="2">
        <f t="shared" si="135"/>
        <v>430.08905000000004</v>
      </c>
      <c r="AV154" s="2">
        <f t="shared" si="117"/>
        <v>36.67</v>
      </c>
      <c r="AW154" s="2">
        <f t="shared" si="118"/>
        <v>18.37</v>
      </c>
      <c r="AX154" s="2">
        <f t="shared" si="119"/>
        <v>7.7006999999999994</v>
      </c>
      <c r="AY154" s="2">
        <f t="shared" si="136"/>
        <v>44.370699999999999</v>
      </c>
      <c r="AZ154" s="2">
        <f t="shared" si="137"/>
        <v>6.6556049999999995</v>
      </c>
      <c r="BA154" s="2">
        <f t="shared" si="120"/>
        <v>0.73340000000000005</v>
      </c>
      <c r="BB154" s="2">
        <f t="shared" si="121"/>
        <v>22.001999999999999</v>
      </c>
      <c r="BC154" s="2">
        <f t="shared" si="138"/>
        <v>92.131704999999997</v>
      </c>
      <c r="BD154" s="2">
        <v>0</v>
      </c>
      <c r="BE154" s="2">
        <f t="shared" si="122"/>
        <v>366.7</v>
      </c>
      <c r="BF154" s="2">
        <f t="shared" si="123"/>
        <v>11.91775</v>
      </c>
      <c r="BG154" s="2">
        <f t="shared" si="139"/>
        <v>11.91775</v>
      </c>
      <c r="BH154" s="2">
        <f t="shared" si="140"/>
        <v>1.7876624999999999</v>
      </c>
      <c r="BI154" s="2">
        <f t="shared" si="124"/>
        <v>0.73340000000000005</v>
      </c>
      <c r="BJ154" s="2">
        <f t="shared" si="125"/>
        <v>22.001999999999999</v>
      </c>
      <c r="BK154" s="2">
        <f t="shared" si="141"/>
        <v>403.14081250000004</v>
      </c>
      <c r="BL154" s="2">
        <f t="shared" si="126"/>
        <v>183000</v>
      </c>
      <c r="BM154" s="2">
        <f t="shared" si="127"/>
        <v>183700</v>
      </c>
      <c r="BN154" s="2">
        <f t="shared" si="142"/>
        <v>366700</v>
      </c>
    </row>
    <row r="155" spans="1:66" x14ac:dyDescent="0.25">
      <c r="A155" s="42">
        <v>152</v>
      </c>
      <c r="B155" s="43">
        <v>42816</v>
      </c>
      <c r="C155" s="42" t="s">
        <v>50</v>
      </c>
      <c r="D155" s="42" t="s">
        <v>20</v>
      </c>
      <c r="E155" s="6">
        <f t="shared" si="128"/>
        <v>-1447.978425000005</v>
      </c>
      <c r="F155" s="5" t="str">
        <f t="shared" si="143"/>
        <v>Loss</v>
      </c>
      <c r="G155" s="4">
        <f t="shared" si="144"/>
        <v>-1260.000000000005</v>
      </c>
      <c r="H155" s="46">
        <v>1000</v>
      </c>
      <c r="I155" s="42">
        <v>92.45</v>
      </c>
      <c r="J155" s="42">
        <v>1000</v>
      </c>
      <c r="K155" s="42">
        <v>92.7</v>
      </c>
      <c r="L155" s="42">
        <v>1000</v>
      </c>
      <c r="M155" s="44">
        <v>92.66</v>
      </c>
      <c r="N155" s="5">
        <f t="shared" si="145"/>
        <v>3000</v>
      </c>
      <c r="O155" s="4">
        <f t="shared" si="146"/>
        <v>92.603333333333339</v>
      </c>
      <c r="P155" s="5">
        <f t="shared" si="101"/>
        <v>1000</v>
      </c>
      <c r="Q155" s="42">
        <v>91.9</v>
      </c>
      <c r="R155" s="2">
        <f t="shared" si="100"/>
        <v>1000</v>
      </c>
      <c r="S155" s="42">
        <v>92.3</v>
      </c>
      <c r="T155" s="2">
        <f t="shared" si="129"/>
        <v>1000</v>
      </c>
      <c r="U155" s="44">
        <v>92.35</v>
      </c>
      <c r="V155" s="5">
        <f t="shared" si="147"/>
        <v>3000</v>
      </c>
      <c r="W155" s="4">
        <f t="shared" si="148"/>
        <v>92.183333333333323</v>
      </c>
      <c r="X155" s="14">
        <f t="shared" si="102"/>
        <v>-0.10000000000000853</v>
      </c>
      <c r="Y155" s="5">
        <f t="shared" si="103"/>
        <v>-549.99999999999716</v>
      </c>
      <c r="Z155" s="2">
        <f t="shared" si="104"/>
        <v>-400.00000000000568</v>
      </c>
      <c r="AA155" s="4">
        <f t="shared" si="105"/>
        <v>-310.00000000000227</v>
      </c>
      <c r="AB155" s="13">
        <f t="shared" si="106"/>
        <v>187.97842499999996</v>
      </c>
      <c r="AC155" s="10">
        <f>SUM($E$4:E155)</f>
        <v>-8063.1822712656522</v>
      </c>
      <c r="AD155" s="20">
        <f>SUM($AB$4:AB155)</f>
        <v>6566.4322712656231</v>
      </c>
      <c r="AF155" s="28">
        <f t="shared" si="107"/>
        <v>55.436</v>
      </c>
      <c r="AG155" s="2">
        <f t="shared" si="108"/>
        <v>69.137499999999989</v>
      </c>
      <c r="AH155" s="2">
        <f t="shared" si="109"/>
        <v>18.0167</v>
      </c>
      <c r="AI155" s="2">
        <f t="shared" si="130"/>
        <v>73.452699999999993</v>
      </c>
      <c r="AJ155" s="2">
        <f t="shared" si="131"/>
        <v>11.017904999999999</v>
      </c>
      <c r="AK155" s="2">
        <f t="shared" si="110"/>
        <v>1.1087199999999999</v>
      </c>
      <c r="AL155" s="2">
        <f t="shared" si="111"/>
        <v>33.261600000000001</v>
      </c>
      <c r="AM155" s="2">
        <f t="shared" si="132"/>
        <v>187.97842499999996</v>
      </c>
      <c r="AN155" s="2">
        <f t="shared" si="112"/>
        <v>120</v>
      </c>
      <c r="AO155" s="2">
        <f t="shared" si="113"/>
        <v>138.27499999999998</v>
      </c>
      <c r="AP155" s="2">
        <f t="shared" si="114"/>
        <v>293.81079999999997</v>
      </c>
      <c r="AQ155" s="2">
        <f t="shared" si="133"/>
        <v>413.81079999999997</v>
      </c>
      <c r="AR155" s="2">
        <f t="shared" si="134"/>
        <v>62.071619999999996</v>
      </c>
      <c r="AS155" s="2">
        <f t="shared" si="115"/>
        <v>1.1087199999999999</v>
      </c>
      <c r="AT155" s="2">
        <f t="shared" si="116"/>
        <v>33.261600000000001</v>
      </c>
      <c r="AU155" s="2">
        <f t="shared" si="135"/>
        <v>648.52773999999999</v>
      </c>
      <c r="AV155" s="2">
        <f t="shared" si="117"/>
        <v>55.436</v>
      </c>
      <c r="AW155" s="2">
        <f t="shared" si="118"/>
        <v>27.654999999999998</v>
      </c>
      <c r="AX155" s="2">
        <f t="shared" si="119"/>
        <v>11.64156</v>
      </c>
      <c r="AY155" s="2">
        <f t="shared" si="136"/>
        <v>67.077560000000005</v>
      </c>
      <c r="AZ155" s="2">
        <f t="shared" si="137"/>
        <v>10.061634</v>
      </c>
      <c r="BA155" s="2">
        <f t="shared" si="120"/>
        <v>1.1087199999999999</v>
      </c>
      <c r="BB155" s="2">
        <f t="shared" si="121"/>
        <v>33.261600000000001</v>
      </c>
      <c r="BC155" s="2">
        <f t="shared" si="138"/>
        <v>139.164514</v>
      </c>
      <c r="BD155" s="2">
        <v>0</v>
      </c>
      <c r="BE155" s="2">
        <f t="shared" si="122"/>
        <v>554.36</v>
      </c>
      <c r="BF155" s="2">
        <f t="shared" si="123"/>
        <v>18.0167</v>
      </c>
      <c r="BG155" s="2">
        <f t="shared" si="139"/>
        <v>18.0167</v>
      </c>
      <c r="BH155" s="2">
        <f t="shared" si="140"/>
        <v>2.7025049999999999</v>
      </c>
      <c r="BI155" s="2">
        <f t="shared" si="124"/>
        <v>1.1087199999999999</v>
      </c>
      <c r="BJ155" s="2">
        <f t="shared" si="125"/>
        <v>33.261600000000001</v>
      </c>
      <c r="BK155" s="2">
        <f t="shared" si="141"/>
        <v>609.44952499999999</v>
      </c>
      <c r="BL155" s="2">
        <f t="shared" si="126"/>
        <v>277810</v>
      </c>
      <c r="BM155" s="2">
        <f t="shared" si="127"/>
        <v>276549.99999999994</v>
      </c>
      <c r="BN155" s="2">
        <f t="shared" si="142"/>
        <v>554360</v>
      </c>
    </row>
    <row r="156" spans="1:66" x14ac:dyDescent="0.25">
      <c r="A156" s="42">
        <v>153</v>
      </c>
      <c r="B156" s="43">
        <v>42816</v>
      </c>
      <c r="C156" s="42" t="s">
        <v>50</v>
      </c>
      <c r="D156" s="42" t="s">
        <v>20</v>
      </c>
      <c r="E156" s="6">
        <f t="shared" si="128"/>
        <v>-1026.3046874999773</v>
      </c>
      <c r="F156" s="5" t="str">
        <f t="shared" si="143"/>
        <v>Loss</v>
      </c>
      <c r="G156" s="4">
        <f t="shared" si="144"/>
        <v>-899.99999999997726</v>
      </c>
      <c r="H156" s="46">
        <v>2000</v>
      </c>
      <c r="I156" s="42">
        <v>93.35</v>
      </c>
      <c r="N156" s="5">
        <f t="shared" si="145"/>
        <v>2000</v>
      </c>
      <c r="O156" s="4">
        <f t="shared" si="146"/>
        <v>93.35</v>
      </c>
      <c r="P156" s="5">
        <f t="shared" si="101"/>
        <v>2000</v>
      </c>
      <c r="Q156" s="42">
        <v>92.9</v>
      </c>
      <c r="R156" s="2">
        <f t="shared" si="100"/>
        <v>0</v>
      </c>
      <c r="T156" s="2">
        <f t="shared" si="129"/>
        <v>0</v>
      </c>
      <c r="V156" s="5">
        <f t="shared" si="147"/>
        <v>2000</v>
      </c>
      <c r="W156" s="4">
        <f t="shared" si="148"/>
        <v>92.9</v>
      </c>
      <c r="X156" s="14">
        <f t="shared" si="102"/>
        <v>-0.44999999999998863</v>
      </c>
      <c r="Y156" s="5">
        <f t="shared" si="103"/>
        <v>-899.99999999997726</v>
      </c>
      <c r="Z156" s="2">
        <f t="shared" si="104"/>
        <v>0</v>
      </c>
      <c r="AA156" s="4">
        <f t="shared" si="105"/>
        <v>0</v>
      </c>
      <c r="AB156" s="13">
        <f t="shared" si="106"/>
        <v>126.3046875</v>
      </c>
      <c r="AC156" s="10">
        <f>SUM($E$4:E156)</f>
        <v>-9089.4869587656285</v>
      </c>
      <c r="AD156" s="20">
        <f>SUM($AB$4:AB156)</f>
        <v>6692.7369587656231</v>
      </c>
      <c r="AF156" s="28">
        <f t="shared" si="107"/>
        <v>37.25</v>
      </c>
      <c r="AG156" s="2">
        <f t="shared" si="108"/>
        <v>46.45</v>
      </c>
      <c r="AH156" s="2">
        <f t="shared" si="109"/>
        <v>12.106249999999999</v>
      </c>
      <c r="AI156" s="2">
        <f t="shared" si="130"/>
        <v>49.356250000000003</v>
      </c>
      <c r="AJ156" s="2">
        <f t="shared" si="131"/>
        <v>7.4034374999999999</v>
      </c>
      <c r="AK156" s="2">
        <f t="shared" si="110"/>
        <v>0.745</v>
      </c>
      <c r="AL156" s="2">
        <f t="shared" si="111"/>
        <v>22.35</v>
      </c>
      <c r="AM156" s="2">
        <f t="shared" si="132"/>
        <v>126.3046875</v>
      </c>
      <c r="AN156" s="2">
        <f t="shared" si="112"/>
        <v>40</v>
      </c>
      <c r="AO156" s="2">
        <f t="shared" si="113"/>
        <v>92.9</v>
      </c>
      <c r="AP156" s="2">
        <f t="shared" si="114"/>
        <v>197.42499999999998</v>
      </c>
      <c r="AQ156" s="2">
        <f t="shared" si="133"/>
        <v>237.42499999999998</v>
      </c>
      <c r="AR156" s="2">
        <f t="shared" si="134"/>
        <v>35.613749999999996</v>
      </c>
      <c r="AS156" s="2">
        <f t="shared" si="115"/>
        <v>0.745</v>
      </c>
      <c r="AT156" s="2">
        <f t="shared" si="116"/>
        <v>22.35</v>
      </c>
      <c r="AU156" s="2">
        <f t="shared" si="135"/>
        <v>389.03375</v>
      </c>
      <c r="AV156" s="2">
        <f t="shared" si="117"/>
        <v>37.25</v>
      </c>
      <c r="AW156" s="2">
        <f t="shared" si="118"/>
        <v>18.580000000000002</v>
      </c>
      <c r="AX156" s="2">
        <f t="shared" si="119"/>
        <v>7.8224999999999998</v>
      </c>
      <c r="AY156" s="2">
        <f t="shared" si="136"/>
        <v>45.072499999999998</v>
      </c>
      <c r="AZ156" s="2">
        <f t="shared" si="137"/>
        <v>6.7608749999999995</v>
      </c>
      <c r="BA156" s="2">
        <f t="shared" si="120"/>
        <v>0.745</v>
      </c>
      <c r="BB156" s="2">
        <f t="shared" si="121"/>
        <v>22.35</v>
      </c>
      <c r="BC156" s="2">
        <f t="shared" si="138"/>
        <v>93.508375000000001</v>
      </c>
      <c r="BD156" s="2">
        <v>0</v>
      </c>
      <c r="BE156" s="2">
        <f t="shared" si="122"/>
        <v>372.5</v>
      </c>
      <c r="BF156" s="2">
        <f t="shared" si="123"/>
        <v>12.106249999999999</v>
      </c>
      <c r="BG156" s="2">
        <f t="shared" si="139"/>
        <v>12.106249999999999</v>
      </c>
      <c r="BH156" s="2">
        <f t="shared" si="140"/>
        <v>1.8159374999999998</v>
      </c>
      <c r="BI156" s="2">
        <f t="shared" si="124"/>
        <v>0.745</v>
      </c>
      <c r="BJ156" s="2">
        <f t="shared" si="125"/>
        <v>22.35</v>
      </c>
      <c r="BK156" s="2">
        <f t="shared" si="141"/>
        <v>409.51718750000003</v>
      </c>
      <c r="BL156" s="2">
        <f t="shared" si="126"/>
        <v>186700</v>
      </c>
      <c r="BM156" s="2">
        <f t="shared" si="127"/>
        <v>185800</v>
      </c>
      <c r="BN156" s="2">
        <f t="shared" si="142"/>
        <v>372500</v>
      </c>
    </row>
    <row r="157" spans="1:66" x14ac:dyDescent="0.25">
      <c r="A157" s="42">
        <v>154</v>
      </c>
      <c r="B157" s="43">
        <v>42816</v>
      </c>
      <c r="C157" s="42" t="s">
        <v>50</v>
      </c>
      <c r="D157" s="42" t="s">
        <v>20</v>
      </c>
      <c r="E157" s="6">
        <f t="shared" si="128"/>
        <v>-882.77790000000857</v>
      </c>
      <c r="F157" s="5" t="str">
        <f t="shared" si="143"/>
        <v>Loss</v>
      </c>
      <c r="G157" s="4">
        <f t="shared" si="144"/>
        <v>-675.00000000000853</v>
      </c>
      <c r="H157" s="46">
        <v>1800</v>
      </c>
      <c r="I157" s="42">
        <v>92.9</v>
      </c>
      <c r="J157" s="42">
        <v>1500</v>
      </c>
      <c r="K157" s="42">
        <v>92.9</v>
      </c>
      <c r="N157" s="5">
        <f t="shared" si="145"/>
        <v>3300</v>
      </c>
      <c r="O157" s="4">
        <f t="shared" si="146"/>
        <v>92.9</v>
      </c>
      <c r="P157" s="5">
        <f t="shared" si="101"/>
        <v>1800</v>
      </c>
      <c r="Q157" s="42">
        <v>92.65</v>
      </c>
      <c r="R157" s="2">
        <f t="shared" si="100"/>
        <v>1500</v>
      </c>
      <c r="S157" s="42">
        <v>92.75</v>
      </c>
      <c r="T157" s="2">
        <f t="shared" si="129"/>
        <v>0</v>
      </c>
      <c r="V157" s="5">
        <f t="shared" si="147"/>
        <v>3300</v>
      </c>
      <c r="W157" s="4">
        <f t="shared" si="148"/>
        <v>92.7</v>
      </c>
      <c r="X157" s="14">
        <f t="shared" si="102"/>
        <v>-0.15000000000000568</v>
      </c>
      <c r="Y157" s="5">
        <f t="shared" si="103"/>
        <v>-450</v>
      </c>
      <c r="Z157" s="2">
        <f t="shared" si="104"/>
        <v>-225.00000000000853</v>
      </c>
      <c r="AA157" s="4">
        <f t="shared" si="105"/>
        <v>0</v>
      </c>
      <c r="AB157" s="13">
        <f t="shared" si="106"/>
        <v>207.77790000000005</v>
      </c>
      <c r="AC157" s="10">
        <f>SUM($E$4:E157)</f>
        <v>-9972.2648587656367</v>
      </c>
      <c r="AD157" s="20">
        <f>SUM($AB$4:AB157)</f>
        <v>6900.5148587656231</v>
      </c>
      <c r="AF157" s="28">
        <f t="shared" si="107"/>
        <v>61.248000000000005</v>
      </c>
      <c r="AG157" s="2">
        <f t="shared" si="108"/>
        <v>76.477500000000006</v>
      </c>
      <c r="AH157" s="2">
        <f t="shared" si="109"/>
        <v>19.9056</v>
      </c>
      <c r="AI157" s="2">
        <f t="shared" si="130"/>
        <v>81.153600000000012</v>
      </c>
      <c r="AJ157" s="2">
        <f t="shared" si="131"/>
        <v>12.173040000000002</v>
      </c>
      <c r="AK157" s="2">
        <f t="shared" si="110"/>
        <v>1.2249599999999998</v>
      </c>
      <c r="AL157" s="2">
        <f t="shared" si="111"/>
        <v>36.748800000000003</v>
      </c>
      <c r="AM157" s="2">
        <f t="shared" si="132"/>
        <v>207.77790000000005</v>
      </c>
      <c r="AN157" s="2">
        <f t="shared" si="112"/>
        <v>80</v>
      </c>
      <c r="AO157" s="2">
        <f t="shared" si="113"/>
        <v>152.95500000000001</v>
      </c>
      <c r="AP157" s="2">
        <f t="shared" si="114"/>
        <v>324.61439999999999</v>
      </c>
      <c r="AQ157" s="2">
        <f t="shared" si="133"/>
        <v>404.61439999999999</v>
      </c>
      <c r="AR157" s="2">
        <f t="shared" si="134"/>
        <v>60.692159999999994</v>
      </c>
      <c r="AS157" s="2">
        <f t="shared" si="115"/>
        <v>1.2249599999999998</v>
      </c>
      <c r="AT157" s="2">
        <f t="shared" si="116"/>
        <v>36.748800000000003</v>
      </c>
      <c r="AU157" s="2">
        <f t="shared" si="135"/>
        <v>656.23531999999989</v>
      </c>
      <c r="AV157" s="2">
        <f t="shared" si="117"/>
        <v>61.248000000000005</v>
      </c>
      <c r="AW157" s="2">
        <f t="shared" si="118"/>
        <v>30.591000000000001</v>
      </c>
      <c r="AX157" s="2">
        <f t="shared" si="119"/>
        <v>12.862079999999999</v>
      </c>
      <c r="AY157" s="2">
        <f t="shared" si="136"/>
        <v>74.110080000000011</v>
      </c>
      <c r="AZ157" s="2">
        <f t="shared" si="137"/>
        <v>11.116512000000002</v>
      </c>
      <c r="BA157" s="2">
        <f t="shared" si="120"/>
        <v>1.2249599999999998</v>
      </c>
      <c r="BB157" s="2">
        <f t="shared" si="121"/>
        <v>36.748800000000003</v>
      </c>
      <c r="BC157" s="2">
        <f t="shared" si="138"/>
        <v>153.79135199999999</v>
      </c>
      <c r="BD157" s="2">
        <v>0</v>
      </c>
      <c r="BE157" s="2">
        <f t="shared" si="122"/>
        <v>612.48</v>
      </c>
      <c r="BF157" s="2">
        <f t="shared" si="123"/>
        <v>19.9056</v>
      </c>
      <c r="BG157" s="2">
        <f t="shared" si="139"/>
        <v>19.9056</v>
      </c>
      <c r="BH157" s="2">
        <f t="shared" si="140"/>
        <v>2.98584</v>
      </c>
      <c r="BI157" s="2">
        <f t="shared" si="124"/>
        <v>1.2249599999999998</v>
      </c>
      <c r="BJ157" s="2">
        <f t="shared" si="125"/>
        <v>36.748800000000003</v>
      </c>
      <c r="BK157" s="2">
        <f t="shared" si="141"/>
        <v>673.34520000000009</v>
      </c>
      <c r="BL157" s="2">
        <f t="shared" si="126"/>
        <v>306570</v>
      </c>
      <c r="BM157" s="2">
        <f t="shared" si="127"/>
        <v>305910</v>
      </c>
      <c r="BN157" s="2">
        <f t="shared" si="142"/>
        <v>612480</v>
      </c>
    </row>
    <row r="158" spans="1:66" x14ac:dyDescent="0.25">
      <c r="A158" s="42">
        <v>155</v>
      </c>
      <c r="B158" s="43">
        <v>42817</v>
      </c>
      <c r="C158" s="42" t="s">
        <v>50</v>
      </c>
      <c r="D158" s="42" t="s">
        <v>20</v>
      </c>
      <c r="E158" s="6">
        <f t="shared" si="128"/>
        <v>-209.99030000000226</v>
      </c>
      <c r="F158" s="5" t="str">
        <f t="shared" si="143"/>
        <v>Loss</v>
      </c>
      <c r="G158" s="4">
        <f t="shared" si="144"/>
        <v>-160.00000000000227</v>
      </c>
      <c r="H158" s="46">
        <v>400</v>
      </c>
      <c r="I158" s="42">
        <v>92.25</v>
      </c>
      <c r="J158" s="42">
        <v>400</v>
      </c>
      <c r="K158" s="42">
        <v>92.15</v>
      </c>
      <c r="N158" s="5">
        <f t="shared" si="145"/>
        <v>800</v>
      </c>
      <c r="O158" s="4">
        <f t="shared" si="146"/>
        <v>92.2</v>
      </c>
      <c r="P158" s="5">
        <f t="shared" si="101"/>
        <v>400</v>
      </c>
      <c r="Q158" s="42">
        <v>92</v>
      </c>
      <c r="R158" s="2">
        <f t="shared" si="100"/>
        <v>400</v>
      </c>
      <c r="S158" s="42">
        <v>92</v>
      </c>
      <c r="T158" s="2">
        <f t="shared" si="129"/>
        <v>0</v>
      </c>
      <c r="V158" s="5">
        <f t="shared" si="147"/>
        <v>800</v>
      </c>
      <c r="W158" s="4">
        <f t="shared" si="148"/>
        <v>92</v>
      </c>
      <c r="X158" s="14">
        <f t="shared" si="102"/>
        <v>-0.15000000000000568</v>
      </c>
      <c r="Y158" s="5">
        <f t="shared" si="103"/>
        <v>-100</v>
      </c>
      <c r="Z158" s="2">
        <f t="shared" si="104"/>
        <v>-60.000000000002274</v>
      </c>
      <c r="AA158" s="4">
        <f t="shared" si="105"/>
        <v>0</v>
      </c>
      <c r="AB158" s="13">
        <f t="shared" si="106"/>
        <v>49.990300000000005</v>
      </c>
      <c r="AC158" s="10">
        <f>SUM($E$4:E158)</f>
        <v>-10182.25515876564</v>
      </c>
      <c r="AD158" s="20">
        <f>SUM($AB$4:AB158)</f>
        <v>6950.5051587656235</v>
      </c>
      <c r="AF158" s="28">
        <f t="shared" si="107"/>
        <v>14.736000000000001</v>
      </c>
      <c r="AG158" s="2">
        <f t="shared" si="108"/>
        <v>18.400000000000002</v>
      </c>
      <c r="AH158" s="2">
        <f t="shared" si="109"/>
        <v>4.7891999999999992</v>
      </c>
      <c r="AI158" s="2">
        <f t="shared" si="130"/>
        <v>19.525199999999998</v>
      </c>
      <c r="AJ158" s="2">
        <f t="shared" si="131"/>
        <v>2.9287799999999997</v>
      </c>
      <c r="AK158" s="2">
        <f t="shared" si="110"/>
        <v>0.29472000000000004</v>
      </c>
      <c r="AL158" s="2">
        <f t="shared" si="111"/>
        <v>8.8415999999999997</v>
      </c>
      <c r="AM158" s="2">
        <f t="shared" si="132"/>
        <v>49.990300000000005</v>
      </c>
      <c r="AN158" s="2">
        <f t="shared" si="112"/>
        <v>80</v>
      </c>
      <c r="AO158" s="2">
        <f t="shared" si="113"/>
        <v>36.800000000000004</v>
      </c>
      <c r="AP158" s="2">
        <f t="shared" si="114"/>
        <v>78.100799999999992</v>
      </c>
      <c r="AQ158" s="2">
        <f t="shared" si="133"/>
        <v>158.10079999999999</v>
      </c>
      <c r="AR158" s="2">
        <f t="shared" si="134"/>
        <v>23.715119999999999</v>
      </c>
      <c r="AS158" s="2">
        <f t="shared" si="115"/>
        <v>0.29472000000000004</v>
      </c>
      <c r="AT158" s="2">
        <f t="shared" si="116"/>
        <v>8.8415999999999997</v>
      </c>
      <c r="AU158" s="2">
        <f t="shared" si="135"/>
        <v>227.75224000000003</v>
      </c>
      <c r="AV158" s="2">
        <f t="shared" si="117"/>
        <v>14.736000000000001</v>
      </c>
      <c r="AW158" s="2">
        <f t="shared" si="118"/>
        <v>7.36</v>
      </c>
      <c r="AX158" s="2">
        <f t="shared" si="119"/>
        <v>3.09456</v>
      </c>
      <c r="AY158" s="2">
        <f t="shared" si="136"/>
        <v>17.830560000000002</v>
      </c>
      <c r="AZ158" s="2">
        <f t="shared" si="137"/>
        <v>2.6745840000000003</v>
      </c>
      <c r="BA158" s="2">
        <f t="shared" si="120"/>
        <v>0.29472000000000004</v>
      </c>
      <c r="BB158" s="2">
        <f t="shared" si="121"/>
        <v>8.8415999999999997</v>
      </c>
      <c r="BC158" s="2">
        <f t="shared" si="138"/>
        <v>37.001463999999999</v>
      </c>
      <c r="BD158" s="2">
        <v>0</v>
      </c>
      <c r="BE158" s="2">
        <f t="shared" si="122"/>
        <v>147.36000000000001</v>
      </c>
      <c r="BF158" s="2">
        <f t="shared" si="123"/>
        <v>4.7891999999999992</v>
      </c>
      <c r="BG158" s="2">
        <f t="shared" si="139"/>
        <v>4.7891999999999992</v>
      </c>
      <c r="BH158" s="2">
        <f t="shared" si="140"/>
        <v>0.71837999999999991</v>
      </c>
      <c r="BI158" s="2">
        <f t="shared" si="124"/>
        <v>0.29472000000000004</v>
      </c>
      <c r="BJ158" s="2">
        <f t="shared" si="125"/>
        <v>8.8415999999999997</v>
      </c>
      <c r="BK158" s="2">
        <f t="shared" si="141"/>
        <v>162.00390000000002</v>
      </c>
      <c r="BL158" s="2">
        <f t="shared" si="126"/>
        <v>73760</v>
      </c>
      <c r="BM158" s="2">
        <f t="shared" si="127"/>
        <v>73600</v>
      </c>
      <c r="BN158" s="2">
        <f t="shared" si="142"/>
        <v>147360</v>
      </c>
    </row>
    <row r="159" spans="1:66" x14ac:dyDescent="0.25">
      <c r="A159" s="42">
        <v>156</v>
      </c>
      <c r="B159" s="43">
        <v>42817</v>
      </c>
      <c r="C159" s="42" t="s">
        <v>50</v>
      </c>
      <c r="D159" s="42" t="s">
        <v>20</v>
      </c>
      <c r="E159" s="6">
        <f t="shared" si="128"/>
        <v>-110.03673750000227</v>
      </c>
      <c r="F159" s="5" t="str">
        <f t="shared" si="143"/>
        <v>Loss</v>
      </c>
      <c r="G159" s="4">
        <f t="shared" si="144"/>
        <v>-60.000000000002274</v>
      </c>
      <c r="H159" s="46">
        <v>400</v>
      </c>
      <c r="I159" s="42">
        <v>92.2</v>
      </c>
      <c r="J159" s="42">
        <v>400</v>
      </c>
      <c r="K159" s="42">
        <v>92.2</v>
      </c>
      <c r="N159" s="5">
        <f t="shared" si="145"/>
        <v>800</v>
      </c>
      <c r="O159" s="4">
        <f t="shared" si="146"/>
        <v>92.2</v>
      </c>
      <c r="P159" s="5">
        <f t="shared" si="101"/>
        <v>400</v>
      </c>
      <c r="Q159" s="42">
        <v>92.1</v>
      </c>
      <c r="R159" s="2">
        <f t="shared" si="100"/>
        <v>400</v>
      </c>
      <c r="S159" s="42">
        <v>92.15</v>
      </c>
      <c r="T159" s="2">
        <f t="shared" si="129"/>
        <v>0</v>
      </c>
      <c r="V159" s="5">
        <f t="shared" si="147"/>
        <v>800</v>
      </c>
      <c r="W159" s="4">
        <f t="shared" si="148"/>
        <v>92.125</v>
      </c>
      <c r="X159" s="14">
        <f t="shared" si="102"/>
        <v>-4.9999999999997158E-2</v>
      </c>
      <c r="Y159" s="5">
        <f t="shared" si="103"/>
        <v>-40.000000000003411</v>
      </c>
      <c r="Z159" s="2">
        <f t="shared" si="104"/>
        <v>-19.999999999998863</v>
      </c>
      <c r="AA159" s="4">
        <f t="shared" si="105"/>
        <v>0</v>
      </c>
      <c r="AB159" s="13">
        <f t="shared" si="106"/>
        <v>50.036737500000001</v>
      </c>
      <c r="AC159" s="10">
        <f>SUM($E$4:E159)</f>
        <v>-10292.291896265642</v>
      </c>
      <c r="AD159" s="20">
        <f>SUM($AB$4:AB159)</f>
        <v>7000.5418962656231</v>
      </c>
      <c r="AF159" s="28">
        <f t="shared" si="107"/>
        <v>14.746</v>
      </c>
      <c r="AG159" s="2">
        <f t="shared" si="108"/>
        <v>18.425000000000001</v>
      </c>
      <c r="AH159" s="2">
        <f t="shared" si="109"/>
        <v>4.7924499999999997</v>
      </c>
      <c r="AI159" s="2">
        <f t="shared" si="130"/>
        <v>19.538450000000001</v>
      </c>
      <c r="AJ159" s="2">
        <f t="shared" si="131"/>
        <v>2.9307675</v>
      </c>
      <c r="AK159" s="2">
        <f t="shared" si="110"/>
        <v>0.29492000000000002</v>
      </c>
      <c r="AL159" s="2">
        <f t="shared" si="111"/>
        <v>8.8475999999999999</v>
      </c>
      <c r="AM159" s="2">
        <f t="shared" si="132"/>
        <v>50.036737500000001</v>
      </c>
      <c r="AN159" s="2">
        <f t="shared" si="112"/>
        <v>80</v>
      </c>
      <c r="AO159" s="2">
        <f t="shared" si="113"/>
        <v>36.85</v>
      </c>
      <c r="AP159" s="2">
        <f t="shared" si="114"/>
        <v>78.153800000000004</v>
      </c>
      <c r="AQ159" s="2">
        <f t="shared" si="133"/>
        <v>158.15379999999999</v>
      </c>
      <c r="AR159" s="2">
        <f t="shared" si="134"/>
        <v>23.723069999999996</v>
      </c>
      <c r="AS159" s="2">
        <f t="shared" si="115"/>
        <v>0.29492000000000002</v>
      </c>
      <c r="AT159" s="2">
        <f t="shared" si="116"/>
        <v>8.8475999999999999</v>
      </c>
      <c r="AU159" s="2">
        <f t="shared" si="135"/>
        <v>227.86939000000001</v>
      </c>
      <c r="AV159" s="2">
        <f t="shared" si="117"/>
        <v>14.746</v>
      </c>
      <c r="AW159" s="2">
        <f t="shared" si="118"/>
        <v>7.37</v>
      </c>
      <c r="AX159" s="2">
        <f t="shared" si="119"/>
        <v>3.09666</v>
      </c>
      <c r="AY159" s="2">
        <f t="shared" si="136"/>
        <v>17.842660000000002</v>
      </c>
      <c r="AZ159" s="2">
        <f t="shared" si="137"/>
        <v>2.6763990000000004</v>
      </c>
      <c r="BA159" s="2">
        <f t="shared" si="120"/>
        <v>0.29492000000000002</v>
      </c>
      <c r="BB159" s="2">
        <f t="shared" si="121"/>
        <v>8.8475999999999999</v>
      </c>
      <c r="BC159" s="2">
        <f t="shared" si="138"/>
        <v>37.031579000000001</v>
      </c>
      <c r="BD159" s="2">
        <v>0</v>
      </c>
      <c r="BE159" s="2">
        <f t="shared" si="122"/>
        <v>147.46</v>
      </c>
      <c r="BF159" s="2">
        <f t="shared" si="123"/>
        <v>4.7924499999999997</v>
      </c>
      <c r="BG159" s="2">
        <f t="shared" si="139"/>
        <v>4.7924499999999997</v>
      </c>
      <c r="BH159" s="2">
        <f t="shared" si="140"/>
        <v>0.71886749999999988</v>
      </c>
      <c r="BI159" s="2">
        <f t="shared" si="124"/>
        <v>0.29492000000000002</v>
      </c>
      <c r="BJ159" s="2">
        <f t="shared" si="125"/>
        <v>8.8475999999999999</v>
      </c>
      <c r="BK159" s="2">
        <f t="shared" si="141"/>
        <v>162.11383749999999</v>
      </c>
      <c r="BL159" s="2">
        <f t="shared" si="126"/>
        <v>73760</v>
      </c>
      <c r="BM159" s="2">
        <f t="shared" si="127"/>
        <v>73700</v>
      </c>
      <c r="BN159" s="2">
        <f t="shared" si="142"/>
        <v>147460</v>
      </c>
    </row>
    <row r="160" spans="1:66" x14ac:dyDescent="0.25">
      <c r="A160" s="42">
        <v>157</v>
      </c>
      <c r="B160" s="43">
        <v>42817</v>
      </c>
      <c r="C160" s="42" t="s">
        <v>50</v>
      </c>
      <c r="D160" s="42" t="s">
        <v>20</v>
      </c>
      <c r="E160" s="6">
        <f t="shared" si="128"/>
        <v>22.484775000005115</v>
      </c>
      <c r="F160" s="5" t="str">
        <f t="shared" si="143"/>
        <v>Win</v>
      </c>
      <c r="G160" s="4">
        <f t="shared" si="144"/>
        <v>60.000000000005116</v>
      </c>
      <c r="H160" s="46">
        <v>600</v>
      </c>
      <c r="I160" s="42">
        <v>92.05</v>
      </c>
      <c r="N160" s="5">
        <f t="shared" si="145"/>
        <v>600</v>
      </c>
      <c r="O160" s="4">
        <f t="shared" si="146"/>
        <v>92.05</v>
      </c>
      <c r="P160" s="5">
        <f t="shared" si="101"/>
        <v>600</v>
      </c>
      <c r="Q160" s="42">
        <v>92.15</v>
      </c>
      <c r="R160" s="2">
        <f t="shared" si="100"/>
        <v>0</v>
      </c>
      <c r="T160" s="2">
        <f t="shared" si="129"/>
        <v>0</v>
      </c>
      <c r="V160" s="5">
        <f t="shared" si="147"/>
        <v>600</v>
      </c>
      <c r="W160" s="4">
        <f t="shared" si="148"/>
        <v>92.15</v>
      </c>
      <c r="X160" s="14">
        <f t="shared" si="102"/>
        <v>0.10000000000000853</v>
      </c>
      <c r="Y160" s="5">
        <f t="shared" si="103"/>
        <v>60.000000000005116</v>
      </c>
      <c r="Z160" s="2">
        <f t="shared" si="104"/>
        <v>0</v>
      </c>
      <c r="AA160" s="4">
        <f t="shared" si="105"/>
        <v>0</v>
      </c>
      <c r="AB160" s="13">
        <f t="shared" si="106"/>
        <v>37.515225000000001</v>
      </c>
      <c r="AC160" s="10">
        <f>SUM($E$4:E160)</f>
        <v>-10269.807121265638</v>
      </c>
      <c r="AD160" s="20">
        <f>SUM($AB$4:AB160)</f>
        <v>7038.0571212656232</v>
      </c>
      <c r="AF160" s="28">
        <f t="shared" si="107"/>
        <v>11.052000000000001</v>
      </c>
      <c r="AG160" s="2">
        <f t="shared" si="108"/>
        <v>13.8225</v>
      </c>
      <c r="AH160" s="2">
        <f t="shared" si="109"/>
        <v>3.5918999999999999</v>
      </c>
      <c r="AI160" s="2">
        <f t="shared" si="130"/>
        <v>14.643900000000002</v>
      </c>
      <c r="AJ160" s="2">
        <f t="shared" si="131"/>
        <v>2.1965850000000002</v>
      </c>
      <c r="AK160" s="2">
        <f t="shared" si="110"/>
        <v>0.22103999999999999</v>
      </c>
      <c r="AL160" s="2">
        <f t="shared" si="111"/>
        <v>6.6311999999999998</v>
      </c>
      <c r="AM160" s="2">
        <f t="shared" si="132"/>
        <v>37.515225000000001</v>
      </c>
      <c r="AN160" s="2">
        <f t="shared" si="112"/>
        <v>40</v>
      </c>
      <c r="AO160" s="2">
        <f t="shared" si="113"/>
        <v>27.645</v>
      </c>
      <c r="AP160" s="2">
        <f t="shared" si="114"/>
        <v>58.575599999999994</v>
      </c>
      <c r="AQ160" s="2">
        <f t="shared" si="133"/>
        <v>98.575599999999994</v>
      </c>
      <c r="AR160" s="2">
        <f t="shared" si="134"/>
        <v>14.786339999999999</v>
      </c>
      <c r="AS160" s="2">
        <f t="shared" si="115"/>
        <v>0.22103999999999999</v>
      </c>
      <c r="AT160" s="2">
        <f t="shared" si="116"/>
        <v>6.6311999999999998</v>
      </c>
      <c r="AU160" s="2">
        <f t="shared" si="135"/>
        <v>147.85917999999998</v>
      </c>
      <c r="AV160" s="2">
        <f t="shared" si="117"/>
        <v>11.052000000000001</v>
      </c>
      <c r="AW160" s="2">
        <f t="shared" si="118"/>
        <v>5.5290000000000008</v>
      </c>
      <c r="AX160" s="2">
        <f t="shared" si="119"/>
        <v>2.3209199999999996</v>
      </c>
      <c r="AY160" s="2">
        <f t="shared" si="136"/>
        <v>13.372920000000001</v>
      </c>
      <c r="AZ160" s="2">
        <f t="shared" si="137"/>
        <v>2.005938</v>
      </c>
      <c r="BA160" s="2">
        <f t="shared" si="120"/>
        <v>0.22103999999999999</v>
      </c>
      <c r="BB160" s="2">
        <f t="shared" si="121"/>
        <v>6.6311999999999998</v>
      </c>
      <c r="BC160" s="2">
        <f t="shared" si="138"/>
        <v>27.760098000000003</v>
      </c>
      <c r="BD160" s="2">
        <v>0</v>
      </c>
      <c r="BE160" s="2">
        <f t="shared" si="122"/>
        <v>110.52</v>
      </c>
      <c r="BF160" s="2">
        <f t="shared" si="123"/>
        <v>3.5918999999999999</v>
      </c>
      <c r="BG160" s="2">
        <f t="shared" si="139"/>
        <v>3.5918999999999999</v>
      </c>
      <c r="BH160" s="2">
        <f t="shared" si="140"/>
        <v>0.53878499999999996</v>
      </c>
      <c r="BI160" s="2">
        <f t="shared" si="124"/>
        <v>0.22103999999999999</v>
      </c>
      <c r="BJ160" s="2">
        <f t="shared" si="125"/>
        <v>6.6311999999999998</v>
      </c>
      <c r="BK160" s="2">
        <f t="shared" si="141"/>
        <v>121.502925</v>
      </c>
      <c r="BL160" s="2">
        <f t="shared" si="126"/>
        <v>55230</v>
      </c>
      <c r="BM160" s="2">
        <f t="shared" si="127"/>
        <v>55290</v>
      </c>
      <c r="BN160" s="2">
        <f t="shared" si="142"/>
        <v>110520</v>
      </c>
    </row>
    <row r="161" spans="1:66" x14ac:dyDescent="0.25">
      <c r="A161" s="42">
        <v>158</v>
      </c>
      <c r="B161" s="43">
        <v>42817</v>
      </c>
      <c r="C161" s="42" t="s">
        <v>50</v>
      </c>
      <c r="D161" s="42" t="s">
        <v>20</v>
      </c>
      <c r="E161" s="6">
        <f t="shared" si="128"/>
        <v>-494.73896250000172</v>
      </c>
      <c r="F161" s="5" t="str">
        <f t="shared" si="143"/>
        <v>Loss</v>
      </c>
      <c r="G161" s="4">
        <f t="shared" si="144"/>
        <v>-420.00000000000171</v>
      </c>
      <c r="H161" s="46">
        <v>600</v>
      </c>
      <c r="I161" s="42">
        <v>92</v>
      </c>
      <c r="J161" s="42">
        <v>600</v>
      </c>
      <c r="K161" s="42">
        <v>92</v>
      </c>
      <c r="N161" s="5">
        <f t="shared" si="145"/>
        <v>1200</v>
      </c>
      <c r="O161" s="4">
        <f t="shared" si="146"/>
        <v>92</v>
      </c>
      <c r="P161" s="5">
        <f t="shared" si="101"/>
        <v>600</v>
      </c>
      <c r="Q161" s="42">
        <v>91.8</v>
      </c>
      <c r="R161" s="2">
        <f t="shared" si="100"/>
        <v>600</v>
      </c>
      <c r="S161" s="42">
        <v>91.5</v>
      </c>
      <c r="T161" s="2">
        <f t="shared" si="129"/>
        <v>0</v>
      </c>
      <c r="V161" s="5">
        <f t="shared" si="147"/>
        <v>1200</v>
      </c>
      <c r="W161" s="4">
        <f t="shared" si="148"/>
        <v>91.65</v>
      </c>
      <c r="X161" s="14">
        <f t="shared" si="102"/>
        <v>-0.20000000000000284</v>
      </c>
      <c r="Y161" s="5">
        <f t="shared" si="103"/>
        <v>-120.00000000000171</v>
      </c>
      <c r="Z161" s="2">
        <f t="shared" si="104"/>
        <v>-300</v>
      </c>
      <c r="AA161" s="4">
        <f t="shared" si="105"/>
        <v>0</v>
      </c>
      <c r="AB161" s="13">
        <f t="shared" si="106"/>
        <v>74.7389625</v>
      </c>
      <c r="AC161" s="10">
        <f>SUM($E$4:E161)</f>
        <v>-10764.546083765639</v>
      </c>
      <c r="AD161" s="20">
        <f>SUM($AB$4:AB161)</f>
        <v>7112.7960837656228</v>
      </c>
      <c r="AF161" s="28">
        <f t="shared" si="107"/>
        <v>22.038</v>
      </c>
      <c r="AG161" s="2">
        <f t="shared" si="108"/>
        <v>27.495000000000001</v>
      </c>
      <c r="AH161" s="2">
        <f t="shared" si="109"/>
        <v>7.1623499999999991</v>
      </c>
      <c r="AI161" s="2">
        <f t="shared" si="130"/>
        <v>29.20035</v>
      </c>
      <c r="AJ161" s="2">
        <f t="shared" si="131"/>
        <v>4.3800524999999997</v>
      </c>
      <c r="AK161" s="2">
        <f t="shared" si="110"/>
        <v>0.44075999999999999</v>
      </c>
      <c r="AL161" s="2">
        <f t="shared" si="111"/>
        <v>13.222800000000001</v>
      </c>
      <c r="AM161" s="2">
        <f t="shared" si="132"/>
        <v>74.7389625</v>
      </c>
      <c r="AN161" s="2">
        <f t="shared" si="112"/>
        <v>80</v>
      </c>
      <c r="AO161" s="2">
        <f t="shared" si="113"/>
        <v>54.99</v>
      </c>
      <c r="AP161" s="2">
        <f t="shared" si="114"/>
        <v>116.8014</v>
      </c>
      <c r="AQ161" s="2">
        <f t="shared" si="133"/>
        <v>196.8014</v>
      </c>
      <c r="AR161" s="2">
        <f t="shared" si="134"/>
        <v>29.520209999999999</v>
      </c>
      <c r="AS161" s="2">
        <f t="shared" si="115"/>
        <v>0.44075999999999999</v>
      </c>
      <c r="AT161" s="2">
        <f t="shared" si="116"/>
        <v>13.222800000000001</v>
      </c>
      <c r="AU161" s="2">
        <f t="shared" si="135"/>
        <v>294.97517000000005</v>
      </c>
      <c r="AV161" s="2">
        <f t="shared" si="117"/>
        <v>22.038</v>
      </c>
      <c r="AW161" s="2">
        <f t="shared" si="118"/>
        <v>10.998000000000001</v>
      </c>
      <c r="AX161" s="2">
        <f t="shared" si="119"/>
        <v>4.62798</v>
      </c>
      <c r="AY161" s="2">
        <f t="shared" si="136"/>
        <v>26.665980000000001</v>
      </c>
      <c r="AZ161" s="2">
        <f t="shared" si="137"/>
        <v>3.9998969999999998</v>
      </c>
      <c r="BA161" s="2">
        <f t="shared" si="120"/>
        <v>0.44075999999999999</v>
      </c>
      <c r="BB161" s="2">
        <f t="shared" si="121"/>
        <v>13.222800000000001</v>
      </c>
      <c r="BC161" s="2">
        <f t="shared" si="138"/>
        <v>55.327436999999996</v>
      </c>
      <c r="BD161" s="2">
        <v>0</v>
      </c>
      <c r="BE161" s="2">
        <f t="shared" si="122"/>
        <v>220.38</v>
      </c>
      <c r="BF161" s="2">
        <f t="shared" si="123"/>
        <v>7.1623499999999991</v>
      </c>
      <c r="BG161" s="2">
        <f t="shared" si="139"/>
        <v>7.1623499999999991</v>
      </c>
      <c r="BH161" s="2">
        <f t="shared" si="140"/>
        <v>1.0743524999999998</v>
      </c>
      <c r="BI161" s="2">
        <f t="shared" si="124"/>
        <v>0.44075999999999999</v>
      </c>
      <c r="BJ161" s="2">
        <f t="shared" si="125"/>
        <v>13.222800000000001</v>
      </c>
      <c r="BK161" s="2">
        <f t="shared" si="141"/>
        <v>242.28026250000002</v>
      </c>
      <c r="BL161" s="2">
        <f t="shared" si="126"/>
        <v>110400</v>
      </c>
      <c r="BM161" s="2">
        <f t="shared" si="127"/>
        <v>109980</v>
      </c>
      <c r="BN161" s="2">
        <f t="shared" si="142"/>
        <v>220380</v>
      </c>
    </row>
    <row r="162" spans="1:66" x14ac:dyDescent="0.25">
      <c r="A162" s="42">
        <v>159</v>
      </c>
      <c r="B162" s="43">
        <v>42818</v>
      </c>
      <c r="C162" s="42" t="s">
        <v>122</v>
      </c>
      <c r="D162" s="42" t="s">
        <v>161</v>
      </c>
      <c r="E162" s="6">
        <f t="shared" si="128"/>
        <v>-2596.5278783333333</v>
      </c>
      <c r="F162" s="5" t="str">
        <f t="shared" si="143"/>
        <v>Loss</v>
      </c>
      <c r="G162" s="4">
        <f t="shared" si="144"/>
        <v>-2450</v>
      </c>
      <c r="H162" s="46">
        <v>1400</v>
      </c>
      <c r="I162" s="42">
        <v>1.4</v>
      </c>
      <c r="J162" s="42">
        <v>2100</v>
      </c>
      <c r="K162" s="42">
        <v>1.05</v>
      </c>
      <c r="L162" s="42">
        <v>1400</v>
      </c>
      <c r="M162" s="44">
        <v>1.4</v>
      </c>
      <c r="N162" s="5">
        <f t="shared" si="145"/>
        <v>4900</v>
      </c>
      <c r="O162" s="4">
        <f t="shared" si="146"/>
        <v>1.2833333333333334</v>
      </c>
      <c r="P162" s="5">
        <f t="shared" si="101"/>
        <v>1400</v>
      </c>
      <c r="Q162" s="42">
        <v>0.8</v>
      </c>
      <c r="R162" s="2">
        <f t="shared" si="100"/>
        <v>2100</v>
      </c>
      <c r="S162" s="42">
        <v>0.75</v>
      </c>
      <c r="T162" s="2">
        <f t="shared" si="129"/>
        <v>1400</v>
      </c>
      <c r="U162" s="44">
        <v>0.7</v>
      </c>
      <c r="V162" s="5">
        <f t="shared" si="147"/>
        <v>4900</v>
      </c>
      <c r="W162" s="4">
        <f t="shared" si="148"/>
        <v>0.75</v>
      </c>
      <c r="X162" s="14">
        <f t="shared" si="102"/>
        <v>-0.25</v>
      </c>
      <c r="Y162" s="5">
        <f t="shared" si="103"/>
        <v>-839.99999999999977</v>
      </c>
      <c r="Z162" s="2">
        <f t="shared" si="104"/>
        <v>-630.00000000000011</v>
      </c>
      <c r="AA162" s="4">
        <f t="shared" si="105"/>
        <v>-979.99999999999989</v>
      </c>
      <c r="AB162" s="13">
        <f t="shared" si="106"/>
        <v>146.52787833333335</v>
      </c>
      <c r="AC162" s="10">
        <f>SUM($E$4:E162)</f>
        <v>-13361.073962098973</v>
      </c>
      <c r="AD162" s="20">
        <f>SUM($AB$4:AB162)</f>
        <v>7259.3239620989561</v>
      </c>
      <c r="AF162" s="28">
        <f t="shared" si="107"/>
        <v>0.9963333333333334</v>
      </c>
      <c r="AG162" s="2">
        <f t="shared" si="108"/>
        <v>0.91875000000000007</v>
      </c>
      <c r="AH162" s="2">
        <f t="shared" si="109"/>
        <v>0.32380833333333331</v>
      </c>
      <c r="AI162" s="2">
        <f t="shared" si="130"/>
        <v>1.3201416666666668</v>
      </c>
      <c r="AJ162" s="2">
        <f t="shared" si="131"/>
        <v>0.19802125000000001</v>
      </c>
      <c r="AK162" s="2">
        <f t="shared" si="110"/>
        <v>1.9926666666666669E-2</v>
      </c>
      <c r="AL162" s="2">
        <f t="shared" si="111"/>
        <v>0.5978</v>
      </c>
      <c r="AM162" s="2">
        <f t="shared" si="132"/>
        <v>3.0546395833333335</v>
      </c>
      <c r="AN162" s="2">
        <f t="shared" si="112"/>
        <v>120</v>
      </c>
      <c r="AO162" s="2">
        <f t="shared" si="113"/>
        <v>1.8375000000000001</v>
      </c>
      <c r="AP162" s="2">
        <f t="shared" si="114"/>
        <v>5.2805666666666671</v>
      </c>
      <c r="AQ162" s="2">
        <f t="shared" si="133"/>
        <v>125.28056666666667</v>
      </c>
      <c r="AR162" s="2">
        <f t="shared" si="134"/>
        <v>18.792085</v>
      </c>
      <c r="AS162" s="2">
        <f t="shared" si="115"/>
        <v>1.9926666666666669E-2</v>
      </c>
      <c r="AT162" s="2">
        <f t="shared" si="116"/>
        <v>0.5978</v>
      </c>
      <c r="AU162" s="2">
        <f t="shared" si="135"/>
        <v>146.52787833333335</v>
      </c>
      <c r="AV162" s="2">
        <f t="shared" si="117"/>
        <v>0.9963333333333334</v>
      </c>
      <c r="AW162" s="2">
        <f t="shared" si="118"/>
        <v>0.36750000000000005</v>
      </c>
      <c r="AX162" s="2">
        <f t="shared" si="119"/>
        <v>0.20923</v>
      </c>
      <c r="AY162" s="2">
        <f t="shared" si="136"/>
        <v>1.2055633333333333</v>
      </c>
      <c r="AZ162" s="2">
        <f t="shared" si="137"/>
        <v>0.18083449999999998</v>
      </c>
      <c r="BA162" s="2">
        <f t="shared" si="120"/>
        <v>1.9926666666666669E-2</v>
      </c>
      <c r="BB162" s="2">
        <f t="shared" si="121"/>
        <v>0.5978</v>
      </c>
      <c r="BC162" s="2">
        <f t="shared" si="138"/>
        <v>2.3716245000000002</v>
      </c>
      <c r="BD162" s="2">
        <v>0</v>
      </c>
      <c r="BE162" s="2">
        <f t="shared" si="122"/>
        <v>9.9633333333333347</v>
      </c>
      <c r="BF162" s="2">
        <f t="shared" si="123"/>
        <v>0.32380833333333331</v>
      </c>
      <c r="BG162" s="2">
        <f t="shared" si="139"/>
        <v>0.32380833333333331</v>
      </c>
      <c r="BH162" s="2">
        <f t="shared" si="140"/>
        <v>4.8571249999999996E-2</v>
      </c>
      <c r="BI162" s="2">
        <f t="shared" si="124"/>
        <v>1.9926666666666669E-2</v>
      </c>
      <c r="BJ162" s="2">
        <f t="shared" si="125"/>
        <v>0.5978</v>
      </c>
      <c r="BK162" s="2">
        <f t="shared" si="141"/>
        <v>10.953439583333335</v>
      </c>
      <c r="BL162" s="2">
        <f t="shared" si="126"/>
        <v>6288.3333333333339</v>
      </c>
      <c r="BM162" s="2">
        <f t="shared" si="127"/>
        <v>3675</v>
      </c>
      <c r="BN162" s="2">
        <f t="shared" si="142"/>
        <v>9963.3333333333339</v>
      </c>
    </row>
    <row r="163" spans="1:66" x14ac:dyDescent="0.25">
      <c r="A163" s="42">
        <v>160</v>
      </c>
      <c r="B163" s="43">
        <v>42821</v>
      </c>
      <c r="C163" s="42" t="s">
        <v>50</v>
      </c>
      <c r="D163" s="42" t="s">
        <v>20</v>
      </c>
      <c r="E163" s="6">
        <f t="shared" si="128"/>
        <v>-82.483710937508519</v>
      </c>
      <c r="F163" s="5" t="str">
        <f t="shared" si="143"/>
        <v>Loss</v>
      </c>
      <c r="G163" s="4">
        <f t="shared" si="144"/>
        <v>-37.500000000008527</v>
      </c>
      <c r="H163" s="46">
        <v>750</v>
      </c>
      <c r="I163" s="42">
        <v>88.4</v>
      </c>
      <c r="N163" s="5">
        <f t="shared" si="145"/>
        <v>750</v>
      </c>
      <c r="O163" s="4">
        <f t="shared" si="146"/>
        <v>88.4</v>
      </c>
      <c r="P163" s="5">
        <f t="shared" si="101"/>
        <v>750</v>
      </c>
      <c r="Q163" s="42">
        <v>88.35</v>
      </c>
      <c r="R163" s="2">
        <f t="shared" si="100"/>
        <v>0</v>
      </c>
      <c r="T163" s="2">
        <f t="shared" si="129"/>
        <v>0</v>
      </c>
      <c r="V163" s="5">
        <f t="shared" si="147"/>
        <v>750</v>
      </c>
      <c r="W163" s="4">
        <f t="shared" si="148"/>
        <v>88.35</v>
      </c>
      <c r="X163" s="14">
        <f t="shared" si="102"/>
        <v>-5.0000000000011369E-2</v>
      </c>
      <c r="Y163" s="5">
        <f t="shared" si="103"/>
        <v>-37.500000000008527</v>
      </c>
      <c r="Z163" s="2">
        <f t="shared" si="104"/>
        <v>0</v>
      </c>
      <c r="AA163" s="4">
        <f t="shared" si="105"/>
        <v>0</v>
      </c>
      <c r="AB163" s="13">
        <f t="shared" si="106"/>
        <v>44.983710937499993</v>
      </c>
      <c r="AC163" s="10">
        <f>SUM($E$4:E163)</f>
        <v>-13443.557673036483</v>
      </c>
      <c r="AD163" s="20">
        <f>SUM($AB$4:AB163)</f>
        <v>7304.3076730364564</v>
      </c>
      <c r="AF163" s="28">
        <f t="shared" si="107"/>
        <v>13.256250000000001</v>
      </c>
      <c r="AG163" s="2">
        <f t="shared" si="108"/>
        <v>16.565624999999997</v>
      </c>
      <c r="AH163" s="2">
        <f t="shared" si="109"/>
        <v>4.3082812499999994</v>
      </c>
      <c r="AI163" s="2">
        <f t="shared" si="130"/>
        <v>17.564531250000002</v>
      </c>
      <c r="AJ163" s="2">
        <f t="shared" si="131"/>
        <v>2.6346796875000003</v>
      </c>
      <c r="AK163" s="2">
        <f t="shared" si="110"/>
        <v>0.265125</v>
      </c>
      <c r="AL163" s="2">
        <f t="shared" si="111"/>
        <v>7.9537500000000003</v>
      </c>
      <c r="AM163" s="2">
        <f t="shared" si="132"/>
        <v>44.983710937499993</v>
      </c>
      <c r="AN163" s="2">
        <f t="shared" si="112"/>
        <v>40</v>
      </c>
      <c r="AO163" s="2">
        <f t="shared" si="113"/>
        <v>33.131249999999994</v>
      </c>
      <c r="AP163" s="2">
        <f t="shared" si="114"/>
        <v>70.258124999999993</v>
      </c>
      <c r="AQ163" s="2">
        <f t="shared" si="133"/>
        <v>110.25812499999999</v>
      </c>
      <c r="AR163" s="2">
        <f t="shared" si="134"/>
        <v>16.538718749999997</v>
      </c>
      <c r="AS163" s="2">
        <f t="shared" si="115"/>
        <v>0.265125</v>
      </c>
      <c r="AT163" s="2">
        <f t="shared" si="116"/>
        <v>7.9537500000000003</v>
      </c>
      <c r="AU163" s="2">
        <f t="shared" si="135"/>
        <v>168.14696874999998</v>
      </c>
      <c r="AV163" s="2">
        <f t="shared" si="117"/>
        <v>13.256250000000001</v>
      </c>
      <c r="AW163" s="2">
        <f t="shared" si="118"/>
        <v>6.6262499999999998</v>
      </c>
      <c r="AX163" s="2">
        <f t="shared" si="119"/>
        <v>2.7838124999999998</v>
      </c>
      <c r="AY163" s="2">
        <f t="shared" si="136"/>
        <v>16.040062500000001</v>
      </c>
      <c r="AZ163" s="2">
        <f t="shared" si="137"/>
        <v>2.406009375</v>
      </c>
      <c r="BA163" s="2">
        <f t="shared" si="120"/>
        <v>0.265125</v>
      </c>
      <c r="BB163" s="2">
        <f t="shared" si="121"/>
        <v>7.9537500000000003</v>
      </c>
      <c r="BC163" s="2">
        <f t="shared" si="138"/>
        <v>33.291196875000004</v>
      </c>
      <c r="BD163" s="2">
        <v>0</v>
      </c>
      <c r="BE163" s="2">
        <f t="shared" si="122"/>
        <v>132.5625</v>
      </c>
      <c r="BF163" s="2">
        <f t="shared" si="123"/>
        <v>4.3082812499999994</v>
      </c>
      <c r="BG163" s="2">
        <f t="shared" si="139"/>
        <v>4.3082812499999994</v>
      </c>
      <c r="BH163" s="2">
        <f t="shared" si="140"/>
        <v>0.64624218749999984</v>
      </c>
      <c r="BI163" s="2">
        <f t="shared" si="124"/>
        <v>0.265125</v>
      </c>
      <c r="BJ163" s="2">
        <f t="shared" si="125"/>
        <v>7.9537500000000003</v>
      </c>
      <c r="BK163" s="2">
        <f t="shared" si="141"/>
        <v>145.73589843750003</v>
      </c>
      <c r="BL163" s="2">
        <f t="shared" si="126"/>
        <v>66300</v>
      </c>
      <c r="BM163" s="2">
        <f t="shared" si="127"/>
        <v>66262.5</v>
      </c>
      <c r="BN163" s="2">
        <f t="shared" si="142"/>
        <v>132562.5</v>
      </c>
    </row>
    <row r="164" spans="1:66" x14ac:dyDescent="0.25">
      <c r="A164" s="42">
        <v>161</v>
      </c>
      <c r="B164" s="43">
        <v>42821</v>
      </c>
      <c r="C164" s="42" t="s">
        <v>50</v>
      </c>
      <c r="D164" s="42" t="s">
        <v>20</v>
      </c>
      <c r="E164" s="6">
        <f t="shared" si="128"/>
        <v>-307.35377343749576</v>
      </c>
      <c r="F164" s="5" t="str">
        <f t="shared" si="143"/>
        <v>Loss</v>
      </c>
      <c r="G164" s="4">
        <f t="shared" si="144"/>
        <v>-262.49999999999574</v>
      </c>
      <c r="H164" s="46">
        <v>750</v>
      </c>
      <c r="I164" s="42">
        <v>88.35</v>
      </c>
      <c r="N164" s="5">
        <f t="shared" si="145"/>
        <v>750</v>
      </c>
      <c r="O164" s="4">
        <f t="shared" si="146"/>
        <v>88.35</v>
      </c>
      <c r="P164" s="5">
        <f t="shared" si="101"/>
        <v>750</v>
      </c>
      <c r="Q164" s="42">
        <v>88</v>
      </c>
      <c r="R164" s="2">
        <f t="shared" si="100"/>
        <v>0</v>
      </c>
      <c r="T164" s="2">
        <f t="shared" si="129"/>
        <v>0</v>
      </c>
      <c r="V164" s="5">
        <f t="shared" si="147"/>
        <v>750</v>
      </c>
      <c r="W164" s="4">
        <f t="shared" si="148"/>
        <v>88</v>
      </c>
      <c r="X164" s="14">
        <f t="shared" si="102"/>
        <v>-0.34999999999999432</v>
      </c>
      <c r="Y164" s="5">
        <f t="shared" si="103"/>
        <v>-262.49999999999574</v>
      </c>
      <c r="Z164" s="2">
        <f t="shared" si="104"/>
        <v>0</v>
      </c>
      <c r="AA164" s="4">
        <f t="shared" si="105"/>
        <v>0</v>
      </c>
      <c r="AB164" s="13">
        <f t="shared" si="106"/>
        <v>44.853773437500003</v>
      </c>
      <c r="AC164" s="10">
        <f>SUM($E$4:E164)</f>
        <v>-13750.911446473978</v>
      </c>
      <c r="AD164" s="20">
        <f>SUM($AB$4:AB164)</f>
        <v>7349.1614464739569</v>
      </c>
      <c r="AF164" s="28">
        <f t="shared" si="107"/>
        <v>13.22625</v>
      </c>
      <c r="AG164" s="2">
        <f t="shared" si="108"/>
        <v>16.5</v>
      </c>
      <c r="AH164" s="2">
        <f t="shared" si="109"/>
        <v>4.2985312499999999</v>
      </c>
      <c r="AI164" s="2">
        <f t="shared" si="130"/>
        <v>17.52478125</v>
      </c>
      <c r="AJ164" s="2">
        <f t="shared" si="131"/>
        <v>2.6287171874999999</v>
      </c>
      <c r="AK164" s="2">
        <f t="shared" si="110"/>
        <v>0.26452500000000001</v>
      </c>
      <c r="AL164" s="2">
        <f t="shared" si="111"/>
        <v>7.9357500000000005</v>
      </c>
      <c r="AM164" s="2">
        <f t="shared" si="132"/>
        <v>44.853773437500003</v>
      </c>
      <c r="AN164" s="2">
        <f t="shared" si="112"/>
        <v>40</v>
      </c>
      <c r="AO164" s="2">
        <f t="shared" si="113"/>
        <v>33</v>
      </c>
      <c r="AP164" s="2">
        <f t="shared" si="114"/>
        <v>70.099125000000001</v>
      </c>
      <c r="AQ164" s="2">
        <f t="shared" si="133"/>
        <v>110.099125</v>
      </c>
      <c r="AR164" s="2">
        <f t="shared" si="134"/>
        <v>16.514868749999998</v>
      </c>
      <c r="AS164" s="2">
        <f t="shared" si="115"/>
        <v>0.26452500000000001</v>
      </c>
      <c r="AT164" s="2">
        <f t="shared" si="116"/>
        <v>7.9357500000000005</v>
      </c>
      <c r="AU164" s="2">
        <f t="shared" si="135"/>
        <v>167.81426875000002</v>
      </c>
      <c r="AV164" s="2">
        <f t="shared" si="117"/>
        <v>13.22625</v>
      </c>
      <c r="AW164" s="2">
        <f t="shared" si="118"/>
        <v>6.6</v>
      </c>
      <c r="AX164" s="2">
        <f t="shared" si="119"/>
        <v>2.7775124999999998</v>
      </c>
      <c r="AY164" s="2">
        <f t="shared" si="136"/>
        <v>16.003762500000001</v>
      </c>
      <c r="AZ164" s="2">
        <f t="shared" si="137"/>
        <v>2.4005643750000001</v>
      </c>
      <c r="BA164" s="2">
        <f t="shared" si="120"/>
        <v>0.26452500000000001</v>
      </c>
      <c r="BB164" s="2">
        <f t="shared" si="121"/>
        <v>7.9357500000000005</v>
      </c>
      <c r="BC164" s="2">
        <f t="shared" si="138"/>
        <v>33.204601875000002</v>
      </c>
      <c r="BD164" s="2">
        <v>0</v>
      </c>
      <c r="BE164" s="2">
        <f t="shared" si="122"/>
        <v>132.26249999999999</v>
      </c>
      <c r="BF164" s="2">
        <f t="shared" si="123"/>
        <v>4.2985312499999999</v>
      </c>
      <c r="BG164" s="2">
        <f t="shared" si="139"/>
        <v>4.2985312499999999</v>
      </c>
      <c r="BH164" s="2">
        <f t="shared" si="140"/>
        <v>0.64477968749999992</v>
      </c>
      <c r="BI164" s="2">
        <f t="shared" si="124"/>
        <v>0.26452500000000001</v>
      </c>
      <c r="BJ164" s="2">
        <f t="shared" si="125"/>
        <v>7.9357500000000005</v>
      </c>
      <c r="BK164" s="2">
        <f t="shared" si="141"/>
        <v>145.40608593749999</v>
      </c>
      <c r="BL164" s="2">
        <f t="shared" si="126"/>
        <v>66262.5</v>
      </c>
      <c r="BM164" s="2">
        <f t="shared" si="127"/>
        <v>66000</v>
      </c>
      <c r="BN164" s="2">
        <f t="shared" si="142"/>
        <v>132262.5</v>
      </c>
    </row>
    <row r="165" spans="1:66" x14ac:dyDescent="0.25">
      <c r="A165" s="42">
        <v>162</v>
      </c>
      <c r="B165" s="43">
        <v>42843</v>
      </c>
      <c r="C165" s="42" t="s">
        <v>50</v>
      </c>
      <c r="D165" s="42" t="s">
        <v>162</v>
      </c>
      <c r="E165" s="6">
        <f t="shared" si="128"/>
        <v>-609.97050000000002</v>
      </c>
      <c r="F165" s="5" t="str">
        <f t="shared" si="143"/>
        <v>Loss</v>
      </c>
      <c r="G165" s="4">
        <f t="shared" si="144"/>
        <v>-600</v>
      </c>
      <c r="H165" s="46">
        <v>100</v>
      </c>
      <c r="I165" s="42">
        <v>151</v>
      </c>
      <c r="N165" s="5">
        <f t="shared" si="145"/>
        <v>100</v>
      </c>
      <c r="O165" s="4">
        <f t="shared" si="146"/>
        <v>151</v>
      </c>
      <c r="P165" s="5">
        <f t="shared" si="101"/>
        <v>100</v>
      </c>
      <c r="Q165" s="42">
        <v>145</v>
      </c>
      <c r="R165" s="2">
        <f t="shared" si="100"/>
        <v>0</v>
      </c>
      <c r="T165" s="2">
        <f t="shared" si="129"/>
        <v>0</v>
      </c>
      <c r="V165" s="5">
        <f t="shared" si="147"/>
        <v>100</v>
      </c>
      <c r="W165" s="4">
        <f t="shared" si="148"/>
        <v>145</v>
      </c>
      <c r="X165" s="14">
        <f t="shared" si="102"/>
        <v>-6</v>
      </c>
      <c r="Y165" s="5">
        <f t="shared" si="103"/>
        <v>-600</v>
      </c>
      <c r="Z165" s="2">
        <f t="shared" si="104"/>
        <v>0</v>
      </c>
      <c r="AA165" s="4">
        <f t="shared" si="105"/>
        <v>0</v>
      </c>
      <c r="AB165" s="13">
        <f t="shared" si="106"/>
        <v>9.9704999999999995</v>
      </c>
      <c r="AC165" s="10">
        <f>SUM($E$4:E165)</f>
        <v>-14360.881946473977</v>
      </c>
      <c r="AD165" s="20">
        <f>SUM($AB$4:AB165)</f>
        <v>7359.1319464739572</v>
      </c>
      <c r="AF165" s="28">
        <f t="shared" si="107"/>
        <v>2.96</v>
      </c>
      <c r="AG165" s="2">
        <f t="shared" si="108"/>
        <v>3.625</v>
      </c>
      <c r="AH165" s="2">
        <f t="shared" si="109"/>
        <v>0.96199999999999997</v>
      </c>
      <c r="AI165" s="2">
        <f t="shared" si="130"/>
        <v>3.9219999999999997</v>
      </c>
      <c r="AJ165" s="2">
        <f t="shared" si="131"/>
        <v>0.58829999999999993</v>
      </c>
      <c r="AK165" s="2">
        <f t="shared" si="110"/>
        <v>5.9200000000000003E-2</v>
      </c>
      <c r="AL165" s="2">
        <f t="shared" si="111"/>
        <v>1.776</v>
      </c>
      <c r="AM165" s="2">
        <f t="shared" si="132"/>
        <v>9.9704999999999995</v>
      </c>
      <c r="AN165" s="2">
        <f t="shared" si="112"/>
        <v>40</v>
      </c>
      <c r="AO165" s="2">
        <f t="shared" si="113"/>
        <v>7.25</v>
      </c>
      <c r="AP165" s="2">
        <f t="shared" si="114"/>
        <v>15.687999999999999</v>
      </c>
      <c r="AQ165" s="2">
        <f t="shared" si="133"/>
        <v>55.688000000000002</v>
      </c>
      <c r="AR165" s="2">
        <f t="shared" si="134"/>
        <v>8.3531999999999993</v>
      </c>
      <c r="AS165" s="2">
        <f t="shared" si="115"/>
        <v>5.9200000000000003E-2</v>
      </c>
      <c r="AT165" s="2">
        <f t="shared" si="116"/>
        <v>1.776</v>
      </c>
      <c r="AU165" s="2">
        <f t="shared" si="135"/>
        <v>73.126400000000004</v>
      </c>
      <c r="AV165" s="2">
        <f t="shared" si="117"/>
        <v>2.96</v>
      </c>
      <c r="AW165" s="2">
        <f t="shared" si="118"/>
        <v>1.45</v>
      </c>
      <c r="AX165" s="2">
        <f t="shared" si="119"/>
        <v>0.62159999999999993</v>
      </c>
      <c r="AY165" s="2">
        <f t="shared" si="136"/>
        <v>3.5815999999999999</v>
      </c>
      <c r="AZ165" s="2">
        <f t="shared" si="137"/>
        <v>0.53723999999999994</v>
      </c>
      <c r="BA165" s="2">
        <f t="shared" si="120"/>
        <v>5.9200000000000003E-2</v>
      </c>
      <c r="BB165" s="2">
        <f t="shared" si="121"/>
        <v>1.776</v>
      </c>
      <c r="BC165" s="2">
        <f t="shared" si="138"/>
        <v>7.4040399999999993</v>
      </c>
      <c r="BD165" s="2">
        <v>0</v>
      </c>
      <c r="BE165" s="2">
        <f t="shared" si="122"/>
        <v>29.6</v>
      </c>
      <c r="BF165" s="2">
        <f t="shared" si="123"/>
        <v>0.96199999999999997</v>
      </c>
      <c r="BG165" s="2">
        <f t="shared" si="139"/>
        <v>0.96199999999999997</v>
      </c>
      <c r="BH165" s="2">
        <f t="shared" si="140"/>
        <v>0.14429999999999998</v>
      </c>
      <c r="BI165" s="2">
        <f t="shared" si="124"/>
        <v>5.9200000000000003E-2</v>
      </c>
      <c r="BJ165" s="2">
        <f t="shared" si="125"/>
        <v>1.776</v>
      </c>
      <c r="BK165" s="2">
        <f t="shared" si="141"/>
        <v>32.541500000000006</v>
      </c>
      <c r="BL165" s="2">
        <f t="shared" si="126"/>
        <v>15100</v>
      </c>
      <c r="BM165" s="2">
        <f t="shared" si="127"/>
        <v>14500</v>
      </c>
      <c r="BN165" s="2">
        <f t="shared" si="142"/>
        <v>29600</v>
      </c>
    </row>
    <row r="166" spans="1:66" x14ac:dyDescent="0.25">
      <c r="A166" s="42">
        <v>163</v>
      </c>
      <c r="B166" s="43">
        <v>42845</v>
      </c>
      <c r="C166" s="42" t="s">
        <v>50</v>
      </c>
      <c r="D166" s="42" t="s">
        <v>105</v>
      </c>
      <c r="E166" s="6">
        <f t="shared" si="128"/>
        <v>751.30150000000003</v>
      </c>
      <c r="F166" s="5" t="str">
        <f t="shared" si="143"/>
        <v>Win</v>
      </c>
      <c r="G166" s="4">
        <f t="shared" si="144"/>
        <v>800</v>
      </c>
      <c r="H166" s="46">
        <v>400</v>
      </c>
      <c r="I166" s="42">
        <v>178</v>
      </c>
      <c r="N166" s="5">
        <f t="shared" si="145"/>
        <v>400</v>
      </c>
      <c r="O166" s="4">
        <f t="shared" si="146"/>
        <v>178</v>
      </c>
      <c r="P166" s="5">
        <f t="shared" si="101"/>
        <v>400</v>
      </c>
      <c r="Q166" s="42">
        <v>180</v>
      </c>
      <c r="R166" s="2">
        <f t="shared" si="100"/>
        <v>0</v>
      </c>
      <c r="T166" s="2">
        <f t="shared" si="129"/>
        <v>0</v>
      </c>
      <c r="V166" s="5">
        <f t="shared" si="147"/>
        <v>400</v>
      </c>
      <c r="W166" s="4">
        <f t="shared" si="148"/>
        <v>180</v>
      </c>
      <c r="X166" s="14">
        <f t="shared" si="102"/>
        <v>2</v>
      </c>
      <c r="Y166" s="5">
        <f t="shared" si="103"/>
        <v>800</v>
      </c>
      <c r="Z166" s="2">
        <f t="shared" si="104"/>
        <v>0</v>
      </c>
      <c r="AA166" s="4">
        <f t="shared" si="105"/>
        <v>0</v>
      </c>
      <c r="AB166" s="13">
        <f t="shared" si="106"/>
        <v>48.698500000000003</v>
      </c>
      <c r="AC166" s="10">
        <f>SUM($E$4:E166)</f>
        <v>-13609.580446473978</v>
      </c>
      <c r="AD166" s="20">
        <f>SUM($AB$4:AB166)</f>
        <v>7407.8304464739576</v>
      </c>
      <c r="AF166" s="28">
        <f t="shared" si="107"/>
        <v>14.32</v>
      </c>
      <c r="AG166" s="2">
        <f t="shared" si="108"/>
        <v>18</v>
      </c>
      <c r="AH166" s="2">
        <f t="shared" si="109"/>
        <v>4.6539999999999999</v>
      </c>
      <c r="AI166" s="2">
        <f t="shared" si="130"/>
        <v>18.974</v>
      </c>
      <c r="AJ166" s="2">
        <f t="shared" si="131"/>
        <v>2.8460999999999999</v>
      </c>
      <c r="AK166" s="2">
        <f t="shared" si="110"/>
        <v>0.28639999999999999</v>
      </c>
      <c r="AL166" s="2">
        <f t="shared" si="111"/>
        <v>8.5920000000000005</v>
      </c>
      <c r="AM166" s="2">
        <f t="shared" si="132"/>
        <v>48.698500000000003</v>
      </c>
      <c r="AN166" s="2">
        <f t="shared" si="112"/>
        <v>40</v>
      </c>
      <c r="AO166" s="2">
        <f t="shared" si="113"/>
        <v>36</v>
      </c>
      <c r="AP166" s="2">
        <f t="shared" si="114"/>
        <v>75.896000000000001</v>
      </c>
      <c r="AQ166" s="2">
        <f t="shared" si="133"/>
        <v>115.896</v>
      </c>
      <c r="AR166" s="2">
        <f t="shared" si="134"/>
        <v>17.384399999999999</v>
      </c>
      <c r="AS166" s="2">
        <f t="shared" si="115"/>
        <v>0.28639999999999999</v>
      </c>
      <c r="AT166" s="2">
        <f t="shared" si="116"/>
        <v>8.5920000000000005</v>
      </c>
      <c r="AU166" s="2">
        <f t="shared" si="135"/>
        <v>178.15880000000001</v>
      </c>
      <c r="AV166" s="2">
        <f t="shared" si="117"/>
        <v>14.32</v>
      </c>
      <c r="AW166" s="2">
        <f t="shared" si="118"/>
        <v>7.2</v>
      </c>
      <c r="AX166" s="2">
        <f t="shared" si="119"/>
        <v>3.0071999999999997</v>
      </c>
      <c r="AY166" s="2">
        <f t="shared" si="136"/>
        <v>17.327200000000001</v>
      </c>
      <c r="AZ166" s="2">
        <f t="shared" si="137"/>
        <v>2.5990800000000003</v>
      </c>
      <c r="BA166" s="2">
        <f t="shared" si="120"/>
        <v>0.28639999999999999</v>
      </c>
      <c r="BB166" s="2">
        <f t="shared" si="121"/>
        <v>8.5920000000000005</v>
      </c>
      <c r="BC166" s="2">
        <f t="shared" si="138"/>
        <v>36.00468</v>
      </c>
      <c r="BD166" s="2">
        <v>0</v>
      </c>
      <c r="BE166" s="2">
        <f t="shared" si="122"/>
        <v>143.20000000000002</v>
      </c>
      <c r="BF166" s="2">
        <f t="shared" si="123"/>
        <v>4.6539999999999999</v>
      </c>
      <c r="BG166" s="2">
        <f t="shared" si="139"/>
        <v>4.6539999999999999</v>
      </c>
      <c r="BH166" s="2">
        <f t="shared" si="140"/>
        <v>0.69809999999999994</v>
      </c>
      <c r="BI166" s="2">
        <f t="shared" si="124"/>
        <v>0.28639999999999999</v>
      </c>
      <c r="BJ166" s="2">
        <f t="shared" si="125"/>
        <v>8.5920000000000005</v>
      </c>
      <c r="BK166" s="2">
        <f t="shared" si="141"/>
        <v>157.43050000000002</v>
      </c>
      <c r="BL166" s="2">
        <f t="shared" si="126"/>
        <v>71200</v>
      </c>
      <c r="BM166" s="2">
        <f t="shared" si="127"/>
        <v>72000</v>
      </c>
      <c r="BN166" s="2">
        <f t="shared" si="142"/>
        <v>143200</v>
      </c>
    </row>
    <row r="167" spans="1:66" x14ac:dyDescent="0.25">
      <c r="A167" s="42">
        <v>164</v>
      </c>
      <c r="B167" s="43">
        <v>42845</v>
      </c>
      <c r="C167" s="42" t="s">
        <v>50</v>
      </c>
      <c r="D167" s="42" t="s">
        <v>105</v>
      </c>
      <c r="E167" s="6">
        <f t="shared" si="128"/>
        <v>-109.12637500000227</v>
      </c>
      <c r="F167" s="5" t="str">
        <f t="shared" si="143"/>
        <v>Win</v>
      </c>
      <c r="G167" s="4">
        <f t="shared" si="144"/>
        <v>39.999999999997726</v>
      </c>
      <c r="H167" s="46">
        <v>400</v>
      </c>
      <c r="I167" s="42">
        <v>183</v>
      </c>
      <c r="J167" s="42">
        <v>400</v>
      </c>
      <c r="K167" s="42">
        <v>183.4</v>
      </c>
      <c r="L167" s="42">
        <v>400</v>
      </c>
      <c r="M167" s="44">
        <v>182.8</v>
      </c>
      <c r="N167" s="5">
        <f t="shared" si="145"/>
        <v>1200</v>
      </c>
      <c r="O167" s="4">
        <f t="shared" si="146"/>
        <v>183.06666666666669</v>
      </c>
      <c r="P167" s="5">
        <f t="shared" si="101"/>
        <v>400</v>
      </c>
      <c r="Q167" s="42">
        <v>182.5</v>
      </c>
      <c r="R167" s="2">
        <f t="shared" si="100"/>
        <v>400</v>
      </c>
      <c r="S167" s="42">
        <v>183</v>
      </c>
      <c r="T167" s="2">
        <f t="shared" si="129"/>
        <v>400</v>
      </c>
      <c r="U167" s="44">
        <v>183.8</v>
      </c>
      <c r="V167" s="5">
        <f t="shared" si="147"/>
        <v>1200</v>
      </c>
      <c r="W167" s="4">
        <f t="shared" si="148"/>
        <v>183.1</v>
      </c>
      <c r="X167" s="14">
        <f t="shared" si="102"/>
        <v>1</v>
      </c>
      <c r="Y167" s="5">
        <f t="shared" si="103"/>
        <v>-200</v>
      </c>
      <c r="Z167" s="2">
        <f t="shared" si="104"/>
        <v>-160.00000000000227</v>
      </c>
      <c r="AA167" s="4">
        <f t="shared" si="105"/>
        <v>400</v>
      </c>
      <c r="AB167" s="13">
        <f t="shared" si="106"/>
        <v>149.126375</v>
      </c>
      <c r="AC167" s="10">
        <f>SUM($E$4:E167)</f>
        <v>-13718.706821473979</v>
      </c>
      <c r="AD167" s="20">
        <f>SUM($AB$4:AB167)</f>
        <v>7556.9568214739575</v>
      </c>
      <c r="AF167" s="28">
        <f t="shared" si="107"/>
        <v>43.940000000000005</v>
      </c>
      <c r="AG167" s="2">
        <f t="shared" si="108"/>
        <v>54.93</v>
      </c>
      <c r="AH167" s="2">
        <f t="shared" si="109"/>
        <v>14.280499999999998</v>
      </c>
      <c r="AI167" s="2">
        <f t="shared" si="130"/>
        <v>58.220500000000001</v>
      </c>
      <c r="AJ167" s="2">
        <f t="shared" si="131"/>
        <v>8.7330749999999995</v>
      </c>
      <c r="AK167" s="2">
        <f t="shared" si="110"/>
        <v>0.87880000000000003</v>
      </c>
      <c r="AL167" s="2">
        <f t="shared" si="111"/>
        <v>26.364000000000001</v>
      </c>
      <c r="AM167" s="2">
        <f t="shared" si="132"/>
        <v>149.126375</v>
      </c>
      <c r="AN167" s="2">
        <f t="shared" si="112"/>
        <v>120</v>
      </c>
      <c r="AO167" s="2">
        <f t="shared" si="113"/>
        <v>109.86</v>
      </c>
      <c r="AP167" s="2">
        <f t="shared" si="114"/>
        <v>232.88200000000001</v>
      </c>
      <c r="AQ167" s="2">
        <f t="shared" si="133"/>
        <v>352.88200000000001</v>
      </c>
      <c r="AR167" s="2">
        <f t="shared" si="134"/>
        <v>52.932299999999998</v>
      </c>
      <c r="AS167" s="2">
        <f t="shared" si="115"/>
        <v>0.87880000000000003</v>
      </c>
      <c r="AT167" s="2">
        <f t="shared" si="116"/>
        <v>26.364000000000001</v>
      </c>
      <c r="AU167" s="2">
        <f t="shared" si="135"/>
        <v>542.9171</v>
      </c>
      <c r="AV167" s="2">
        <f t="shared" si="117"/>
        <v>43.940000000000005</v>
      </c>
      <c r="AW167" s="2">
        <f t="shared" si="118"/>
        <v>21.972000000000001</v>
      </c>
      <c r="AX167" s="2">
        <f t="shared" si="119"/>
        <v>9.2273999999999994</v>
      </c>
      <c r="AY167" s="2">
        <f t="shared" si="136"/>
        <v>53.167400000000001</v>
      </c>
      <c r="AZ167" s="2">
        <f t="shared" si="137"/>
        <v>7.9751099999999999</v>
      </c>
      <c r="BA167" s="2">
        <f t="shared" si="120"/>
        <v>0.87880000000000003</v>
      </c>
      <c r="BB167" s="2">
        <f t="shared" si="121"/>
        <v>26.364000000000001</v>
      </c>
      <c r="BC167" s="2">
        <f t="shared" si="138"/>
        <v>110.35731000000001</v>
      </c>
      <c r="BD167" s="2">
        <v>0</v>
      </c>
      <c r="BE167" s="2">
        <f t="shared" si="122"/>
        <v>439.40000000000003</v>
      </c>
      <c r="BF167" s="2">
        <f t="shared" si="123"/>
        <v>14.280499999999998</v>
      </c>
      <c r="BG167" s="2">
        <f t="shared" si="139"/>
        <v>14.280499999999998</v>
      </c>
      <c r="BH167" s="2">
        <f t="shared" si="140"/>
        <v>2.1420749999999997</v>
      </c>
      <c r="BI167" s="2">
        <f t="shared" si="124"/>
        <v>0.87880000000000003</v>
      </c>
      <c r="BJ167" s="2">
        <f t="shared" si="125"/>
        <v>26.364000000000001</v>
      </c>
      <c r="BK167" s="2">
        <f t="shared" si="141"/>
        <v>483.06537500000002</v>
      </c>
      <c r="BL167" s="2">
        <f t="shared" si="126"/>
        <v>219680.00000000003</v>
      </c>
      <c r="BM167" s="2">
        <f t="shared" si="127"/>
        <v>219720</v>
      </c>
      <c r="BN167" s="2">
        <f t="shared" si="142"/>
        <v>439400</v>
      </c>
    </row>
    <row r="168" spans="1:66" x14ac:dyDescent="0.25">
      <c r="A168" s="42">
        <v>165</v>
      </c>
      <c r="B168" s="43">
        <v>42845</v>
      </c>
      <c r="C168" s="42" t="s">
        <v>50</v>
      </c>
      <c r="D168" s="42" t="s">
        <v>105</v>
      </c>
      <c r="E168" s="6">
        <f t="shared" si="128"/>
        <v>-247.23201874999944</v>
      </c>
      <c r="F168" s="5" t="str">
        <f t="shared" si="143"/>
        <v>Loss</v>
      </c>
      <c r="G168" s="4">
        <f t="shared" si="144"/>
        <v>-197.49999999999943</v>
      </c>
      <c r="H168" s="46">
        <v>350</v>
      </c>
      <c r="I168" s="42">
        <v>183.5</v>
      </c>
      <c r="J168" s="42">
        <v>50</v>
      </c>
      <c r="K168" s="42">
        <v>183.5</v>
      </c>
      <c r="N168" s="5">
        <f t="shared" si="145"/>
        <v>400</v>
      </c>
      <c r="O168" s="4">
        <f t="shared" si="146"/>
        <v>183.5</v>
      </c>
      <c r="P168" s="5">
        <f t="shared" si="101"/>
        <v>350</v>
      </c>
      <c r="Q168" s="42">
        <v>183</v>
      </c>
      <c r="R168" s="2">
        <f t="shared" ref="R168:R231" si="149">J168</f>
        <v>50</v>
      </c>
      <c r="S168" s="42">
        <v>183.05</v>
      </c>
      <c r="T168" s="2">
        <f t="shared" si="129"/>
        <v>0</v>
      </c>
      <c r="V168" s="5">
        <f t="shared" si="147"/>
        <v>400</v>
      </c>
      <c r="W168" s="4">
        <f t="shared" si="148"/>
        <v>183.02500000000001</v>
      </c>
      <c r="X168" s="14">
        <f t="shared" si="102"/>
        <v>-0.44999999999998863</v>
      </c>
      <c r="Y168" s="5">
        <f t="shared" si="103"/>
        <v>-175</v>
      </c>
      <c r="Z168" s="2">
        <f t="shared" si="104"/>
        <v>-22.499999999999432</v>
      </c>
      <c r="AA168" s="4">
        <f t="shared" si="105"/>
        <v>0</v>
      </c>
      <c r="AB168" s="13">
        <f t="shared" si="106"/>
        <v>49.732018750000002</v>
      </c>
      <c r="AC168" s="10">
        <f>SUM($E$4:E168)</f>
        <v>-13965.938840223978</v>
      </c>
      <c r="AD168" s="20">
        <f>SUM($AB$4:AB168)</f>
        <v>7606.6888402239574</v>
      </c>
      <c r="AF168" s="28">
        <f t="shared" si="107"/>
        <v>14.661000000000001</v>
      </c>
      <c r="AG168" s="2">
        <f t="shared" si="108"/>
        <v>18.302500000000002</v>
      </c>
      <c r="AH168" s="2">
        <f t="shared" si="109"/>
        <v>4.7648249999999992</v>
      </c>
      <c r="AI168" s="2">
        <f t="shared" si="130"/>
        <v>19.425825</v>
      </c>
      <c r="AJ168" s="2">
        <f t="shared" si="131"/>
        <v>2.91387375</v>
      </c>
      <c r="AK168" s="2">
        <f t="shared" si="110"/>
        <v>0.29322000000000004</v>
      </c>
      <c r="AL168" s="2">
        <f t="shared" si="111"/>
        <v>8.7965999999999998</v>
      </c>
      <c r="AM168" s="2">
        <f t="shared" si="132"/>
        <v>49.732018750000002</v>
      </c>
      <c r="AN168" s="2">
        <f t="shared" si="112"/>
        <v>80</v>
      </c>
      <c r="AO168" s="2">
        <f t="shared" si="113"/>
        <v>36.605000000000004</v>
      </c>
      <c r="AP168" s="2">
        <f t="shared" si="114"/>
        <v>77.703299999999999</v>
      </c>
      <c r="AQ168" s="2">
        <f t="shared" si="133"/>
        <v>157.70330000000001</v>
      </c>
      <c r="AR168" s="2">
        <f t="shared" si="134"/>
        <v>23.655495000000002</v>
      </c>
      <c r="AS168" s="2">
        <f t="shared" si="115"/>
        <v>0.29322000000000004</v>
      </c>
      <c r="AT168" s="2">
        <f t="shared" si="116"/>
        <v>8.7965999999999998</v>
      </c>
      <c r="AU168" s="2">
        <f t="shared" si="135"/>
        <v>227.05361500000001</v>
      </c>
      <c r="AV168" s="2">
        <f t="shared" si="117"/>
        <v>14.661000000000001</v>
      </c>
      <c r="AW168" s="2">
        <f t="shared" si="118"/>
        <v>7.3210000000000006</v>
      </c>
      <c r="AX168" s="2">
        <f t="shared" si="119"/>
        <v>3.0788099999999998</v>
      </c>
      <c r="AY168" s="2">
        <f t="shared" si="136"/>
        <v>17.739810000000002</v>
      </c>
      <c r="AZ168" s="2">
        <f t="shared" si="137"/>
        <v>2.6609715</v>
      </c>
      <c r="BA168" s="2">
        <f t="shared" si="120"/>
        <v>0.29322000000000004</v>
      </c>
      <c r="BB168" s="2">
        <f t="shared" si="121"/>
        <v>8.7965999999999998</v>
      </c>
      <c r="BC168" s="2">
        <f t="shared" si="138"/>
        <v>36.811601500000002</v>
      </c>
      <c r="BD168" s="2">
        <v>0</v>
      </c>
      <c r="BE168" s="2">
        <f t="shared" si="122"/>
        <v>146.61000000000001</v>
      </c>
      <c r="BF168" s="2">
        <f t="shared" si="123"/>
        <v>4.7648249999999992</v>
      </c>
      <c r="BG168" s="2">
        <f t="shared" si="139"/>
        <v>4.7648249999999992</v>
      </c>
      <c r="BH168" s="2">
        <f t="shared" si="140"/>
        <v>0.71472374999999988</v>
      </c>
      <c r="BI168" s="2">
        <f t="shared" si="124"/>
        <v>0.29322000000000004</v>
      </c>
      <c r="BJ168" s="2">
        <f t="shared" si="125"/>
        <v>8.7965999999999998</v>
      </c>
      <c r="BK168" s="2">
        <f t="shared" si="141"/>
        <v>161.17936875000001</v>
      </c>
      <c r="BL168" s="2">
        <f t="shared" si="126"/>
        <v>73400</v>
      </c>
      <c r="BM168" s="2">
        <f t="shared" si="127"/>
        <v>73210</v>
      </c>
      <c r="BN168" s="2">
        <f t="shared" si="142"/>
        <v>146610</v>
      </c>
    </row>
    <row r="169" spans="1:66" x14ac:dyDescent="0.25">
      <c r="A169" s="42">
        <v>166</v>
      </c>
      <c r="B169" s="43">
        <v>42845</v>
      </c>
      <c r="C169" s="42" t="s">
        <v>50</v>
      </c>
      <c r="D169" s="42" t="s">
        <v>105</v>
      </c>
      <c r="E169" s="6">
        <f t="shared" si="128"/>
        <v>945.44008749998864</v>
      </c>
      <c r="F169" s="5" t="str">
        <f t="shared" si="143"/>
        <v>Win</v>
      </c>
      <c r="G169" s="4">
        <f t="shared" si="144"/>
        <v>1099.9999999999886</v>
      </c>
      <c r="H169" s="46">
        <v>400</v>
      </c>
      <c r="I169" s="42">
        <v>184.35</v>
      </c>
      <c r="J169" s="42">
        <v>400</v>
      </c>
      <c r="K169" s="42">
        <v>190.25</v>
      </c>
      <c r="L169" s="42">
        <v>400</v>
      </c>
      <c r="M169" s="44">
        <v>192.8</v>
      </c>
      <c r="N169" s="5">
        <f t="shared" si="145"/>
        <v>1200</v>
      </c>
      <c r="O169" s="4">
        <f t="shared" si="146"/>
        <v>189.13333333333333</v>
      </c>
      <c r="P169" s="5">
        <f t="shared" si="101"/>
        <v>400</v>
      </c>
      <c r="Q169" s="42">
        <v>186.35</v>
      </c>
      <c r="R169" s="2">
        <f t="shared" si="149"/>
        <v>400</v>
      </c>
      <c r="S169" s="42">
        <v>191.85</v>
      </c>
      <c r="T169" s="2">
        <f t="shared" si="129"/>
        <v>400</v>
      </c>
      <c r="U169" s="44">
        <v>191.95</v>
      </c>
      <c r="V169" s="5">
        <f t="shared" si="147"/>
        <v>1200</v>
      </c>
      <c r="W169" s="4">
        <f t="shared" si="148"/>
        <v>190.04999999999998</v>
      </c>
      <c r="X169" s="14">
        <f t="shared" si="102"/>
        <v>7.5999999999999943</v>
      </c>
      <c r="Y169" s="5">
        <f t="shared" si="103"/>
        <v>800</v>
      </c>
      <c r="Z169" s="2">
        <f t="shared" si="104"/>
        <v>639.99999999999773</v>
      </c>
      <c r="AA169" s="4">
        <f t="shared" si="105"/>
        <v>-340.00000000000909</v>
      </c>
      <c r="AB169" s="13">
        <f t="shared" si="106"/>
        <v>154.5599125</v>
      </c>
      <c r="AC169" s="10">
        <f>SUM($E$4:E169)</f>
        <v>-13020.49875272399</v>
      </c>
      <c r="AD169" s="20">
        <f>SUM($AB$4:AB169)</f>
        <v>7761.2487527239573</v>
      </c>
      <c r="AF169" s="28">
        <f t="shared" si="107"/>
        <v>45.502000000000002</v>
      </c>
      <c r="AG169" s="2">
        <f t="shared" si="108"/>
        <v>57.014999999999993</v>
      </c>
      <c r="AH169" s="2">
        <f t="shared" si="109"/>
        <v>14.788149999999998</v>
      </c>
      <c r="AI169" s="2">
        <f t="shared" si="130"/>
        <v>60.290149999999997</v>
      </c>
      <c r="AJ169" s="2">
        <f t="shared" si="131"/>
        <v>9.0435224999999999</v>
      </c>
      <c r="AK169" s="2">
        <f t="shared" si="110"/>
        <v>0.91003999999999996</v>
      </c>
      <c r="AL169" s="2">
        <f t="shared" si="111"/>
        <v>27.301200000000001</v>
      </c>
      <c r="AM169" s="2">
        <f t="shared" si="132"/>
        <v>154.5599125</v>
      </c>
      <c r="AN169" s="2">
        <f t="shared" si="112"/>
        <v>120</v>
      </c>
      <c r="AO169" s="2">
        <f t="shared" si="113"/>
        <v>114.02999999999999</v>
      </c>
      <c r="AP169" s="2">
        <f t="shared" si="114"/>
        <v>241.16059999999999</v>
      </c>
      <c r="AQ169" s="2">
        <f t="shared" si="133"/>
        <v>361.16059999999999</v>
      </c>
      <c r="AR169" s="2">
        <f t="shared" si="134"/>
        <v>54.17409</v>
      </c>
      <c r="AS169" s="2">
        <f t="shared" si="115"/>
        <v>0.91003999999999996</v>
      </c>
      <c r="AT169" s="2">
        <f t="shared" si="116"/>
        <v>27.301200000000001</v>
      </c>
      <c r="AU169" s="2">
        <f t="shared" si="135"/>
        <v>557.57592999999997</v>
      </c>
      <c r="AV169" s="2">
        <f t="shared" si="117"/>
        <v>45.502000000000002</v>
      </c>
      <c r="AW169" s="2">
        <f t="shared" si="118"/>
        <v>22.806000000000001</v>
      </c>
      <c r="AX169" s="2">
        <f t="shared" si="119"/>
        <v>9.5554199999999998</v>
      </c>
      <c r="AY169" s="2">
        <f t="shared" si="136"/>
        <v>55.05742</v>
      </c>
      <c r="AZ169" s="2">
        <f t="shared" si="137"/>
        <v>8.2586130000000004</v>
      </c>
      <c r="BA169" s="2">
        <f t="shared" si="120"/>
        <v>0.91003999999999996</v>
      </c>
      <c r="BB169" s="2">
        <f t="shared" si="121"/>
        <v>27.301200000000001</v>
      </c>
      <c r="BC169" s="2">
        <f t="shared" si="138"/>
        <v>114.33327299999999</v>
      </c>
      <c r="BD169" s="2">
        <v>0</v>
      </c>
      <c r="BE169" s="2">
        <f t="shared" si="122"/>
        <v>455.02</v>
      </c>
      <c r="BF169" s="2">
        <f t="shared" si="123"/>
        <v>14.788149999999998</v>
      </c>
      <c r="BG169" s="2">
        <f t="shared" si="139"/>
        <v>14.788149999999998</v>
      </c>
      <c r="BH169" s="2">
        <f t="shared" si="140"/>
        <v>2.2182224999999995</v>
      </c>
      <c r="BI169" s="2">
        <f t="shared" si="124"/>
        <v>0.91003999999999996</v>
      </c>
      <c r="BJ169" s="2">
        <f t="shared" si="125"/>
        <v>27.301200000000001</v>
      </c>
      <c r="BK169" s="2">
        <f t="shared" si="141"/>
        <v>500.23761249999995</v>
      </c>
      <c r="BL169" s="2">
        <f t="shared" si="126"/>
        <v>226960</v>
      </c>
      <c r="BM169" s="2">
        <f t="shared" si="127"/>
        <v>228059.99999999997</v>
      </c>
      <c r="BN169" s="2">
        <f t="shared" si="142"/>
        <v>455020</v>
      </c>
    </row>
    <row r="170" spans="1:66" x14ac:dyDescent="0.25">
      <c r="A170" s="42">
        <v>167</v>
      </c>
      <c r="B170" s="43">
        <v>42845</v>
      </c>
      <c r="C170" s="42" t="s">
        <v>50</v>
      </c>
      <c r="D170" s="42" t="s">
        <v>105</v>
      </c>
      <c r="E170" s="6">
        <f t="shared" si="128"/>
        <v>347.90345000000002</v>
      </c>
      <c r="F170" s="5" t="str">
        <f t="shared" si="143"/>
        <v>Win</v>
      </c>
      <c r="G170" s="4">
        <f t="shared" si="144"/>
        <v>400</v>
      </c>
      <c r="H170" s="46">
        <v>400</v>
      </c>
      <c r="I170" s="42">
        <v>191.2</v>
      </c>
      <c r="N170" s="5">
        <f t="shared" si="145"/>
        <v>400</v>
      </c>
      <c r="O170" s="4">
        <f t="shared" si="146"/>
        <v>191.2</v>
      </c>
      <c r="P170" s="5">
        <f t="shared" si="101"/>
        <v>400</v>
      </c>
      <c r="Q170" s="42">
        <v>192.2</v>
      </c>
      <c r="R170" s="2">
        <f t="shared" si="149"/>
        <v>0</v>
      </c>
      <c r="T170" s="2">
        <f t="shared" si="129"/>
        <v>0</v>
      </c>
      <c r="V170" s="5">
        <f t="shared" si="147"/>
        <v>400</v>
      </c>
      <c r="W170" s="4">
        <f t="shared" si="148"/>
        <v>192.2</v>
      </c>
      <c r="X170" s="14">
        <f t="shared" si="102"/>
        <v>1</v>
      </c>
      <c r="Y170" s="5">
        <f t="shared" si="103"/>
        <v>400</v>
      </c>
      <c r="Z170" s="2">
        <f t="shared" si="104"/>
        <v>0</v>
      </c>
      <c r="AA170" s="4">
        <f t="shared" si="105"/>
        <v>0</v>
      </c>
      <c r="AB170" s="13">
        <f t="shared" si="106"/>
        <v>52.096549999999993</v>
      </c>
      <c r="AC170" s="10">
        <f>SUM($E$4:E170)</f>
        <v>-12672.59530272399</v>
      </c>
      <c r="AD170" s="20">
        <f>SUM($AB$4:AB170)</f>
        <v>7813.3453027239575</v>
      </c>
      <c r="AF170" s="28">
        <f t="shared" si="107"/>
        <v>15.336</v>
      </c>
      <c r="AG170" s="2">
        <f t="shared" si="108"/>
        <v>19.22</v>
      </c>
      <c r="AH170" s="2">
        <f t="shared" si="109"/>
        <v>4.9841999999999995</v>
      </c>
      <c r="AI170" s="2">
        <f t="shared" si="130"/>
        <v>20.3202</v>
      </c>
      <c r="AJ170" s="2">
        <f t="shared" si="131"/>
        <v>3.0480299999999998</v>
      </c>
      <c r="AK170" s="2">
        <f t="shared" si="110"/>
        <v>0.30671999999999999</v>
      </c>
      <c r="AL170" s="2">
        <f t="shared" si="111"/>
        <v>9.2016000000000009</v>
      </c>
      <c r="AM170" s="2">
        <f t="shared" si="132"/>
        <v>52.096549999999993</v>
      </c>
      <c r="AN170" s="2">
        <f t="shared" si="112"/>
        <v>40</v>
      </c>
      <c r="AO170" s="2">
        <f t="shared" si="113"/>
        <v>38.44</v>
      </c>
      <c r="AP170" s="2">
        <f t="shared" si="114"/>
        <v>81.280799999999999</v>
      </c>
      <c r="AQ170" s="2">
        <f t="shared" si="133"/>
        <v>121.2808</v>
      </c>
      <c r="AR170" s="2">
        <f t="shared" si="134"/>
        <v>18.192119999999999</v>
      </c>
      <c r="AS170" s="2">
        <f t="shared" si="115"/>
        <v>0.30671999999999999</v>
      </c>
      <c r="AT170" s="2">
        <f t="shared" si="116"/>
        <v>9.2016000000000009</v>
      </c>
      <c r="AU170" s="2">
        <f t="shared" si="135"/>
        <v>187.42124000000001</v>
      </c>
      <c r="AV170" s="2">
        <f t="shared" si="117"/>
        <v>15.336</v>
      </c>
      <c r="AW170" s="2">
        <f t="shared" si="118"/>
        <v>7.6879999999999997</v>
      </c>
      <c r="AX170" s="2">
        <f t="shared" si="119"/>
        <v>3.2205599999999999</v>
      </c>
      <c r="AY170" s="2">
        <f t="shared" si="136"/>
        <v>18.556560000000001</v>
      </c>
      <c r="AZ170" s="2">
        <f t="shared" si="137"/>
        <v>2.7834840000000001</v>
      </c>
      <c r="BA170" s="2">
        <f t="shared" si="120"/>
        <v>0.30671999999999999</v>
      </c>
      <c r="BB170" s="2">
        <f t="shared" si="121"/>
        <v>9.2016000000000009</v>
      </c>
      <c r="BC170" s="2">
        <f t="shared" si="138"/>
        <v>38.536363999999999</v>
      </c>
      <c r="BD170" s="2">
        <v>0</v>
      </c>
      <c r="BE170" s="2">
        <f t="shared" si="122"/>
        <v>153.36000000000001</v>
      </c>
      <c r="BF170" s="2">
        <f t="shared" si="123"/>
        <v>4.9841999999999995</v>
      </c>
      <c r="BG170" s="2">
        <f t="shared" si="139"/>
        <v>4.9841999999999995</v>
      </c>
      <c r="BH170" s="2">
        <f t="shared" si="140"/>
        <v>0.74762999999999991</v>
      </c>
      <c r="BI170" s="2">
        <f t="shared" si="124"/>
        <v>0.30671999999999999</v>
      </c>
      <c r="BJ170" s="2">
        <f t="shared" si="125"/>
        <v>9.2016000000000009</v>
      </c>
      <c r="BK170" s="2">
        <f t="shared" si="141"/>
        <v>168.60015000000001</v>
      </c>
      <c r="BL170" s="2">
        <f t="shared" si="126"/>
        <v>76480</v>
      </c>
      <c r="BM170" s="2">
        <f t="shared" si="127"/>
        <v>76880</v>
      </c>
      <c r="BN170" s="2">
        <f t="shared" si="142"/>
        <v>153360</v>
      </c>
    </row>
    <row r="171" spans="1:66" x14ac:dyDescent="0.25">
      <c r="A171" s="42">
        <v>168</v>
      </c>
      <c r="B171" s="43">
        <v>42845</v>
      </c>
      <c r="C171" s="42" t="s">
        <v>50</v>
      </c>
      <c r="D171" s="42" t="s">
        <v>105</v>
      </c>
      <c r="E171" s="6">
        <f t="shared" si="128"/>
        <v>-451.94225</v>
      </c>
      <c r="F171" s="5" t="str">
        <f t="shared" si="143"/>
        <v>Loss</v>
      </c>
      <c r="G171" s="4">
        <f t="shared" si="144"/>
        <v>-400</v>
      </c>
      <c r="H171" s="46">
        <v>400</v>
      </c>
      <c r="I171" s="42">
        <v>192</v>
      </c>
      <c r="N171" s="5">
        <f t="shared" si="145"/>
        <v>400</v>
      </c>
      <c r="O171" s="4">
        <f t="shared" si="146"/>
        <v>192</v>
      </c>
      <c r="P171" s="5">
        <f t="shared" si="101"/>
        <v>400</v>
      </c>
      <c r="Q171" s="42">
        <v>191</v>
      </c>
      <c r="R171" s="2">
        <f t="shared" si="149"/>
        <v>0</v>
      </c>
      <c r="T171" s="2">
        <f t="shared" si="129"/>
        <v>0</v>
      </c>
      <c r="V171" s="5">
        <f t="shared" si="147"/>
        <v>400</v>
      </c>
      <c r="W171" s="4">
        <f t="shared" si="148"/>
        <v>191</v>
      </c>
      <c r="X171" s="14">
        <f t="shared" si="102"/>
        <v>-1</v>
      </c>
      <c r="Y171" s="5">
        <f t="shared" si="103"/>
        <v>-400</v>
      </c>
      <c r="Z171" s="2">
        <f t="shared" si="104"/>
        <v>0</v>
      </c>
      <c r="AA171" s="4">
        <f t="shared" si="105"/>
        <v>0</v>
      </c>
      <c r="AB171" s="13">
        <f t="shared" si="106"/>
        <v>51.942249999999994</v>
      </c>
      <c r="AC171" s="10">
        <f>SUM($E$4:E171)</f>
        <v>-13124.53755272399</v>
      </c>
      <c r="AD171" s="20">
        <f>SUM($AB$4:AB171)</f>
        <v>7865.2875527239576</v>
      </c>
      <c r="AF171" s="28">
        <f t="shared" si="107"/>
        <v>15.32</v>
      </c>
      <c r="AG171" s="2">
        <f t="shared" si="108"/>
        <v>19.100000000000001</v>
      </c>
      <c r="AH171" s="2">
        <f t="shared" si="109"/>
        <v>4.9789999999999992</v>
      </c>
      <c r="AI171" s="2">
        <f t="shared" si="130"/>
        <v>20.298999999999999</v>
      </c>
      <c r="AJ171" s="2">
        <f t="shared" si="131"/>
        <v>3.0448499999999998</v>
      </c>
      <c r="AK171" s="2">
        <f t="shared" si="110"/>
        <v>0.30640000000000001</v>
      </c>
      <c r="AL171" s="2">
        <f t="shared" si="111"/>
        <v>9.1920000000000002</v>
      </c>
      <c r="AM171" s="2">
        <f t="shared" si="132"/>
        <v>51.942249999999994</v>
      </c>
      <c r="AN171" s="2">
        <f t="shared" si="112"/>
        <v>40</v>
      </c>
      <c r="AO171" s="2">
        <f t="shared" si="113"/>
        <v>38.200000000000003</v>
      </c>
      <c r="AP171" s="2">
        <f t="shared" si="114"/>
        <v>81.195999999999998</v>
      </c>
      <c r="AQ171" s="2">
        <f t="shared" si="133"/>
        <v>121.196</v>
      </c>
      <c r="AR171" s="2">
        <f t="shared" si="134"/>
        <v>18.179399999999998</v>
      </c>
      <c r="AS171" s="2">
        <f t="shared" si="115"/>
        <v>0.30640000000000001</v>
      </c>
      <c r="AT171" s="2">
        <f t="shared" si="116"/>
        <v>9.1920000000000002</v>
      </c>
      <c r="AU171" s="2">
        <f t="shared" si="135"/>
        <v>187.07380000000001</v>
      </c>
      <c r="AV171" s="2">
        <f t="shared" si="117"/>
        <v>15.32</v>
      </c>
      <c r="AW171" s="2">
        <f t="shared" si="118"/>
        <v>7.6400000000000006</v>
      </c>
      <c r="AX171" s="2">
        <f t="shared" si="119"/>
        <v>3.2171999999999996</v>
      </c>
      <c r="AY171" s="2">
        <f t="shared" si="136"/>
        <v>18.537199999999999</v>
      </c>
      <c r="AZ171" s="2">
        <f t="shared" si="137"/>
        <v>2.7805799999999996</v>
      </c>
      <c r="BA171" s="2">
        <f t="shared" si="120"/>
        <v>0.30640000000000001</v>
      </c>
      <c r="BB171" s="2">
        <f t="shared" si="121"/>
        <v>9.1920000000000002</v>
      </c>
      <c r="BC171" s="2">
        <f t="shared" si="138"/>
        <v>38.456180000000003</v>
      </c>
      <c r="BD171" s="2">
        <v>0</v>
      </c>
      <c r="BE171" s="2">
        <f t="shared" si="122"/>
        <v>153.20000000000002</v>
      </c>
      <c r="BF171" s="2">
        <f t="shared" si="123"/>
        <v>4.9789999999999992</v>
      </c>
      <c r="BG171" s="2">
        <f t="shared" si="139"/>
        <v>4.9789999999999992</v>
      </c>
      <c r="BH171" s="2">
        <f t="shared" si="140"/>
        <v>0.7468499999999999</v>
      </c>
      <c r="BI171" s="2">
        <f t="shared" si="124"/>
        <v>0.30640000000000001</v>
      </c>
      <c r="BJ171" s="2">
        <f t="shared" si="125"/>
        <v>9.1920000000000002</v>
      </c>
      <c r="BK171" s="2">
        <f t="shared" si="141"/>
        <v>168.42425000000003</v>
      </c>
      <c r="BL171" s="2">
        <f t="shared" si="126"/>
        <v>76800</v>
      </c>
      <c r="BM171" s="2">
        <f t="shared" si="127"/>
        <v>76400</v>
      </c>
      <c r="BN171" s="2">
        <f t="shared" si="142"/>
        <v>153200</v>
      </c>
    </row>
    <row r="172" spans="1:66" x14ac:dyDescent="0.25">
      <c r="A172" s="42">
        <v>169</v>
      </c>
      <c r="B172" s="43">
        <v>42845</v>
      </c>
      <c r="C172" s="42" t="s">
        <v>50</v>
      </c>
      <c r="D172" s="42" t="s">
        <v>105</v>
      </c>
      <c r="E172" s="6">
        <f t="shared" si="128"/>
        <v>748.99374999999998</v>
      </c>
      <c r="F172" s="5" t="str">
        <f t="shared" si="143"/>
        <v>Win</v>
      </c>
      <c r="G172" s="4">
        <f t="shared" si="144"/>
        <v>800</v>
      </c>
      <c r="H172" s="46">
        <v>400</v>
      </c>
      <c r="I172" s="42">
        <v>186.5</v>
      </c>
      <c r="N172" s="5">
        <f t="shared" si="145"/>
        <v>400</v>
      </c>
      <c r="O172" s="4">
        <f t="shared" si="146"/>
        <v>186.5</v>
      </c>
      <c r="P172" s="5">
        <f t="shared" si="101"/>
        <v>400</v>
      </c>
      <c r="Q172" s="42">
        <v>188.5</v>
      </c>
      <c r="R172" s="2">
        <f t="shared" si="149"/>
        <v>0</v>
      </c>
      <c r="T172" s="2">
        <f t="shared" si="129"/>
        <v>0</v>
      </c>
      <c r="V172" s="5">
        <f t="shared" si="147"/>
        <v>400</v>
      </c>
      <c r="W172" s="4">
        <f t="shared" si="148"/>
        <v>188.5</v>
      </c>
      <c r="X172" s="14">
        <f t="shared" si="102"/>
        <v>2</v>
      </c>
      <c r="Y172" s="5">
        <f t="shared" si="103"/>
        <v>800</v>
      </c>
      <c r="Z172" s="2">
        <f t="shared" si="104"/>
        <v>0</v>
      </c>
      <c r="AA172" s="4">
        <f t="shared" si="105"/>
        <v>0</v>
      </c>
      <c r="AB172" s="13">
        <f t="shared" si="106"/>
        <v>51.006250000000001</v>
      </c>
      <c r="AC172" s="10">
        <f>SUM($E$4:E172)</f>
        <v>-12375.543802723991</v>
      </c>
      <c r="AD172" s="20">
        <f>SUM($AB$4:AB172)</f>
        <v>7916.2938027239579</v>
      </c>
      <c r="AF172" s="28">
        <f t="shared" si="107"/>
        <v>15</v>
      </c>
      <c r="AG172" s="2">
        <f t="shared" si="108"/>
        <v>18.850000000000001</v>
      </c>
      <c r="AH172" s="2">
        <f t="shared" si="109"/>
        <v>4.875</v>
      </c>
      <c r="AI172" s="2">
        <f t="shared" si="130"/>
        <v>19.875</v>
      </c>
      <c r="AJ172" s="2">
        <f t="shared" si="131"/>
        <v>2.9812499999999997</v>
      </c>
      <c r="AK172" s="2">
        <f t="shared" si="110"/>
        <v>0.3</v>
      </c>
      <c r="AL172" s="2">
        <f t="shared" si="111"/>
        <v>9</v>
      </c>
      <c r="AM172" s="2">
        <f t="shared" si="132"/>
        <v>51.006250000000001</v>
      </c>
      <c r="AN172" s="2">
        <f t="shared" si="112"/>
        <v>40</v>
      </c>
      <c r="AO172" s="2">
        <f t="shared" si="113"/>
        <v>37.700000000000003</v>
      </c>
      <c r="AP172" s="2">
        <f t="shared" si="114"/>
        <v>79.5</v>
      </c>
      <c r="AQ172" s="2">
        <f t="shared" si="133"/>
        <v>119.5</v>
      </c>
      <c r="AR172" s="2">
        <f t="shared" si="134"/>
        <v>17.925000000000001</v>
      </c>
      <c r="AS172" s="2">
        <f t="shared" si="115"/>
        <v>0.3</v>
      </c>
      <c r="AT172" s="2">
        <f t="shared" si="116"/>
        <v>9</v>
      </c>
      <c r="AU172" s="2">
        <f t="shared" si="135"/>
        <v>184.42500000000001</v>
      </c>
      <c r="AV172" s="2">
        <f t="shared" si="117"/>
        <v>15</v>
      </c>
      <c r="AW172" s="2">
        <f t="shared" si="118"/>
        <v>7.54</v>
      </c>
      <c r="AX172" s="2">
        <f t="shared" si="119"/>
        <v>3.15</v>
      </c>
      <c r="AY172" s="2">
        <f t="shared" si="136"/>
        <v>18.149999999999999</v>
      </c>
      <c r="AZ172" s="2">
        <f t="shared" si="137"/>
        <v>2.7224999999999997</v>
      </c>
      <c r="BA172" s="2">
        <f t="shared" si="120"/>
        <v>0.3</v>
      </c>
      <c r="BB172" s="2">
        <f t="shared" si="121"/>
        <v>9</v>
      </c>
      <c r="BC172" s="2">
        <f t="shared" si="138"/>
        <v>37.712499999999999</v>
      </c>
      <c r="BD172" s="2">
        <v>0</v>
      </c>
      <c r="BE172" s="2">
        <f t="shared" si="122"/>
        <v>150</v>
      </c>
      <c r="BF172" s="2">
        <f t="shared" si="123"/>
        <v>4.875</v>
      </c>
      <c r="BG172" s="2">
        <f t="shared" si="139"/>
        <v>4.875</v>
      </c>
      <c r="BH172" s="2">
        <f t="shared" si="140"/>
        <v>0.73124999999999996</v>
      </c>
      <c r="BI172" s="2">
        <f t="shared" si="124"/>
        <v>0.3</v>
      </c>
      <c r="BJ172" s="2">
        <f t="shared" si="125"/>
        <v>9</v>
      </c>
      <c r="BK172" s="2">
        <f t="shared" si="141"/>
        <v>164.90625</v>
      </c>
      <c r="BL172" s="2">
        <f t="shared" si="126"/>
        <v>74600</v>
      </c>
      <c r="BM172" s="2">
        <f t="shared" si="127"/>
        <v>75400</v>
      </c>
      <c r="BN172" s="2">
        <f t="shared" si="142"/>
        <v>150000</v>
      </c>
    </row>
    <row r="173" spans="1:66" x14ac:dyDescent="0.25">
      <c r="A173" s="42">
        <v>170</v>
      </c>
      <c r="B173" s="43">
        <v>42846</v>
      </c>
      <c r="C173" s="42" t="s">
        <v>50</v>
      </c>
      <c r="D173" s="42" t="s">
        <v>163</v>
      </c>
      <c r="E173" s="6">
        <f t="shared" si="128"/>
        <v>-213.32559375000568</v>
      </c>
      <c r="F173" s="5" t="str">
        <f t="shared" si="143"/>
        <v>Loss</v>
      </c>
      <c r="G173" s="4">
        <f t="shared" si="144"/>
        <v>-150.00000000000568</v>
      </c>
      <c r="H173" s="46">
        <v>1000</v>
      </c>
      <c r="I173" s="42">
        <v>93.4</v>
      </c>
      <c r="N173" s="5">
        <f t="shared" si="145"/>
        <v>1000</v>
      </c>
      <c r="O173" s="4">
        <f t="shared" si="146"/>
        <v>93.4</v>
      </c>
      <c r="P173" s="5">
        <f t="shared" si="101"/>
        <v>1000</v>
      </c>
      <c r="Q173" s="42">
        <v>93.25</v>
      </c>
      <c r="R173" s="2">
        <f t="shared" si="149"/>
        <v>0</v>
      </c>
      <c r="T173" s="2">
        <f t="shared" si="129"/>
        <v>0</v>
      </c>
      <c r="V173" s="5">
        <f t="shared" si="147"/>
        <v>1000</v>
      </c>
      <c r="W173" s="4">
        <f t="shared" si="148"/>
        <v>93.25</v>
      </c>
      <c r="X173" s="14">
        <f t="shared" si="102"/>
        <v>-0.15000000000000568</v>
      </c>
      <c r="Y173" s="5">
        <f t="shared" si="103"/>
        <v>-150.00000000000568</v>
      </c>
      <c r="Z173" s="2">
        <f t="shared" si="104"/>
        <v>0</v>
      </c>
      <c r="AA173" s="4">
        <f t="shared" si="105"/>
        <v>0</v>
      </c>
      <c r="AB173" s="13">
        <f t="shared" si="106"/>
        <v>63.325593749999996</v>
      </c>
      <c r="AC173" s="10">
        <f>SUM($E$4:E173)</f>
        <v>-12588.869396473996</v>
      </c>
      <c r="AD173" s="20">
        <f>SUM($AB$4:AB173)</f>
        <v>7979.6193964739577</v>
      </c>
      <c r="AF173" s="28">
        <f t="shared" si="107"/>
        <v>18.664999999999999</v>
      </c>
      <c r="AG173" s="2">
        <f t="shared" si="108"/>
        <v>23.3125</v>
      </c>
      <c r="AH173" s="2">
        <f t="shared" si="109"/>
        <v>6.0661249999999995</v>
      </c>
      <c r="AI173" s="2">
        <f t="shared" si="130"/>
        <v>24.731124999999999</v>
      </c>
      <c r="AJ173" s="2">
        <f t="shared" si="131"/>
        <v>3.7096687499999996</v>
      </c>
      <c r="AK173" s="2">
        <f t="shared" si="110"/>
        <v>0.37330000000000002</v>
      </c>
      <c r="AL173" s="2">
        <f t="shared" si="111"/>
        <v>11.199</v>
      </c>
      <c r="AM173" s="2">
        <f t="shared" si="132"/>
        <v>63.325593749999996</v>
      </c>
      <c r="AN173" s="2">
        <f t="shared" si="112"/>
        <v>40</v>
      </c>
      <c r="AO173" s="2">
        <f t="shared" si="113"/>
        <v>46.625</v>
      </c>
      <c r="AP173" s="2">
        <f t="shared" si="114"/>
        <v>98.924499999999995</v>
      </c>
      <c r="AQ173" s="2">
        <f t="shared" si="133"/>
        <v>138.92449999999999</v>
      </c>
      <c r="AR173" s="2">
        <f t="shared" si="134"/>
        <v>20.838674999999999</v>
      </c>
      <c r="AS173" s="2">
        <f t="shared" si="115"/>
        <v>0.37330000000000002</v>
      </c>
      <c r="AT173" s="2">
        <f t="shared" si="116"/>
        <v>11.199</v>
      </c>
      <c r="AU173" s="2">
        <f t="shared" si="135"/>
        <v>217.960475</v>
      </c>
      <c r="AV173" s="2">
        <f t="shared" si="117"/>
        <v>18.664999999999999</v>
      </c>
      <c r="AW173" s="2">
        <f t="shared" si="118"/>
        <v>9.3250000000000011</v>
      </c>
      <c r="AX173" s="2">
        <f t="shared" si="119"/>
        <v>3.9196499999999999</v>
      </c>
      <c r="AY173" s="2">
        <f t="shared" si="136"/>
        <v>22.58465</v>
      </c>
      <c r="AZ173" s="2">
        <f t="shared" si="137"/>
        <v>3.3876974999999998</v>
      </c>
      <c r="BA173" s="2">
        <f t="shared" si="120"/>
        <v>0.37330000000000002</v>
      </c>
      <c r="BB173" s="2">
        <f t="shared" si="121"/>
        <v>11.199</v>
      </c>
      <c r="BC173" s="2">
        <f t="shared" si="138"/>
        <v>46.869647499999999</v>
      </c>
      <c r="BD173" s="2">
        <v>0</v>
      </c>
      <c r="BE173" s="2">
        <f t="shared" si="122"/>
        <v>186.65</v>
      </c>
      <c r="BF173" s="2">
        <f t="shared" si="123"/>
        <v>6.0661249999999995</v>
      </c>
      <c r="BG173" s="2">
        <f t="shared" si="139"/>
        <v>6.0661249999999995</v>
      </c>
      <c r="BH173" s="2">
        <f t="shared" si="140"/>
        <v>0.90991874999999989</v>
      </c>
      <c r="BI173" s="2">
        <f t="shared" si="124"/>
        <v>0.37330000000000002</v>
      </c>
      <c r="BJ173" s="2">
        <f t="shared" si="125"/>
        <v>11.199</v>
      </c>
      <c r="BK173" s="2">
        <f t="shared" si="141"/>
        <v>205.19834375000002</v>
      </c>
      <c r="BL173" s="2">
        <f t="shared" si="126"/>
        <v>93400</v>
      </c>
      <c r="BM173" s="2">
        <f t="shared" si="127"/>
        <v>93250</v>
      </c>
      <c r="BN173" s="2">
        <f t="shared" si="142"/>
        <v>186650</v>
      </c>
    </row>
    <row r="174" spans="1:66" x14ac:dyDescent="0.25">
      <c r="A174" s="42">
        <v>171</v>
      </c>
      <c r="B174" s="43">
        <v>42846</v>
      </c>
      <c r="C174" s="42" t="s">
        <v>50</v>
      </c>
      <c r="D174" s="42" t="s">
        <v>163</v>
      </c>
      <c r="E174" s="6">
        <f t="shared" si="128"/>
        <v>-13.350593750002837</v>
      </c>
      <c r="F174" s="5" t="str">
        <f t="shared" si="143"/>
        <v>Win</v>
      </c>
      <c r="G174" s="4">
        <f t="shared" si="144"/>
        <v>49.999999999997158</v>
      </c>
      <c r="H174" s="46">
        <v>1000</v>
      </c>
      <c r="I174" s="42">
        <v>93.3</v>
      </c>
      <c r="N174" s="5">
        <f t="shared" si="145"/>
        <v>1000</v>
      </c>
      <c r="O174" s="4">
        <f t="shared" si="146"/>
        <v>93.3</v>
      </c>
      <c r="P174" s="5">
        <f t="shared" si="101"/>
        <v>1000</v>
      </c>
      <c r="Q174" s="42">
        <v>93.35</v>
      </c>
      <c r="R174" s="2">
        <f t="shared" si="149"/>
        <v>0</v>
      </c>
      <c r="T174" s="2">
        <f t="shared" si="129"/>
        <v>0</v>
      </c>
      <c r="V174" s="5">
        <f t="shared" si="147"/>
        <v>1000</v>
      </c>
      <c r="W174" s="4">
        <f t="shared" si="148"/>
        <v>93.35</v>
      </c>
      <c r="X174" s="14">
        <f t="shared" si="102"/>
        <v>4.9999999999997158E-2</v>
      </c>
      <c r="Y174" s="5">
        <f t="shared" si="103"/>
        <v>49.999999999997158</v>
      </c>
      <c r="Z174" s="2">
        <f t="shared" si="104"/>
        <v>0</v>
      </c>
      <c r="AA174" s="4">
        <f t="shared" si="105"/>
        <v>0</v>
      </c>
      <c r="AB174" s="13">
        <f t="shared" si="106"/>
        <v>63.350593749999994</v>
      </c>
      <c r="AC174" s="10">
        <f>SUM($E$4:E174)</f>
        <v>-12602.219990223999</v>
      </c>
      <c r="AD174" s="20">
        <f>SUM($AB$4:AB174)</f>
        <v>8042.9699902239581</v>
      </c>
      <c r="AF174" s="28">
        <f t="shared" si="107"/>
        <v>18.664999999999999</v>
      </c>
      <c r="AG174" s="2">
        <f t="shared" si="108"/>
        <v>23.337499999999999</v>
      </c>
      <c r="AH174" s="2">
        <f t="shared" si="109"/>
        <v>6.0661249999999995</v>
      </c>
      <c r="AI174" s="2">
        <f t="shared" si="130"/>
        <v>24.731124999999999</v>
      </c>
      <c r="AJ174" s="2">
        <f t="shared" si="131"/>
        <v>3.7096687499999996</v>
      </c>
      <c r="AK174" s="2">
        <f t="shared" si="110"/>
        <v>0.37330000000000002</v>
      </c>
      <c r="AL174" s="2">
        <f t="shared" si="111"/>
        <v>11.199</v>
      </c>
      <c r="AM174" s="2">
        <f t="shared" si="132"/>
        <v>63.350593749999994</v>
      </c>
      <c r="AN174" s="2">
        <f t="shared" si="112"/>
        <v>40</v>
      </c>
      <c r="AO174" s="2">
        <f t="shared" si="113"/>
        <v>46.674999999999997</v>
      </c>
      <c r="AP174" s="2">
        <f t="shared" si="114"/>
        <v>98.924499999999995</v>
      </c>
      <c r="AQ174" s="2">
        <f t="shared" si="133"/>
        <v>138.92449999999999</v>
      </c>
      <c r="AR174" s="2">
        <f t="shared" si="134"/>
        <v>20.838674999999999</v>
      </c>
      <c r="AS174" s="2">
        <f t="shared" si="115"/>
        <v>0.37330000000000002</v>
      </c>
      <c r="AT174" s="2">
        <f t="shared" si="116"/>
        <v>11.199</v>
      </c>
      <c r="AU174" s="2">
        <f t="shared" si="135"/>
        <v>218.01047499999999</v>
      </c>
      <c r="AV174" s="2">
        <f t="shared" si="117"/>
        <v>18.664999999999999</v>
      </c>
      <c r="AW174" s="2">
        <f t="shared" si="118"/>
        <v>9.3349999999999991</v>
      </c>
      <c r="AX174" s="2">
        <f t="shared" si="119"/>
        <v>3.9196499999999999</v>
      </c>
      <c r="AY174" s="2">
        <f t="shared" si="136"/>
        <v>22.58465</v>
      </c>
      <c r="AZ174" s="2">
        <f t="shared" si="137"/>
        <v>3.3876974999999998</v>
      </c>
      <c r="BA174" s="2">
        <f t="shared" si="120"/>
        <v>0.37330000000000002</v>
      </c>
      <c r="BB174" s="2">
        <f t="shared" si="121"/>
        <v>11.199</v>
      </c>
      <c r="BC174" s="2">
        <f t="shared" si="138"/>
        <v>46.879647499999997</v>
      </c>
      <c r="BD174" s="2">
        <v>0</v>
      </c>
      <c r="BE174" s="2">
        <f t="shared" si="122"/>
        <v>186.65</v>
      </c>
      <c r="BF174" s="2">
        <f t="shared" si="123"/>
        <v>6.0661249999999995</v>
      </c>
      <c r="BG174" s="2">
        <f t="shared" si="139"/>
        <v>6.0661249999999995</v>
      </c>
      <c r="BH174" s="2">
        <f t="shared" si="140"/>
        <v>0.90991874999999989</v>
      </c>
      <c r="BI174" s="2">
        <f t="shared" si="124"/>
        <v>0.37330000000000002</v>
      </c>
      <c r="BJ174" s="2">
        <f t="shared" si="125"/>
        <v>11.199</v>
      </c>
      <c r="BK174" s="2">
        <f t="shared" si="141"/>
        <v>205.19834375000002</v>
      </c>
      <c r="BL174" s="2">
        <f t="shared" si="126"/>
        <v>93300</v>
      </c>
      <c r="BM174" s="2">
        <f t="shared" si="127"/>
        <v>93350</v>
      </c>
      <c r="BN174" s="2">
        <f t="shared" si="142"/>
        <v>186650</v>
      </c>
    </row>
    <row r="175" spans="1:66" x14ac:dyDescent="0.25">
      <c r="A175" s="42">
        <v>172</v>
      </c>
      <c r="B175" s="43">
        <v>42846</v>
      </c>
      <c r="C175" s="42" t="s">
        <v>50</v>
      </c>
      <c r="D175" s="42" t="s">
        <v>163</v>
      </c>
      <c r="E175" s="6">
        <f t="shared" si="128"/>
        <v>726.11893750000399</v>
      </c>
      <c r="F175" s="5" t="str">
        <f t="shared" si="143"/>
        <v>Win</v>
      </c>
      <c r="G175" s="4">
        <f t="shared" si="144"/>
        <v>790.00000000000398</v>
      </c>
      <c r="H175" s="46">
        <v>416</v>
      </c>
      <c r="I175" s="42">
        <v>93.5</v>
      </c>
      <c r="J175" s="42">
        <v>567</v>
      </c>
      <c r="K175" s="42">
        <v>93.5</v>
      </c>
      <c r="L175" s="42">
        <v>17</v>
      </c>
      <c r="M175" s="44">
        <v>93.5</v>
      </c>
      <c r="N175" s="5">
        <f t="shared" si="145"/>
        <v>1000</v>
      </c>
      <c r="O175" s="4">
        <f t="shared" si="146"/>
        <v>93.5</v>
      </c>
      <c r="P175" s="5">
        <f t="shared" si="101"/>
        <v>416</v>
      </c>
      <c r="Q175" s="42">
        <v>94.4</v>
      </c>
      <c r="R175" s="2">
        <f t="shared" si="149"/>
        <v>567</v>
      </c>
      <c r="S175" s="42">
        <v>94.2</v>
      </c>
      <c r="T175" s="2">
        <f t="shared" si="129"/>
        <v>17</v>
      </c>
      <c r="U175" s="44">
        <v>94.6</v>
      </c>
      <c r="V175" s="5">
        <f t="shared" si="147"/>
        <v>1000</v>
      </c>
      <c r="W175" s="4">
        <f t="shared" si="148"/>
        <v>94.40000000000002</v>
      </c>
      <c r="X175" s="14">
        <f t="shared" si="102"/>
        <v>1.0999999999999943</v>
      </c>
      <c r="Y175" s="5">
        <f t="shared" si="103"/>
        <v>374.40000000000236</v>
      </c>
      <c r="Z175" s="2">
        <f t="shared" si="104"/>
        <v>396.90000000000163</v>
      </c>
      <c r="AA175" s="4">
        <f t="shared" si="105"/>
        <v>18.699999999999903</v>
      </c>
      <c r="AB175" s="13">
        <f t="shared" si="106"/>
        <v>63.881062499999999</v>
      </c>
      <c r="AC175" s="10">
        <f>SUM($E$4:E175)</f>
        <v>-11876.101052723996</v>
      </c>
      <c r="AD175" s="20">
        <f>SUM($AB$4:AB175)</f>
        <v>8106.8510527239578</v>
      </c>
      <c r="AF175" s="28">
        <f t="shared" si="107"/>
        <v>18.79</v>
      </c>
      <c r="AG175" s="2">
        <f t="shared" si="108"/>
        <v>23.600000000000005</v>
      </c>
      <c r="AH175" s="2">
        <f t="shared" si="109"/>
        <v>6.1067499999999999</v>
      </c>
      <c r="AI175" s="2">
        <f t="shared" si="130"/>
        <v>24.896749999999997</v>
      </c>
      <c r="AJ175" s="2">
        <f t="shared" si="131"/>
        <v>3.7345124999999992</v>
      </c>
      <c r="AK175" s="2">
        <f t="shared" si="110"/>
        <v>0.37580000000000002</v>
      </c>
      <c r="AL175" s="2">
        <f t="shared" si="111"/>
        <v>11.274000000000001</v>
      </c>
      <c r="AM175" s="2">
        <f t="shared" si="132"/>
        <v>63.881062499999999</v>
      </c>
      <c r="AN175" s="2">
        <f t="shared" si="112"/>
        <v>120</v>
      </c>
      <c r="AO175" s="2">
        <f t="shared" si="113"/>
        <v>47.20000000000001</v>
      </c>
      <c r="AP175" s="2">
        <f t="shared" si="114"/>
        <v>99.587000000000003</v>
      </c>
      <c r="AQ175" s="2">
        <f t="shared" si="133"/>
        <v>219.58699999999999</v>
      </c>
      <c r="AR175" s="2">
        <f t="shared" si="134"/>
        <v>32.938049999999997</v>
      </c>
      <c r="AS175" s="2">
        <f t="shared" si="115"/>
        <v>0.37580000000000002</v>
      </c>
      <c r="AT175" s="2">
        <f t="shared" si="116"/>
        <v>11.274000000000001</v>
      </c>
      <c r="AU175" s="2">
        <f t="shared" si="135"/>
        <v>311.37485000000004</v>
      </c>
      <c r="AV175" s="2">
        <f t="shared" si="117"/>
        <v>18.79</v>
      </c>
      <c r="AW175" s="2">
        <f t="shared" si="118"/>
        <v>9.4400000000000031</v>
      </c>
      <c r="AX175" s="2">
        <f t="shared" si="119"/>
        <v>3.9459</v>
      </c>
      <c r="AY175" s="2">
        <f t="shared" si="136"/>
        <v>22.735900000000001</v>
      </c>
      <c r="AZ175" s="2">
        <f t="shared" si="137"/>
        <v>3.4103850000000002</v>
      </c>
      <c r="BA175" s="2">
        <f t="shared" si="120"/>
        <v>0.37580000000000002</v>
      </c>
      <c r="BB175" s="2">
        <f t="shared" si="121"/>
        <v>11.274000000000001</v>
      </c>
      <c r="BC175" s="2">
        <f t="shared" si="138"/>
        <v>47.236085000000003</v>
      </c>
      <c r="BD175" s="2">
        <v>0</v>
      </c>
      <c r="BE175" s="2">
        <f t="shared" si="122"/>
        <v>187.9</v>
      </c>
      <c r="BF175" s="2">
        <f t="shared" si="123"/>
        <v>6.1067499999999999</v>
      </c>
      <c r="BG175" s="2">
        <f t="shared" si="139"/>
        <v>6.1067499999999999</v>
      </c>
      <c r="BH175" s="2">
        <f t="shared" si="140"/>
        <v>0.9160124999999999</v>
      </c>
      <c r="BI175" s="2">
        <f t="shared" si="124"/>
        <v>0.37580000000000002</v>
      </c>
      <c r="BJ175" s="2">
        <f t="shared" si="125"/>
        <v>11.274000000000001</v>
      </c>
      <c r="BK175" s="2">
        <f t="shared" si="141"/>
        <v>206.5725625</v>
      </c>
      <c r="BL175" s="2">
        <f t="shared" si="126"/>
        <v>93500</v>
      </c>
      <c r="BM175" s="2">
        <f t="shared" si="127"/>
        <v>94400.000000000015</v>
      </c>
      <c r="BN175" s="2">
        <f t="shared" si="142"/>
        <v>187900</v>
      </c>
    </row>
    <row r="176" spans="1:66" x14ac:dyDescent="0.25">
      <c r="A176" s="42">
        <v>173</v>
      </c>
      <c r="B176" s="43">
        <v>42846</v>
      </c>
      <c r="C176" s="42" t="s">
        <v>50</v>
      </c>
      <c r="D176" s="42" t="s">
        <v>163</v>
      </c>
      <c r="E176" s="6">
        <f t="shared" si="128"/>
        <v>-64.040062499999991</v>
      </c>
      <c r="F176" s="5" t="str">
        <f t="shared" si="143"/>
        <v>Break Even</v>
      </c>
      <c r="G176" s="4">
        <f t="shared" si="144"/>
        <v>0</v>
      </c>
      <c r="H176" s="46">
        <v>1000</v>
      </c>
      <c r="I176" s="42">
        <v>94.35</v>
      </c>
      <c r="N176" s="5">
        <f t="shared" si="145"/>
        <v>1000</v>
      </c>
      <c r="O176" s="4">
        <f t="shared" si="146"/>
        <v>94.35</v>
      </c>
      <c r="P176" s="5">
        <f t="shared" si="101"/>
        <v>1000</v>
      </c>
      <c r="Q176" s="42">
        <v>94.35</v>
      </c>
      <c r="R176" s="2">
        <f t="shared" si="149"/>
        <v>0</v>
      </c>
      <c r="T176" s="2">
        <f t="shared" si="129"/>
        <v>0</v>
      </c>
      <c r="V176" s="5">
        <f t="shared" si="147"/>
        <v>1000</v>
      </c>
      <c r="W176" s="4">
        <f t="shared" si="148"/>
        <v>94.35</v>
      </c>
      <c r="X176" s="14">
        <f t="shared" si="102"/>
        <v>0</v>
      </c>
      <c r="Y176" s="5">
        <f t="shared" si="103"/>
        <v>0</v>
      </c>
      <c r="Z176" s="2">
        <f t="shared" si="104"/>
        <v>0</v>
      </c>
      <c r="AA176" s="4">
        <f t="shared" si="105"/>
        <v>0</v>
      </c>
      <c r="AB176" s="13">
        <f t="shared" si="106"/>
        <v>64.040062499999991</v>
      </c>
      <c r="AC176" s="10">
        <f>SUM($E$4:E176)</f>
        <v>-11940.141115223996</v>
      </c>
      <c r="AD176" s="20">
        <f>SUM($AB$4:AB176)</f>
        <v>8170.891115223958</v>
      </c>
      <c r="AF176" s="28">
        <f t="shared" si="107"/>
        <v>18.87</v>
      </c>
      <c r="AG176" s="2">
        <f t="shared" si="108"/>
        <v>23.587499999999999</v>
      </c>
      <c r="AH176" s="2">
        <f t="shared" si="109"/>
        <v>6.1327499999999997</v>
      </c>
      <c r="AI176" s="2">
        <f t="shared" si="130"/>
        <v>25.002749999999999</v>
      </c>
      <c r="AJ176" s="2">
        <f t="shared" si="131"/>
        <v>3.7504124999999995</v>
      </c>
      <c r="AK176" s="2">
        <f t="shared" si="110"/>
        <v>0.37740000000000001</v>
      </c>
      <c r="AL176" s="2">
        <f t="shared" si="111"/>
        <v>11.322000000000001</v>
      </c>
      <c r="AM176" s="2">
        <f t="shared" si="132"/>
        <v>64.040062499999991</v>
      </c>
      <c r="AN176" s="2">
        <f t="shared" si="112"/>
        <v>40</v>
      </c>
      <c r="AO176" s="2">
        <f t="shared" si="113"/>
        <v>47.174999999999997</v>
      </c>
      <c r="AP176" s="2">
        <f t="shared" si="114"/>
        <v>100.011</v>
      </c>
      <c r="AQ176" s="2">
        <f t="shared" si="133"/>
        <v>140.011</v>
      </c>
      <c r="AR176" s="2">
        <f t="shared" si="134"/>
        <v>21.001649999999998</v>
      </c>
      <c r="AS176" s="2">
        <f t="shared" si="115"/>
        <v>0.37740000000000001</v>
      </c>
      <c r="AT176" s="2">
        <f t="shared" si="116"/>
        <v>11.322000000000001</v>
      </c>
      <c r="AU176" s="2">
        <f t="shared" si="135"/>
        <v>219.88704999999996</v>
      </c>
      <c r="AV176" s="2">
        <f t="shared" si="117"/>
        <v>18.87</v>
      </c>
      <c r="AW176" s="2">
        <f t="shared" si="118"/>
        <v>9.4350000000000005</v>
      </c>
      <c r="AX176" s="2">
        <f t="shared" si="119"/>
        <v>3.9626999999999999</v>
      </c>
      <c r="AY176" s="2">
        <f t="shared" si="136"/>
        <v>22.832700000000003</v>
      </c>
      <c r="AZ176" s="2">
        <f t="shared" si="137"/>
        <v>3.4249050000000003</v>
      </c>
      <c r="BA176" s="2">
        <f t="shared" si="120"/>
        <v>0.37740000000000001</v>
      </c>
      <c r="BB176" s="2">
        <f t="shared" si="121"/>
        <v>11.322000000000001</v>
      </c>
      <c r="BC176" s="2">
        <f t="shared" si="138"/>
        <v>47.392005000000005</v>
      </c>
      <c r="BD176" s="2">
        <v>0</v>
      </c>
      <c r="BE176" s="2">
        <f t="shared" si="122"/>
        <v>188.70000000000002</v>
      </c>
      <c r="BF176" s="2">
        <f t="shared" si="123"/>
        <v>6.1327499999999997</v>
      </c>
      <c r="BG176" s="2">
        <f t="shared" si="139"/>
        <v>6.1327499999999997</v>
      </c>
      <c r="BH176" s="2">
        <f t="shared" si="140"/>
        <v>0.91991249999999991</v>
      </c>
      <c r="BI176" s="2">
        <f t="shared" si="124"/>
        <v>0.37740000000000001</v>
      </c>
      <c r="BJ176" s="2">
        <f t="shared" si="125"/>
        <v>11.322000000000001</v>
      </c>
      <c r="BK176" s="2">
        <f t="shared" si="141"/>
        <v>207.45206250000001</v>
      </c>
      <c r="BL176" s="2">
        <f t="shared" si="126"/>
        <v>94350</v>
      </c>
      <c r="BM176" s="2">
        <f t="shared" si="127"/>
        <v>94350</v>
      </c>
      <c r="BN176" s="2">
        <f t="shared" si="142"/>
        <v>188700</v>
      </c>
    </row>
    <row r="177" spans="1:66" x14ac:dyDescent="0.25">
      <c r="A177" s="42">
        <v>174</v>
      </c>
      <c r="B177" s="43">
        <v>42846</v>
      </c>
      <c r="C177" s="42" t="s">
        <v>50</v>
      </c>
      <c r="D177" s="42" t="s">
        <v>163</v>
      </c>
      <c r="E177" s="6">
        <f t="shared" si="128"/>
        <v>136.30825000000283</v>
      </c>
      <c r="F177" s="5" t="str">
        <f t="shared" si="143"/>
        <v>Win</v>
      </c>
      <c r="G177" s="4">
        <f t="shared" si="144"/>
        <v>200.00000000000284</v>
      </c>
      <c r="H177" s="46">
        <v>1000</v>
      </c>
      <c r="I177" s="42">
        <v>93.7</v>
      </c>
      <c r="N177" s="5">
        <f t="shared" si="145"/>
        <v>1000</v>
      </c>
      <c r="O177" s="4">
        <f t="shared" si="146"/>
        <v>93.7</v>
      </c>
      <c r="P177" s="5">
        <f t="shared" si="101"/>
        <v>1000</v>
      </c>
      <c r="Q177" s="42">
        <v>93.9</v>
      </c>
      <c r="R177" s="2">
        <f t="shared" si="149"/>
        <v>0</v>
      </c>
      <c r="T177" s="2">
        <f t="shared" si="129"/>
        <v>0</v>
      </c>
      <c r="V177" s="5">
        <f t="shared" si="147"/>
        <v>1000</v>
      </c>
      <c r="W177" s="4">
        <f t="shared" si="148"/>
        <v>93.9</v>
      </c>
      <c r="X177" s="14">
        <f t="shared" si="102"/>
        <v>0.20000000000000284</v>
      </c>
      <c r="Y177" s="5">
        <f t="shared" si="103"/>
        <v>200.00000000000284</v>
      </c>
      <c r="Z177" s="2">
        <f t="shared" si="104"/>
        <v>0</v>
      </c>
      <c r="AA177" s="4">
        <f t="shared" si="105"/>
        <v>0</v>
      </c>
      <c r="AB177" s="13">
        <f t="shared" si="106"/>
        <v>63.691749999999999</v>
      </c>
      <c r="AC177" s="10">
        <f>SUM($E$4:E177)</f>
        <v>-11803.832865223992</v>
      </c>
      <c r="AD177" s="20">
        <f>SUM($AB$4:AB177)</f>
        <v>8234.5828652239579</v>
      </c>
      <c r="AF177" s="28">
        <f t="shared" si="107"/>
        <v>18.760000000000002</v>
      </c>
      <c r="AG177" s="2">
        <f t="shared" si="108"/>
        <v>23.475000000000001</v>
      </c>
      <c r="AH177" s="2">
        <f t="shared" si="109"/>
        <v>6.0969999999999995</v>
      </c>
      <c r="AI177" s="2">
        <f t="shared" si="130"/>
        <v>24.856999999999999</v>
      </c>
      <c r="AJ177" s="2">
        <f t="shared" si="131"/>
        <v>3.7285499999999998</v>
      </c>
      <c r="AK177" s="2">
        <f t="shared" si="110"/>
        <v>0.37519999999999998</v>
      </c>
      <c r="AL177" s="2">
        <f t="shared" si="111"/>
        <v>11.256</v>
      </c>
      <c r="AM177" s="2">
        <f t="shared" si="132"/>
        <v>63.691749999999999</v>
      </c>
      <c r="AN177" s="2">
        <f t="shared" si="112"/>
        <v>40</v>
      </c>
      <c r="AO177" s="2">
        <f t="shared" si="113"/>
        <v>46.95</v>
      </c>
      <c r="AP177" s="2">
        <f t="shared" si="114"/>
        <v>99.427999999999997</v>
      </c>
      <c r="AQ177" s="2">
        <f t="shared" si="133"/>
        <v>139.428</v>
      </c>
      <c r="AR177" s="2">
        <f t="shared" si="134"/>
        <v>20.914199999999997</v>
      </c>
      <c r="AS177" s="2">
        <f t="shared" si="115"/>
        <v>0.37519999999999998</v>
      </c>
      <c r="AT177" s="2">
        <f t="shared" si="116"/>
        <v>11.256</v>
      </c>
      <c r="AU177" s="2">
        <f t="shared" si="135"/>
        <v>218.92339999999999</v>
      </c>
      <c r="AV177" s="2">
        <f t="shared" si="117"/>
        <v>18.760000000000002</v>
      </c>
      <c r="AW177" s="2">
        <f t="shared" si="118"/>
        <v>9.39</v>
      </c>
      <c r="AX177" s="2">
        <f t="shared" si="119"/>
        <v>3.9396</v>
      </c>
      <c r="AY177" s="2">
        <f t="shared" si="136"/>
        <v>22.6996</v>
      </c>
      <c r="AZ177" s="2">
        <f t="shared" si="137"/>
        <v>3.4049399999999999</v>
      </c>
      <c r="BA177" s="2">
        <f t="shared" si="120"/>
        <v>0.37519999999999998</v>
      </c>
      <c r="BB177" s="2">
        <f t="shared" si="121"/>
        <v>11.256</v>
      </c>
      <c r="BC177" s="2">
        <f t="shared" si="138"/>
        <v>47.12574</v>
      </c>
      <c r="BD177" s="2">
        <v>0</v>
      </c>
      <c r="BE177" s="2">
        <f t="shared" si="122"/>
        <v>187.6</v>
      </c>
      <c r="BF177" s="2">
        <f t="shared" si="123"/>
        <v>6.0969999999999995</v>
      </c>
      <c r="BG177" s="2">
        <f t="shared" si="139"/>
        <v>6.0969999999999995</v>
      </c>
      <c r="BH177" s="2">
        <f t="shared" si="140"/>
        <v>0.91454999999999986</v>
      </c>
      <c r="BI177" s="2">
        <f t="shared" si="124"/>
        <v>0.37519999999999998</v>
      </c>
      <c r="BJ177" s="2">
        <f t="shared" si="125"/>
        <v>11.256</v>
      </c>
      <c r="BK177" s="2">
        <f t="shared" si="141"/>
        <v>206.24275</v>
      </c>
      <c r="BL177" s="2">
        <f t="shared" si="126"/>
        <v>93700</v>
      </c>
      <c r="BM177" s="2">
        <f t="shared" si="127"/>
        <v>93900</v>
      </c>
      <c r="BN177" s="2">
        <f t="shared" si="142"/>
        <v>187600</v>
      </c>
    </row>
    <row r="178" spans="1:66" x14ac:dyDescent="0.25">
      <c r="A178" s="42">
        <v>175</v>
      </c>
      <c r="B178" s="43">
        <v>42846</v>
      </c>
      <c r="C178" s="42" t="s">
        <v>50</v>
      </c>
      <c r="D178" s="42" t="s">
        <v>163</v>
      </c>
      <c r="E178" s="6">
        <f t="shared" si="128"/>
        <v>21.884156249991463</v>
      </c>
      <c r="F178" s="5" t="str">
        <f t="shared" si="143"/>
        <v>Win</v>
      </c>
      <c r="G178" s="4">
        <f t="shared" si="144"/>
        <v>149.99999999999147</v>
      </c>
      <c r="H178" s="46">
        <v>1000</v>
      </c>
      <c r="I178" s="42">
        <v>94.15</v>
      </c>
      <c r="J178" s="42">
        <v>1000</v>
      </c>
      <c r="K178" s="42">
        <v>94.5</v>
      </c>
      <c r="N178" s="5">
        <f t="shared" si="145"/>
        <v>2000</v>
      </c>
      <c r="O178" s="4">
        <f t="shared" si="146"/>
        <v>94.325000000000003</v>
      </c>
      <c r="P178" s="5">
        <f t="shared" si="101"/>
        <v>1000</v>
      </c>
      <c r="Q178" s="42">
        <v>94.45</v>
      </c>
      <c r="R178" s="2">
        <f t="shared" si="149"/>
        <v>1000</v>
      </c>
      <c r="S178" s="42">
        <v>94.35</v>
      </c>
      <c r="T178" s="2">
        <f t="shared" si="129"/>
        <v>0</v>
      </c>
      <c r="V178" s="5">
        <f t="shared" si="147"/>
        <v>2000</v>
      </c>
      <c r="W178" s="4">
        <f t="shared" si="148"/>
        <v>94.4</v>
      </c>
      <c r="X178" s="14">
        <f t="shared" si="102"/>
        <v>0.29999999999999716</v>
      </c>
      <c r="Y178" s="5">
        <f t="shared" si="103"/>
        <v>299.99999999999716</v>
      </c>
      <c r="Z178" s="2">
        <f t="shared" si="104"/>
        <v>-150.00000000000568</v>
      </c>
      <c r="AA178" s="4">
        <f t="shared" si="105"/>
        <v>0</v>
      </c>
      <c r="AB178" s="13">
        <f t="shared" si="106"/>
        <v>128.11584375000001</v>
      </c>
      <c r="AC178" s="10">
        <f>SUM($E$4:E178)</f>
        <v>-11781.948708974001</v>
      </c>
      <c r="AD178" s="20">
        <f>SUM($AB$4:AB178)</f>
        <v>8362.6987089739578</v>
      </c>
      <c r="AF178" s="28">
        <f t="shared" si="107"/>
        <v>37.745000000000005</v>
      </c>
      <c r="AG178" s="2">
        <f t="shared" si="108"/>
        <v>47.2</v>
      </c>
      <c r="AH178" s="2">
        <f t="shared" si="109"/>
        <v>12.267124999999998</v>
      </c>
      <c r="AI178" s="2">
        <f t="shared" si="130"/>
        <v>50.012125000000005</v>
      </c>
      <c r="AJ178" s="2">
        <f t="shared" si="131"/>
        <v>7.50181875</v>
      </c>
      <c r="AK178" s="2">
        <f t="shared" si="110"/>
        <v>0.75490000000000002</v>
      </c>
      <c r="AL178" s="2">
        <f t="shared" si="111"/>
        <v>22.647000000000002</v>
      </c>
      <c r="AM178" s="2">
        <f t="shared" si="132"/>
        <v>128.11584375000001</v>
      </c>
      <c r="AN178" s="2">
        <f t="shared" si="112"/>
        <v>80</v>
      </c>
      <c r="AO178" s="2">
        <f t="shared" si="113"/>
        <v>94.4</v>
      </c>
      <c r="AP178" s="2">
        <f t="shared" si="114"/>
        <v>200.04849999999999</v>
      </c>
      <c r="AQ178" s="2">
        <f t="shared" si="133"/>
        <v>280.04849999999999</v>
      </c>
      <c r="AR178" s="2">
        <f t="shared" si="134"/>
        <v>42.007275</v>
      </c>
      <c r="AS178" s="2">
        <f t="shared" si="115"/>
        <v>0.75490000000000002</v>
      </c>
      <c r="AT178" s="2">
        <f t="shared" si="116"/>
        <v>22.647000000000002</v>
      </c>
      <c r="AU178" s="2">
        <f t="shared" si="135"/>
        <v>439.85767499999997</v>
      </c>
      <c r="AV178" s="2">
        <f t="shared" si="117"/>
        <v>37.745000000000005</v>
      </c>
      <c r="AW178" s="2">
        <f t="shared" si="118"/>
        <v>18.880000000000003</v>
      </c>
      <c r="AX178" s="2">
        <f t="shared" si="119"/>
        <v>7.92645</v>
      </c>
      <c r="AY178" s="2">
        <f t="shared" si="136"/>
        <v>45.671450000000007</v>
      </c>
      <c r="AZ178" s="2">
        <f t="shared" si="137"/>
        <v>6.8507175000000009</v>
      </c>
      <c r="BA178" s="2">
        <f t="shared" si="120"/>
        <v>0.75490000000000002</v>
      </c>
      <c r="BB178" s="2">
        <f t="shared" si="121"/>
        <v>22.647000000000002</v>
      </c>
      <c r="BC178" s="2">
        <f t="shared" si="138"/>
        <v>94.804067500000016</v>
      </c>
      <c r="BD178" s="2">
        <v>0</v>
      </c>
      <c r="BE178" s="2">
        <f t="shared" si="122"/>
        <v>377.45</v>
      </c>
      <c r="BF178" s="2">
        <f t="shared" si="123"/>
        <v>12.267124999999998</v>
      </c>
      <c r="BG178" s="2">
        <f t="shared" si="139"/>
        <v>12.267124999999998</v>
      </c>
      <c r="BH178" s="2">
        <f t="shared" si="140"/>
        <v>1.8400687499999997</v>
      </c>
      <c r="BI178" s="2">
        <f t="shared" si="124"/>
        <v>0.75490000000000002</v>
      </c>
      <c r="BJ178" s="2">
        <f t="shared" si="125"/>
        <v>22.647000000000002</v>
      </c>
      <c r="BK178" s="2">
        <f t="shared" si="141"/>
        <v>414.95909375000002</v>
      </c>
      <c r="BL178" s="2">
        <f t="shared" si="126"/>
        <v>188650</v>
      </c>
      <c r="BM178" s="2">
        <f t="shared" si="127"/>
        <v>188800</v>
      </c>
      <c r="BN178" s="2">
        <f t="shared" si="142"/>
        <v>377450</v>
      </c>
    </row>
    <row r="179" spans="1:66" x14ac:dyDescent="0.25">
      <c r="A179" s="42">
        <v>176</v>
      </c>
      <c r="B179" s="43">
        <v>42846</v>
      </c>
      <c r="C179" s="42" t="s">
        <v>50</v>
      </c>
      <c r="D179" s="42" t="s">
        <v>163</v>
      </c>
      <c r="E179" s="6">
        <f t="shared" si="128"/>
        <v>-263.70962500000286</v>
      </c>
      <c r="F179" s="5" t="str">
        <f t="shared" si="143"/>
        <v>Loss</v>
      </c>
      <c r="G179" s="4">
        <f t="shared" si="144"/>
        <v>-200.00000000000284</v>
      </c>
      <c r="H179" s="46">
        <v>1000</v>
      </c>
      <c r="I179" s="42">
        <v>94</v>
      </c>
      <c r="N179" s="5">
        <f t="shared" si="145"/>
        <v>1000</v>
      </c>
      <c r="O179" s="4">
        <f t="shared" si="146"/>
        <v>94</v>
      </c>
      <c r="P179" s="5">
        <f t="shared" si="101"/>
        <v>1000</v>
      </c>
      <c r="Q179" s="42">
        <v>93.8</v>
      </c>
      <c r="R179" s="2">
        <f t="shared" si="149"/>
        <v>0</v>
      </c>
      <c r="T179" s="2">
        <f t="shared" si="129"/>
        <v>0</v>
      </c>
      <c r="V179" s="5">
        <f t="shared" si="147"/>
        <v>1000</v>
      </c>
      <c r="W179" s="4">
        <f t="shared" si="148"/>
        <v>93.8</v>
      </c>
      <c r="X179" s="14">
        <f t="shared" si="102"/>
        <v>-0.20000000000000284</v>
      </c>
      <c r="Y179" s="5">
        <f t="shared" si="103"/>
        <v>-200.00000000000284</v>
      </c>
      <c r="Z179" s="2">
        <f t="shared" si="104"/>
        <v>0</v>
      </c>
      <c r="AA179" s="4">
        <f t="shared" si="105"/>
        <v>0</v>
      </c>
      <c r="AB179" s="13">
        <f t="shared" si="106"/>
        <v>63.709625000000003</v>
      </c>
      <c r="AC179" s="10">
        <f>SUM($E$4:E179)</f>
        <v>-12045.658333974005</v>
      </c>
      <c r="AD179" s="20">
        <f>SUM($AB$4:AB179)</f>
        <v>8426.4083339739573</v>
      </c>
      <c r="AF179" s="28">
        <f t="shared" si="107"/>
        <v>18.78</v>
      </c>
      <c r="AG179" s="2">
        <f t="shared" si="108"/>
        <v>23.45</v>
      </c>
      <c r="AH179" s="2">
        <f t="shared" si="109"/>
        <v>6.1034999999999995</v>
      </c>
      <c r="AI179" s="2">
        <f t="shared" si="130"/>
        <v>24.883500000000002</v>
      </c>
      <c r="AJ179" s="2">
        <f t="shared" si="131"/>
        <v>3.7325249999999999</v>
      </c>
      <c r="AK179" s="2">
        <f t="shared" si="110"/>
        <v>0.37560000000000004</v>
      </c>
      <c r="AL179" s="2">
        <f t="shared" si="111"/>
        <v>11.268000000000001</v>
      </c>
      <c r="AM179" s="2">
        <f t="shared" si="132"/>
        <v>63.709625000000003</v>
      </c>
      <c r="AN179" s="2">
        <f t="shared" si="112"/>
        <v>40</v>
      </c>
      <c r="AO179" s="2">
        <f t="shared" si="113"/>
        <v>46.9</v>
      </c>
      <c r="AP179" s="2">
        <f t="shared" si="114"/>
        <v>99.533999999999992</v>
      </c>
      <c r="AQ179" s="2">
        <f t="shared" si="133"/>
        <v>139.53399999999999</v>
      </c>
      <c r="AR179" s="2">
        <f t="shared" si="134"/>
        <v>20.930099999999999</v>
      </c>
      <c r="AS179" s="2">
        <f t="shared" si="115"/>
        <v>0.37560000000000004</v>
      </c>
      <c r="AT179" s="2">
        <f t="shared" si="116"/>
        <v>11.268000000000001</v>
      </c>
      <c r="AU179" s="2">
        <f t="shared" si="135"/>
        <v>219.0077</v>
      </c>
      <c r="AV179" s="2">
        <f t="shared" si="117"/>
        <v>18.78</v>
      </c>
      <c r="AW179" s="2">
        <f t="shared" si="118"/>
        <v>9.3800000000000008</v>
      </c>
      <c r="AX179" s="2">
        <f t="shared" si="119"/>
        <v>3.9438</v>
      </c>
      <c r="AY179" s="2">
        <f t="shared" si="136"/>
        <v>22.723800000000001</v>
      </c>
      <c r="AZ179" s="2">
        <f t="shared" si="137"/>
        <v>3.4085700000000001</v>
      </c>
      <c r="BA179" s="2">
        <f t="shared" si="120"/>
        <v>0.37560000000000004</v>
      </c>
      <c r="BB179" s="2">
        <f t="shared" si="121"/>
        <v>11.268000000000001</v>
      </c>
      <c r="BC179" s="2">
        <f t="shared" si="138"/>
        <v>47.155970000000003</v>
      </c>
      <c r="BD179" s="2">
        <v>0</v>
      </c>
      <c r="BE179" s="2">
        <f t="shared" si="122"/>
        <v>187.8</v>
      </c>
      <c r="BF179" s="2">
        <f t="shared" si="123"/>
        <v>6.1034999999999995</v>
      </c>
      <c r="BG179" s="2">
        <f t="shared" si="139"/>
        <v>6.1034999999999995</v>
      </c>
      <c r="BH179" s="2">
        <f t="shared" si="140"/>
        <v>0.91552499999999992</v>
      </c>
      <c r="BI179" s="2">
        <f t="shared" si="124"/>
        <v>0.37560000000000004</v>
      </c>
      <c r="BJ179" s="2">
        <f t="shared" si="125"/>
        <v>11.268000000000001</v>
      </c>
      <c r="BK179" s="2">
        <f t="shared" si="141"/>
        <v>206.462625</v>
      </c>
      <c r="BL179" s="2">
        <f t="shared" si="126"/>
        <v>94000</v>
      </c>
      <c r="BM179" s="2">
        <f t="shared" si="127"/>
        <v>93800</v>
      </c>
      <c r="BN179" s="2">
        <f t="shared" si="142"/>
        <v>187800</v>
      </c>
    </row>
    <row r="180" spans="1:66" x14ac:dyDescent="0.25">
      <c r="A180" s="42">
        <v>177</v>
      </c>
      <c r="B180" s="43">
        <v>42846</v>
      </c>
      <c r="C180" s="42" t="s">
        <v>50</v>
      </c>
      <c r="D180" s="42" t="s">
        <v>163</v>
      </c>
      <c r="E180" s="6">
        <f t="shared" si="128"/>
        <v>-1192.9454375</v>
      </c>
      <c r="F180" s="5" t="str">
        <f t="shared" si="143"/>
        <v>Loss</v>
      </c>
      <c r="G180" s="4">
        <f t="shared" si="144"/>
        <v>-1000</v>
      </c>
      <c r="H180" s="46">
        <v>1000</v>
      </c>
      <c r="I180" s="42">
        <v>95.2</v>
      </c>
      <c r="J180" s="42">
        <v>1000</v>
      </c>
      <c r="K180" s="42">
        <v>95.65</v>
      </c>
      <c r="L180" s="42">
        <v>1000</v>
      </c>
      <c r="M180" s="44">
        <v>94.1</v>
      </c>
      <c r="N180" s="5">
        <f t="shared" si="145"/>
        <v>3000</v>
      </c>
      <c r="O180" s="4">
        <f t="shared" si="146"/>
        <v>94.983333333333334</v>
      </c>
      <c r="P180" s="5">
        <f t="shared" si="101"/>
        <v>1000</v>
      </c>
      <c r="Q180" s="42">
        <v>95.35</v>
      </c>
      <c r="R180" s="2">
        <f t="shared" si="149"/>
        <v>1000</v>
      </c>
      <c r="S180" s="42">
        <v>94.7</v>
      </c>
      <c r="T180" s="2">
        <f t="shared" si="129"/>
        <v>1000</v>
      </c>
      <c r="U180" s="44">
        <v>93.9</v>
      </c>
      <c r="V180" s="5">
        <f t="shared" si="147"/>
        <v>3000</v>
      </c>
      <c r="W180" s="4">
        <f t="shared" si="148"/>
        <v>94.65000000000002</v>
      </c>
      <c r="X180" s="14">
        <f t="shared" si="102"/>
        <v>1.25</v>
      </c>
      <c r="Y180" s="5">
        <f t="shared" si="103"/>
        <v>149.99999999999147</v>
      </c>
      <c r="Z180" s="2">
        <f t="shared" si="104"/>
        <v>-950.00000000000284</v>
      </c>
      <c r="AA180" s="4">
        <f t="shared" si="105"/>
        <v>-199.99999999998863</v>
      </c>
      <c r="AB180" s="13">
        <f t="shared" si="106"/>
        <v>192.94543750000003</v>
      </c>
      <c r="AC180" s="10">
        <f>SUM($E$4:E180)</f>
        <v>-13238.603771474005</v>
      </c>
      <c r="AD180" s="20">
        <f>SUM($AB$4:AB180)</f>
        <v>8619.3537714739577</v>
      </c>
      <c r="AF180" s="28">
        <f t="shared" si="107"/>
        <v>56.89</v>
      </c>
      <c r="AG180" s="2">
        <f t="shared" si="108"/>
        <v>70.987500000000011</v>
      </c>
      <c r="AH180" s="2">
        <f t="shared" si="109"/>
        <v>18.489249999999998</v>
      </c>
      <c r="AI180" s="2">
        <f t="shared" si="130"/>
        <v>75.379249999999999</v>
      </c>
      <c r="AJ180" s="2">
        <f t="shared" si="131"/>
        <v>11.3068875</v>
      </c>
      <c r="AK180" s="2">
        <f t="shared" si="110"/>
        <v>1.1378000000000001</v>
      </c>
      <c r="AL180" s="2">
        <f t="shared" si="111"/>
        <v>34.134</v>
      </c>
      <c r="AM180" s="2">
        <f t="shared" si="132"/>
        <v>192.94543750000003</v>
      </c>
      <c r="AN180" s="2">
        <f t="shared" si="112"/>
        <v>120</v>
      </c>
      <c r="AO180" s="2">
        <f t="shared" si="113"/>
        <v>141.97500000000002</v>
      </c>
      <c r="AP180" s="2">
        <f t="shared" si="114"/>
        <v>301.517</v>
      </c>
      <c r="AQ180" s="2">
        <f t="shared" si="133"/>
        <v>421.517</v>
      </c>
      <c r="AR180" s="2">
        <f t="shared" si="134"/>
        <v>63.227549999999994</v>
      </c>
      <c r="AS180" s="2">
        <f t="shared" si="115"/>
        <v>1.1378000000000001</v>
      </c>
      <c r="AT180" s="2">
        <f t="shared" si="116"/>
        <v>34.134</v>
      </c>
      <c r="AU180" s="2">
        <f t="shared" si="135"/>
        <v>661.9913499999999</v>
      </c>
      <c r="AV180" s="2">
        <f t="shared" si="117"/>
        <v>56.89</v>
      </c>
      <c r="AW180" s="2">
        <f t="shared" si="118"/>
        <v>28.395000000000007</v>
      </c>
      <c r="AX180" s="2">
        <f t="shared" si="119"/>
        <v>11.946899999999999</v>
      </c>
      <c r="AY180" s="2">
        <f t="shared" si="136"/>
        <v>68.8369</v>
      </c>
      <c r="AZ180" s="2">
        <f t="shared" si="137"/>
        <v>10.325535</v>
      </c>
      <c r="BA180" s="2">
        <f t="shared" si="120"/>
        <v>1.1378000000000001</v>
      </c>
      <c r="BB180" s="2">
        <f t="shared" si="121"/>
        <v>34.134</v>
      </c>
      <c r="BC180" s="2">
        <f t="shared" si="138"/>
        <v>142.82923500000001</v>
      </c>
      <c r="BD180" s="2">
        <v>0</v>
      </c>
      <c r="BE180" s="2">
        <f t="shared" si="122"/>
        <v>568.9</v>
      </c>
      <c r="BF180" s="2">
        <f t="shared" si="123"/>
        <v>18.489249999999998</v>
      </c>
      <c r="BG180" s="2">
        <f t="shared" si="139"/>
        <v>18.489249999999998</v>
      </c>
      <c r="BH180" s="2">
        <f t="shared" si="140"/>
        <v>2.7733874999999997</v>
      </c>
      <c r="BI180" s="2">
        <f t="shared" si="124"/>
        <v>1.1378000000000001</v>
      </c>
      <c r="BJ180" s="2">
        <f t="shared" si="125"/>
        <v>34.134</v>
      </c>
      <c r="BK180" s="2">
        <f t="shared" si="141"/>
        <v>625.43443749999994</v>
      </c>
      <c r="BL180" s="2">
        <f t="shared" si="126"/>
        <v>284950</v>
      </c>
      <c r="BM180" s="2">
        <f t="shared" si="127"/>
        <v>283950.00000000006</v>
      </c>
      <c r="BN180" s="2">
        <f t="shared" si="142"/>
        <v>568900</v>
      </c>
    </row>
    <row r="181" spans="1:66" x14ac:dyDescent="0.25">
      <c r="A181" s="42">
        <v>178</v>
      </c>
      <c r="B181" s="43">
        <v>42846</v>
      </c>
      <c r="C181" s="42" t="s">
        <v>50</v>
      </c>
      <c r="D181" s="42" t="s">
        <v>163</v>
      </c>
      <c r="E181" s="6">
        <f t="shared" si="128"/>
        <v>-13.893593749988632</v>
      </c>
      <c r="F181" s="5" t="str">
        <f t="shared" si="143"/>
        <v>Win</v>
      </c>
      <c r="G181" s="4">
        <f t="shared" si="144"/>
        <v>50.000000000011369</v>
      </c>
      <c r="H181" s="46">
        <v>1000</v>
      </c>
      <c r="I181" s="42">
        <v>94.1</v>
      </c>
      <c r="N181" s="5">
        <f t="shared" si="145"/>
        <v>1000</v>
      </c>
      <c r="O181" s="4">
        <f t="shared" si="146"/>
        <v>94.1</v>
      </c>
      <c r="P181" s="5">
        <f t="shared" si="101"/>
        <v>1000</v>
      </c>
      <c r="Q181" s="42">
        <v>94.15</v>
      </c>
      <c r="R181" s="2">
        <f t="shared" si="149"/>
        <v>0</v>
      </c>
      <c r="T181" s="2">
        <f t="shared" si="129"/>
        <v>0</v>
      </c>
      <c r="V181" s="5">
        <f t="shared" si="147"/>
        <v>1000</v>
      </c>
      <c r="W181" s="4">
        <f t="shared" si="148"/>
        <v>94.15</v>
      </c>
      <c r="X181" s="14">
        <f t="shared" si="102"/>
        <v>5.0000000000011369E-2</v>
      </c>
      <c r="Y181" s="5">
        <f t="shared" si="103"/>
        <v>50.000000000011369</v>
      </c>
      <c r="Z181" s="2">
        <f t="shared" si="104"/>
        <v>0</v>
      </c>
      <c r="AA181" s="4">
        <f t="shared" si="105"/>
        <v>0</v>
      </c>
      <c r="AB181" s="13">
        <f t="shared" si="106"/>
        <v>63.893593750000001</v>
      </c>
      <c r="AC181" s="10">
        <f>SUM($E$4:E181)</f>
        <v>-13252.497365223993</v>
      </c>
      <c r="AD181" s="20">
        <f>SUM($AB$4:AB181)</f>
        <v>8683.2473652239569</v>
      </c>
      <c r="AF181" s="28">
        <f t="shared" si="107"/>
        <v>18.824999999999999</v>
      </c>
      <c r="AG181" s="2">
        <f t="shared" si="108"/>
        <v>23.537500000000001</v>
      </c>
      <c r="AH181" s="2">
        <f t="shared" si="109"/>
        <v>6.1181249999999991</v>
      </c>
      <c r="AI181" s="2">
        <f t="shared" si="130"/>
        <v>24.943124999999998</v>
      </c>
      <c r="AJ181" s="2">
        <f t="shared" si="131"/>
        <v>3.7414687499999997</v>
      </c>
      <c r="AK181" s="2">
        <f t="shared" si="110"/>
        <v>0.37650000000000006</v>
      </c>
      <c r="AL181" s="2">
        <f t="shared" si="111"/>
        <v>11.295</v>
      </c>
      <c r="AM181" s="2">
        <f t="shared" si="132"/>
        <v>63.893593750000001</v>
      </c>
      <c r="AN181" s="2">
        <f t="shared" si="112"/>
        <v>40</v>
      </c>
      <c r="AO181" s="2">
        <f t="shared" si="113"/>
        <v>47.075000000000003</v>
      </c>
      <c r="AP181" s="2">
        <f t="shared" si="114"/>
        <v>99.772499999999994</v>
      </c>
      <c r="AQ181" s="2">
        <f t="shared" si="133"/>
        <v>139.77249999999998</v>
      </c>
      <c r="AR181" s="2">
        <f t="shared" si="134"/>
        <v>20.965874999999997</v>
      </c>
      <c r="AS181" s="2">
        <f t="shared" si="115"/>
        <v>0.37650000000000006</v>
      </c>
      <c r="AT181" s="2">
        <f t="shared" si="116"/>
        <v>11.295</v>
      </c>
      <c r="AU181" s="2">
        <f t="shared" si="135"/>
        <v>219.48487499999999</v>
      </c>
      <c r="AV181" s="2">
        <f t="shared" si="117"/>
        <v>18.824999999999999</v>
      </c>
      <c r="AW181" s="2">
        <f t="shared" si="118"/>
        <v>9.4150000000000009</v>
      </c>
      <c r="AX181" s="2">
        <f t="shared" si="119"/>
        <v>3.9532499999999997</v>
      </c>
      <c r="AY181" s="2">
        <f t="shared" si="136"/>
        <v>22.77825</v>
      </c>
      <c r="AZ181" s="2">
        <f t="shared" si="137"/>
        <v>3.4167375</v>
      </c>
      <c r="BA181" s="2">
        <f t="shared" si="120"/>
        <v>0.37650000000000006</v>
      </c>
      <c r="BB181" s="2">
        <f t="shared" si="121"/>
        <v>11.295</v>
      </c>
      <c r="BC181" s="2">
        <f t="shared" si="138"/>
        <v>47.281487500000004</v>
      </c>
      <c r="BD181" s="2">
        <v>0</v>
      </c>
      <c r="BE181" s="2">
        <f t="shared" si="122"/>
        <v>188.25</v>
      </c>
      <c r="BF181" s="2">
        <f t="shared" si="123"/>
        <v>6.1181249999999991</v>
      </c>
      <c r="BG181" s="2">
        <f t="shared" si="139"/>
        <v>6.1181249999999991</v>
      </c>
      <c r="BH181" s="2">
        <f t="shared" si="140"/>
        <v>0.91771874999999981</v>
      </c>
      <c r="BI181" s="2">
        <f t="shared" si="124"/>
        <v>0.37650000000000006</v>
      </c>
      <c r="BJ181" s="2">
        <f t="shared" si="125"/>
        <v>11.295</v>
      </c>
      <c r="BK181" s="2">
        <f t="shared" si="141"/>
        <v>206.95734374999998</v>
      </c>
      <c r="BL181" s="2">
        <f t="shared" si="126"/>
        <v>94100</v>
      </c>
      <c r="BM181" s="2">
        <f t="shared" si="127"/>
        <v>94150</v>
      </c>
      <c r="BN181" s="2">
        <f t="shared" si="142"/>
        <v>188250</v>
      </c>
    </row>
    <row r="182" spans="1:66" x14ac:dyDescent="0.25">
      <c r="A182" s="42">
        <v>179</v>
      </c>
      <c r="B182" s="43">
        <v>42846</v>
      </c>
      <c r="C182" s="42" t="s">
        <v>50</v>
      </c>
      <c r="D182" s="42" t="s">
        <v>163</v>
      </c>
      <c r="E182" s="6">
        <f t="shared" si="128"/>
        <v>-226.98162499999432</v>
      </c>
      <c r="F182" s="5" t="str">
        <f t="shared" si="143"/>
        <v>Loss</v>
      </c>
      <c r="G182" s="4">
        <f t="shared" si="144"/>
        <v>-99.999999999994316</v>
      </c>
      <c r="H182" s="46">
        <v>1000</v>
      </c>
      <c r="I182" s="42">
        <v>93.85</v>
      </c>
      <c r="J182" s="42">
        <v>1000</v>
      </c>
      <c r="K182" s="42">
        <v>93.3</v>
      </c>
      <c r="N182" s="5">
        <f t="shared" si="145"/>
        <v>2000</v>
      </c>
      <c r="O182" s="4">
        <f t="shared" si="146"/>
        <v>93.574999999999989</v>
      </c>
      <c r="P182" s="5">
        <f t="shared" si="101"/>
        <v>1000</v>
      </c>
      <c r="Q182" s="42">
        <v>94.05</v>
      </c>
      <c r="R182" s="2">
        <f t="shared" si="149"/>
        <v>1000</v>
      </c>
      <c r="S182" s="42">
        <v>93</v>
      </c>
      <c r="T182" s="2">
        <f t="shared" si="129"/>
        <v>0</v>
      </c>
      <c r="V182" s="5">
        <f t="shared" si="147"/>
        <v>2000</v>
      </c>
      <c r="W182" s="4">
        <f t="shared" si="148"/>
        <v>93.525000000000006</v>
      </c>
      <c r="X182" s="14">
        <f t="shared" si="102"/>
        <v>0.75</v>
      </c>
      <c r="Y182" s="5">
        <f t="shared" si="103"/>
        <v>200.00000000000284</v>
      </c>
      <c r="Z182" s="2">
        <f t="shared" si="104"/>
        <v>-299.99999999999716</v>
      </c>
      <c r="AA182" s="4">
        <f t="shared" si="105"/>
        <v>0</v>
      </c>
      <c r="AB182" s="13">
        <f t="shared" si="106"/>
        <v>126.98162500000001</v>
      </c>
      <c r="AC182" s="10">
        <f>SUM($E$4:E182)</f>
        <v>-13479.478990223988</v>
      </c>
      <c r="AD182" s="20">
        <f>SUM($AB$4:AB182)</f>
        <v>8810.2289902239572</v>
      </c>
      <c r="AF182" s="28">
        <f t="shared" si="107"/>
        <v>37.42</v>
      </c>
      <c r="AG182" s="2">
        <f t="shared" si="108"/>
        <v>46.762500000000003</v>
      </c>
      <c r="AH182" s="2">
        <f t="shared" si="109"/>
        <v>12.161499999999998</v>
      </c>
      <c r="AI182" s="2">
        <f t="shared" si="130"/>
        <v>49.581499999999998</v>
      </c>
      <c r="AJ182" s="2">
        <f t="shared" si="131"/>
        <v>7.4372249999999998</v>
      </c>
      <c r="AK182" s="2">
        <f t="shared" si="110"/>
        <v>0.74840000000000007</v>
      </c>
      <c r="AL182" s="2">
        <f t="shared" si="111"/>
        <v>22.452000000000002</v>
      </c>
      <c r="AM182" s="2">
        <f t="shared" si="132"/>
        <v>126.98162500000001</v>
      </c>
      <c r="AN182" s="2">
        <f t="shared" si="112"/>
        <v>80</v>
      </c>
      <c r="AO182" s="2">
        <f t="shared" si="113"/>
        <v>93.525000000000006</v>
      </c>
      <c r="AP182" s="2">
        <f t="shared" si="114"/>
        <v>198.32599999999999</v>
      </c>
      <c r="AQ182" s="2">
        <f t="shared" si="133"/>
        <v>278.32600000000002</v>
      </c>
      <c r="AR182" s="2">
        <f t="shared" si="134"/>
        <v>41.748899999999999</v>
      </c>
      <c r="AS182" s="2">
        <f t="shared" si="115"/>
        <v>0.74840000000000007</v>
      </c>
      <c r="AT182" s="2">
        <f t="shared" si="116"/>
        <v>22.452000000000002</v>
      </c>
      <c r="AU182" s="2">
        <f t="shared" si="135"/>
        <v>436.80029999999999</v>
      </c>
      <c r="AV182" s="2">
        <f t="shared" si="117"/>
        <v>37.42</v>
      </c>
      <c r="AW182" s="2">
        <f t="shared" si="118"/>
        <v>18.705000000000002</v>
      </c>
      <c r="AX182" s="2">
        <f t="shared" si="119"/>
        <v>7.8581999999999992</v>
      </c>
      <c r="AY182" s="2">
        <f t="shared" si="136"/>
        <v>45.278199999999998</v>
      </c>
      <c r="AZ182" s="2">
        <f t="shared" si="137"/>
        <v>6.7917299999999994</v>
      </c>
      <c r="BA182" s="2">
        <f t="shared" si="120"/>
        <v>0.74840000000000007</v>
      </c>
      <c r="BB182" s="2">
        <f t="shared" si="121"/>
        <v>22.452000000000002</v>
      </c>
      <c r="BC182" s="2">
        <f t="shared" si="138"/>
        <v>93.97533</v>
      </c>
      <c r="BD182" s="2">
        <v>0</v>
      </c>
      <c r="BE182" s="2">
        <f t="shared" si="122"/>
        <v>374.2</v>
      </c>
      <c r="BF182" s="2">
        <f t="shared" si="123"/>
        <v>12.161499999999998</v>
      </c>
      <c r="BG182" s="2">
        <f t="shared" si="139"/>
        <v>12.161499999999998</v>
      </c>
      <c r="BH182" s="2">
        <f t="shared" si="140"/>
        <v>1.8242249999999998</v>
      </c>
      <c r="BI182" s="2">
        <f t="shared" si="124"/>
        <v>0.74840000000000007</v>
      </c>
      <c r="BJ182" s="2">
        <f t="shared" si="125"/>
        <v>22.452000000000002</v>
      </c>
      <c r="BK182" s="2">
        <f t="shared" si="141"/>
        <v>411.38612499999999</v>
      </c>
      <c r="BL182" s="2">
        <f t="shared" si="126"/>
        <v>187149.99999999997</v>
      </c>
      <c r="BM182" s="2">
        <f t="shared" si="127"/>
        <v>187050</v>
      </c>
      <c r="BN182" s="2">
        <f t="shared" si="142"/>
        <v>374200</v>
      </c>
    </row>
    <row r="183" spans="1:66" x14ac:dyDescent="0.25">
      <c r="A183" s="42">
        <v>180</v>
      </c>
      <c r="B183" s="43">
        <v>42850</v>
      </c>
      <c r="C183" s="42" t="s">
        <v>50</v>
      </c>
      <c r="D183" s="42" t="s">
        <v>163</v>
      </c>
      <c r="E183" s="6">
        <f t="shared" si="128"/>
        <v>-385.74750000000228</v>
      </c>
      <c r="F183" s="5" t="str">
        <f t="shared" si="143"/>
        <v>Loss</v>
      </c>
      <c r="G183" s="4">
        <f t="shared" si="144"/>
        <v>-360.00000000000227</v>
      </c>
      <c r="H183" s="46">
        <v>400</v>
      </c>
      <c r="I183" s="42">
        <v>95.45</v>
      </c>
      <c r="N183" s="5">
        <f t="shared" si="145"/>
        <v>400</v>
      </c>
      <c r="O183" s="4">
        <f t="shared" si="146"/>
        <v>95.45</v>
      </c>
      <c r="P183" s="5">
        <f t="shared" si="101"/>
        <v>400</v>
      </c>
      <c r="Q183" s="42">
        <v>94.55</v>
      </c>
      <c r="R183" s="2">
        <f t="shared" si="149"/>
        <v>0</v>
      </c>
      <c r="T183" s="2">
        <f t="shared" si="129"/>
        <v>0</v>
      </c>
      <c r="V183" s="5">
        <f t="shared" si="147"/>
        <v>400</v>
      </c>
      <c r="W183" s="4">
        <f t="shared" si="148"/>
        <v>94.55</v>
      </c>
      <c r="X183" s="14">
        <f t="shared" si="102"/>
        <v>-0.90000000000000568</v>
      </c>
      <c r="Y183" s="5">
        <f t="shared" si="103"/>
        <v>-360.00000000000227</v>
      </c>
      <c r="Z183" s="2">
        <f t="shared" si="104"/>
        <v>0</v>
      </c>
      <c r="AA183" s="4">
        <f t="shared" si="105"/>
        <v>0</v>
      </c>
      <c r="AB183" s="13">
        <f t="shared" si="106"/>
        <v>25.747500000000002</v>
      </c>
      <c r="AC183" s="10">
        <f>SUM($E$4:E183)</f>
        <v>-13865.226490223991</v>
      </c>
      <c r="AD183" s="20">
        <f>SUM($AB$4:AB183)</f>
        <v>8835.9764902239567</v>
      </c>
      <c r="AF183" s="28">
        <f t="shared" si="107"/>
        <v>7.6000000000000005</v>
      </c>
      <c r="AG183" s="2">
        <f t="shared" si="108"/>
        <v>9.4550000000000001</v>
      </c>
      <c r="AH183" s="2">
        <f t="shared" si="109"/>
        <v>2.4699999999999998</v>
      </c>
      <c r="AI183" s="2">
        <f t="shared" si="130"/>
        <v>10.07</v>
      </c>
      <c r="AJ183" s="2">
        <f t="shared" si="131"/>
        <v>1.5105</v>
      </c>
      <c r="AK183" s="2">
        <f t="shared" si="110"/>
        <v>0.152</v>
      </c>
      <c r="AL183" s="2">
        <f t="shared" si="111"/>
        <v>4.5600000000000005</v>
      </c>
      <c r="AM183" s="2">
        <f t="shared" si="132"/>
        <v>25.747500000000002</v>
      </c>
      <c r="AN183" s="2">
        <f t="shared" si="112"/>
        <v>40</v>
      </c>
      <c r="AO183" s="2">
        <f t="shared" si="113"/>
        <v>18.91</v>
      </c>
      <c r="AP183" s="2">
        <f t="shared" si="114"/>
        <v>40.28</v>
      </c>
      <c r="AQ183" s="2">
        <f t="shared" si="133"/>
        <v>80.28</v>
      </c>
      <c r="AR183" s="2">
        <f t="shared" si="134"/>
        <v>12.042</v>
      </c>
      <c r="AS183" s="2">
        <f t="shared" si="115"/>
        <v>0.152</v>
      </c>
      <c r="AT183" s="2">
        <f t="shared" si="116"/>
        <v>4.5600000000000005</v>
      </c>
      <c r="AU183" s="2">
        <f t="shared" si="135"/>
        <v>115.944</v>
      </c>
      <c r="AV183" s="2">
        <f t="shared" si="117"/>
        <v>7.6000000000000005</v>
      </c>
      <c r="AW183" s="2">
        <f t="shared" si="118"/>
        <v>3.782</v>
      </c>
      <c r="AX183" s="2">
        <f t="shared" si="119"/>
        <v>1.5959999999999999</v>
      </c>
      <c r="AY183" s="2">
        <f t="shared" si="136"/>
        <v>9.1959999999999997</v>
      </c>
      <c r="AZ183" s="2">
        <f t="shared" si="137"/>
        <v>1.3794</v>
      </c>
      <c r="BA183" s="2">
        <f t="shared" si="120"/>
        <v>0.152</v>
      </c>
      <c r="BB183" s="2">
        <f t="shared" si="121"/>
        <v>4.5600000000000005</v>
      </c>
      <c r="BC183" s="2">
        <f t="shared" si="138"/>
        <v>19.069400000000002</v>
      </c>
      <c r="BD183" s="2">
        <v>0</v>
      </c>
      <c r="BE183" s="2">
        <f t="shared" si="122"/>
        <v>76</v>
      </c>
      <c r="BF183" s="2">
        <f t="shared" si="123"/>
        <v>2.4699999999999998</v>
      </c>
      <c r="BG183" s="2">
        <f t="shared" si="139"/>
        <v>2.4699999999999998</v>
      </c>
      <c r="BH183" s="2">
        <f t="shared" si="140"/>
        <v>0.37049999999999994</v>
      </c>
      <c r="BI183" s="2">
        <f t="shared" si="124"/>
        <v>0.152</v>
      </c>
      <c r="BJ183" s="2">
        <f t="shared" si="125"/>
        <v>4.5600000000000005</v>
      </c>
      <c r="BK183" s="2">
        <f t="shared" si="141"/>
        <v>83.552500000000009</v>
      </c>
      <c r="BL183" s="2">
        <f t="shared" si="126"/>
        <v>38180</v>
      </c>
      <c r="BM183" s="2">
        <f t="shared" si="127"/>
        <v>37820</v>
      </c>
      <c r="BN183" s="2">
        <f t="shared" si="142"/>
        <v>76000</v>
      </c>
    </row>
    <row r="184" spans="1:66" x14ac:dyDescent="0.25">
      <c r="A184" s="42">
        <v>181</v>
      </c>
      <c r="B184" s="43">
        <v>42850</v>
      </c>
      <c r="C184" s="42" t="s">
        <v>50</v>
      </c>
      <c r="D184" s="42" t="s">
        <v>164</v>
      </c>
      <c r="E184" s="6">
        <f t="shared" si="128"/>
        <v>-799.46348437500001</v>
      </c>
      <c r="F184" s="5" t="str">
        <f t="shared" si="143"/>
        <v>Loss</v>
      </c>
      <c r="G184" s="4">
        <f t="shared" si="144"/>
        <v>-750</v>
      </c>
      <c r="H184" s="46">
        <v>375</v>
      </c>
      <c r="I184" s="42">
        <v>195.7</v>
      </c>
      <c r="N184" s="5">
        <f t="shared" si="145"/>
        <v>375</v>
      </c>
      <c r="O184" s="4">
        <f t="shared" si="146"/>
        <v>195.7</v>
      </c>
      <c r="P184" s="5">
        <f t="shared" si="101"/>
        <v>375</v>
      </c>
      <c r="Q184" s="42">
        <v>193.7</v>
      </c>
      <c r="R184" s="2">
        <f t="shared" si="149"/>
        <v>0</v>
      </c>
      <c r="T184" s="2">
        <f t="shared" si="129"/>
        <v>0</v>
      </c>
      <c r="V184" s="5">
        <f t="shared" si="147"/>
        <v>375</v>
      </c>
      <c r="W184" s="4">
        <f t="shared" si="148"/>
        <v>193.7</v>
      </c>
      <c r="X184" s="14">
        <f t="shared" si="102"/>
        <v>-2</v>
      </c>
      <c r="Y184" s="5">
        <f t="shared" si="103"/>
        <v>-750</v>
      </c>
      <c r="Z184" s="2">
        <f t="shared" si="104"/>
        <v>0</v>
      </c>
      <c r="AA184" s="4">
        <f t="shared" si="105"/>
        <v>0</v>
      </c>
      <c r="AB184" s="13">
        <f t="shared" si="106"/>
        <v>49.463484375</v>
      </c>
      <c r="AC184" s="10">
        <f>SUM($E$4:E184)</f>
        <v>-14664.68997459899</v>
      </c>
      <c r="AD184" s="20">
        <f>SUM($AB$4:AB184)</f>
        <v>8885.4399745989558</v>
      </c>
      <c r="AF184" s="28">
        <f t="shared" si="107"/>
        <v>14.602500000000001</v>
      </c>
      <c r="AG184" s="2">
        <f t="shared" si="108"/>
        <v>18.159374999999997</v>
      </c>
      <c r="AH184" s="2">
        <f t="shared" si="109"/>
        <v>4.7458124999999995</v>
      </c>
      <c r="AI184" s="2">
        <f t="shared" si="130"/>
        <v>19.348312499999999</v>
      </c>
      <c r="AJ184" s="2">
        <f t="shared" si="131"/>
        <v>2.9022468749999999</v>
      </c>
      <c r="AK184" s="2">
        <f t="shared" si="110"/>
        <v>0.29204999999999998</v>
      </c>
      <c r="AL184" s="2">
        <f t="shared" si="111"/>
        <v>8.7614999999999998</v>
      </c>
      <c r="AM184" s="2">
        <f t="shared" si="132"/>
        <v>49.463484375</v>
      </c>
      <c r="AN184" s="2">
        <f t="shared" si="112"/>
        <v>40</v>
      </c>
      <c r="AO184" s="2">
        <f t="shared" si="113"/>
        <v>36.318749999999994</v>
      </c>
      <c r="AP184" s="2">
        <f t="shared" si="114"/>
        <v>77.393249999999995</v>
      </c>
      <c r="AQ184" s="2">
        <f t="shared" si="133"/>
        <v>117.39324999999999</v>
      </c>
      <c r="AR184" s="2">
        <f t="shared" si="134"/>
        <v>17.608987499999998</v>
      </c>
      <c r="AS184" s="2">
        <f t="shared" si="115"/>
        <v>0.29204999999999998</v>
      </c>
      <c r="AT184" s="2">
        <f t="shared" si="116"/>
        <v>8.7614999999999998</v>
      </c>
      <c r="AU184" s="2">
        <f t="shared" si="135"/>
        <v>180.3745375</v>
      </c>
      <c r="AV184" s="2">
        <f t="shared" si="117"/>
        <v>14.602500000000001</v>
      </c>
      <c r="AW184" s="2">
        <f t="shared" si="118"/>
        <v>7.263749999999999</v>
      </c>
      <c r="AX184" s="2">
        <f t="shared" si="119"/>
        <v>3.0665249999999999</v>
      </c>
      <c r="AY184" s="2">
        <f t="shared" si="136"/>
        <v>17.669025000000001</v>
      </c>
      <c r="AZ184" s="2">
        <f t="shared" si="137"/>
        <v>2.6503537500000003</v>
      </c>
      <c r="BA184" s="2">
        <f t="shared" si="120"/>
        <v>0.29204999999999998</v>
      </c>
      <c r="BB184" s="2">
        <f t="shared" si="121"/>
        <v>8.7614999999999998</v>
      </c>
      <c r="BC184" s="2">
        <f t="shared" si="138"/>
        <v>36.636678750000002</v>
      </c>
      <c r="BD184" s="2">
        <v>0</v>
      </c>
      <c r="BE184" s="2">
        <f t="shared" si="122"/>
        <v>146.02500000000001</v>
      </c>
      <c r="BF184" s="2">
        <f t="shared" si="123"/>
        <v>4.7458124999999995</v>
      </c>
      <c r="BG184" s="2">
        <f t="shared" si="139"/>
        <v>4.7458124999999995</v>
      </c>
      <c r="BH184" s="2">
        <f t="shared" si="140"/>
        <v>0.71187187499999993</v>
      </c>
      <c r="BI184" s="2">
        <f t="shared" si="124"/>
        <v>0.29204999999999998</v>
      </c>
      <c r="BJ184" s="2">
        <f t="shared" si="125"/>
        <v>8.7614999999999998</v>
      </c>
      <c r="BK184" s="2">
        <f t="shared" si="141"/>
        <v>160.53623437500002</v>
      </c>
      <c r="BL184" s="2">
        <f t="shared" si="126"/>
        <v>73387.5</v>
      </c>
      <c r="BM184" s="2">
        <f t="shared" si="127"/>
        <v>72637.5</v>
      </c>
      <c r="BN184" s="2">
        <f t="shared" si="142"/>
        <v>146025</v>
      </c>
    </row>
    <row r="185" spans="1:66" x14ac:dyDescent="0.25">
      <c r="A185" s="42">
        <v>182</v>
      </c>
      <c r="B185" s="43">
        <v>42850</v>
      </c>
      <c r="C185" s="42" t="s">
        <v>50</v>
      </c>
      <c r="D185" s="42" t="s">
        <v>163</v>
      </c>
      <c r="E185" s="6">
        <f t="shared" si="128"/>
        <v>651.52025624999487</v>
      </c>
      <c r="F185" s="5" t="str">
        <f t="shared" si="143"/>
        <v>Win</v>
      </c>
      <c r="G185" s="4">
        <f t="shared" si="144"/>
        <v>689.99999999999488</v>
      </c>
      <c r="H185" s="46">
        <v>600</v>
      </c>
      <c r="I185" s="42">
        <v>93.7</v>
      </c>
      <c r="N185" s="5">
        <f t="shared" si="145"/>
        <v>600</v>
      </c>
      <c r="O185" s="4">
        <f t="shared" si="146"/>
        <v>93.7</v>
      </c>
      <c r="P185" s="5">
        <f t="shared" si="101"/>
        <v>600</v>
      </c>
      <c r="Q185" s="42">
        <v>94.85</v>
      </c>
      <c r="R185" s="2">
        <f t="shared" si="149"/>
        <v>0</v>
      </c>
      <c r="T185" s="2">
        <f t="shared" si="129"/>
        <v>0</v>
      </c>
      <c r="V185" s="5">
        <f t="shared" si="147"/>
        <v>600</v>
      </c>
      <c r="W185" s="4">
        <f t="shared" si="148"/>
        <v>94.85</v>
      </c>
      <c r="X185" s="14">
        <f t="shared" si="102"/>
        <v>1.1499999999999915</v>
      </c>
      <c r="Y185" s="5">
        <f t="shared" si="103"/>
        <v>689.99999999999488</v>
      </c>
      <c r="Z185" s="2">
        <f t="shared" si="104"/>
        <v>0</v>
      </c>
      <c r="AA185" s="4">
        <f t="shared" si="105"/>
        <v>0</v>
      </c>
      <c r="AB185" s="13">
        <f t="shared" si="106"/>
        <v>38.479743750000004</v>
      </c>
      <c r="AC185" s="10">
        <f>SUM($E$4:E185)</f>
        <v>-14013.169718348996</v>
      </c>
      <c r="AD185" s="20">
        <f>SUM($AB$4:AB185)</f>
        <v>8923.9197183489559</v>
      </c>
      <c r="AF185" s="28">
        <f t="shared" si="107"/>
        <v>11.313000000000001</v>
      </c>
      <c r="AG185" s="2">
        <f t="shared" si="108"/>
        <v>14.227499999999999</v>
      </c>
      <c r="AH185" s="2">
        <f t="shared" si="109"/>
        <v>3.6767249999999998</v>
      </c>
      <c r="AI185" s="2">
        <f t="shared" si="130"/>
        <v>14.989725</v>
      </c>
      <c r="AJ185" s="2">
        <f t="shared" si="131"/>
        <v>2.2484587499999997</v>
      </c>
      <c r="AK185" s="2">
        <f t="shared" si="110"/>
        <v>0.22626000000000002</v>
      </c>
      <c r="AL185" s="2">
        <f t="shared" si="111"/>
        <v>6.7877999999999998</v>
      </c>
      <c r="AM185" s="2">
        <f t="shared" si="132"/>
        <v>38.479743750000004</v>
      </c>
      <c r="AN185" s="2">
        <f t="shared" si="112"/>
        <v>40</v>
      </c>
      <c r="AO185" s="2">
        <f t="shared" si="113"/>
        <v>28.454999999999998</v>
      </c>
      <c r="AP185" s="2">
        <f t="shared" si="114"/>
        <v>59.9589</v>
      </c>
      <c r="AQ185" s="2">
        <f t="shared" si="133"/>
        <v>99.9589</v>
      </c>
      <c r="AR185" s="2">
        <f t="shared" si="134"/>
        <v>14.993834999999999</v>
      </c>
      <c r="AS185" s="2">
        <f t="shared" si="115"/>
        <v>0.22626000000000002</v>
      </c>
      <c r="AT185" s="2">
        <f t="shared" si="116"/>
        <v>6.7877999999999998</v>
      </c>
      <c r="AU185" s="2">
        <f t="shared" si="135"/>
        <v>150.421795</v>
      </c>
      <c r="AV185" s="2">
        <f t="shared" si="117"/>
        <v>11.313000000000001</v>
      </c>
      <c r="AW185" s="2">
        <f t="shared" si="118"/>
        <v>5.6909999999999998</v>
      </c>
      <c r="AX185" s="2">
        <f t="shared" si="119"/>
        <v>2.3757299999999999</v>
      </c>
      <c r="AY185" s="2">
        <f t="shared" si="136"/>
        <v>13.68873</v>
      </c>
      <c r="AZ185" s="2">
        <f t="shared" si="137"/>
        <v>2.0533094999999997</v>
      </c>
      <c r="BA185" s="2">
        <f t="shared" si="120"/>
        <v>0.22626000000000002</v>
      </c>
      <c r="BB185" s="2">
        <f t="shared" si="121"/>
        <v>6.7877999999999998</v>
      </c>
      <c r="BC185" s="2">
        <f t="shared" si="138"/>
        <v>28.447099500000004</v>
      </c>
      <c r="BD185" s="2">
        <v>0</v>
      </c>
      <c r="BE185" s="2">
        <f t="shared" si="122"/>
        <v>113.13</v>
      </c>
      <c r="BF185" s="2">
        <f t="shared" si="123"/>
        <v>3.6767249999999998</v>
      </c>
      <c r="BG185" s="2">
        <f t="shared" si="139"/>
        <v>3.6767249999999998</v>
      </c>
      <c r="BH185" s="2">
        <f t="shared" si="140"/>
        <v>0.55150874999999999</v>
      </c>
      <c r="BI185" s="2">
        <f t="shared" si="124"/>
        <v>0.22626000000000002</v>
      </c>
      <c r="BJ185" s="2">
        <f t="shared" si="125"/>
        <v>6.7877999999999998</v>
      </c>
      <c r="BK185" s="2">
        <f t="shared" si="141"/>
        <v>124.37229375</v>
      </c>
      <c r="BL185" s="2">
        <f t="shared" si="126"/>
        <v>56220</v>
      </c>
      <c r="BM185" s="2">
        <f t="shared" si="127"/>
        <v>56910</v>
      </c>
      <c r="BN185" s="2">
        <f t="shared" si="142"/>
        <v>113130</v>
      </c>
    </row>
    <row r="186" spans="1:66" x14ac:dyDescent="0.25">
      <c r="A186" s="42">
        <v>183</v>
      </c>
      <c r="B186" s="43">
        <v>42850</v>
      </c>
      <c r="C186" s="42" t="s">
        <v>50</v>
      </c>
      <c r="D186" s="42" t="s">
        <v>165</v>
      </c>
      <c r="E186" s="6">
        <f t="shared" si="128"/>
        <v>478.4491421875</v>
      </c>
      <c r="F186" s="5" t="str">
        <f t="shared" si="143"/>
        <v>Win</v>
      </c>
      <c r="G186" s="4">
        <f t="shared" si="144"/>
        <v>522.5</v>
      </c>
      <c r="H186" s="46">
        <v>55</v>
      </c>
      <c r="I186" s="42">
        <v>1173.5</v>
      </c>
      <c r="N186" s="5">
        <f t="shared" si="145"/>
        <v>55</v>
      </c>
      <c r="O186" s="4">
        <f t="shared" si="146"/>
        <v>1173.5</v>
      </c>
      <c r="P186" s="5">
        <f t="shared" si="101"/>
        <v>55</v>
      </c>
      <c r="Q186" s="42">
        <v>1183</v>
      </c>
      <c r="R186" s="2">
        <f t="shared" si="149"/>
        <v>0</v>
      </c>
      <c r="T186" s="2">
        <f t="shared" si="129"/>
        <v>0</v>
      </c>
      <c r="V186" s="5">
        <f t="shared" si="147"/>
        <v>55</v>
      </c>
      <c r="W186" s="4">
        <f t="shared" si="148"/>
        <v>1183</v>
      </c>
      <c r="X186" s="14">
        <f t="shared" si="102"/>
        <v>9.5</v>
      </c>
      <c r="Y186" s="5">
        <f t="shared" si="103"/>
        <v>522.5</v>
      </c>
      <c r="Z186" s="2">
        <f t="shared" si="104"/>
        <v>0</v>
      </c>
      <c r="AA186" s="4">
        <f t="shared" si="105"/>
        <v>0</v>
      </c>
      <c r="AB186" s="13">
        <f t="shared" si="106"/>
        <v>44.050857812499999</v>
      </c>
      <c r="AC186" s="10">
        <f>SUM($E$4:E186)</f>
        <v>-13534.720576161497</v>
      </c>
      <c r="AD186" s="20">
        <f>SUM($AB$4:AB186)</f>
        <v>8967.9705761614568</v>
      </c>
      <c r="AF186" s="28">
        <f t="shared" si="107"/>
        <v>12.960750000000001</v>
      </c>
      <c r="AG186" s="2">
        <f t="shared" si="108"/>
        <v>16.266249999999999</v>
      </c>
      <c r="AH186" s="2">
        <f t="shared" si="109"/>
        <v>4.2122437499999998</v>
      </c>
      <c r="AI186" s="2">
        <f t="shared" si="130"/>
        <v>17.17299375</v>
      </c>
      <c r="AJ186" s="2">
        <f t="shared" si="131"/>
        <v>2.5759490624999999</v>
      </c>
      <c r="AK186" s="2">
        <f t="shared" si="110"/>
        <v>0.25921499999999997</v>
      </c>
      <c r="AL186" s="2">
        <f t="shared" si="111"/>
        <v>7.7764500000000005</v>
      </c>
      <c r="AM186" s="2">
        <f t="shared" si="132"/>
        <v>44.050857812499999</v>
      </c>
      <c r="AN186" s="2">
        <f t="shared" si="112"/>
        <v>40</v>
      </c>
      <c r="AO186" s="2">
        <f t="shared" si="113"/>
        <v>32.532499999999999</v>
      </c>
      <c r="AP186" s="2">
        <f t="shared" si="114"/>
        <v>68.691974999999999</v>
      </c>
      <c r="AQ186" s="2">
        <f t="shared" si="133"/>
        <v>108.691975</v>
      </c>
      <c r="AR186" s="2">
        <f t="shared" si="134"/>
        <v>16.303796249999998</v>
      </c>
      <c r="AS186" s="2">
        <f t="shared" si="115"/>
        <v>0.25921499999999997</v>
      </c>
      <c r="AT186" s="2">
        <f t="shared" si="116"/>
        <v>7.7764500000000005</v>
      </c>
      <c r="AU186" s="2">
        <f t="shared" si="135"/>
        <v>165.56393625000001</v>
      </c>
      <c r="AV186" s="2">
        <f t="shared" si="117"/>
        <v>12.960750000000001</v>
      </c>
      <c r="AW186" s="2">
        <f t="shared" si="118"/>
        <v>6.5065000000000008</v>
      </c>
      <c r="AX186" s="2">
        <f t="shared" si="119"/>
        <v>2.7217574999999998</v>
      </c>
      <c r="AY186" s="2">
        <f t="shared" si="136"/>
        <v>15.6825075</v>
      </c>
      <c r="AZ186" s="2">
        <f t="shared" si="137"/>
        <v>2.3523761249999997</v>
      </c>
      <c r="BA186" s="2">
        <f t="shared" si="120"/>
        <v>0.25921499999999997</v>
      </c>
      <c r="BB186" s="2">
        <f t="shared" si="121"/>
        <v>7.7764500000000005</v>
      </c>
      <c r="BC186" s="2">
        <f t="shared" si="138"/>
        <v>32.577048625000003</v>
      </c>
      <c r="BD186" s="2">
        <v>0</v>
      </c>
      <c r="BE186" s="2">
        <f t="shared" si="122"/>
        <v>129.60750000000002</v>
      </c>
      <c r="BF186" s="2">
        <f t="shared" si="123"/>
        <v>4.2122437499999998</v>
      </c>
      <c r="BG186" s="2">
        <f t="shared" si="139"/>
        <v>4.2122437499999998</v>
      </c>
      <c r="BH186" s="2">
        <f t="shared" si="140"/>
        <v>0.63183656249999998</v>
      </c>
      <c r="BI186" s="2">
        <f t="shared" si="124"/>
        <v>0.25921499999999997</v>
      </c>
      <c r="BJ186" s="2">
        <f t="shared" si="125"/>
        <v>7.7764500000000005</v>
      </c>
      <c r="BK186" s="2">
        <f t="shared" si="141"/>
        <v>142.48724531250005</v>
      </c>
      <c r="BL186" s="2">
        <f t="shared" si="126"/>
        <v>64542.5</v>
      </c>
      <c r="BM186" s="2">
        <f t="shared" si="127"/>
        <v>65065</v>
      </c>
      <c r="BN186" s="2">
        <f t="shared" si="142"/>
        <v>129607.5</v>
      </c>
    </row>
    <row r="187" spans="1:66" x14ac:dyDescent="0.25">
      <c r="A187" s="42">
        <v>184</v>
      </c>
      <c r="B187" s="43">
        <v>42851</v>
      </c>
      <c r="C187" s="42" t="s">
        <v>50</v>
      </c>
      <c r="D187" s="42" t="s">
        <v>144</v>
      </c>
      <c r="E187" s="6">
        <f t="shared" si="128"/>
        <v>49.57147500000454</v>
      </c>
      <c r="F187" s="5" t="str">
        <f t="shared" si="143"/>
        <v>Win</v>
      </c>
      <c r="G187" s="4">
        <f t="shared" si="144"/>
        <v>120.00000000000455</v>
      </c>
      <c r="H187" s="46">
        <v>200</v>
      </c>
      <c r="I187" s="42">
        <v>518.4</v>
      </c>
      <c r="N187" s="5">
        <f t="shared" si="145"/>
        <v>200</v>
      </c>
      <c r="O187" s="4">
        <f t="shared" si="146"/>
        <v>518.4</v>
      </c>
      <c r="P187" s="5">
        <f t="shared" si="101"/>
        <v>200</v>
      </c>
      <c r="Q187" s="42">
        <v>519</v>
      </c>
      <c r="R187" s="2">
        <f t="shared" si="149"/>
        <v>0</v>
      </c>
      <c r="T187" s="2">
        <f t="shared" si="129"/>
        <v>0</v>
      </c>
      <c r="V187" s="5">
        <f t="shared" si="147"/>
        <v>200</v>
      </c>
      <c r="W187" s="4">
        <f t="shared" si="148"/>
        <v>519</v>
      </c>
      <c r="X187" s="14">
        <f t="shared" si="102"/>
        <v>0.60000000000002274</v>
      </c>
      <c r="Y187" s="5">
        <f t="shared" si="103"/>
        <v>120.00000000000455</v>
      </c>
      <c r="Z187" s="2">
        <f t="shared" si="104"/>
        <v>0</v>
      </c>
      <c r="AA187" s="4">
        <f t="shared" si="105"/>
        <v>0</v>
      </c>
      <c r="AB187" s="13">
        <f t="shared" si="106"/>
        <v>70.428525000000008</v>
      </c>
      <c r="AC187" s="10">
        <f>SUM($E$4:E187)</f>
        <v>-13485.149101161493</v>
      </c>
      <c r="AD187" s="20">
        <f>SUM($AB$4:AB187)</f>
        <v>9038.3991011614562</v>
      </c>
      <c r="AF187" s="28">
        <f t="shared" si="107"/>
        <v>20.748000000000001</v>
      </c>
      <c r="AG187" s="2">
        <f t="shared" si="108"/>
        <v>25.950000000000003</v>
      </c>
      <c r="AH187" s="2">
        <f t="shared" si="109"/>
        <v>6.7430999999999992</v>
      </c>
      <c r="AI187" s="2">
        <f t="shared" si="130"/>
        <v>27.491099999999999</v>
      </c>
      <c r="AJ187" s="2">
        <f t="shared" si="131"/>
        <v>4.1236649999999999</v>
      </c>
      <c r="AK187" s="2">
        <f t="shared" si="110"/>
        <v>0.41496</v>
      </c>
      <c r="AL187" s="2">
        <f t="shared" si="111"/>
        <v>12.4488</v>
      </c>
      <c r="AM187" s="2">
        <f t="shared" si="132"/>
        <v>70.428525000000008</v>
      </c>
      <c r="AN187" s="2">
        <f t="shared" si="112"/>
        <v>40</v>
      </c>
      <c r="AO187" s="2">
        <f t="shared" si="113"/>
        <v>51.900000000000006</v>
      </c>
      <c r="AP187" s="2">
        <f t="shared" si="114"/>
        <v>109.9644</v>
      </c>
      <c r="AQ187" s="2">
        <f t="shared" si="133"/>
        <v>149.96440000000001</v>
      </c>
      <c r="AR187" s="2">
        <f t="shared" si="134"/>
        <v>22.49466</v>
      </c>
      <c r="AS187" s="2">
        <f t="shared" si="115"/>
        <v>0.41496</v>
      </c>
      <c r="AT187" s="2">
        <f t="shared" si="116"/>
        <v>12.4488</v>
      </c>
      <c r="AU187" s="2">
        <f t="shared" si="135"/>
        <v>237.22282000000001</v>
      </c>
      <c r="AV187" s="2">
        <f t="shared" si="117"/>
        <v>20.748000000000001</v>
      </c>
      <c r="AW187" s="2">
        <f t="shared" si="118"/>
        <v>10.38</v>
      </c>
      <c r="AX187" s="2">
        <f t="shared" si="119"/>
        <v>4.3570799999999998</v>
      </c>
      <c r="AY187" s="2">
        <f t="shared" si="136"/>
        <v>25.105080000000001</v>
      </c>
      <c r="AZ187" s="2">
        <f t="shared" si="137"/>
        <v>3.7657620000000001</v>
      </c>
      <c r="BA187" s="2">
        <f t="shared" si="120"/>
        <v>0.41496</v>
      </c>
      <c r="BB187" s="2">
        <f t="shared" si="121"/>
        <v>12.4488</v>
      </c>
      <c r="BC187" s="2">
        <f t="shared" si="138"/>
        <v>52.114601999999998</v>
      </c>
      <c r="BD187" s="2">
        <v>0</v>
      </c>
      <c r="BE187" s="2">
        <f t="shared" si="122"/>
        <v>207.48000000000002</v>
      </c>
      <c r="BF187" s="2">
        <f t="shared" si="123"/>
        <v>6.7430999999999992</v>
      </c>
      <c r="BG187" s="2">
        <f t="shared" si="139"/>
        <v>6.7430999999999992</v>
      </c>
      <c r="BH187" s="2">
        <f t="shared" si="140"/>
        <v>1.0114649999999998</v>
      </c>
      <c r="BI187" s="2">
        <f t="shared" si="124"/>
        <v>0.41496</v>
      </c>
      <c r="BJ187" s="2">
        <f t="shared" si="125"/>
        <v>12.4488</v>
      </c>
      <c r="BK187" s="2">
        <f t="shared" si="141"/>
        <v>228.09832500000002</v>
      </c>
      <c r="BL187" s="2">
        <f t="shared" si="126"/>
        <v>103680</v>
      </c>
      <c r="BM187" s="2">
        <f t="shared" si="127"/>
        <v>103800</v>
      </c>
      <c r="BN187" s="2">
        <f t="shared" si="142"/>
        <v>207480</v>
      </c>
    </row>
    <row r="188" spans="1:66" x14ac:dyDescent="0.25">
      <c r="A188" s="42">
        <v>185</v>
      </c>
      <c r="B188" s="43">
        <v>42851</v>
      </c>
      <c r="C188" s="42" t="s">
        <v>50</v>
      </c>
      <c r="D188" s="42" t="s">
        <v>166</v>
      </c>
      <c r="E188" s="6">
        <f t="shared" si="128"/>
        <v>-775.38121863416859</v>
      </c>
      <c r="F188" s="5" t="str">
        <f t="shared" si="143"/>
        <v>Loss</v>
      </c>
      <c r="G188" s="4">
        <f t="shared" si="144"/>
        <v>-617.00300000000198</v>
      </c>
      <c r="H188" s="46">
        <v>80</v>
      </c>
      <c r="I188" s="42">
        <v>1006</v>
      </c>
      <c r="J188" s="42">
        <v>80</v>
      </c>
      <c r="K188" s="42">
        <v>1023</v>
      </c>
      <c r="L188" s="42">
        <v>70</v>
      </c>
      <c r="M188" s="44">
        <v>1020</v>
      </c>
      <c r="N188" s="5">
        <f t="shared" si="145"/>
        <v>230</v>
      </c>
      <c r="O188" s="4">
        <f t="shared" si="146"/>
        <v>1016.3333333333334</v>
      </c>
      <c r="P188" s="5">
        <f t="shared" si="101"/>
        <v>80</v>
      </c>
      <c r="Q188" s="42">
        <v>1005.7625</v>
      </c>
      <c r="R188" s="2">
        <f t="shared" si="149"/>
        <v>80</v>
      </c>
      <c r="S188" s="42">
        <v>1017.4</v>
      </c>
      <c r="T188" s="2">
        <f t="shared" si="129"/>
        <v>70</v>
      </c>
      <c r="U188" s="44">
        <v>1017.8570999999999</v>
      </c>
      <c r="V188" s="5">
        <f t="shared" si="147"/>
        <v>230</v>
      </c>
      <c r="W188" s="4">
        <f t="shared" si="148"/>
        <v>1013.6731999999998</v>
      </c>
      <c r="X188" s="14">
        <f t="shared" si="102"/>
        <v>11.857099999999946</v>
      </c>
      <c r="Y188" s="5">
        <f t="shared" si="103"/>
        <v>-18.999999999996362</v>
      </c>
      <c r="Z188" s="2">
        <f t="shared" si="104"/>
        <v>-448.00000000000182</v>
      </c>
      <c r="AA188" s="4">
        <f t="shared" si="105"/>
        <v>-150.00300000000379</v>
      </c>
      <c r="AB188" s="13">
        <f t="shared" si="106"/>
        <v>158.37821863416667</v>
      </c>
      <c r="AC188" s="10">
        <f>SUM($E$4:E188)</f>
        <v>-14260.530319795662</v>
      </c>
      <c r="AD188" s="20">
        <f>SUM($AB$4:AB188)</f>
        <v>9196.777319795623</v>
      </c>
      <c r="AF188" s="28">
        <f t="shared" si="107"/>
        <v>46.690150266666663</v>
      </c>
      <c r="AG188" s="2">
        <f t="shared" si="108"/>
        <v>58.286208999999992</v>
      </c>
      <c r="AH188" s="2">
        <f t="shared" si="109"/>
        <v>15.174298836666665</v>
      </c>
      <c r="AI188" s="2">
        <f t="shared" si="130"/>
        <v>61.864449103333328</v>
      </c>
      <c r="AJ188" s="2">
        <f t="shared" si="131"/>
        <v>9.2796673654999982</v>
      </c>
      <c r="AK188" s="2">
        <f t="shared" si="110"/>
        <v>0.93380300533333327</v>
      </c>
      <c r="AL188" s="2">
        <f t="shared" si="111"/>
        <v>28.014090159999999</v>
      </c>
      <c r="AM188" s="2">
        <f t="shared" si="132"/>
        <v>158.37821863416667</v>
      </c>
      <c r="AN188" s="2">
        <f t="shared" si="112"/>
        <v>120</v>
      </c>
      <c r="AO188" s="2">
        <f t="shared" si="113"/>
        <v>116.57241799999998</v>
      </c>
      <c r="AP188" s="2">
        <f t="shared" si="114"/>
        <v>247.45779641333331</v>
      </c>
      <c r="AQ188" s="2">
        <f t="shared" si="133"/>
        <v>367.45779641333331</v>
      </c>
      <c r="AR188" s="2">
        <f t="shared" si="134"/>
        <v>55.118669461999993</v>
      </c>
      <c r="AS188" s="2">
        <f t="shared" si="115"/>
        <v>0.93380300533333327</v>
      </c>
      <c r="AT188" s="2">
        <f t="shared" si="116"/>
        <v>28.014090159999999</v>
      </c>
      <c r="AU188" s="2">
        <f t="shared" si="135"/>
        <v>568.09677704066655</v>
      </c>
      <c r="AV188" s="2">
        <f t="shared" si="117"/>
        <v>46.690150266666663</v>
      </c>
      <c r="AW188" s="2">
        <f t="shared" si="118"/>
        <v>23.314483599999996</v>
      </c>
      <c r="AX188" s="2">
        <f t="shared" si="119"/>
        <v>9.8049315559999997</v>
      </c>
      <c r="AY188" s="2">
        <f t="shared" si="136"/>
        <v>56.495081822666663</v>
      </c>
      <c r="AZ188" s="2">
        <f t="shared" si="137"/>
        <v>8.474262273399999</v>
      </c>
      <c r="BA188" s="2">
        <f t="shared" si="120"/>
        <v>0.93380300533333327</v>
      </c>
      <c r="BB188" s="2">
        <f t="shared" si="121"/>
        <v>28.014090159999999</v>
      </c>
      <c r="BC188" s="2">
        <f t="shared" si="138"/>
        <v>117.23172086139999</v>
      </c>
      <c r="BD188" s="2">
        <v>0</v>
      </c>
      <c r="BE188" s="2">
        <f t="shared" si="122"/>
        <v>466.90150266666666</v>
      </c>
      <c r="BF188" s="2">
        <f t="shared" si="123"/>
        <v>15.174298836666665</v>
      </c>
      <c r="BG188" s="2">
        <f t="shared" si="139"/>
        <v>15.174298836666665</v>
      </c>
      <c r="BH188" s="2">
        <f t="shared" si="140"/>
        <v>2.2761448254999999</v>
      </c>
      <c r="BI188" s="2">
        <f t="shared" si="124"/>
        <v>0.93380300533333327</v>
      </c>
      <c r="BJ188" s="2">
        <f t="shared" si="125"/>
        <v>28.014090159999999</v>
      </c>
      <c r="BK188" s="2">
        <f t="shared" si="141"/>
        <v>513.29983949416669</v>
      </c>
      <c r="BL188" s="2">
        <f t="shared" si="126"/>
        <v>233756.66666666669</v>
      </c>
      <c r="BM188" s="2">
        <f t="shared" si="127"/>
        <v>233144.83599999995</v>
      </c>
      <c r="BN188" s="2">
        <f t="shared" si="142"/>
        <v>466901.50266666664</v>
      </c>
    </row>
    <row r="189" spans="1:66" x14ac:dyDescent="0.25">
      <c r="A189" s="42">
        <v>186</v>
      </c>
      <c r="B189" s="43">
        <v>42851</v>
      </c>
      <c r="C189" s="42" t="s">
        <v>50</v>
      </c>
      <c r="D189" s="42" t="s">
        <v>167</v>
      </c>
      <c r="E189" s="6">
        <f t="shared" si="128"/>
        <v>2658.2795312500002</v>
      </c>
      <c r="F189" s="5" t="str">
        <f t="shared" si="143"/>
        <v>Win</v>
      </c>
      <c r="G189" s="4">
        <f t="shared" si="144"/>
        <v>2750</v>
      </c>
      <c r="H189" s="46">
        <v>500</v>
      </c>
      <c r="I189" s="42">
        <v>135</v>
      </c>
      <c r="J189" s="42">
        <v>500</v>
      </c>
      <c r="K189" s="42">
        <v>131.5</v>
      </c>
      <c r="N189" s="5">
        <f t="shared" si="145"/>
        <v>1000</v>
      </c>
      <c r="O189" s="4">
        <f t="shared" si="146"/>
        <v>133.25</v>
      </c>
      <c r="P189" s="5">
        <f t="shared" si="101"/>
        <v>500</v>
      </c>
      <c r="Q189" s="42">
        <v>136.5</v>
      </c>
      <c r="R189" s="2">
        <f t="shared" si="149"/>
        <v>500</v>
      </c>
      <c r="S189" s="42">
        <v>135.5</v>
      </c>
      <c r="T189" s="2">
        <f t="shared" si="129"/>
        <v>0</v>
      </c>
      <c r="V189" s="5">
        <f t="shared" si="147"/>
        <v>1000</v>
      </c>
      <c r="W189" s="4">
        <f t="shared" si="148"/>
        <v>136</v>
      </c>
      <c r="X189" s="14">
        <f t="shared" si="102"/>
        <v>5</v>
      </c>
      <c r="Y189" s="5">
        <f t="shared" si="103"/>
        <v>750</v>
      </c>
      <c r="Z189" s="2">
        <f t="shared" si="104"/>
        <v>2000</v>
      </c>
      <c r="AA189" s="4">
        <f t="shared" si="105"/>
        <v>0</v>
      </c>
      <c r="AB189" s="13">
        <f t="shared" si="106"/>
        <v>91.720468749999995</v>
      </c>
      <c r="AC189" s="10">
        <f>SUM($E$4:E189)</f>
        <v>-11602.250788545662</v>
      </c>
      <c r="AD189" s="20">
        <f>SUM($AB$4:AB189)</f>
        <v>9288.4977885456228</v>
      </c>
      <c r="AF189" s="28">
        <f t="shared" si="107"/>
        <v>26.925000000000001</v>
      </c>
      <c r="AG189" s="2">
        <f t="shared" si="108"/>
        <v>34</v>
      </c>
      <c r="AH189" s="2">
        <f t="shared" si="109"/>
        <v>8.7506249999999994</v>
      </c>
      <c r="AI189" s="2">
        <f t="shared" si="130"/>
        <v>35.675624999999997</v>
      </c>
      <c r="AJ189" s="2">
        <f t="shared" si="131"/>
        <v>5.351343749999999</v>
      </c>
      <c r="AK189" s="2">
        <f t="shared" si="110"/>
        <v>0.53849999999999998</v>
      </c>
      <c r="AL189" s="2">
        <f t="shared" si="111"/>
        <v>16.155000000000001</v>
      </c>
      <c r="AM189" s="2">
        <f t="shared" si="132"/>
        <v>91.720468749999995</v>
      </c>
      <c r="AN189" s="2">
        <f t="shared" si="112"/>
        <v>80</v>
      </c>
      <c r="AO189" s="2">
        <f t="shared" si="113"/>
        <v>68</v>
      </c>
      <c r="AP189" s="2">
        <f t="shared" si="114"/>
        <v>142.70249999999999</v>
      </c>
      <c r="AQ189" s="2">
        <f t="shared" si="133"/>
        <v>222.70249999999999</v>
      </c>
      <c r="AR189" s="2">
        <f t="shared" si="134"/>
        <v>33.405374999999999</v>
      </c>
      <c r="AS189" s="2">
        <f t="shared" si="115"/>
        <v>0.53849999999999998</v>
      </c>
      <c r="AT189" s="2">
        <f t="shared" si="116"/>
        <v>16.155000000000001</v>
      </c>
      <c r="AU189" s="2">
        <f t="shared" si="135"/>
        <v>340.80137500000001</v>
      </c>
      <c r="AV189" s="2">
        <f t="shared" si="117"/>
        <v>26.925000000000001</v>
      </c>
      <c r="AW189" s="2">
        <f t="shared" si="118"/>
        <v>13.600000000000001</v>
      </c>
      <c r="AX189" s="2">
        <f t="shared" si="119"/>
        <v>5.6542499999999993</v>
      </c>
      <c r="AY189" s="2">
        <f t="shared" si="136"/>
        <v>32.579250000000002</v>
      </c>
      <c r="AZ189" s="2">
        <f t="shared" si="137"/>
        <v>4.8868875000000003</v>
      </c>
      <c r="BA189" s="2">
        <f t="shared" si="120"/>
        <v>0.53849999999999998</v>
      </c>
      <c r="BB189" s="2">
        <f t="shared" si="121"/>
        <v>16.155000000000001</v>
      </c>
      <c r="BC189" s="2">
        <f t="shared" si="138"/>
        <v>67.759637499999997</v>
      </c>
      <c r="BD189" s="2">
        <v>0</v>
      </c>
      <c r="BE189" s="2">
        <f t="shared" si="122"/>
        <v>269.25</v>
      </c>
      <c r="BF189" s="2">
        <f t="shared" si="123"/>
        <v>8.7506249999999994</v>
      </c>
      <c r="BG189" s="2">
        <f t="shared" si="139"/>
        <v>8.7506249999999994</v>
      </c>
      <c r="BH189" s="2">
        <f t="shared" si="140"/>
        <v>1.3125937499999998</v>
      </c>
      <c r="BI189" s="2">
        <f t="shared" si="124"/>
        <v>0.53849999999999998</v>
      </c>
      <c r="BJ189" s="2">
        <f t="shared" si="125"/>
        <v>16.155000000000001</v>
      </c>
      <c r="BK189" s="2">
        <f t="shared" si="141"/>
        <v>296.00671875</v>
      </c>
      <c r="BL189" s="2">
        <f t="shared" si="126"/>
        <v>133250</v>
      </c>
      <c r="BM189" s="2">
        <f t="shared" si="127"/>
        <v>136000</v>
      </c>
      <c r="BN189" s="2">
        <f t="shared" si="142"/>
        <v>269250</v>
      </c>
    </row>
    <row r="190" spans="1:66" x14ac:dyDescent="0.25">
      <c r="A190" s="42">
        <v>187</v>
      </c>
      <c r="B190" s="43">
        <v>42852</v>
      </c>
      <c r="C190" s="42" t="s">
        <v>50</v>
      </c>
      <c r="D190" s="42" t="s">
        <v>164</v>
      </c>
      <c r="E190" s="6">
        <f t="shared" si="128"/>
        <v>-252.93318000000272</v>
      </c>
      <c r="F190" s="5" t="str">
        <f t="shared" si="143"/>
        <v>Loss</v>
      </c>
      <c r="G190" s="4">
        <f t="shared" si="144"/>
        <v>-192.00000000000273</v>
      </c>
      <c r="H190" s="46">
        <v>480</v>
      </c>
      <c r="I190" s="42">
        <v>187.3</v>
      </c>
      <c r="N190" s="5">
        <f t="shared" si="145"/>
        <v>480</v>
      </c>
      <c r="O190" s="4">
        <f t="shared" si="146"/>
        <v>187.3</v>
      </c>
      <c r="P190" s="5">
        <f t="shared" si="101"/>
        <v>480</v>
      </c>
      <c r="Q190" s="42">
        <v>186.9</v>
      </c>
      <c r="R190" s="2">
        <f t="shared" si="149"/>
        <v>0</v>
      </c>
      <c r="T190" s="2">
        <f t="shared" si="129"/>
        <v>0</v>
      </c>
      <c r="V190" s="5">
        <f t="shared" si="147"/>
        <v>480</v>
      </c>
      <c r="W190" s="4">
        <f t="shared" si="148"/>
        <v>186.9</v>
      </c>
      <c r="X190" s="14">
        <f t="shared" si="102"/>
        <v>-0.40000000000000568</v>
      </c>
      <c r="Y190" s="5">
        <f t="shared" si="103"/>
        <v>-192.00000000000273</v>
      </c>
      <c r="Z190" s="2">
        <f t="shared" si="104"/>
        <v>0</v>
      </c>
      <c r="AA190" s="4">
        <f t="shared" si="105"/>
        <v>0</v>
      </c>
      <c r="AB190" s="13">
        <f t="shared" si="106"/>
        <v>60.93318</v>
      </c>
      <c r="AC190" s="10">
        <f>SUM($E$4:E190)</f>
        <v>-11855.183968545665</v>
      </c>
      <c r="AD190" s="20">
        <f>SUM($AB$4:AB190)</f>
        <v>9349.4309685456228</v>
      </c>
      <c r="AF190" s="28">
        <f t="shared" si="107"/>
        <v>17.961600000000001</v>
      </c>
      <c r="AG190" s="2">
        <f t="shared" si="108"/>
        <v>22.428000000000001</v>
      </c>
      <c r="AH190" s="2">
        <f t="shared" si="109"/>
        <v>5.8375199999999996</v>
      </c>
      <c r="AI190" s="2">
        <f t="shared" si="130"/>
        <v>23.799120000000002</v>
      </c>
      <c r="AJ190" s="2">
        <f t="shared" si="131"/>
        <v>3.569868</v>
      </c>
      <c r="AK190" s="2">
        <f t="shared" si="110"/>
        <v>0.359232</v>
      </c>
      <c r="AL190" s="2">
        <f t="shared" si="111"/>
        <v>10.776960000000001</v>
      </c>
      <c r="AM190" s="2">
        <f t="shared" si="132"/>
        <v>60.93318</v>
      </c>
      <c r="AN190" s="2">
        <f t="shared" si="112"/>
        <v>40</v>
      </c>
      <c r="AO190" s="2">
        <f t="shared" si="113"/>
        <v>44.856000000000002</v>
      </c>
      <c r="AP190" s="2">
        <f t="shared" si="114"/>
        <v>95.196479999999994</v>
      </c>
      <c r="AQ190" s="2">
        <f t="shared" si="133"/>
        <v>135.19648000000001</v>
      </c>
      <c r="AR190" s="2">
        <f t="shared" si="134"/>
        <v>20.279472000000002</v>
      </c>
      <c r="AS190" s="2">
        <f t="shared" si="115"/>
        <v>0.359232</v>
      </c>
      <c r="AT190" s="2">
        <f t="shared" si="116"/>
        <v>10.776960000000001</v>
      </c>
      <c r="AU190" s="2">
        <f t="shared" si="135"/>
        <v>211.468144</v>
      </c>
      <c r="AV190" s="2">
        <f t="shared" si="117"/>
        <v>17.961600000000001</v>
      </c>
      <c r="AW190" s="2">
        <f t="shared" si="118"/>
        <v>8.9711999999999996</v>
      </c>
      <c r="AX190" s="2">
        <f t="shared" si="119"/>
        <v>3.7719359999999997</v>
      </c>
      <c r="AY190" s="2">
        <f t="shared" si="136"/>
        <v>21.733536000000001</v>
      </c>
      <c r="AZ190" s="2">
        <f t="shared" si="137"/>
        <v>3.2600304000000002</v>
      </c>
      <c r="BA190" s="2">
        <f t="shared" si="120"/>
        <v>0.359232</v>
      </c>
      <c r="BB190" s="2">
        <f t="shared" si="121"/>
        <v>10.776960000000001</v>
      </c>
      <c r="BC190" s="2">
        <f t="shared" si="138"/>
        <v>45.100958400000003</v>
      </c>
      <c r="BD190" s="2">
        <v>0</v>
      </c>
      <c r="BE190" s="2">
        <f t="shared" si="122"/>
        <v>179.61600000000001</v>
      </c>
      <c r="BF190" s="2">
        <f t="shared" si="123"/>
        <v>5.8375199999999996</v>
      </c>
      <c r="BG190" s="2">
        <f t="shared" si="139"/>
        <v>5.8375199999999996</v>
      </c>
      <c r="BH190" s="2">
        <f t="shared" si="140"/>
        <v>0.87562799999999996</v>
      </c>
      <c r="BI190" s="2">
        <f t="shared" si="124"/>
        <v>0.359232</v>
      </c>
      <c r="BJ190" s="2">
        <f t="shared" si="125"/>
        <v>10.776960000000001</v>
      </c>
      <c r="BK190" s="2">
        <f t="shared" si="141"/>
        <v>197.46534000000003</v>
      </c>
      <c r="BL190" s="2">
        <f t="shared" si="126"/>
        <v>89904</v>
      </c>
      <c r="BM190" s="2">
        <f t="shared" si="127"/>
        <v>89712</v>
      </c>
      <c r="BN190" s="2">
        <f t="shared" si="142"/>
        <v>179616</v>
      </c>
    </row>
    <row r="191" spans="1:66" x14ac:dyDescent="0.25">
      <c r="A191" s="42">
        <v>188</v>
      </c>
      <c r="B191" s="43">
        <v>42852</v>
      </c>
      <c r="C191" s="42" t="s">
        <v>50</v>
      </c>
      <c r="D191" s="42" t="s">
        <v>163</v>
      </c>
      <c r="E191" s="6">
        <f t="shared" si="128"/>
        <v>-409.95172500000228</v>
      </c>
      <c r="F191" s="5" t="str">
        <f t="shared" si="143"/>
        <v>Loss</v>
      </c>
      <c r="G191" s="4">
        <f t="shared" si="144"/>
        <v>-360.00000000000227</v>
      </c>
      <c r="H191" s="46">
        <v>800</v>
      </c>
      <c r="I191" s="42">
        <v>92.3</v>
      </c>
      <c r="N191" s="5">
        <f t="shared" si="145"/>
        <v>800</v>
      </c>
      <c r="O191" s="4">
        <f t="shared" si="146"/>
        <v>92.3</v>
      </c>
      <c r="P191" s="5">
        <f t="shared" si="101"/>
        <v>800</v>
      </c>
      <c r="Q191" s="42">
        <v>91.85</v>
      </c>
      <c r="R191" s="2">
        <f t="shared" si="149"/>
        <v>0</v>
      </c>
      <c r="T191" s="2">
        <f t="shared" si="129"/>
        <v>0</v>
      </c>
      <c r="V191" s="5">
        <f t="shared" si="147"/>
        <v>800</v>
      </c>
      <c r="W191" s="4">
        <f t="shared" si="148"/>
        <v>91.85</v>
      </c>
      <c r="X191" s="14">
        <f t="shared" si="102"/>
        <v>-0.45000000000000284</v>
      </c>
      <c r="Y191" s="5">
        <f t="shared" si="103"/>
        <v>-360.00000000000227</v>
      </c>
      <c r="Z191" s="2">
        <f t="shared" si="104"/>
        <v>0</v>
      </c>
      <c r="AA191" s="4">
        <f t="shared" si="105"/>
        <v>0</v>
      </c>
      <c r="AB191" s="13">
        <f t="shared" si="106"/>
        <v>49.951725000000003</v>
      </c>
      <c r="AC191" s="10">
        <f>SUM($E$4:E191)</f>
        <v>-12265.135693545668</v>
      </c>
      <c r="AD191" s="20">
        <f>SUM($AB$4:AB191)</f>
        <v>9399.3826935456236</v>
      </c>
      <c r="AF191" s="28">
        <f t="shared" si="107"/>
        <v>14.732000000000001</v>
      </c>
      <c r="AG191" s="2">
        <f t="shared" si="108"/>
        <v>18.37</v>
      </c>
      <c r="AH191" s="2">
        <f t="shared" si="109"/>
        <v>4.7878999999999996</v>
      </c>
      <c r="AI191" s="2">
        <f t="shared" si="130"/>
        <v>19.5199</v>
      </c>
      <c r="AJ191" s="2">
        <f t="shared" si="131"/>
        <v>2.9279850000000001</v>
      </c>
      <c r="AK191" s="2">
        <f t="shared" si="110"/>
        <v>0.29464000000000001</v>
      </c>
      <c r="AL191" s="2">
        <f t="shared" si="111"/>
        <v>8.8391999999999999</v>
      </c>
      <c r="AM191" s="2">
        <f t="shared" si="132"/>
        <v>49.951725000000003</v>
      </c>
      <c r="AN191" s="2">
        <f t="shared" si="112"/>
        <v>40</v>
      </c>
      <c r="AO191" s="2">
        <f t="shared" si="113"/>
        <v>36.74</v>
      </c>
      <c r="AP191" s="2">
        <f t="shared" si="114"/>
        <v>78.079599999999999</v>
      </c>
      <c r="AQ191" s="2">
        <f t="shared" si="133"/>
        <v>118.0796</v>
      </c>
      <c r="AR191" s="2">
        <f t="shared" si="134"/>
        <v>17.711939999999998</v>
      </c>
      <c r="AS191" s="2">
        <f t="shared" si="115"/>
        <v>0.29464000000000001</v>
      </c>
      <c r="AT191" s="2">
        <f t="shared" si="116"/>
        <v>8.8391999999999999</v>
      </c>
      <c r="AU191" s="2">
        <f t="shared" si="135"/>
        <v>181.66538</v>
      </c>
      <c r="AV191" s="2">
        <f t="shared" si="117"/>
        <v>14.732000000000001</v>
      </c>
      <c r="AW191" s="2">
        <f t="shared" si="118"/>
        <v>7.3479999999999999</v>
      </c>
      <c r="AX191" s="2">
        <f t="shared" si="119"/>
        <v>3.0937199999999998</v>
      </c>
      <c r="AY191" s="2">
        <f t="shared" si="136"/>
        <v>17.82572</v>
      </c>
      <c r="AZ191" s="2">
        <f t="shared" si="137"/>
        <v>2.6738580000000001</v>
      </c>
      <c r="BA191" s="2">
        <f t="shared" si="120"/>
        <v>0.29464000000000001</v>
      </c>
      <c r="BB191" s="2">
        <f t="shared" si="121"/>
        <v>8.8391999999999999</v>
      </c>
      <c r="BC191" s="2">
        <f t="shared" si="138"/>
        <v>36.981418000000005</v>
      </c>
      <c r="BD191" s="2">
        <v>0</v>
      </c>
      <c r="BE191" s="2">
        <f t="shared" si="122"/>
        <v>147.32</v>
      </c>
      <c r="BF191" s="2">
        <f t="shared" si="123"/>
        <v>4.7878999999999996</v>
      </c>
      <c r="BG191" s="2">
        <f t="shared" si="139"/>
        <v>4.7878999999999996</v>
      </c>
      <c r="BH191" s="2">
        <f t="shared" si="140"/>
        <v>0.71818499999999996</v>
      </c>
      <c r="BI191" s="2">
        <f t="shared" si="124"/>
        <v>0.29464000000000001</v>
      </c>
      <c r="BJ191" s="2">
        <f t="shared" si="125"/>
        <v>8.8391999999999999</v>
      </c>
      <c r="BK191" s="2">
        <f t="shared" si="141"/>
        <v>161.959925</v>
      </c>
      <c r="BL191" s="2">
        <f t="shared" si="126"/>
        <v>73840</v>
      </c>
      <c r="BM191" s="2">
        <f t="shared" si="127"/>
        <v>73480</v>
      </c>
      <c r="BN191" s="2">
        <f t="shared" si="142"/>
        <v>147320</v>
      </c>
    </row>
    <row r="192" spans="1:66" x14ac:dyDescent="0.25">
      <c r="A192" s="42">
        <v>189</v>
      </c>
      <c r="B192" s="43">
        <v>42852</v>
      </c>
      <c r="C192" s="42" t="s">
        <v>50</v>
      </c>
      <c r="D192" s="42" t="s">
        <v>167</v>
      </c>
      <c r="E192" s="6">
        <f t="shared" si="128"/>
        <v>339.5235187500034</v>
      </c>
      <c r="F192" s="5" t="str">
        <f t="shared" si="143"/>
        <v>Win</v>
      </c>
      <c r="G192" s="4">
        <f t="shared" si="144"/>
        <v>390.00000000000341</v>
      </c>
      <c r="H192" s="46">
        <v>600</v>
      </c>
      <c r="I192" s="42">
        <v>123.5</v>
      </c>
      <c r="N192" s="5">
        <f t="shared" si="145"/>
        <v>600</v>
      </c>
      <c r="O192" s="4">
        <f t="shared" si="146"/>
        <v>123.5</v>
      </c>
      <c r="P192" s="5">
        <f t="shared" si="101"/>
        <v>600</v>
      </c>
      <c r="Q192" s="42">
        <v>124.15</v>
      </c>
      <c r="R192" s="2">
        <f t="shared" si="149"/>
        <v>0</v>
      </c>
      <c r="T192" s="2">
        <f t="shared" si="129"/>
        <v>0</v>
      </c>
      <c r="V192" s="5">
        <f t="shared" si="147"/>
        <v>600</v>
      </c>
      <c r="W192" s="4">
        <f t="shared" si="148"/>
        <v>124.15</v>
      </c>
      <c r="X192" s="14">
        <f t="shared" si="102"/>
        <v>0.65000000000000568</v>
      </c>
      <c r="Y192" s="5">
        <f t="shared" si="103"/>
        <v>390.00000000000341</v>
      </c>
      <c r="Z192" s="2">
        <f t="shared" si="104"/>
        <v>0</v>
      </c>
      <c r="AA192" s="4">
        <f t="shared" si="105"/>
        <v>0</v>
      </c>
      <c r="AB192" s="13">
        <f t="shared" si="106"/>
        <v>50.476481249999992</v>
      </c>
      <c r="AC192" s="10">
        <f>SUM($E$4:E192)</f>
        <v>-11925.612174795664</v>
      </c>
      <c r="AD192" s="20">
        <f>SUM($AB$4:AB192)</f>
        <v>9449.8591747956234</v>
      </c>
      <c r="AF192" s="28">
        <f t="shared" si="107"/>
        <v>14.859</v>
      </c>
      <c r="AG192" s="2">
        <f t="shared" si="108"/>
        <v>18.622499999999999</v>
      </c>
      <c r="AH192" s="2">
        <f t="shared" si="109"/>
        <v>4.8291749999999993</v>
      </c>
      <c r="AI192" s="2">
        <f t="shared" si="130"/>
        <v>19.688175000000001</v>
      </c>
      <c r="AJ192" s="2">
        <f t="shared" si="131"/>
        <v>2.9532262500000002</v>
      </c>
      <c r="AK192" s="2">
        <f t="shared" si="110"/>
        <v>0.29718</v>
      </c>
      <c r="AL192" s="2">
        <f t="shared" si="111"/>
        <v>8.9154</v>
      </c>
      <c r="AM192" s="2">
        <f t="shared" si="132"/>
        <v>50.476481249999992</v>
      </c>
      <c r="AN192" s="2">
        <f t="shared" si="112"/>
        <v>40</v>
      </c>
      <c r="AO192" s="2">
        <f t="shared" si="113"/>
        <v>37.244999999999997</v>
      </c>
      <c r="AP192" s="2">
        <f t="shared" si="114"/>
        <v>78.75269999999999</v>
      </c>
      <c r="AQ192" s="2">
        <f t="shared" si="133"/>
        <v>118.75269999999999</v>
      </c>
      <c r="AR192" s="2">
        <f t="shared" si="134"/>
        <v>17.812904999999997</v>
      </c>
      <c r="AS192" s="2">
        <f t="shared" si="115"/>
        <v>0.29718</v>
      </c>
      <c r="AT192" s="2">
        <f t="shared" si="116"/>
        <v>8.9154</v>
      </c>
      <c r="AU192" s="2">
        <f t="shared" si="135"/>
        <v>183.02318500000001</v>
      </c>
      <c r="AV192" s="2">
        <f t="shared" si="117"/>
        <v>14.859</v>
      </c>
      <c r="AW192" s="2">
        <f t="shared" si="118"/>
        <v>7.4490000000000007</v>
      </c>
      <c r="AX192" s="2">
        <f t="shared" si="119"/>
        <v>3.12039</v>
      </c>
      <c r="AY192" s="2">
        <f t="shared" si="136"/>
        <v>17.979389999999999</v>
      </c>
      <c r="AZ192" s="2">
        <f t="shared" si="137"/>
        <v>2.6969084999999997</v>
      </c>
      <c r="BA192" s="2">
        <f t="shared" si="120"/>
        <v>0.29718</v>
      </c>
      <c r="BB192" s="2">
        <f t="shared" si="121"/>
        <v>8.9154</v>
      </c>
      <c r="BC192" s="2">
        <f t="shared" si="138"/>
        <v>37.337878500000002</v>
      </c>
      <c r="BD192" s="2">
        <v>0</v>
      </c>
      <c r="BE192" s="2">
        <f t="shared" si="122"/>
        <v>148.59</v>
      </c>
      <c r="BF192" s="2">
        <f t="shared" si="123"/>
        <v>4.8291749999999993</v>
      </c>
      <c r="BG192" s="2">
        <f t="shared" si="139"/>
        <v>4.8291749999999993</v>
      </c>
      <c r="BH192" s="2">
        <f t="shared" si="140"/>
        <v>0.72437624999999983</v>
      </c>
      <c r="BI192" s="2">
        <f t="shared" si="124"/>
        <v>0.29718</v>
      </c>
      <c r="BJ192" s="2">
        <f t="shared" si="125"/>
        <v>8.9154</v>
      </c>
      <c r="BK192" s="2">
        <f t="shared" si="141"/>
        <v>163.35613125</v>
      </c>
      <c r="BL192" s="2">
        <f t="shared" si="126"/>
        <v>74100</v>
      </c>
      <c r="BM192" s="2">
        <f t="shared" si="127"/>
        <v>74490</v>
      </c>
      <c r="BN192" s="2">
        <f t="shared" si="142"/>
        <v>148590</v>
      </c>
    </row>
    <row r="193" spans="1:66" x14ac:dyDescent="0.25">
      <c r="A193" s="42">
        <v>190</v>
      </c>
      <c r="B193" s="43">
        <v>42852</v>
      </c>
      <c r="C193" s="42" t="s">
        <v>50</v>
      </c>
      <c r="D193" s="42" t="s">
        <v>167</v>
      </c>
      <c r="E193" s="6">
        <f t="shared" si="128"/>
        <v>220.31229375000169</v>
      </c>
      <c r="F193" s="5" t="str">
        <f t="shared" si="143"/>
        <v>Win</v>
      </c>
      <c r="G193" s="4">
        <f t="shared" si="144"/>
        <v>270.00000000000171</v>
      </c>
      <c r="H193" s="46">
        <v>600</v>
      </c>
      <c r="I193" s="42">
        <v>121.7</v>
      </c>
      <c r="N193" s="5">
        <f t="shared" si="145"/>
        <v>600</v>
      </c>
      <c r="O193" s="4">
        <f t="shared" si="146"/>
        <v>121.7</v>
      </c>
      <c r="P193" s="5">
        <f t="shared" si="101"/>
        <v>600</v>
      </c>
      <c r="Q193" s="42">
        <v>122.15</v>
      </c>
      <c r="R193" s="2">
        <f t="shared" si="149"/>
        <v>0</v>
      </c>
      <c r="T193" s="2">
        <f t="shared" si="129"/>
        <v>0</v>
      </c>
      <c r="V193" s="5">
        <f t="shared" si="147"/>
        <v>600</v>
      </c>
      <c r="W193" s="4">
        <f t="shared" si="148"/>
        <v>122.15</v>
      </c>
      <c r="X193" s="14">
        <f t="shared" si="102"/>
        <v>0.45000000000000284</v>
      </c>
      <c r="Y193" s="5">
        <f t="shared" si="103"/>
        <v>270.00000000000171</v>
      </c>
      <c r="Z193" s="2">
        <f t="shared" si="104"/>
        <v>0</v>
      </c>
      <c r="AA193" s="4">
        <f t="shared" si="105"/>
        <v>0</v>
      </c>
      <c r="AB193" s="13">
        <f t="shared" si="106"/>
        <v>49.687706250000005</v>
      </c>
      <c r="AC193" s="10">
        <f>SUM($E$4:E193)</f>
        <v>-11705.299881045663</v>
      </c>
      <c r="AD193" s="20">
        <f>SUM($AB$4:AB193)</f>
        <v>9499.5468810456241</v>
      </c>
      <c r="AF193" s="28">
        <f t="shared" si="107"/>
        <v>14.631</v>
      </c>
      <c r="AG193" s="2">
        <f t="shared" si="108"/>
        <v>18.322500000000002</v>
      </c>
      <c r="AH193" s="2">
        <f t="shared" si="109"/>
        <v>4.7550749999999997</v>
      </c>
      <c r="AI193" s="2">
        <f t="shared" si="130"/>
        <v>19.386074999999998</v>
      </c>
      <c r="AJ193" s="2">
        <f t="shared" si="131"/>
        <v>2.9079112499999997</v>
      </c>
      <c r="AK193" s="2">
        <f t="shared" si="110"/>
        <v>0.29261999999999999</v>
      </c>
      <c r="AL193" s="2">
        <f t="shared" si="111"/>
        <v>8.7786000000000008</v>
      </c>
      <c r="AM193" s="2">
        <f t="shared" si="132"/>
        <v>49.687706250000005</v>
      </c>
      <c r="AN193" s="2">
        <f t="shared" si="112"/>
        <v>40</v>
      </c>
      <c r="AO193" s="2">
        <f t="shared" si="113"/>
        <v>36.645000000000003</v>
      </c>
      <c r="AP193" s="2">
        <f t="shared" si="114"/>
        <v>77.544299999999993</v>
      </c>
      <c r="AQ193" s="2">
        <f t="shared" si="133"/>
        <v>117.54429999999999</v>
      </c>
      <c r="AR193" s="2">
        <f t="shared" si="134"/>
        <v>17.631644999999999</v>
      </c>
      <c r="AS193" s="2">
        <f t="shared" si="115"/>
        <v>0.29261999999999999</v>
      </c>
      <c r="AT193" s="2">
        <f t="shared" si="116"/>
        <v>8.7786000000000008</v>
      </c>
      <c r="AU193" s="2">
        <f t="shared" si="135"/>
        <v>180.89216500000001</v>
      </c>
      <c r="AV193" s="2">
        <f t="shared" si="117"/>
        <v>14.631</v>
      </c>
      <c r="AW193" s="2">
        <f t="shared" si="118"/>
        <v>7.3290000000000006</v>
      </c>
      <c r="AX193" s="2">
        <f t="shared" si="119"/>
        <v>3.0725099999999999</v>
      </c>
      <c r="AY193" s="2">
        <f t="shared" si="136"/>
        <v>17.703510000000001</v>
      </c>
      <c r="AZ193" s="2">
        <f t="shared" si="137"/>
        <v>2.6555265000000001</v>
      </c>
      <c r="BA193" s="2">
        <f t="shared" si="120"/>
        <v>0.29261999999999999</v>
      </c>
      <c r="BB193" s="2">
        <f t="shared" si="121"/>
        <v>8.7786000000000008</v>
      </c>
      <c r="BC193" s="2">
        <f t="shared" si="138"/>
        <v>36.759256500000006</v>
      </c>
      <c r="BD193" s="2">
        <v>0</v>
      </c>
      <c r="BE193" s="2">
        <f t="shared" si="122"/>
        <v>146.31</v>
      </c>
      <c r="BF193" s="2">
        <f t="shared" si="123"/>
        <v>4.7550749999999997</v>
      </c>
      <c r="BG193" s="2">
        <f t="shared" si="139"/>
        <v>4.7550749999999997</v>
      </c>
      <c r="BH193" s="2">
        <f t="shared" si="140"/>
        <v>0.71326124999999996</v>
      </c>
      <c r="BI193" s="2">
        <f t="shared" si="124"/>
        <v>0.29261999999999999</v>
      </c>
      <c r="BJ193" s="2">
        <f t="shared" si="125"/>
        <v>8.7786000000000008</v>
      </c>
      <c r="BK193" s="2">
        <f t="shared" si="141"/>
        <v>160.84955625000001</v>
      </c>
      <c r="BL193" s="2">
        <f t="shared" si="126"/>
        <v>73020</v>
      </c>
      <c r="BM193" s="2">
        <f t="shared" si="127"/>
        <v>73290</v>
      </c>
      <c r="BN193" s="2">
        <f t="shared" si="142"/>
        <v>146310</v>
      </c>
    </row>
    <row r="194" spans="1:66" x14ac:dyDescent="0.25">
      <c r="A194" s="42">
        <v>191</v>
      </c>
      <c r="B194" s="43">
        <v>42852</v>
      </c>
      <c r="C194" s="42" t="s">
        <v>50</v>
      </c>
      <c r="D194" s="42" t="s">
        <v>167</v>
      </c>
      <c r="E194" s="6">
        <f t="shared" si="128"/>
        <v>310.61666250000513</v>
      </c>
      <c r="F194" s="5" t="str">
        <f t="shared" si="143"/>
        <v>Win</v>
      </c>
      <c r="G194" s="4">
        <f t="shared" si="144"/>
        <v>360.00000000000512</v>
      </c>
      <c r="H194" s="46">
        <v>600</v>
      </c>
      <c r="I194" s="42">
        <v>120.85</v>
      </c>
      <c r="N194" s="5">
        <f t="shared" si="145"/>
        <v>600</v>
      </c>
      <c r="O194" s="4">
        <f t="shared" si="146"/>
        <v>120.85</v>
      </c>
      <c r="P194" s="5">
        <f t="shared" si="101"/>
        <v>600</v>
      </c>
      <c r="Q194" s="42">
        <v>121.45</v>
      </c>
      <c r="R194" s="2">
        <f t="shared" si="149"/>
        <v>0</v>
      </c>
      <c r="T194" s="2">
        <f t="shared" si="129"/>
        <v>0</v>
      </c>
      <c r="V194" s="5">
        <f t="shared" si="147"/>
        <v>600</v>
      </c>
      <c r="W194" s="4">
        <f t="shared" si="148"/>
        <v>121.45</v>
      </c>
      <c r="X194" s="14">
        <f t="shared" si="102"/>
        <v>0.60000000000000853</v>
      </c>
      <c r="Y194" s="5">
        <f t="shared" si="103"/>
        <v>360.00000000000512</v>
      </c>
      <c r="Z194" s="2">
        <f t="shared" si="104"/>
        <v>0</v>
      </c>
      <c r="AA194" s="4">
        <f t="shared" si="105"/>
        <v>0</v>
      </c>
      <c r="AB194" s="13">
        <f t="shared" si="106"/>
        <v>49.383337499999996</v>
      </c>
      <c r="AC194" s="10">
        <f>SUM($E$4:E194)</f>
        <v>-11394.683218545657</v>
      </c>
      <c r="AD194" s="20">
        <f>SUM($AB$4:AB194)</f>
        <v>9548.9302185456236</v>
      </c>
      <c r="AF194" s="28">
        <f t="shared" si="107"/>
        <v>14.538</v>
      </c>
      <c r="AG194" s="2">
        <f t="shared" si="108"/>
        <v>18.217500000000001</v>
      </c>
      <c r="AH194" s="2">
        <f t="shared" si="109"/>
        <v>4.72485</v>
      </c>
      <c r="AI194" s="2">
        <f t="shared" si="130"/>
        <v>19.26285</v>
      </c>
      <c r="AJ194" s="2">
        <f t="shared" si="131"/>
        <v>2.8894275</v>
      </c>
      <c r="AK194" s="2">
        <f t="shared" si="110"/>
        <v>0.29076000000000002</v>
      </c>
      <c r="AL194" s="2">
        <f t="shared" si="111"/>
        <v>8.7227999999999994</v>
      </c>
      <c r="AM194" s="2">
        <f t="shared" si="132"/>
        <v>49.383337499999996</v>
      </c>
      <c r="AN194" s="2">
        <f t="shared" si="112"/>
        <v>40</v>
      </c>
      <c r="AO194" s="2">
        <f t="shared" si="113"/>
        <v>36.435000000000002</v>
      </c>
      <c r="AP194" s="2">
        <f t="shared" si="114"/>
        <v>77.051400000000001</v>
      </c>
      <c r="AQ194" s="2">
        <f t="shared" si="133"/>
        <v>117.0514</v>
      </c>
      <c r="AR194" s="2">
        <f t="shared" si="134"/>
        <v>17.55771</v>
      </c>
      <c r="AS194" s="2">
        <f t="shared" si="115"/>
        <v>0.29076000000000002</v>
      </c>
      <c r="AT194" s="2">
        <f t="shared" si="116"/>
        <v>8.7227999999999994</v>
      </c>
      <c r="AU194" s="2">
        <f t="shared" si="135"/>
        <v>180.05767</v>
      </c>
      <c r="AV194" s="2">
        <f t="shared" si="117"/>
        <v>14.538</v>
      </c>
      <c r="AW194" s="2">
        <f t="shared" si="118"/>
        <v>7.2870000000000008</v>
      </c>
      <c r="AX194" s="2">
        <f t="shared" si="119"/>
        <v>3.0529799999999998</v>
      </c>
      <c r="AY194" s="2">
        <f t="shared" si="136"/>
        <v>17.590980000000002</v>
      </c>
      <c r="AZ194" s="2">
        <f t="shared" si="137"/>
        <v>2.6386470000000002</v>
      </c>
      <c r="BA194" s="2">
        <f t="shared" si="120"/>
        <v>0.29076000000000002</v>
      </c>
      <c r="BB194" s="2">
        <f t="shared" si="121"/>
        <v>8.7227999999999994</v>
      </c>
      <c r="BC194" s="2">
        <f t="shared" si="138"/>
        <v>36.530186999999998</v>
      </c>
      <c r="BD194" s="2">
        <v>0</v>
      </c>
      <c r="BE194" s="2">
        <f t="shared" si="122"/>
        <v>145.38</v>
      </c>
      <c r="BF194" s="2">
        <f t="shared" si="123"/>
        <v>4.72485</v>
      </c>
      <c r="BG194" s="2">
        <f t="shared" si="139"/>
        <v>4.72485</v>
      </c>
      <c r="BH194" s="2">
        <f t="shared" si="140"/>
        <v>0.70872749999999995</v>
      </c>
      <c r="BI194" s="2">
        <f t="shared" si="124"/>
        <v>0.29076000000000002</v>
      </c>
      <c r="BJ194" s="2">
        <f t="shared" si="125"/>
        <v>8.7227999999999994</v>
      </c>
      <c r="BK194" s="2">
        <f t="shared" si="141"/>
        <v>159.82713750000002</v>
      </c>
      <c r="BL194" s="2">
        <f t="shared" si="126"/>
        <v>72510</v>
      </c>
      <c r="BM194" s="2">
        <f t="shared" si="127"/>
        <v>72870</v>
      </c>
      <c r="BN194" s="2">
        <f t="shared" si="142"/>
        <v>145380</v>
      </c>
    </row>
    <row r="195" spans="1:66" x14ac:dyDescent="0.25">
      <c r="A195" s="42">
        <v>192</v>
      </c>
      <c r="B195" s="43">
        <v>42852</v>
      </c>
      <c r="C195" s="42" t="s">
        <v>50</v>
      </c>
      <c r="D195" s="42" t="s">
        <v>167</v>
      </c>
      <c r="E195" s="6">
        <f t="shared" si="128"/>
        <v>1631.2998562499993</v>
      </c>
      <c r="F195" s="5" t="str">
        <f t="shared" si="143"/>
        <v>Win</v>
      </c>
      <c r="G195" s="4">
        <f t="shared" si="144"/>
        <v>1678.1999999999994</v>
      </c>
      <c r="H195" s="46">
        <v>426</v>
      </c>
      <c r="I195" s="42">
        <v>113</v>
      </c>
      <c r="J195" s="42">
        <v>174</v>
      </c>
      <c r="K195" s="42">
        <v>113.7</v>
      </c>
      <c r="N195" s="5">
        <f t="shared" si="145"/>
        <v>600</v>
      </c>
      <c r="O195" s="4">
        <f t="shared" si="146"/>
        <v>113.35</v>
      </c>
      <c r="P195" s="5">
        <f t="shared" si="101"/>
        <v>426</v>
      </c>
      <c r="Q195" s="42">
        <v>116</v>
      </c>
      <c r="R195" s="2">
        <f t="shared" si="149"/>
        <v>174</v>
      </c>
      <c r="S195" s="42">
        <v>116</v>
      </c>
      <c r="T195" s="2">
        <f t="shared" si="129"/>
        <v>0</v>
      </c>
      <c r="V195" s="5">
        <f t="shared" si="147"/>
        <v>600</v>
      </c>
      <c r="W195" s="4">
        <f t="shared" si="148"/>
        <v>116</v>
      </c>
      <c r="X195" s="14">
        <f t="shared" si="102"/>
        <v>3</v>
      </c>
      <c r="Y195" s="5">
        <f t="shared" si="103"/>
        <v>1278</v>
      </c>
      <c r="Z195" s="2">
        <f t="shared" si="104"/>
        <v>400.19999999999948</v>
      </c>
      <c r="AA195" s="4">
        <f t="shared" si="105"/>
        <v>0</v>
      </c>
      <c r="AB195" s="13">
        <f t="shared" si="106"/>
        <v>46.900143749999998</v>
      </c>
      <c r="AC195" s="10">
        <f>SUM($E$4:E195)</f>
        <v>-9763.3833622956572</v>
      </c>
      <c r="AD195" s="20">
        <f>SUM($AB$4:AB195)</f>
        <v>9595.8303622956228</v>
      </c>
      <c r="AF195" s="28">
        <f t="shared" si="107"/>
        <v>13.761000000000001</v>
      </c>
      <c r="AG195" s="2">
        <f t="shared" si="108"/>
        <v>17.399999999999999</v>
      </c>
      <c r="AH195" s="2">
        <f t="shared" si="109"/>
        <v>4.4723249999999997</v>
      </c>
      <c r="AI195" s="2">
        <f t="shared" si="130"/>
        <v>18.233325000000001</v>
      </c>
      <c r="AJ195" s="2">
        <f t="shared" si="131"/>
        <v>2.7349987499999999</v>
      </c>
      <c r="AK195" s="2">
        <f t="shared" si="110"/>
        <v>0.27522000000000002</v>
      </c>
      <c r="AL195" s="2">
        <f t="shared" si="111"/>
        <v>8.2566000000000006</v>
      </c>
      <c r="AM195" s="2">
        <f t="shared" si="132"/>
        <v>46.900143749999998</v>
      </c>
      <c r="AN195" s="2">
        <f t="shared" si="112"/>
        <v>80</v>
      </c>
      <c r="AO195" s="2">
        <f t="shared" si="113"/>
        <v>34.799999999999997</v>
      </c>
      <c r="AP195" s="2">
        <f t="shared" si="114"/>
        <v>72.933300000000003</v>
      </c>
      <c r="AQ195" s="2">
        <f t="shared" si="133"/>
        <v>152.9333</v>
      </c>
      <c r="AR195" s="2">
        <f t="shared" si="134"/>
        <v>22.939995</v>
      </c>
      <c r="AS195" s="2">
        <f t="shared" si="115"/>
        <v>0.27522000000000002</v>
      </c>
      <c r="AT195" s="2">
        <f t="shared" si="116"/>
        <v>8.2566000000000006</v>
      </c>
      <c r="AU195" s="2">
        <f t="shared" si="135"/>
        <v>219.20511499999998</v>
      </c>
      <c r="AV195" s="2">
        <f t="shared" si="117"/>
        <v>13.761000000000001</v>
      </c>
      <c r="AW195" s="2">
        <f t="shared" si="118"/>
        <v>6.9600000000000009</v>
      </c>
      <c r="AX195" s="2">
        <f t="shared" si="119"/>
        <v>2.8898099999999998</v>
      </c>
      <c r="AY195" s="2">
        <f t="shared" si="136"/>
        <v>16.65081</v>
      </c>
      <c r="AZ195" s="2">
        <f t="shared" si="137"/>
        <v>2.4976214999999997</v>
      </c>
      <c r="BA195" s="2">
        <f t="shared" si="120"/>
        <v>0.27522000000000002</v>
      </c>
      <c r="BB195" s="2">
        <f t="shared" si="121"/>
        <v>8.2566000000000006</v>
      </c>
      <c r="BC195" s="2">
        <f t="shared" si="138"/>
        <v>34.640251500000005</v>
      </c>
      <c r="BD195" s="2">
        <v>0</v>
      </c>
      <c r="BE195" s="2">
        <f t="shared" si="122"/>
        <v>137.61000000000001</v>
      </c>
      <c r="BF195" s="2">
        <f t="shared" si="123"/>
        <v>4.4723249999999997</v>
      </c>
      <c r="BG195" s="2">
        <f t="shared" si="139"/>
        <v>4.4723249999999997</v>
      </c>
      <c r="BH195" s="2">
        <f t="shared" si="140"/>
        <v>0.67084874999999988</v>
      </c>
      <c r="BI195" s="2">
        <f t="shared" si="124"/>
        <v>0.27522000000000002</v>
      </c>
      <c r="BJ195" s="2">
        <f t="shared" si="125"/>
        <v>8.2566000000000006</v>
      </c>
      <c r="BK195" s="2">
        <f t="shared" si="141"/>
        <v>151.28499375000001</v>
      </c>
      <c r="BL195" s="2">
        <f t="shared" si="126"/>
        <v>68010</v>
      </c>
      <c r="BM195" s="2">
        <f t="shared" si="127"/>
        <v>69600</v>
      </c>
      <c r="BN195" s="2">
        <f t="shared" si="142"/>
        <v>137610</v>
      </c>
    </row>
    <row r="196" spans="1:66" x14ac:dyDescent="0.25">
      <c r="A196" s="42">
        <v>193</v>
      </c>
      <c r="B196" s="43">
        <v>42853</v>
      </c>
      <c r="C196" s="42" t="s">
        <v>50</v>
      </c>
      <c r="D196" s="42" t="s">
        <v>163</v>
      </c>
      <c r="E196" s="6">
        <f t="shared" si="128"/>
        <v>-228.87437544999995</v>
      </c>
      <c r="F196" s="5" t="str">
        <f t="shared" si="143"/>
        <v>Loss</v>
      </c>
      <c r="G196" s="4">
        <f t="shared" si="144"/>
        <v>-179.23079999999993</v>
      </c>
      <c r="H196" s="46">
        <v>758</v>
      </c>
      <c r="I196" s="42">
        <v>91.572599999999994</v>
      </c>
      <c r="J196" s="42">
        <v>42</v>
      </c>
      <c r="K196" s="42">
        <v>91.6</v>
      </c>
      <c r="N196" s="5">
        <f t="shared" si="145"/>
        <v>800</v>
      </c>
      <c r="O196" s="4">
        <f t="shared" si="146"/>
        <v>91.586299999999994</v>
      </c>
      <c r="P196" s="5">
        <f t="shared" ref="P196:P259" si="150">H196</f>
        <v>758</v>
      </c>
      <c r="Q196" s="42">
        <v>91.35</v>
      </c>
      <c r="R196" s="2">
        <f t="shared" si="149"/>
        <v>42</v>
      </c>
      <c r="S196" s="42">
        <v>91.35</v>
      </c>
      <c r="T196" s="2">
        <f t="shared" si="129"/>
        <v>0</v>
      </c>
      <c r="V196" s="5">
        <f t="shared" si="147"/>
        <v>800</v>
      </c>
      <c r="W196" s="4">
        <f t="shared" si="148"/>
        <v>91.35</v>
      </c>
      <c r="X196" s="14">
        <f t="shared" ref="X196:X259" si="151">MAX(Q196,S196,U196)-MIN(I196,K196,M196)</f>
        <v>-0.22259999999999991</v>
      </c>
      <c r="Y196" s="5">
        <f t="shared" ref="Y196:Y259" si="152">P196*(Q196-I196)</f>
        <v>-168.73079999999993</v>
      </c>
      <c r="Z196" s="2">
        <f t="shared" ref="Z196:Z259" si="153">R196*(S196-K196)</f>
        <v>-10.5</v>
      </c>
      <c r="AA196" s="4">
        <f t="shared" ref="AA196:AA259" si="154">T196*(U196-M196)</f>
        <v>0</v>
      </c>
      <c r="AB196" s="13">
        <f t="shared" ref="AB196:AB259" si="155">IF(C196="EQ Intraday",AM196,IF(C196="Index Option",AU196,IF(C196="Index Future",BC196,IF(C196="EQ Delivery",BK196,IF(C196="Stock Option",AU196,IF(C196="Stock Future",BC196,IF(C196="",0,"Error")))))))</f>
        <v>49.64357545</v>
      </c>
      <c r="AC196" s="10">
        <f>SUM($E$4:E196)</f>
        <v>-9992.2577377456564</v>
      </c>
      <c r="AD196" s="20">
        <f>SUM($AB$4:AB196)</f>
        <v>9645.4739377456226</v>
      </c>
      <c r="AF196" s="28">
        <f t="shared" ref="AF196:AF259" si="156">MIN(IF(ISBLANK(U196)=FALSE,120,IF(ISBLANK(S196)=FALSE,80,40)),(((V196*W196)+(N196*O196))*0.0001))</f>
        <v>14.634903999999999</v>
      </c>
      <c r="AG196" s="2">
        <f t="shared" ref="AG196:AG259" si="157">(0.00025*V196*W196)</f>
        <v>18.27</v>
      </c>
      <c r="AH196" s="2">
        <f t="shared" ref="AH196:AH259" si="158">(0.0000325*((V196*W196)+(N196*O196)))</f>
        <v>4.7563437999999989</v>
      </c>
      <c r="AI196" s="2">
        <f t="shared" si="130"/>
        <v>19.391247799999999</v>
      </c>
      <c r="AJ196" s="2">
        <f t="shared" si="131"/>
        <v>2.9086871699999999</v>
      </c>
      <c r="AK196" s="2">
        <f t="shared" ref="AK196:AK259" si="159">(((V196*W196)+(N196*O196))/10000000)*20</f>
        <v>0.29269807999999997</v>
      </c>
      <c r="AL196" s="2">
        <f t="shared" ref="AL196:AL259" si="160">0.00006*((V196*W196)+(N196*O196))</f>
        <v>8.7809423999999989</v>
      </c>
      <c r="AM196" s="2">
        <f t="shared" si="132"/>
        <v>49.64357545</v>
      </c>
      <c r="AN196" s="2">
        <f t="shared" ref="AN196:AN259" si="161">COUNT(H196,J196,L196)*40</f>
        <v>80</v>
      </c>
      <c r="AO196" s="2">
        <f t="shared" ref="AO196:AO259" si="162">0.0005*V196*W196</f>
        <v>36.54</v>
      </c>
      <c r="AP196" s="2">
        <f t="shared" ref="AP196:AP259" si="163">0.00053*((N196*O196)+(V196*W196))</f>
        <v>77.56499119999998</v>
      </c>
      <c r="AQ196" s="2">
        <f t="shared" si="133"/>
        <v>157.56499119999998</v>
      </c>
      <c r="AR196" s="2">
        <f t="shared" si="134"/>
        <v>23.634748679999998</v>
      </c>
      <c r="AS196" s="2">
        <f t="shared" ref="AS196:AS259" si="164">(((V196*W196)+(N196*O196))/10000000)*20</f>
        <v>0.29269807999999997</v>
      </c>
      <c r="AT196" s="2">
        <f t="shared" ref="AT196:AT259" si="165">0.00006*((V196*W196)+(N196*O196))</f>
        <v>8.7809423999999989</v>
      </c>
      <c r="AU196" s="2">
        <f t="shared" si="135"/>
        <v>226.81338035999997</v>
      </c>
      <c r="AV196" s="2">
        <f t="shared" ref="AV196:AV259" si="166">MIN(IF(ISBLANK(U196)=FALSE,120,IF(ISBLANK(S196)=FALSE,80,40)),(((V196*W196)+(N196*O196))*0.0001))</f>
        <v>14.634903999999999</v>
      </c>
      <c r="AW196" s="2">
        <f t="shared" ref="AW196:AW259" si="167">0.0001*V196*W196</f>
        <v>7.3079999999999998</v>
      </c>
      <c r="AX196" s="2">
        <f t="shared" ref="AX196:AX259" si="168">0.000021*((N196*O196)+(V196*W196))</f>
        <v>3.0733298399999995</v>
      </c>
      <c r="AY196" s="2">
        <f t="shared" si="136"/>
        <v>17.708233839999998</v>
      </c>
      <c r="AZ196" s="2">
        <f t="shared" si="137"/>
        <v>2.6562350759999998</v>
      </c>
      <c r="BA196" s="2">
        <f t="shared" ref="BA196:BA259" si="169">(((V196*W196)+(N196*O196))/10000000)*20</f>
        <v>0.29269807999999997</v>
      </c>
      <c r="BB196" s="2">
        <f t="shared" ref="BB196:BB259" si="170">0.00006*((V196*W196)+(N196*O196))</f>
        <v>8.7809423999999989</v>
      </c>
      <c r="BC196" s="2">
        <f t="shared" si="138"/>
        <v>36.746109396000001</v>
      </c>
      <c r="BD196" s="2">
        <v>0</v>
      </c>
      <c r="BE196" s="2">
        <f t="shared" ref="BE196:BE259" si="171">0.001*((N196*O196)+(V196*W196))</f>
        <v>146.34903999999997</v>
      </c>
      <c r="BF196" s="2">
        <f t="shared" ref="BF196:BF259" si="172">(0.0000325*((V196*W196)+(N196*O196)))</f>
        <v>4.7563437999999989</v>
      </c>
      <c r="BG196" s="2">
        <f t="shared" si="139"/>
        <v>4.7563437999999989</v>
      </c>
      <c r="BH196" s="2">
        <f t="shared" si="140"/>
        <v>0.71345156999999981</v>
      </c>
      <c r="BI196" s="2">
        <f t="shared" ref="BI196:BI259" si="173">(((V196*W196)+(N196*O196))/10000000)*20</f>
        <v>0.29269807999999997</v>
      </c>
      <c r="BJ196" s="2">
        <f t="shared" ref="BJ196:BJ259" si="174">0.00006*((V196*W196)+(N196*O196))</f>
        <v>8.7809423999999989</v>
      </c>
      <c r="BK196" s="2">
        <f t="shared" si="141"/>
        <v>160.89247584999995</v>
      </c>
      <c r="BL196" s="2">
        <f t="shared" ref="BL196:BL259" si="175">N196*O196</f>
        <v>73269.039999999994</v>
      </c>
      <c r="BM196" s="2">
        <f t="shared" ref="BM196:BM259" si="176">V196*W196</f>
        <v>73080</v>
      </c>
      <c r="BN196" s="2">
        <f t="shared" si="142"/>
        <v>146349.03999999998</v>
      </c>
    </row>
    <row r="197" spans="1:66" x14ac:dyDescent="0.25">
      <c r="A197" s="42">
        <v>194</v>
      </c>
      <c r="B197" s="43">
        <v>42853</v>
      </c>
      <c r="C197" s="42" t="s">
        <v>50</v>
      </c>
      <c r="D197" s="42" t="s">
        <v>168</v>
      </c>
      <c r="E197" s="6">
        <f t="shared" ref="E197:E260" si="177">G197-AB197</f>
        <v>-683.15500249999991</v>
      </c>
      <c r="F197" s="5" t="str">
        <f t="shared" si="143"/>
        <v>Loss</v>
      </c>
      <c r="G197" s="4">
        <f t="shared" si="144"/>
        <v>-621.99999999999989</v>
      </c>
      <c r="H197" s="46">
        <v>500</v>
      </c>
      <c r="I197" s="42">
        <v>181.05</v>
      </c>
      <c r="N197" s="5">
        <f t="shared" si="145"/>
        <v>500</v>
      </c>
      <c r="O197" s="4">
        <f t="shared" si="146"/>
        <v>181.05</v>
      </c>
      <c r="P197" s="5">
        <f t="shared" si="150"/>
        <v>500</v>
      </c>
      <c r="Q197" s="42">
        <v>179.80600000000001</v>
      </c>
      <c r="R197" s="2">
        <f t="shared" si="149"/>
        <v>0</v>
      </c>
      <c r="T197" s="2">
        <f t="shared" ref="T197:T260" si="178">L197</f>
        <v>0</v>
      </c>
      <c r="V197" s="5">
        <f t="shared" si="147"/>
        <v>500</v>
      </c>
      <c r="W197" s="4">
        <f t="shared" si="148"/>
        <v>179.80600000000001</v>
      </c>
      <c r="X197" s="14">
        <f t="shared" si="151"/>
        <v>-1.2439999999999998</v>
      </c>
      <c r="Y197" s="5">
        <f t="shared" si="152"/>
        <v>-621.99999999999989</v>
      </c>
      <c r="Z197" s="2">
        <f t="shared" si="153"/>
        <v>0</v>
      </c>
      <c r="AA197" s="4">
        <f t="shared" si="154"/>
        <v>0</v>
      </c>
      <c r="AB197" s="13">
        <f t="shared" si="155"/>
        <v>61.155002500000002</v>
      </c>
      <c r="AC197" s="10">
        <f>SUM($E$4:E197)</f>
        <v>-10675.412740245656</v>
      </c>
      <c r="AD197" s="20">
        <f>SUM($AB$4:AB197)</f>
        <v>9706.6289402456223</v>
      </c>
      <c r="AF197" s="28">
        <f t="shared" si="156"/>
        <v>18.0428</v>
      </c>
      <c r="AG197" s="2">
        <f t="shared" si="157"/>
        <v>22.475750000000001</v>
      </c>
      <c r="AH197" s="2">
        <f t="shared" si="158"/>
        <v>5.8639099999999997</v>
      </c>
      <c r="AI197" s="2">
        <f t="shared" ref="AI197:AI260" si="179">AH197+AF197</f>
        <v>23.90671</v>
      </c>
      <c r="AJ197" s="2">
        <f t="shared" ref="AJ197:AJ260" si="180">0.15*AI197</f>
        <v>3.5860064999999999</v>
      </c>
      <c r="AK197" s="2">
        <f t="shared" si="159"/>
        <v>0.36085600000000001</v>
      </c>
      <c r="AL197" s="2">
        <f t="shared" si="160"/>
        <v>10.82568</v>
      </c>
      <c r="AM197" s="2">
        <f t="shared" ref="AM197:AM260" si="181">SUM(AF197:AH197,AJ197:AL197)</f>
        <v>61.155002500000002</v>
      </c>
      <c r="AN197" s="2">
        <f t="shared" si="161"/>
        <v>40</v>
      </c>
      <c r="AO197" s="2">
        <f t="shared" si="162"/>
        <v>44.951500000000003</v>
      </c>
      <c r="AP197" s="2">
        <f t="shared" si="163"/>
        <v>95.626840000000001</v>
      </c>
      <c r="AQ197" s="2">
        <f t="shared" ref="AQ197:AQ260" si="182">AN197+AP197</f>
        <v>135.62684000000002</v>
      </c>
      <c r="AR197" s="2">
        <f t="shared" ref="AR197:AR260" si="183">0.15*AQ197</f>
        <v>20.344026000000003</v>
      </c>
      <c r="AS197" s="2">
        <f t="shared" si="164"/>
        <v>0.36085600000000001</v>
      </c>
      <c r="AT197" s="2">
        <f t="shared" si="165"/>
        <v>10.82568</v>
      </c>
      <c r="AU197" s="2">
        <f t="shared" ref="AU197:AU260" si="184">SUM(AN197:AP197,AR197:AT197)</f>
        <v>212.10890200000006</v>
      </c>
      <c r="AV197" s="2">
        <f t="shared" si="166"/>
        <v>18.0428</v>
      </c>
      <c r="AW197" s="2">
        <f t="shared" si="167"/>
        <v>8.9903000000000013</v>
      </c>
      <c r="AX197" s="2">
        <f t="shared" si="168"/>
        <v>3.7889879999999998</v>
      </c>
      <c r="AY197" s="2">
        <f t="shared" ref="AY197:AY260" si="185">AV197+AX197</f>
        <v>21.831788</v>
      </c>
      <c r="AZ197" s="2">
        <f t="shared" ref="AZ197:AZ260" si="186">0.15*AY197</f>
        <v>3.2747682</v>
      </c>
      <c r="BA197" s="2">
        <f t="shared" si="169"/>
        <v>0.36085600000000001</v>
      </c>
      <c r="BB197" s="2">
        <f t="shared" si="170"/>
        <v>10.82568</v>
      </c>
      <c r="BC197" s="2">
        <f t="shared" ref="BC197:BC260" si="187">SUM(AV197:AX197,AZ197:BB197)</f>
        <v>45.283392199999994</v>
      </c>
      <c r="BD197" s="2">
        <v>0</v>
      </c>
      <c r="BE197" s="2">
        <f t="shared" si="171"/>
        <v>180.428</v>
      </c>
      <c r="BF197" s="2">
        <f t="shared" si="172"/>
        <v>5.8639099999999997</v>
      </c>
      <c r="BG197" s="2">
        <f t="shared" ref="BG197:BG260" si="188">BD197+BF197</f>
        <v>5.8639099999999997</v>
      </c>
      <c r="BH197" s="2">
        <f t="shared" ref="BH197:BH260" si="189">0.15*BG197</f>
        <v>0.87958649999999994</v>
      </c>
      <c r="BI197" s="2">
        <f t="shared" si="173"/>
        <v>0.36085600000000001</v>
      </c>
      <c r="BJ197" s="2">
        <f t="shared" si="174"/>
        <v>10.82568</v>
      </c>
      <c r="BK197" s="2">
        <f t="shared" ref="BK197:BK260" si="190">SUM(BD197:BF197,BH197:BJ197)</f>
        <v>198.35803250000001</v>
      </c>
      <c r="BL197" s="2">
        <f t="shared" si="175"/>
        <v>90525</v>
      </c>
      <c r="BM197" s="2">
        <f t="shared" si="176"/>
        <v>89903</v>
      </c>
      <c r="BN197" s="2">
        <f t="shared" ref="BN197:BN260" si="191">BM197+BL197</f>
        <v>180428</v>
      </c>
    </row>
    <row r="198" spans="1:66" x14ac:dyDescent="0.25">
      <c r="A198" s="42">
        <v>195</v>
      </c>
      <c r="B198" s="43">
        <v>42853</v>
      </c>
      <c r="C198" s="42" t="s">
        <v>50</v>
      </c>
      <c r="D198" s="42" t="s">
        <v>163</v>
      </c>
      <c r="E198" s="6">
        <f t="shared" si="177"/>
        <v>270.62844999999317</v>
      </c>
      <c r="F198" s="5" t="str">
        <f t="shared" ref="F198:F261" si="192">IF(G198&gt;0,"Win",IF(G198=0,"Break Even","Loss"))</f>
        <v>Win</v>
      </c>
      <c r="G198" s="4">
        <f t="shared" ref="G198:G261" si="193">SUM(Y198,Z198,AA198)</f>
        <v>319.99999999999318</v>
      </c>
      <c r="H198" s="46">
        <v>800</v>
      </c>
      <c r="I198" s="42">
        <v>90.65</v>
      </c>
      <c r="N198" s="5">
        <f t="shared" ref="N198:N261" si="194">SUM(H198,J198,L198)</f>
        <v>800</v>
      </c>
      <c r="O198" s="4">
        <f t="shared" ref="O198:O261" si="195">AVERAGE(M198,K198,I198)</f>
        <v>90.65</v>
      </c>
      <c r="P198" s="5">
        <f t="shared" si="150"/>
        <v>800</v>
      </c>
      <c r="Q198" s="42">
        <v>91.05</v>
      </c>
      <c r="R198" s="2">
        <f t="shared" si="149"/>
        <v>0</v>
      </c>
      <c r="T198" s="2">
        <f t="shared" si="178"/>
        <v>0</v>
      </c>
      <c r="V198" s="5">
        <f t="shared" ref="V198:V261" si="196">SUM(P198,R198,T198)</f>
        <v>800</v>
      </c>
      <c r="W198" s="4">
        <f t="shared" ref="W198:W261" si="197">AVERAGE(Q198,S198,U198)</f>
        <v>91.05</v>
      </c>
      <c r="X198" s="14">
        <f t="shared" si="151"/>
        <v>0.39999999999999147</v>
      </c>
      <c r="Y198" s="5">
        <f t="shared" si="152"/>
        <v>319.99999999999318</v>
      </c>
      <c r="Z198" s="2">
        <f t="shared" si="153"/>
        <v>0</v>
      </c>
      <c r="AA198" s="4">
        <f t="shared" si="154"/>
        <v>0</v>
      </c>
      <c r="AB198" s="13">
        <f t="shared" si="155"/>
        <v>49.371550000000006</v>
      </c>
      <c r="AC198" s="10">
        <f>SUM($E$4:E198)</f>
        <v>-10404.784290245663</v>
      </c>
      <c r="AD198" s="20">
        <f>SUM($AB$4:AB198)</f>
        <v>9756.0004902456221</v>
      </c>
      <c r="AF198" s="28">
        <f t="shared" si="156"/>
        <v>14.536000000000001</v>
      </c>
      <c r="AG198" s="2">
        <f t="shared" si="157"/>
        <v>18.21</v>
      </c>
      <c r="AH198" s="2">
        <f t="shared" si="158"/>
        <v>4.7241999999999997</v>
      </c>
      <c r="AI198" s="2">
        <f t="shared" si="179"/>
        <v>19.260200000000001</v>
      </c>
      <c r="AJ198" s="2">
        <f t="shared" si="180"/>
        <v>2.88903</v>
      </c>
      <c r="AK198" s="2">
        <f t="shared" si="159"/>
        <v>0.29071999999999998</v>
      </c>
      <c r="AL198" s="2">
        <f t="shared" si="160"/>
        <v>8.7216000000000005</v>
      </c>
      <c r="AM198" s="2">
        <f t="shared" si="181"/>
        <v>49.371550000000006</v>
      </c>
      <c r="AN198" s="2">
        <f t="shared" si="161"/>
        <v>40</v>
      </c>
      <c r="AO198" s="2">
        <f t="shared" si="162"/>
        <v>36.42</v>
      </c>
      <c r="AP198" s="2">
        <f t="shared" si="163"/>
        <v>77.04079999999999</v>
      </c>
      <c r="AQ198" s="2">
        <f t="shared" si="182"/>
        <v>117.04079999999999</v>
      </c>
      <c r="AR198" s="2">
        <f t="shared" si="183"/>
        <v>17.556119999999996</v>
      </c>
      <c r="AS198" s="2">
        <f t="shared" si="164"/>
        <v>0.29071999999999998</v>
      </c>
      <c r="AT198" s="2">
        <f t="shared" si="165"/>
        <v>8.7216000000000005</v>
      </c>
      <c r="AU198" s="2">
        <f t="shared" si="184"/>
        <v>180.02923999999999</v>
      </c>
      <c r="AV198" s="2">
        <f t="shared" si="166"/>
        <v>14.536000000000001</v>
      </c>
      <c r="AW198" s="2">
        <f t="shared" si="167"/>
        <v>7.2839999999999998</v>
      </c>
      <c r="AX198" s="2">
        <f t="shared" si="168"/>
        <v>3.0525599999999997</v>
      </c>
      <c r="AY198" s="2">
        <f t="shared" si="185"/>
        <v>17.588560000000001</v>
      </c>
      <c r="AZ198" s="2">
        <f t="shared" si="186"/>
        <v>2.6382840000000001</v>
      </c>
      <c r="BA198" s="2">
        <f t="shared" si="169"/>
        <v>0.29071999999999998</v>
      </c>
      <c r="BB198" s="2">
        <f t="shared" si="170"/>
        <v>8.7216000000000005</v>
      </c>
      <c r="BC198" s="2">
        <f t="shared" si="187"/>
        <v>36.523164000000001</v>
      </c>
      <c r="BD198" s="2">
        <v>0</v>
      </c>
      <c r="BE198" s="2">
        <f t="shared" si="171"/>
        <v>145.36000000000001</v>
      </c>
      <c r="BF198" s="2">
        <f t="shared" si="172"/>
        <v>4.7241999999999997</v>
      </c>
      <c r="BG198" s="2">
        <f t="shared" si="188"/>
        <v>4.7241999999999997</v>
      </c>
      <c r="BH198" s="2">
        <f t="shared" si="189"/>
        <v>0.70862999999999998</v>
      </c>
      <c r="BI198" s="2">
        <f t="shared" si="173"/>
        <v>0.29071999999999998</v>
      </c>
      <c r="BJ198" s="2">
        <f t="shared" si="174"/>
        <v>8.7216000000000005</v>
      </c>
      <c r="BK198" s="2">
        <f t="shared" si="190"/>
        <v>159.80515</v>
      </c>
      <c r="BL198" s="2">
        <f t="shared" si="175"/>
        <v>72520</v>
      </c>
      <c r="BM198" s="2">
        <f t="shared" si="176"/>
        <v>72840</v>
      </c>
      <c r="BN198" s="2">
        <f t="shared" si="191"/>
        <v>145360</v>
      </c>
    </row>
    <row r="199" spans="1:66" x14ac:dyDescent="0.25">
      <c r="A199" s="42">
        <v>196</v>
      </c>
      <c r="B199" s="43">
        <v>42853</v>
      </c>
      <c r="C199" s="42" t="s">
        <v>50</v>
      </c>
      <c r="D199" s="42" t="s">
        <v>167</v>
      </c>
      <c r="E199" s="6">
        <f t="shared" si="177"/>
        <v>1154.5434375</v>
      </c>
      <c r="F199" s="5" t="str">
        <f t="shared" si="192"/>
        <v>Win</v>
      </c>
      <c r="G199" s="4">
        <f t="shared" si="193"/>
        <v>1200</v>
      </c>
      <c r="H199" s="46">
        <v>600</v>
      </c>
      <c r="I199" s="42">
        <v>110.25</v>
      </c>
      <c r="N199" s="5">
        <f t="shared" si="194"/>
        <v>600</v>
      </c>
      <c r="O199" s="4">
        <f t="shared" si="195"/>
        <v>110.25</v>
      </c>
      <c r="P199" s="5">
        <f t="shared" si="150"/>
        <v>600</v>
      </c>
      <c r="Q199" s="42">
        <v>112.25</v>
      </c>
      <c r="R199" s="2">
        <f t="shared" si="149"/>
        <v>0</v>
      </c>
      <c r="T199" s="2">
        <f t="shared" si="178"/>
        <v>0</v>
      </c>
      <c r="V199" s="5">
        <f t="shared" si="196"/>
        <v>600</v>
      </c>
      <c r="W199" s="4">
        <f t="shared" si="197"/>
        <v>112.25</v>
      </c>
      <c r="X199" s="14">
        <f t="shared" si="151"/>
        <v>2</v>
      </c>
      <c r="Y199" s="5">
        <f t="shared" si="152"/>
        <v>1200</v>
      </c>
      <c r="Z199" s="2">
        <f t="shared" si="153"/>
        <v>0</v>
      </c>
      <c r="AA199" s="4">
        <f t="shared" si="154"/>
        <v>0</v>
      </c>
      <c r="AB199" s="13">
        <f t="shared" si="155"/>
        <v>45.456562499999997</v>
      </c>
      <c r="AC199" s="10">
        <f>SUM($E$4:E199)</f>
        <v>-9250.2408527456628</v>
      </c>
      <c r="AD199" s="20">
        <f>SUM($AB$4:AB199)</f>
        <v>9801.4570527456217</v>
      </c>
      <c r="AF199" s="28">
        <f t="shared" si="156"/>
        <v>13.350000000000001</v>
      </c>
      <c r="AG199" s="2">
        <f t="shared" si="157"/>
        <v>16.837499999999999</v>
      </c>
      <c r="AH199" s="2">
        <f t="shared" si="158"/>
        <v>4.3387499999999992</v>
      </c>
      <c r="AI199" s="2">
        <f t="shared" si="179"/>
        <v>17.688749999999999</v>
      </c>
      <c r="AJ199" s="2">
        <f t="shared" si="180"/>
        <v>2.6533124999999997</v>
      </c>
      <c r="AK199" s="2">
        <f t="shared" si="159"/>
        <v>0.26700000000000002</v>
      </c>
      <c r="AL199" s="2">
        <f t="shared" si="160"/>
        <v>8.01</v>
      </c>
      <c r="AM199" s="2">
        <f t="shared" si="181"/>
        <v>45.456562499999997</v>
      </c>
      <c r="AN199" s="2">
        <f t="shared" si="161"/>
        <v>40</v>
      </c>
      <c r="AO199" s="2">
        <f t="shared" si="162"/>
        <v>33.674999999999997</v>
      </c>
      <c r="AP199" s="2">
        <f t="shared" si="163"/>
        <v>70.754999999999995</v>
      </c>
      <c r="AQ199" s="2">
        <f t="shared" si="182"/>
        <v>110.755</v>
      </c>
      <c r="AR199" s="2">
        <f t="shared" si="183"/>
        <v>16.613249999999997</v>
      </c>
      <c r="AS199" s="2">
        <f t="shared" si="164"/>
        <v>0.26700000000000002</v>
      </c>
      <c r="AT199" s="2">
        <f t="shared" si="165"/>
        <v>8.01</v>
      </c>
      <c r="AU199" s="2">
        <f t="shared" si="184"/>
        <v>169.32024999999999</v>
      </c>
      <c r="AV199" s="2">
        <f t="shared" si="166"/>
        <v>13.350000000000001</v>
      </c>
      <c r="AW199" s="2">
        <f t="shared" si="167"/>
        <v>6.7350000000000003</v>
      </c>
      <c r="AX199" s="2">
        <f t="shared" si="168"/>
        <v>2.8034999999999997</v>
      </c>
      <c r="AY199" s="2">
        <f t="shared" si="185"/>
        <v>16.153500000000001</v>
      </c>
      <c r="AZ199" s="2">
        <f t="shared" si="186"/>
        <v>2.423025</v>
      </c>
      <c r="BA199" s="2">
        <f t="shared" si="169"/>
        <v>0.26700000000000002</v>
      </c>
      <c r="BB199" s="2">
        <f t="shared" si="170"/>
        <v>8.01</v>
      </c>
      <c r="BC199" s="2">
        <f t="shared" si="187"/>
        <v>33.588524999999997</v>
      </c>
      <c r="BD199" s="2">
        <v>0</v>
      </c>
      <c r="BE199" s="2">
        <f t="shared" si="171"/>
        <v>133.5</v>
      </c>
      <c r="BF199" s="2">
        <f t="shared" si="172"/>
        <v>4.3387499999999992</v>
      </c>
      <c r="BG199" s="2">
        <f t="shared" si="188"/>
        <v>4.3387499999999992</v>
      </c>
      <c r="BH199" s="2">
        <f t="shared" si="189"/>
        <v>0.6508124999999999</v>
      </c>
      <c r="BI199" s="2">
        <f t="shared" si="173"/>
        <v>0.26700000000000002</v>
      </c>
      <c r="BJ199" s="2">
        <f t="shared" si="174"/>
        <v>8.01</v>
      </c>
      <c r="BK199" s="2">
        <f t="shared" si="190"/>
        <v>146.76656249999999</v>
      </c>
      <c r="BL199" s="2">
        <f t="shared" si="175"/>
        <v>66150</v>
      </c>
      <c r="BM199" s="2">
        <f t="shared" si="176"/>
        <v>67350</v>
      </c>
      <c r="BN199" s="2">
        <f t="shared" si="191"/>
        <v>133500</v>
      </c>
    </row>
    <row r="200" spans="1:66" x14ac:dyDescent="0.25">
      <c r="A200" s="42">
        <v>197</v>
      </c>
      <c r="B200" s="43">
        <v>42853</v>
      </c>
      <c r="C200" s="42" t="s">
        <v>50</v>
      </c>
      <c r="D200" s="42" t="s">
        <v>167</v>
      </c>
      <c r="E200" s="6">
        <f t="shared" si="177"/>
        <v>-1244.5253250000001</v>
      </c>
      <c r="F200" s="5" t="str">
        <f t="shared" si="192"/>
        <v>Loss</v>
      </c>
      <c r="G200" s="4">
        <f t="shared" si="193"/>
        <v>-1200</v>
      </c>
      <c r="H200" s="46">
        <v>600</v>
      </c>
      <c r="I200" s="42">
        <v>110.7</v>
      </c>
      <c r="N200" s="5">
        <f t="shared" si="194"/>
        <v>600</v>
      </c>
      <c r="O200" s="4">
        <f t="shared" si="195"/>
        <v>110.7</v>
      </c>
      <c r="P200" s="5">
        <f t="shared" si="150"/>
        <v>600</v>
      </c>
      <c r="Q200" s="42">
        <v>108.7</v>
      </c>
      <c r="R200" s="2">
        <f t="shared" si="149"/>
        <v>0</v>
      </c>
      <c r="T200" s="2">
        <f t="shared" si="178"/>
        <v>0</v>
      </c>
      <c r="V200" s="5">
        <f t="shared" si="196"/>
        <v>600</v>
      </c>
      <c r="W200" s="4">
        <f t="shared" si="197"/>
        <v>108.7</v>
      </c>
      <c r="X200" s="14">
        <f t="shared" si="151"/>
        <v>-2</v>
      </c>
      <c r="Y200" s="5">
        <f t="shared" si="152"/>
        <v>-1200</v>
      </c>
      <c r="Z200" s="2">
        <f t="shared" si="153"/>
        <v>0</v>
      </c>
      <c r="AA200" s="4">
        <f t="shared" si="154"/>
        <v>0</v>
      </c>
      <c r="AB200" s="13">
        <f t="shared" si="155"/>
        <v>44.525325000000009</v>
      </c>
      <c r="AC200" s="10">
        <f>SUM($E$4:E200)</f>
        <v>-10494.766177745663</v>
      </c>
      <c r="AD200" s="20">
        <f>SUM($AB$4:AB200)</f>
        <v>9845.9823777456222</v>
      </c>
      <c r="AF200" s="28">
        <f t="shared" si="156"/>
        <v>13.164000000000001</v>
      </c>
      <c r="AG200" s="2">
        <f t="shared" si="157"/>
        <v>16.305</v>
      </c>
      <c r="AH200" s="2">
        <f t="shared" si="158"/>
        <v>4.2782999999999998</v>
      </c>
      <c r="AI200" s="2">
        <f t="shared" si="179"/>
        <v>17.442300000000003</v>
      </c>
      <c r="AJ200" s="2">
        <f t="shared" si="180"/>
        <v>2.6163450000000004</v>
      </c>
      <c r="AK200" s="2">
        <f t="shared" si="159"/>
        <v>0.26328000000000001</v>
      </c>
      <c r="AL200" s="2">
        <f t="shared" si="160"/>
        <v>7.8984000000000005</v>
      </c>
      <c r="AM200" s="2">
        <f t="shared" si="181"/>
        <v>44.525325000000009</v>
      </c>
      <c r="AN200" s="2">
        <f t="shared" si="161"/>
        <v>40</v>
      </c>
      <c r="AO200" s="2">
        <f t="shared" si="162"/>
        <v>32.61</v>
      </c>
      <c r="AP200" s="2">
        <f t="shared" si="163"/>
        <v>69.769199999999998</v>
      </c>
      <c r="AQ200" s="2">
        <f t="shared" si="182"/>
        <v>109.7692</v>
      </c>
      <c r="AR200" s="2">
        <f t="shared" si="183"/>
        <v>16.46538</v>
      </c>
      <c r="AS200" s="2">
        <f t="shared" si="164"/>
        <v>0.26328000000000001</v>
      </c>
      <c r="AT200" s="2">
        <f t="shared" si="165"/>
        <v>7.8984000000000005</v>
      </c>
      <c r="AU200" s="2">
        <f t="shared" si="184"/>
        <v>167.00626000000003</v>
      </c>
      <c r="AV200" s="2">
        <f t="shared" si="166"/>
        <v>13.164000000000001</v>
      </c>
      <c r="AW200" s="2">
        <f t="shared" si="167"/>
        <v>6.5220000000000002</v>
      </c>
      <c r="AX200" s="2">
        <f t="shared" si="168"/>
        <v>2.76444</v>
      </c>
      <c r="AY200" s="2">
        <f t="shared" si="185"/>
        <v>15.928440000000002</v>
      </c>
      <c r="AZ200" s="2">
        <f t="shared" si="186"/>
        <v>2.3892660000000001</v>
      </c>
      <c r="BA200" s="2">
        <f t="shared" si="169"/>
        <v>0.26328000000000001</v>
      </c>
      <c r="BB200" s="2">
        <f t="shared" si="170"/>
        <v>7.8984000000000005</v>
      </c>
      <c r="BC200" s="2">
        <f t="shared" si="187"/>
        <v>33.001386000000004</v>
      </c>
      <c r="BD200" s="2">
        <v>0</v>
      </c>
      <c r="BE200" s="2">
        <f t="shared" si="171"/>
        <v>131.64000000000001</v>
      </c>
      <c r="BF200" s="2">
        <f t="shared" si="172"/>
        <v>4.2782999999999998</v>
      </c>
      <c r="BG200" s="2">
        <f t="shared" si="188"/>
        <v>4.2782999999999998</v>
      </c>
      <c r="BH200" s="2">
        <f t="shared" si="189"/>
        <v>0.6417449999999999</v>
      </c>
      <c r="BI200" s="2">
        <f t="shared" si="173"/>
        <v>0.26328000000000001</v>
      </c>
      <c r="BJ200" s="2">
        <f t="shared" si="174"/>
        <v>7.8984000000000005</v>
      </c>
      <c r="BK200" s="2">
        <f t="shared" si="190"/>
        <v>144.72172500000002</v>
      </c>
      <c r="BL200" s="2">
        <f t="shared" si="175"/>
        <v>66420</v>
      </c>
      <c r="BM200" s="2">
        <f t="shared" si="176"/>
        <v>65220</v>
      </c>
      <c r="BN200" s="2">
        <f t="shared" si="191"/>
        <v>131640</v>
      </c>
    </row>
    <row r="201" spans="1:66" x14ac:dyDescent="0.25">
      <c r="A201" s="42">
        <v>198</v>
      </c>
      <c r="B201" s="43">
        <v>42853</v>
      </c>
      <c r="C201" s="42" t="s">
        <v>50</v>
      </c>
      <c r="D201" s="42" t="s">
        <v>172</v>
      </c>
      <c r="E201" s="6">
        <f t="shared" si="177"/>
        <v>1627.3860749999999</v>
      </c>
      <c r="F201" s="5" t="str">
        <f t="shared" si="192"/>
        <v>Win</v>
      </c>
      <c r="G201" s="4">
        <f t="shared" si="193"/>
        <v>1800</v>
      </c>
      <c r="H201" s="46">
        <v>800</v>
      </c>
      <c r="I201" s="42">
        <v>102.5</v>
      </c>
      <c r="J201" s="42">
        <v>800</v>
      </c>
      <c r="K201" s="42">
        <v>106.4</v>
      </c>
      <c r="L201" s="42">
        <v>800</v>
      </c>
      <c r="M201" s="44">
        <v>107.45</v>
      </c>
      <c r="N201" s="5">
        <f t="shared" si="194"/>
        <v>2400</v>
      </c>
      <c r="O201" s="4">
        <f t="shared" si="195"/>
        <v>105.45</v>
      </c>
      <c r="P201" s="5">
        <f t="shared" si="150"/>
        <v>800</v>
      </c>
      <c r="Q201" s="42">
        <v>103.75</v>
      </c>
      <c r="R201" s="2">
        <f t="shared" si="149"/>
        <v>800</v>
      </c>
      <c r="S201" s="42">
        <v>106.4</v>
      </c>
      <c r="T201" s="2">
        <f t="shared" si="178"/>
        <v>800</v>
      </c>
      <c r="U201" s="44">
        <v>108.45</v>
      </c>
      <c r="V201" s="5">
        <f t="shared" si="196"/>
        <v>2400</v>
      </c>
      <c r="W201" s="4">
        <f t="shared" si="197"/>
        <v>106.2</v>
      </c>
      <c r="X201" s="14">
        <f t="shared" si="151"/>
        <v>5.9500000000000028</v>
      </c>
      <c r="Y201" s="5">
        <f t="shared" si="152"/>
        <v>1000</v>
      </c>
      <c r="Z201" s="2">
        <f t="shared" si="153"/>
        <v>0</v>
      </c>
      <c r="AA201" s="4">
        <f t="shared" si="154"/>
        <v>800</v>
      </c>
      <c r="AB201" s="13">
        <f t="shared" si="155"/>
        <v>172.61392499999999</v>
      </c>
      <c r="AC201" s="10">
        <f>SUM($E$4:E201)</f>
        <v>-8867.380102745663</v>
      </c>
      <c r="AD201" s="20">
        <f>SUM($AB$4:AB201)</f>
        <v>10018.596302745622</v>
      </c>
      <c r="AF201" s="28">
        <f t="shared" si="156"/>
        <v>50.795999999999999</v>
      </c>
      <c r="AG201" s="2">
        <f t="shared" si="157"/>
        <v>63.72</v>
      </c>
      <c r="AH201" s="2">
        <f t="shared" si="158"/>
        <v>16.508699999999997</v>
      </c>
      <c r="AI201" s="2">
        <f t="shared" si="179"/>
        <v>67.304699999999997</v>
      </c>
      <c r="AJ201" s="2">
        <f t="shared" si="180"/>
        <v>10.095704999999999</v>
      </c>
      <c r="AK201" s="2">
        <f t="shared" si="159"/>
        <v>1.0159199999999999</v>
      </c>
      <c r="AL201" s="2">
        <f t="shared" si="160"/>
        <v>30.477600000000002</v>
      </c>
      <c r="AM201" s="2">
        <f t="shared" si="181"/>
        <v>172.61392499999999</v>
      </c>
      <c r="AN201" s="2">
        <f t="shared" si="161"/>
        <v>120</v>
      </c>
      <c r="AO201" s="2">
        <f t="shared" si="162"/>
        <v>127.44</v>
      </c>
      <c r="AP201" s="2">
        <f t="shared" si="163"/>
        <v>269.21879999999999</v>
      </c>
      <c r="AQ201" s="2">
        <f t="shared" si="182"/>
        <v>389.21879999999999</v>
      </c>
      <c r="AR201" s="2">
        <f t="shared" si="183"/>
        <v>58.382819999999995</v>
      </c>
      <c r="AS201" s="2">
        <f t="shared" si="164"/>
        <v>1.0159199999999999</v>
      </c>
      <c r="AT201" s="2">
        <f t="shared" si="165"/>
        <v>30.477600000000002</v>
      </c>
      <c r="AU201" s="2">
        <f t="shared" si="184"/>
        <v>606.53514000000007</v>
      </c>
      <c r="AV201" s="2">
        <f t="shared" si="166"/>
        <v>50.795999999999999</v>
      </c>
      <c r="AW201" s="2">
        <f t="shared" si="167"/>
        <v>25.488000000000003</v>
      </c>
      <c r="AX201" s="2">
        <f t="shared" si="168"/>
        <v>10.667159999999999</v>
      </c>
      <c r="AY201" s="2">
        <f t="shared" si="185"/>
        <v>61.463160000000002</v>
      </c>
      <c r="AZ201" s="2">
        <f t="shared" si="186"/>
        <v>9.2194739999999999</v>
      </c>
      <c r="BA201" s="2">
        <f t="shared" si="169"/>
        <v>1.0159199999999999</v>
      </c>
      <c r="BB201" s="2">
        <f t="shared" si="170"/>
        <v>30.477600000000002</v>
      </c>
      <c r="BC201" s="2">
        <f t="shared" si="187"/>
        <v>127.664154</v>
      </c>
      <c r="BD201" s="2">
        <v>0</v>
      </c>
      <c r="BE201" s="2">
        <f t="shared" si="171"/>
        <v>507.96000000000004</v>
      </c>
      <c r="BF201" s="2">
        <f t="shared" si="172"/>
        <v>16.508699999999997</v>
      </c>
      <c r="BG201" s="2">
        <f t="shared" si="188"/>
        <v>16.508699999999997</v>
      </c>
      <c r="BH201" s="2">
        <f t="shared" si="189"/>
        <v>2.4763049999999995</v>
      </c>
      <c r="BI201" s="2">
        <f t="shared" si="173"/>
        <v>1.0159199999999999</v>
      </c>
      <c r="BJ201" s="2">
        <f t="shared" si="174"/>
        <v>30.477600000000002</v>
      </c>
      <c r="BK201" s="2">
        <f t="shared" si="190"/>
        <v>558.43852500000014</v>
      </c>
      <c r="BL201" s="2">
        <f t="shared" si="175"/>
        <v>253080</v>
      </c>
      <c r="BM201" s="2">
        <f t="shared" si="176"/>
        <v>254880</v>
      </c>
      <c r="BN201" s="2">
        <f t="shared" si="191"/>
        <v>507960</v>
      </c>
    </row>
    <row r="202" spans="1:66" x14ac:dyDescent="0.25">
      <c r="A202" s="42">
        <v>199</v>
      </c>
      <c r="B202" s="43">
        <v>42857</v>
      </c>
      <c r="C202" s="42" t="s">
        <v>50</v>
      </c>
      <c r="D202" s="42" t="s">
        <v>173</v>
      </c>
      <c r="E202" s="6">
        <f t="shared" si="177"/>
        <v>-480.33325624999543</v>
      </c>
      <c r="F202" s="5" t="str">
        <f t="shared" si="192"/>
        <v>Loss</v>
      </c>
      <c r="G202" s="4">
        <f t="shared" si="193"/>
        <v>-429.99999999999545</v>
      </c>
      <c r="H202" s="46">
        <v>200</v>
      </c>
      <c r="I202" s="42">
        <v>372.25</v>
      </c>
      <c r="N202" s="5">
        <f t="shared" si="194"/>
        <v>200</v>
      </c>
      <c r="O202" s="4">
        <f t="shared" si="195"/>
        <v>372.25</v>
      </c>
      <c r="P202" s="5">
        <f t="shared" si="150"/>
        <v>200</v>
      </c>
      <c r="Q202" s="42">
        <v>370.1</v>
      </c>
      <c r="R202" s="2">
        <f t="shared" si="149"/>
        <v>0</v>
      </c>
      <c r="T202" s="2">
        <f t="shared" si="178"/>
        <v>0</v>
      </c>
      <c r="V202" s="5">
        <f t="shared" si="196"/>
        <v>200</v>
      </c>
      <c r="W202" s="4">
        <f t="shared" si="197"/>
        <v>370.1</v>
      </c>
      <c r="X202" s="14">
        <f t="shared" si="151"/>
        <v>-2.1499999999999773</v>
      </c>
      <c r="Y202" s="5">
        <f t="shared" si="152"/>
        <v>-429.99999999999545</v>
      </c>
      <c r="Z202" s="2">
        <f t="shared" si="153"/>
        <v>0</v>
      </c>
      <c r="AA202" s="4">
        <f t="shared" si="154"/>
        <v>0</v>
      </c>
      <c r="AB202" s="13">
        <f t="shared" si="155"/>
        <v>50.333256250000005</v>
      </c>
      <c r="AC202" s="10">
        <f>SUM($E$4:E202)</f>
        <v>-9347.7133589956575</v>
      </c>
      <c r="AD202" s="20">
        <f>SUM($AB$4:AB202)</f>
        <v>10068.929558995622</v>
      </c>
      <c r="AF202" s="28">
        <f t="shared" si="156"/>
        <v>14.847000000000001</v>
      </c>
      <c r="AG202" s="2">
        <f t="shared" si="157"/>
        <v>18.505000000000003</v>
      </c>
      <c r="AH202" s="2">
        <f t="shared" si="158"/>
        <v>4.8252749999999995</v>
      </c>
      <c r="AI202" s="2">
        <f t="shared" si="179"/>
        <v>19.672274999999999</v>
      </c>
      <c r="AJ202" s="2">
        <f t="shared" si="180"/>
        <v>2.9508412499999999</v>
      </c>
      <c r="AK202" s="2">
        <f t="shared" si="159"/>
        <v>0.29694000000000004</v>
      </c>
      <c r="AL202" s="2">
        <f t="shared" si="160"/>
        <v>8.9082000000000008</v>
      </c>
      <c r="AM202" s="2">
        <f t="shared" si="181"/>
        <v>50.333256250000005</v>
      </c>
      <c r="AN202" s="2">
        <f t="shared" si="161"/>
        <v>40</v>
      </c>
      <c r="AO202" s="2">
        <f t="shared" si="162"/>
        <v>37.010000000000005</v>
      </c>
      <c r="AP202" s="2">
        <f t="shared" si="163"/>
        <v>78.689099999999996</v>
      </c>
      <c r="AQ202" s="2">
        <f t="shared" si="182"/>
        <v>118.6891</v>
      </c>
      <c r="AR202" s="2">
        <f t="shared" si="183"/>
        <v>17.803364999999999</v>
      </c>
      <c r="AS202" s="2">
        <f t="shared" si="164"/>
        <v>0.29694000000000004</v>
      </c>
      <c r="AT202" s="2">
        <f t="shared" si="165"/>
        <v>8.9082000000000008</v>
      </c>
      <c r="AU202" s="2">
        <f t="shared" si="184"/>
        <v>182.70760499999997</v>
      </c>
      <c r="AV202" s="2">
        <f t="shared" si="166"/>
        <v>14.847000000000001</v>
      </c>
      <c r="AW202" s="2">
        <f t="shared" si="167"/>
        <v>7.402000000000001</v>
      </c>
      <c r="AX202" s="2">
        <f t="shared" si="168"/>
        <v>3.1178699999999999</v>
      </c>
      <c r="AY202" s="2">
        <f t="shared" si="185"/>
        <v>17.964870000000001</v>
      </c>
      <c r="AZ202" s="2">
        <f t="shared" si="186"/>
        <v>2.6947304999999999</v>
      </c>
      <c r="BA202" s="2">
        <f t="shared" si="169"/>
        <v>0.29694000000000004</v>
      </c>
      <c r="BB202" s="2">
        <f t="shared" si="170"/>
        <v>8.9082000000000008</v>
      </c>
      <c r="BC202" s="2">
        <f t="shared" si="187"/>
        <v>37.266740499999997</v>
      </c>
      <c r="BD202" s="2">
        <v>0</v>
      </c>
      <c r="BE202" s="2">
        <f t="shared" si="171"/>
        <v>148.47</v>
      </c>
      <c r="BF202" s="2">
        <f t="shared" si="172"/>
        <v>4.8252749999999995</v>
      </c>
      <c r="BG202" s="2">
        <f t="shared" si="188"/>
        <v>4.8252749999999995</v>
      </c>
      <c r="BH202" s="2">
        <f t="shared" si="189"/>
        <v>0.72379124999999989</v>
      </c>
      <c r="BI202" s="2">
        <f t="shared" si="173"/>
        <v>0.29694000000000004</v>
      </c>
      <c r="BJ202" s="2">
        <f t="shared" si="174"/>
        <v>8.9082000000000008</v>
      </c>
      <c r="BK202" s="2">
        <f t="shared" si="190"/>
        <v>163.22420625000001</v>
      </c>
      <c r="BL202" s="2">
        <f t="shared" si="175"/>
        <v>74450</v>
      </c>
      <c r="BM202" s="2">
        <f t="shared" si="176"/>
        <v>74020</v>
      </c>
      <c r="BN202" s="2">
        <f t="shared" si="191"/>
        <v>148470</v>
      </c>
    </row>
    <row r="203" spans="1:66" x14ac:dyDescent="0.25">
      <c r="A203" s="42">
        <v>200</v>
      </c>
      <c r="B203" s="43">
        <v>42857</v>
      </c>
      <c r="C203" s="42" t="s">
        <v>50</v>
      </c>
      <c r="D203" s="42" t="s">
        <v>173</v>
      </c>
      <c r="E203" s="6">
        <f t="shared" si="177"/>
        <v>539.83110624999767</v>
      </c>
      <c r="F203" s="5" t="str">
        <f t="shared" si="192"/>
        <v>Win</v>
      </c>
      <c r="G203" s="4">
        <f t="shared" si="193"/>
        <v>589.99999999999773</v>
      </c>
      <c r="H203" s="46">
        <v>200</v>
      </c>
      <c r="I203" s="42">
        <v>367.55</v>
      </c>
      <c r="N203" s="5">
        <f t="shared" si="194"/>
        <v>200</v>
      </c>
      <c r="O203" s="4">
        <f t="shared" si="195"/>
        <v>367.55</v>
      </c>
      <c r="P203" s="5">
        <f t="shared" si="150"/>
        <v>200</v>
      </c>
      <c r="Q203" s="42">
        <v>370.5</v>
      </c>
      <c r="R203" s="2">
        <f t="shared" si="149"/>
        <v>0</v>
      </c>
      <c r="T203" s="2">
        <f t="shared" si="178"/>
        <v>0</v>
      </c>
      <c r="V203" s="5">
        <f t="shared" si="196"/>
        <v>200</v>
      </c>
      <c r="W203" s="4">
        <f t="shared" si="197"/>
        <v>370.5</v>
      </c>
      <c r="X203" s="14">
        <f t="shared" si="151"/>
        <v>2.9499999999999886</v>
      </c>
      <c r="Y203" s="5">
        <f t="shared" si="152"/>
        <v>589.99999999999773</v>
      </c>
      <c r="Z203" s="2">
        <f t="shared" si="153"/>
        <v>0</v>
      </c>
      <c r="AA203" s="4">
        <f t="shared" si="154"/>
        <v>0</v>
      </c>
      <c r="AB203" s="13">
        <f t="shared" si="155"/>
        <v>50.168893750000002</v>
      </c>
      <c r="AC203" s="10">
        <f>SUM($E$4:E203)</f>
        <v>-8807.8822527456596</v>
      </c>
      <c r="AD203" s="20">
        <f>SUM($AB$4:AB203)</f>
        <v>10119.098452745622</v>
      </c>
      <c r="AF203" s="28">
        <f t="shared" si="156"/>
        <v>14.761000000000001</v>
      </c>
      <c r="AG203" s="2">
        <f t="shared" si="157"/>
        <v>18.525000000000002</v>
      </c>
      <c r="AH203" s="2">
        <f t="shared" si="158"/>
        <v>4.7973249999999998</v>
      </c>
      <c r="AI203" s="2">
        <f t="shared" si="179"/>
        <v>19.558325</v>
      </c>
      <c r="AJ203" s="2">
        <f t="shared" si="180"/>
        <v>2.9337487499999999</v>
      </c>
      <c r="AK203" s="2">
        <f t="shared" si="159"/>
        <v>0.29521999999999998</v>
      </c>
      <c r="AL203" s="2">
        <f t="shared" si="160"/>
        <v>8.8566000000000003</v>
      </c>
      <c r="AM203" s="2">
        <f t="shared" si="181"/>
        <v>50.168893750000002</v>
      </c>
      <c r="AN203" s="2">
        <f t="shared" si="161"/>
        <v>40</v>
      </c>
      <c r="AO203" s="2">
        <f t="shared" si="162"/>
        <v>37.050000000000004</v>
      </c>
      <c r="AP203" s="2">
        <f t="shared" si="163"/>
        <v>78.2333</v>
      </c>
      <c r="AQ203" s="2">
        <f t="shared" si="182"/>
        <v>118.2333</v>
      </c>
      <c r="AR203" s="2">
        <f t="shared" si="183"/>
        <v>17.734994999999998</v>
      </c>
      <c r="AS203" s="2">
        <f t="shared" si="164"/>
        <v>0.29521999999999998</v>
      </c>
      <c r="AT203" s="2">
        <f t="shared" si="165"/>
        <v>8.8566000000000003</v>
      </c>
      <c r="AU203" s="2">
        <f t="shared" si="184"/>
        <v>182.17011500000001</v>
      </c>
      <c r="AV203" s="2">
        <f t="shared" si="166"/>
        <v>14.761000000000001</v>
      </c>
      <c r="AW203" s="2">
        <f t="shared" si="167"/>
        <v>7.41</v>
      </c>
      <c r="AX203" s="2">
        <f t="shared" si="168"/>
        <v>3.0998099999999997</v>
      </c>
      <c r="AY203" s="2">
        <f t="shared" si="185"/>
        <v>17.860810000000001</v>
      </c>
      <c r="AZ203" s="2">
        <f t="shared" si="186"/>
        <v>2.6791214999999999</v>
      </c>
      <c r="BA203" s="2">
        <f t="shared" si="169"/>
        <v>0.29521999999999998</v>
      </c>
      <c r="BB203" s="2">
        <f t="shared" si="170"/>
        <v>8.8566000000000003</v>
      </c>
      <c r="BC203" s="2">
        <f t="shared" si="187"/>
        <v>37.101751499999999</v>
      </c>
      <c r="BD203" s="2">
        <v>0</v>
      </c>
      <c r="BE203" s="2">
        <f t="shared" si="171"/>
        <v>147.61000000000001</v>
      </c>
      <c r="BF203" s="2">
        <f t="shared" si="172"/>
        <v>4.7973249999999998</v>
      </c>
      <c r="BG203" s="2">
        <f t="shared" si="188"/>
        <v>4.7973249999999998</v>
      </c>
      <c r="BH203" s="2">
        <f t="shared" si="189"/>
        <v>0.71959874999999995</v>
      </c>
      <c r="BI203" s="2">
        <f t="shared" si="173"/>
        <v>0.29521999999999998</v>
      </c>
      <c r="BJ203" s="2">
        <f t="shared" si="174"/>
        <v>8.8566000000000003</v>
      </c>
      <c r="BK203" s="2">
        <f t="shared" si="190"/>
        <v>162.27874374999999</v>
      </c>
      <c r="BL203" s="2">
        <f t="shared" si="175"/>
        <v>73510</v>
      </c>
      <c r="BM203" s="2">
        <f t="shared" si="176"/>
        <v>74100</v>
      </c>
      <c r="BN203" s="2">
        <f t="shared" si="191"/>
        <v>147610</v>
      </c>
    </row>
    <row r="204" spans="1:66" x14ac:dyDescent="0.25">
      <c r="A204" s="42">
        <v>201</v>
      </c>
      <c r="B204" s="43">
        <v>42857</v>
      </c>
      <c r="C204" s="42" t="s">
        <v>50</v>
      </c>
      <c r="D204" s="42" t="s">
        <v>120</v>
      </c>
      <c r="E204" s="6">
        <f t="shared" si="177"/>
        <v>-242.26112499999573</v>
      </c>
      <c r="F204" s="5" t="str">
        <f t="shared" si="192"/>
        <v>Loss</v>
      </c>
      <c r="G204" s="4">
        <f t="shared" si="193"/>
        <v>-199.99999999999574</v>
      </c>
      <c r="H204" s="46">
        <v>1000</v>
      </c>
      <c r="I204" s="42">
        <v>62.4</v>
      </c>
      <c r="N204" s="5">
        <f t="shared" si="194"/>
        <v>1000</v>
      </c>
      <c r="O204" s="4">
        <f t="shared" si="195"/>
        <v>62.4</v>
      </c>
      <c r="P204" s="5">
        <f t="shared" si="150"/>
        <v>1000</v>
      </c>
      <c r="Q204" s="42">
        <v>62.2</v>
      </c>
      <c r="R204" s="2">
        <f t="shared" si="149"/>
        <v>0</v>
      </c>
      <c r="T204" s="2">
        <f t="shared" si="178"/>
        <v>0</v>
      </c>
      <c r="V204" s="5">
        <f t="shared" si="196"/>
        <v>1000</v>
      </c>
      <c r="W204" s="4">
        <f t="shared" si="197"/>
        <v>62.2</v>
      </c>
      <c r="X204" s="14">
        <f t="shared" si="151"/>
        <v>-0.19999999999999574</v>
      </c>
      <c r="Y204" s="5">
        <f t="shared" si="152"/>
        <v>-199.99999999999574</v>
      </c>
      <c r="Z204" s="2">
        <f t="shared" si="153"/>
        <v>0</v>
      </c>
      <c r="AA204" s="4">
        <f t="shared" si="154"/>
        <v>0</v>
      </c>
      <c r="AB204" s="13">
        <f t="shared" si="155"/>
        <v>42.261125</v>
      </c>
      <c r="AC204" s="10">
        <f>SUM($E$4:E204)</f>
        <v>-9050.143377745655</v>
      </c>
      <c r="AD204" s="20">
        <f>SUM($AB$4:AB204)</f>
        <v>10161.359577745623</v>
      </c>
      <c r="AF204" s="28">
        <f t="shared" si="156"/>
        <v>12.46</v>
      </c>
      <c r="AG204" s="2">
        <f t="shared" si="157"/>
        <v>15.55</v>
      </c>
      <c r="AH204" s="2">
        <f t="shared" si="158"/>
        <v>4.0494999999999992</v>
      </c>
      <c r="AI204" s="2">
        <f t="shared" si="179"/>
        <v>16.509499999999999</v>
      </c>
      <c r="AJ204" s="2">
        <f t="shared" si="180"/>
        <v>2.4764249999999999</v>
      </c>
      <c r="AK204" s="2">
        <f t="shared" si="159"/>
        <v>0.2492</v>
      </c>
      <c r="AL204" s="2">
        <f t="shared" si="160"/>
        <v>7.476</v>
      </c>
      <c r="AM204" s="2">
        <f t="shared" si="181"/>
        <v>42.261125</v>
      </c>
      <c r="AN204" s="2">
        <f t="shared" si="161"/>
        <v>40</v>
      </c>
      <c r="AO204" s="2">
        <f t="shared" si="162"/>
        <v>31.1</v>
      </c>
      <c r="AP204" s="2">
        <f t="shared" si="163"/>
        <v>66.037999999999997</v>
      </c>
      <c r="AQ204" s="2">
        <f t="shared" si="182"/>
        <v>106.038</v>
      </c>
      <c r="AR204" s="2">
        <f t="shared" si="183"/>
        <v>15.9057</v>
      </c>
      <c r="AS204" s="2">
        <f t="shared" si="164"/>
        <v>0.2492</v>
      </c>
      <c r="AT204" s="2">
        <f t="shared" si="165"/>
        <v>7.476</v>
      </c>
      <c r="AU204" s="2">
        <f t="shared" si="184"/>
        <v>160.76889999999997</v>
      </c>
      <c r="AV204" s="2">
        <f t="shared" si="166"/>
        <v>12.46</v>
      </c>
      <c r="AW204" s="2">
        <f t="shared" si="167"/>
        <v>6.2200000000000006</v>
      </c>
      <c r="AX204" s="2">
        <f t="shared" si="168"/>
        <v>2.6166</v>
      </c>
      <c r="AY204" s="2">
        <f t="shared" si="185"/>
        <v>15.076600000000001</v>
      </c>
      <c r="AZ204" s="2">
        <f t="shared" si="186"/>
        <v>2.2614900000000002</v>
      </c>
      <c r="BA204" s="2">
        <f t="shared" si="169"/>
        <v>0.2492</v>
      </c>
      <c r="BB204" s="2">
        <f t="shared" si="170"/>
        <v>7.476</v>
      </c>
      <c r="BC204" s="2">
        <f t="shared" si="187"/>
        <v>31.283289999999997</v>
      </c>
      <c r="BD204" s="2">
        <v>0</v>
      </c>
      <c r="BE204" s="2">
        <f t="shared" si="171"/>
        <v>124.60000000000001</v>
      </c>
      <c r="BF204" s="2">
        <f t="shared" si="172"/>
        <v>4.0494999999999992</v>
      </c>
      <c r="BG204" s="2">
        <f t="shared" si="188"/>
        <v>4.0494999999999992</v>
      </c>
      <c r="BH204" s="2">
        <f t="shared" si="189"/>
        <v>0.60742499999999988</v>
      </c>
      <c r="BI204" s="2">
        <f t="shared" si="173"/>
        <v>0.2492</v>
      </c>
      <c r="BJ204" s="2">
        <f t="shared" si="174"/>
        <v>7.476</v>
      </c>
      <c r="BK204" s="2">
        <f t="shared" si="190"/>
        <v>136.98212500000002</v>
      </c>
      <c r="BL204" s="2">
        <f t="shared" si="175"/>
        <v>62400</v>
      </c>
      <c r="BM204" s="2">
        <f t="shared" si="176"/>
        <v>62200</v>
      </c>
      <c r="BN204" s="2">
        <f t="shared" si="191"/>
        <v>124600</v>
      </c>
    </row>
    <row r="205" spans="1:66" x14ac:dyDescent="0.25">
      <c r="A205" s="42">
        <v>202</v>
      </c>
      <c r="B205" s="43">
        <v>42857</v>
      </c>
      <c r="C205" s="42" t="s">
        <v>50</v>
      </c>
      <c r="D205" s="42" t="s">
        <v>173</v>
      </c>
      <c r="E205" s="6">
        <f t="shared" si="177"/>
        <v>517.58662083333445</v>
      </c>
      <c r="F205" s="5" t="str">
        <f t="shared" si="192"/>
        <v>Win</v>
      </c>
      <c r="G205" s="4">
        <f t="shared" si="193"/>
        <v>567.15000000000111</v>
      </c>
      <c r="H205" s="46">
        <v>100</v>
      </c>
      <c r="I205" s="42">
        <v>362.5</v>
      </c>
      <c r="J205" s="42">
        <v>51</v>
      </c>
      <c r="K205" s="42">
        <v>363.85</v>
      </c>
      <c r="L205" s="42">
        <v>49</v>
      </c>
      <c r="M205" s="44">
        <v>363.5</v>
      </c>
      <c r="N205" s="5">
        <f t="shared" si="194"/>
        <v>200</v>
      </c>
      <c r="O205" s="4">
        <f t="shared" si="195"/>
        <v>363.2833333333333</v>
      </c>
      <c r="P205" s="5">
        <f t="shared" si="150"/>
        <v>100</v>
      </c>
      <c r="Q205" s="42">
        <v>365.85</v>
      </c>
      <c r="R205" s="2">
        <f t="shared" si="149"/>
        <v>51</v>
      </c>
      <c r="S205" s="42">
        <v>366</v>
      </c>
      <c r="T205" s="2">
        <f t="shared" si="178"/>
        <v>49</v>
      </c>
      <c r="U205" s="44">
        <v>366</v>
      </c>
      <c r="V205" s="5">
        <f t="shared" si="196"/>
        <v>200</v>
      </c>
      <c r="W205" s="4">
        <f t="shared" si="197"/>
        <v>365.95</v>
      </c>
      <c r="X205" s="14">
        <f t="shared" si="151"/>
        <v>3.5</v>
      </c>
      <c r="Y205" s="5">
        <f t="shared" si="152"/>
        <v>335.00000000000227</v>
      </c>
      <c r="Z205" s="2">
        <f t="shared" si="153"/>
        <v>109.64999999999884</v>
      </c>
      <c r="AA205" s="4">
        <f t="shared" si="154"/>
        <v>122.5</v>
      </c>
      <c r="AB205" s="13">
        <f t="shared" si="155"/>
        <v>49.563379166666657</v>
      </c>
      <c r="AC205" s="10">
        <f>SUM($E$4:E205)</f>
        <v>-8532.5567569123214</v>
      </c>
      <c r="AD205" s="20">
        <f>SUM($AB$4:AB205)</f>
        <v>10210.922956912289</v>
      </c>
      <c r="AF205" s="28">
        <f t="shared" si="156"/>
        <v>14.584666666666667</v>
      </c>
      <c r="AG205" s="2">
        <f t="shared" si="157"/>
        <v>18.297499999999999</v>
      </c>
      <c r="AH205" s="2">
        <f t="shared" si="158"/>
        <v>4.7400166666666657</v>
      </c>
      <c r="AI205" s="2">
        <f t="shared" si="179"/>
        <v>19.324683333333333</v>
      </c>
      <c r="AJ205" s="2">
        <f t="shared" si="180"/>
        <v>2.8987024999999997</v>
      </c>
      <c r="AK205" s="2">
        <f t="shared" si="159"/>
        <v>0.2916933333333333</v>
      </c>
      <c r="AL205" s="2">
        <f t="shared" si="160"/>
        <v>8.7507999999999999</v>
      </c>
      <c r="AM205" s="2">
        <f t="shared" si="181"/>
        <v>49.563379166666657</v>
      </c>
      <c r="AN205" s="2">
        <f t="shared" si="161"/>
        <v>120</v>
      </c>
      <c r="AO205" s="2">
        <f t="shared" si="162"/>
        <v>36.594999999999999</v>
      </c>
      <c r="AP205" s="2">
        <f t="shared" si="163"/>
        <v>77.298733333333331</v>
      </c>
      <c r="AQ205" s="2">
        <f t="shared" si="182"/>
        <v>197.29873333333333</v>
      </c>
      <c r="AR205" s="2">
        <f t="shared" si="183"/>
        <v>29.594809999999999</v>
      </c>
      <c r="AS205" s="2">
        <f t="shared" si="164"/>
        <v>0.2916933333333333</v>
      </c>
      <c r="AT205" s="2">
        <f t="shared" si="165"/>
        <v>8.7507999999999999</v>
      </c>
      <c r="AU205" s="2">
        <f t="shared" si="184"/>
        <v>272.53103666666669</v>
      </c>
      <c r="AV205" s="2">
        <f t="shared" si="166"/>
        <v>14.584666666666667</v>
      </c>
      <c r="AW205" s="2">
        <f t="shared" si="167"/>
        <v>7.319</v>
      </c>
      <c r="AX205" s="2">
        <f t="shared" si="168"/>
        <v>3.0627799999999996</v>
      </c>
      <c r="AY205" s="2">
        <f t="shared" si="185"/>
        <v>17.647446666666667</v>
      </c>
      <c r="AZ205" s="2">
        <f t="shared" si="186"/>
        <v>2.6471170000000002</v>
      </c>
      <c r="BA205" s="2">
        <f t="shared" si="169"/>
        <v>0.2916933333333333</v>
      </c>
      <c r="BB205" s="2">
        <f t="shared" si="170"/>
        <v>8.7507999999999999</v>
      </c>
      <c r="BC205" s="2">
        <f t="shared" si="187"/>
        <v>36.656057000000004</v>
      </c>
      <c r="BD205" s="2">
        <v>0</v>
      </c>
      <c r="BE205" s="2">
        <f t="shared" si="171"/>
        <v>145.84666666666666</v>
      </c>
      <c r="BF205" s="2">
        <f t="shared" si="172"/>
        <v>4.7400166666666657</v>
      </c>
      <c r="BG205" s="2">
        <f t="shared" si="188"/>
        <v>4.7400166666666657</v>
      </c>
      <c r="BH205" s="2">
        <f t="shared" si="189"/>
        <v>0.71100249999999987</v>
      </c>
      <c r="BI205" s="2">
        <f t="shared" si="173"/>
        <v>0.2916933333333333</v>
      </c>
      <c r="BJ205" s="2">
        <f t="shared" si="174"/>
        <v>8.7507999999999999</v>
      </c>
      <c r="BK205" s="2">
        <f t="shared" si="190"/>
        <v>160.34017916666667</v>
      </c>
      <c r="BL205" s="2">
        <f t="shared" si="175"/>
        <v>72656.666666666657</v>
      </c>
      <c r="BM205" s="2">
        <f t="shared" si="176"/>
        <v>73190</v>
      </c>
      <c r="BN205" s="2">
        <f t="shared" si="191"/>
        <v>145846.66666666666</v>
      </c>
    </row>
    <row r="206" spans="1:66" x14ac:dyDescent="0.25">
      <c r="A206" s="42">
        <v>203</v>
      </c>
      <c r="B206" s="43">
        <v>42857</v>
      </c>
      <c r="C206" s="42" t="s">
        <v>50</v>
      </c>
      <c r="D206" s="42" t="s">
        <v>173</v>
      </c>
      <c r="E206" s="6">
        <f t="shared" si="177"/>
        <v>550.96676249999996</v>
      </c>
      <c r="F206" s="5" t="str">
        <f t="shared" si="192"/>
        <v>Win</v>
      </c>
      <c r="G206" s="4">
        <f t="shared" si="193"/>
        <v>600</v>
      </c>
      <c r="H206" s="46">
        <v>200</v>
      </c>
      <c r="I206" s="42">
        <v>359.15</v>
      </c>
      <c r="N206" s="5">
        <f t="shared" si="194"/>
        <v>200</v>
      </c>
      <c r="O206" s="4">
        <f t="shared" si="195"/>
        <v>359.15</v>
      </c>
      <c r="P206" s="5">
        <f t="shared" si="150"/>
        <v>200</v>
      </c>
      <c r="Q206" s="42">
        <v>362.15</v>
      </c>
      <c r="R206" s="2">
        <f t="shared" si="149"/>
        <v>0</v>
      </c>
      <c r="T206" s="2">
        <f t="shared" si="178"/>
        <v>0</v>
      </c>
      <c r="V206" s="5">
        <f t="shared" si="196"/>
        <v>200</v>
      </c>
      <c r="W206" s="4">
        <f t="shared" si="197"/>
        <v>362.15</v>
      </c>
      <c r="X206" s="14">
        <f t="shared" si="151"/>
        <v>3</v>
      </c>
      <c r="Y206" s="5">
        <f t="shared" si="152"/>
        <v>600</v>
      </c>
      <c r="Z206" s="2">
        <f t="shared" si="153"/>
        <v>0</v>
      </c>
      <c r="AA206" s="4">
        <f t="shared" si="154"/>
        <v>0</v>
      </c>
      <c r="AB206" s="13">
        <f t="shared" si="155"/>
        <v>49.033237499999991</v>
      </c>
      <c r="AC206" s="10">
        <f>SUM($E$4:E206)</f>
        <v>-7981.5899944123212</v>
      </c>
      <c r="AD206" s="20">
        <f>SUM($AB$4:AB206)</f>
        <v>10259.956194412289</v>
      </c>
      <c r="AF206" s="28">
        <f t="shared" si="156"/>
        <v>14.426</v>
      </c>
      <c r="AG206" s="2">
        <f t="shared" si="157"/>
        <v>18.107499999999998</v>
      </c>
      <c r="AH206" s="2">
        <f t="shared" si="158"/>
        <v>4.6884499999999996</v>
      </c>
      <c r="AI206" s="2">
        <f t="shared" si="179"/>
        <v>19.114449999999998</v>
      </c>
      <c r="AJ206" s="2">
        <f t="shared" si="180"/>
        <v>2.8671674999999994</v>
      </c>
      <c r="AK206" s="2">
        <f t="shared" si="159"/>
        <v>0.28852</v>
      </c>
      <c r="AL206" s="2">
        <f t="shared" si="160"/>
        <v>8.6555999999999997</v>
      </c>
      <c r="AM206" s="2">
        <f t="shared" si="181"/>
        <v>49.033237499999991</v>
      </c>
      <c r="AN206" s="2">
        <f t="shared" si="161"/>
        <v>40</v>
      </c>
      <c r="AO206" s="2">
        <f t="shared" si="162"/>
        <v>36.214999999999996</v>
      </c>
      <c r="AP206" s="2">
        <f t="shared" si="163"/>
        <v>76.457799999999992</v>
      </c>
      <c r="AQ206" s="2">
        <f t="shared" si="182"/>
        <v>116.45779999999999</v>
      </c>
      <c r="AR206" s="2">
        <f t="shared" si="183"/>
        <v>17.468669999999999</v>
      </c>
      <c r="AS206" s="2">
        <f t="shared" si="164"/>
        <v>0.28852</v>
      </c>
      <c r="AT206" s="2">
        <f t="shared" si="165"/>
        <v>8.6555999999999997</v>
      </c>
      <c r="AU206" s="2">
        <f t="shared" si="184"/>
        <v>179.08559</v>
      </c>
      <c r="AV206" s="2">
        <f t="shared" si="166"/>
        <v>14.426</v>
      </c>
      <c r="AW206" s="2">
        <f t="shared" si="167"/>
        <v>7.2429999999999994</v>
      </c>
      <c r="AX206" s="2">
        <f t="shared" si="168"/>
        <v>3.0294599999999998</v>
      </c>
      <c r="AY206" s="2">
        <f t="shared" si="185"/>
        <v>17.455459999999999</v>
      </c>
      <c r="AZ206" s="2">
        <f t="shared" si="186"/>
        <v>2.6183189999999996</v>
      </c>
      <c r="BA206" s="2">
        <f t="shared" si="169"/>
        <v>0.28852</v>
      </c>
      <c r="BB206" s="2">
        <f t="shared" si="170"/>
        <v>8.6555999999999997</v>
      </c>
      <c r="BC206" s="2">
        <f t="shared" si="187"/>
        <v>36.260898999999995</v>
      </c>
      <c r="BD206" s="2">
        <v>0</v>
      </c>
      <c r="BE206" s="2">
        <f t="shared" si="171"/>
        <v>144.26</v>
      </c>
      <c r="BF206" s="2">
        <f t="shared" si="172"/>
        <v>4.6884499999999996</v>
      </c>
      <c r="BG206" s="2">
        <f t="shared" si="188"/>
        <v>4.6884499999999996</v>
      </c>
      <c r="BH206" s="2">
        <f t="shared" si="189"/>
        <v>0.70326749999999993</v>
      </c>
      <c r="BI206" s="2">
        <f t="shared" si="173"/>
        <v>0.28852</v>
      </c>
      <c r="BJ206" s="2">
        <f t="shared" si="174"/>
        <v>8.6555999999999997</v>
      </c>
      <c r="BK206" s="2">
        <f t="shared" si="190"/>
        <v>158.59583749999999</v>
      </c>
      <c r="BL206" s="2">
        <f t="shared" si="175"/>
        <v>71830</v>
      </c>
      <c r="BM206" s="2">
        <f t="shared" si="176"/>
        <v>72430</v>
      </c>
      <c r="BN206" s="2">
        <f t="shared" si="191"/>
        <v>144260</v>
      </c>
    </row>
    <row r="207" spans="1:66" x14ac:dyDescent="0.25">
      <c r="A207" s="42">
        <v>204</v>
      </c>
      <c r="B207" s="43">
        <v>42857</v>
      </c>
      <c r="C207" s="42" t="s">
        <v>50</v>
      </c>
      <c r="D207" s="42" t="s">
        <v>173</v>
      </c>
      <c r="E207" s="6">
        <f t="shared" si="177"/>
        <v>-288.83321249999773</v>
      </c>
      <c r="F207" s="5" t="str">
        <f t="shared" si="192"/>
        <v>Loss</v>
      </c>
      <c r="G207" s="4">
        <f t="shared" si="193"/>
        <v>-239.99999999999773</v>
      </c>
      <c r="H207" s="46">
        <v>200</v>
      </c>
      <c r="I207" s="42">
        <v>360.55</v>
      </c>
      <c r="N207" s="5">
        <f t="shared" si="194"/>
        <v>200</v>
      </c>
      <c r="O207" s="4">
        <f t="shared" si="195"/>
        <v>360.55</v>
      </c>
      <c r="P207" s="5">
        <f t="shared" si="150"/>
        <v>200</v>
      </c>
      <c r="Q207" s="42">
        <v>359.35</v>
      </c>
      <c r="R207" s="2">
        <f t="shared" si="149"/>
        <v>0</v>
      </c>
      <c r="T207" s="2">
        <f t="shared" si="178"/>
        <v>0</v>
      </c>
      <c r="V207" s="5">
        <f t="shared" si="196"/>
        <v>200</v>
      </c>
      <c r="W207" s="4">
        <f t="shared" si="197"/>
        <v>359.35</v>
      </c>
      <c r="X207" s="14">
        <f t="shared" si="151"/>
        <v>-1.1999999999999886</v>
      </c>
      <c r="Y207" s="5">
        <f t="shared" si="152"/>
        <v>-239.99999999999773</v>
      </c>
      <c r="Z207" s="2">
        <f t="shared" si="153"/>
        <v>0</v>
      </c>
      <c r="AA207" s="4">
        <f t="shared" si="154"/>
        <v>0</v>
      </c>
      <c r="AB207" s="13">
        <f t="shared" si="155"/>
        <v>48.833212500000002</v>
      </c>
      <c r="AC207" s="10">
        <f>SUM($E$4:E207)</f>
        <v>-8270.4232069123191</v>
      </c>
      <c r="AD207" s="20">
        <f>SUM($AB$4:AB207)</f>
        <v>10308.789406912289</v>
      </c>
      <c r="AF207" s="28">
        <f t="shared" si="156"/>
        <v>14.398000000000001</v>
      </c>
      <c r="AG207" s="2">
        <f t="shared" si="157"/>
        <v>17.967500000000001</v>
      </c>
      <c r="AH207" s="2">
        <f t="shared" si="158"/>
        <v>4.6793499999999995</v>
      </c>
      <c r="AI207" s="2">
        <f t="shared" si="179"/>
        <v>19.077350000000003</v>
      </c>
      <c r="AJ207" s="2">
        <f t="shared" si="180"/>
        <v>2.8616025000000005</v>
      </c>
      <c r="AK207" s="2">
        <f t="shared" si="159"/>
        <v>0.28795999999999999</v>
      </c>
      <c r="AL207" s="2">
        <f t="shared" si="160"/>
        <v>8.6387999999999998</v>
      </c>
      <c r="AM207" s="2">
        <f t="shared" si="181"/>
        <v>48.833212500000002</v>
      </c>
      <c r="AN207" s="2">
        <f t="shared" si="161"/>
        <v>40</v>
      </c>
      <c r="AO207" s="2">
        <f t="shared" si="162"/>
        <v>35.935000000000002</v>
      </c>
      <c r="AP207" s="2">
        <f t="shared" si="163"/>
        <v>76.309399999999997</v>
      </c>
      <c r="AQ207" s="2">
        <f t="shared" si="182"/>
        <v>116.3094</v>
      </c>
      <c r="AR207" s="2">
        <f t="shared" si="183"/>
        <v>17.44641</v>
      </c>
      <c r="AS207" s="2">
        <f t="shared" si="164"/>
        <v>0.28795999999999999</v>
      </c>
      <c r="AT207" s="2">
        <f t="shared" si="165"/>
        <v>8.6387999999999998</v>
      </c>
      <c r="AU207" s="2">
        <f t="shared" si="184"/>
        <v>178.61757</v>
      </c>
      <c r="AV207" s="2">
        <f t="shared" si="166"/>
        <v>14.398000000000001</v>
      </c>
      <c r="AW207" s="2">
        <f t="shared" si="167"/>
        <v>7.1870000000000003</v>
      </c>
      <c r="AX207" s="2">
        <f t="shared" si="168"/>
        <v>3.0235799999999999</v>
      </c>
      <c r="AY207" s="2">
        <f t="shared" si="185"/>
        <v>17.421580000000002</v>
      </c>
      <c r="AZ207" s="2">
        <f t="shared" si="186"/>
        <v>2.6132370000000003</v>
      </c>
      <c r="BA207" s="2">
        <f t="shared" si="169"/>
        <v>0.28795999999999999</v>
      </c>
      <c r="BB207" s="2">
        <f t="shared" si="170"/>
        <v>8.6387999999999998</v>
      </c>
      <c r="BC207" s="2">
        <f t="shared" si="187"/>
        <v>36.148577000000003</v>
      </c>
      <c r="BD207" s="2">
        <v>0</v>
      </c>
      <c r="BE207" s="2">
        <f t="shared" si="171"/>
        <v>143.97999999999999</v>
      </c>
      <c r="BF207" s="2">
        <f t="shared" si="172"/>
        <v>4.6793499999999995</v>
      </c>
      <c r="BG207" s="2">
        <f t="shared" si="188"/>
        <v>4.6793499999999995</v>
      </c>
      <c r="BH207" s="2">
        <f t="shared" si="189"/>
        <v>0.70190249999999987</v>
      </c>
      <c r="BI207" s="2">
        <f t="shared" si="173"/>
        <v>0.28795999999999999</v>
      </c>
      <c r="BJ207" s="2">
        <f t="shared" si="174"/>
        <v>8.6387999999999998</v>
      </c>
      <c r="BK207" s="2">
        <f t="shared" si="190"/>
        <v>158.28801249999998</v>
      </c>
      <c r="BL207" s="2">
        <f t="shared" si="175"/>
        <v>72110</v>
      </c>
      <c r="BM207" s="2">
        <f t="shared" si="176"/>
        <v>71870</v>
      </c>
      <c r="BN207" s="2">
        <f t="shared" si="191"/>
        <v>143980</v>
      </c>
    </row>
    <row r="208" spans="1:66" x14ac:dyDescent="0.25">
      <c r="A208" s="42">
        <v>205</v>
      </c>
      <c r="B208" s="43">
        <v>42857</v>
      </c>
      <c r="C208" s="42" t="s">
        <v>50</v>
      </c>
      <c r="D208" s="42" t="s">
        <v>173</v>
      </c>
      <c r="E208" s="6">
        <f t="shared" si="177"/>
        <v>-309.6303020833256</v>
      </c>
      <c r="F208" s="5" t="str">
        <f t="shared" si="192"/>
        <v>Loss</v>
      </c>
      <c r="G208" s="4">
        <f t="shared" si="193"/>
        <v>-260.99999999999227</v>
      </c>
      <c r="H208" s="46">
        <v>110</v>
      </c>
      <c r="I208" s="42">
        <v>359.15</v>
      </c>
      <c r="J208" s="42">
        <v>80</v>
      </c>
      <c r="K208" s="42">
        <v>359.2</v>
      </c>
      <c r="L208" s="42">
        <v>10</v>
      </c>
      <c r="M208" s="44">
        <v>358.85</v>
      </c>
      <c r="N208" s="5">
        <f t="shared" si="194"/>
        <v>200</v>
      </c>
      <c r="O208" s="4">
        <f t="shared" si="195"/>
        <v>359.06666666666661</v>
      </c>
      <c r="P208" s="5">
        <f t="shared" si="150"/>
        <v>110</v>
      </c>
      <c r="Q208" s="42">
        <v>357.85</v>
      </c>
      <c r="R208" s="2">
        <f t="shared" si="149"/>
        <v>80</v>
      </c>
      <c r="S208" s="42">
        <v>357.85</v>
      </c>
      <c r="T208" s="2">
        <f t="shared" si="178"/>
        <v>10</v>
      </c>
      <c r="U208" s="44">
        <v>357.85</v>
      </c>
      <c r="V208" s="5">
        <f t="shared" si="196"/>
        <v>200</v>
      </c>
      <c r="W208" s="4">
        <f t="shared" si="197"/>
        <v>357.85000000000008</v>
      </c>
      <c r="X208" s="14">
        <f t="shared" si="151"/>
        <v>-1</v>
      </c>
      <c r="Y208" s="5">
        <f t="shared" si="152"/>
        <v>-142.999999999995</v>
      </c>
      <c r="Z208" s="2">
        <f t="shared" si="153"/>
        <v>-107.99999999999727</v>
      </c>
      <c r="AA208" s="4">
        <f t="shared" si="154"/>
        <v>-10</v>
      </c>
      <c r="AB208" s="13">
        <f t="shared" si="155"/>
        <v>48.630302083333341</v>
      </c>
      <c r="AC208" s="10">
        <f>SUM($E$4:E208)</f>
        <v>-8580.0535089956447</v>
      </c>
      <c r="AD208" s="20">
        <f>SUM($AB$4:AB208)</f>
        <v>10357.419708995621</v>
      </c>
      <c r="AF208" s="28">
        <f t="shared" si="156"/>
        <v>14.338333333333333</v>
      </c>
      <c r="AG208" s="2">
        <f t="shared" si="157"/>
        <v>17.892500000000005</v>
      </c>
      <c r="AH208" s="2">
        <f t="shared" si="158"/>
        <v>4.6599583333333321</v>
      </c>
      <c r="AI208" s="2">
        <f t="shared" si="179"/>
        <v>18.998291666666667</v>
      </c>
      <c r="AJ208" s="2">
        <f t="shared" si="180"/>
        <v>2.84974375</v>
      </c>
      <c r="AK208" s="2">
        <f t="shared" si="159"/>
        <v>0.28676666666666661</v>
      </c>
      <c r="AL208" s="2">
        <f t="shared" si="160"/>
        <v>8.6029999999999998</v>
      </c>
      <c r="AM208" s="2">
        <f t="shared" si="181"/>
        <v>48.630302083333341</v>
      </c>
      <c r="AN208" s="2">
        <f t="shared" si="161"/>
        <v>120</v>
      </c>
      <c r="AO208" s="2">
        <f t="shared" si="162"/>
        <v>35.785000000000011</v>
      </c>
      <c r="AP208" s="2">
        <f t="shared" si="163"/>
        <v>75.993166666666653</v>
      </c>
      <c r="AQ208" s="2">
        <f t="shared" si="182"/>
        <v>195.99316666666664</v>
      </c>
      <c r="AR208" s="2">
        <f t="shared" si="183"/>
        <v>29.398974999999993</v>
      </c>
      <c r="AS208" s="2">
        <f t="shared" si="164"/>
        <v>0.28676666666666661</v>
      </c>
      <c r="AT208" s="2">
        <f t="shared" si="165"/>
        <v>8.6029999999999998</v>
      </c>
      <c r="AU208" s="2">
        <f t="shared" si="184"/>
        <v>270.06690833333334</v>
      </c>
      <c r="AV208" s="2">
        <f t="shared" si="166"/>
        <v>14.338333333333333</v>
      </c>
      <c r="AW208" s="2">
        <f t="shared" si="167"/>
        <v>7.1570000000000018</v>
      </c>
      <c r="AX208" s="2">
        <f t="shared" si="168"/>
        <v>3.0110499999999996</v>
      </c>
      <c r="AY208" s="2">
        <f t="shared" si="185"/>
        <v>17.349383333333332</v>
      </c>
      <c r="AZ208" s="2">
        <f t="shared" si="186"/>
        <v>2.6024074999999995</v>
      </c>
      <c r="BA208" s="2">
        <f t="shared" si="169"/>
        <v>0.28676666666666661</v>
      </c>
      <c r="BB208" s="2">
        <f t="shared" si="170"/>
        <v>8.6029999999999998</v>
      </c>
      <c r="BC208" s="2">
        <f t="shared" si="187"/>
        <v>35.998557499999997</v>
      </c>
      <c r="BD208" s="2">
        <v>0</v>
      </c>
      <c r="BE208" s="2">
        <f t="shared" si="171"/>
        <v>143.38333333333333</v>
      </c>
      <c r="BF208" s="2">
        <f t="shared" si="172"/>
        <v>4.6599583333333321</v>
      </c>
      <c r="BG208" s="2">
        <f t="shared" si="188"/>
        <v>4.6599583333333321</v>
      </c>
      <c r="BH208" s="2">
        <f t="shared" si="189"/>
        <v>0.69899374999999975</v>
      </c>
      <c r="BI208" s="2">
        <f t="shared" si="173"/>
        <v>0.28676666666666661</v>
      </c>
      <c r="BJ208" s="2">
        <f t="shared" si="174"/>
        <v>8.6029999999999998</v>
      </c>
      <c r="BK208" s="2">
        <f t="shared" si="190"/>
        <v>157.63205208333332</v>
      </c>
      <c r="BL208" s="2">
        <f t="shared" si="175"/>
        <v>71813.333333333314</v>
      </c>
      <c r="BM208" s="2">
        <f t="shared" si="176"/>
        <v>71570.000000000015</v>
      </c>
      <c r="BN208" s="2">
        <f t="shared" si="191"/>
        <v>143383.33333333331</v>
      </c>
    </row>
    <row r="209" spans="1:66" x14ac:dyDescent="0.25">
      <c r="A209" s="42">
        <v>206</v>
      </c>
      <c r="B209" s="43">
        <v>42857</v>
      </c>
      <c r="C209" s="42" t="s">
        <v>50</v>
      </c>
      <c r="D209" s="42" t="s">
        <v>163</v>
      </c>
      <c r="E209" s="6">
        <f t="shared" si="177"/>
        <v>-494.2394970312593</v>
      </c>
      <c r="F209" s="5" t="str">
        <f t="shared" si="192"/>
        <v>Loss</v>
      </c>
      <c r="G209" s="4">
        <f t="shared" si="193"/>
        <v>-433.8325000000093</v>
      </c>
      <c r="H209" s="46">
        <v>995</v>
      </c>
      <c r="I209" s="42">
        <v>89.283500000000004</v>
      </c>
      <c r="J209" s="42">
        <v>5</v>
      </c>
      <c r="K209" s="42">
        <v>89.35</v>
      </c>
      <c r="N209" s="5">
        <f t="shared" si="194"/>
        <v>1000</v>
      </c>
      <c r="O209" s="4">
        <f t="shared" si="195"/>
        <v>89.316749999999999</v>
      </c>
      <c r="P209" s="5">
        <f t="shared" si="150"/>
        <v>995</v>
      </c>
      <c r="Q209" s="42">
        <v>88.85</v>
      </c>
      <c r="R209" s="2">
        <f t="shared" si="149"/>
        <v>5</v>
      </c>
      <c r="S209" s="42">
        <v>88.85</v>
      </c>
      <c r="T209" s="2">
        <f t="shared" si="178"/>
        <v>0</v>
      </c>
      <c r="V209" s="5">
        <f t="shared" si="196"/>
        <v>1000</v>
      </c>
      <c r="W209" s="4">
        <f t="shared" si="197"/>
        <v>88.85</v>
      </c>
      <c r="X209" s="14">
        <f t="shared" si="151"/>
        <v>-0.43350000000000932</v>
      </c>
      <c r="Y209" s="5">
        <f t="shared" si="152"/>
        <v>-431.3325000000093</v>
      </c>
      <c r="Z209" s="2">
        <f t="shared" si="153"/>
        <v>-2.5</v>
      </c>
      <c r="AA209" s="4">
        <f t="shared" si="154"/>
        <v>0</v>
      </c>
      <c r="AB209" s="13">
        <f t="shared" si="155"/>
        <v>60.406997031249993</v>
      </c>
      <c r="AC209" s="10">
        <f>SUM($E$4:E209)</f>
        <v>-9074.2930060269045</v>
      </c>
      <c r="AD209" s="20">
        <f>SUM($AB$4:AB209)</f>
        <v>10417.826706026872</v>
      </c>
      <c r="AF209" s="28">
        <f t="shared" si="156"/>
        <v>17.816675</v>
      </c>
      <c r="AG209" s="2">
        <f t="shared" si="157"/>
        <v>22.212499999999999</v>
      </c>
      <c r="AH209" s="2">
        <f t="shared" si="158"/>
        <v>5.7904193749999999</v>
      </c>
      <c r="AI209" s="2">
        <f t="shared" si="179"/>
        <v>23.607094374999999</v>
      </c>
      <c r="AJ209" s="2">
        <f t="shared" si="180"/>
        <v>3.5410641562499996</v>
      </c>
      <c r="AK209" s="2">
        <f t="shared" si="159"/>
        <v>0.35633350000000003</v>
      </c>
      <c r="AL209" s="2">
        <f t="shared" si="160"/>
        <v>10.690005000000001</v>
      </c>
      <c r="AM209" s="2">
        <f t="shared" si="181"/>
        <v>60.406997031249993</v>
      </c>
      <c r="AN209" s="2">
        <f t="shared" si="161"/>
        <v>80</v>
      </c>
      <c r="AO209" s="2">
        <f t="shared" si="162"/>
        <v>44.424999999999997</v>
      </c>
      <c r="AP209" s="2">
        <f t="shared" si="163"/>
        <v>94.428377499999996</v>
      </c>
      <c r="AQ209" s="2">
        <f t="shared" si="182"/>
        <v>174.42837750000001</v>
      </c>
      <c r="AR209" s="2">
        <f t="shared" si="183"/>
        <v>26.164256625</v>
      </c>
      <c r="AS209" s="2">
        <f t="shared" si="164"/>
        <v>0.35633350000000003</v>
      </c>
      <c r="AT209" s="2">
        <f t="shared" si="165"/>
        <v>10.690005000000001</v>
      </c>
      <c r="AU209" s="2">
        <f t="shared" si="184"/>
        <v>256.06397262500002</v>
      </c>
      <c r="AV209" s="2">
        <f t="shared" si="166"/>
        <v>17.816675</v>
      </c>
      <c r="AW209" s="2">
        <f t="shared" si="167"/>
        <v>8.8849999999999998</v>
      </c>
      <c r="AX209" s="2">
        <f t="shared" si="168"/>
        <v>3.7415017499999998</v>
      </c>
      <c r="AY209" s="2">
        <f t="shared" si="185"/>
        <v>21.558176750000001</v>
      </c>
      <c r="AZ209" s="2">
        <f t="shared" si="186"/>
        <v>3.2337265125000001</v>
      </c>
      <c r="BA209" s="2">
        <f t="shared" si="169"/>
        <v>0.35633350000000003</v>
      </c>
      <c r="BB209" s="2">
        <f t="shared" si="170"/>
        <v>10.690005000000001</v>
      </c>
      <c r="BC209" s="2">
        <f t="shared" si="187"/>
        <v>44.723241762500002</v>
      </c>
      <c r="BD209" s="2">
        <v>0</v>
      </c>
      <c r="BE209" s="2">
        <f t="shared" si="171"/>
        <v>178.16675000000001</v>
      </c>
      <c r="BF209" s="2">
        <f t="shared" si="172"/>
        <v>5.7904193749999999</v>
      </c>
      <c r="BG209" s="2">
        <f t="shared" si="188"/>
        <v>5.7904193749999999</v>
      </c>
      <c r="BH209" s="2">
        <f t="shared" si="189"/>
        <v>0.86856290624999999</v>
      </c>
      <c r="BI209" s="2">
        <f t="shared" si="173"/>
        <v>0.35633350000000003</v>
      </c>
      <c r="BJ209" s="2">
        <f t="shared" si="174"/>
        <v>10.690005000000001</v>
      </c>
      <c r="BK209" s="2">
        <f t="shared" si="190"/>
        <v>195.87207078125002</v>
      </c>
      <c r="BL209" s="2">
        <f t="shared" si="175"/>
        <v>89316.75</v>
      </c>
      <c r="BM209" s="2">
        <f t="shared" si="176"/>
        <v>88850</v>
      </c>
      <c r="BN209" s="2">
        <f t="shared" si="191"/>
        <v>178166.75</v>
      </c>
    </row>
    <row r="210" spans="1:66" x14ac:dyDescent="0.25">
      <c r="A210" s="42">
        <v>207</v>
      </c>
      <c r="B210" s="43">
        <v>42857</v>
      </c>
      <c r="C210" s="42" t="s">
        <v>50</v>
      </c>
      <c r="D210" s="42" t="s">
        <v>134</v>
      </c>
      <c r="E210" s="6">
        <f t="shared" si="177"/>
        <v>181.730535</v>
      </c>
      <c r="F210" s="5" t="str">
        <f t="shared" si="192"/>
        <v>Win</v>
      </c>
      <c r="G210" s="4">
        <f t="shared" si="193"/>
        <v>240</v>
      </c>
      <c r="H210" s="46">
        <v>80</v>
      </c>
      <c r="I210" s="42">
        <v>1071.05</v>
      </c>
      <c r="N210" s="5">
        <f t="shared" si="194"/>
        <v>80</v>
      </c>
      <c r="O210" s="4">
        <f t="shared" si="195"/>
        <v>1071.05</v>
      </c>
      <c r="P210" s="5">
        <f t="shared" si="150"/>
        <v>80</v>
      </c>
      <c r="Q210" s="42">
        <v>1074.05</v>
      </c>
      <c r="R210" s="2">
        <f t="shared" si="149"/>
        <v>0</v>
      </c>
      <c r="T210" s="2">
        <f t="shared" si="178"/>
        <v>0</v>
      </c>
      <c r="V210" s="5">
        <f t="shared" si="196"/>
        <v>80</v>
      </c>
      <c r="W210" s="4">
        <f t="shared" si="197"/>
        <v>1074.05</v>
      </c>
      <c r="X210" s="14">
        <f t="shared" si="151"/>
        <v>3</v>
      </c>
      <c r="Y210" s="5">
        <f t="shared" si="152"/>
        <v>240</v>
      </c>
      <c r="Z210" s="2">
        <f t="shared" si="153"/>
        <v>0</v>
      </c>
      <c r="AA210" s="4">
        <f t="shared" si="154"/>
        <v>0</v>
      </c>
      <c r="AB210" s="13">
        <f t="shared" si="155"/>
        <v>58.269465000000004</v>
      </c>
      <c r="AC210" s="10">
        <f>SUM($E$4:E210)</f>
        <v>-8892.5624710269039</v>
      </c>
      <c r="AD210" s="20">
        <f>SUM($AB$4:AB210)</f>
        <v>10476.096171026871</v>
      </c>
      <c r="AF210" s="28">
        <f t="shared" si="156"/>
        <v>17.160800000000002</v>
      </c>
      <c r="AG210" s="2">
        <f t="shared" si="157"/>
        <v>21.480999999999998</v>
      </c>
      <c r="AH210" s="2">
        <f t="shared" si="158"/>
        <v>5.5772599999999999</v>
      </c>
      <c r="AI210" s="2">
        <f t="shared" si="179"/>
        <v>22.738060000000001</v>
      </c>
      <c r="AJ210" s="2">
        <f t="shared" si="180"/>
        <v>3.4107090000000002</v>
      </c>
      <c r="AK210" s="2">
        <f t="shared" si="159"/>
        <v>0.34321600000000002</v>
      </c>
      <c r="AL210" s="2">
        <f t="shared" si="160"/>
        <v>10.296480000000001</v>
      </c>
      <c r="AM210" s="2">
        <f t="shared" si="181"/>
        <v>58.269465000000004</v>
      </c>
      <c r="AN210" s="2">
        <f t="shared" si="161"/>
        <v>40</v>
      </c>
      <c r="AO210" s="2">
        <f t="shared" si="162"/>
        <v>42.961999999999996</v>
      </c>
      <c r="AP210" s="2">
        <f t="shared" si="163"/>
        <v>90.952240000000003</v>
      </c>
      <c r="AQ210" s="2">
        <f t="shared" si="182"/>
        <v>130.95224000000002</v>
      </c>
      <c r="AR210" s="2">
        <f t="shared" si="183"/>
        <v>19.642836000000003</v>
      </c>
      <c r="AS210" s="2">
        <f t="shared" si="164"/>
        <v>0.34321600000000002</v>
      </c>
      <c r="AT210" s="2">
        <f t="shared" si="165"/>
        <v>10.296480000000001</v>
      </c>
      <c r="AU210" s="2">
        <f t="shared" si="184"/>
        <v>204.19677200000001</v>
      </c>
      <c r="AV210" s="2">
        <f t="shared" si="166"/>
        <v>17.160800000000002</v>
      </c>
      <c r="AW210" s="2">
        <f t="shared" si="167"/>
        <v>8.5923999999999996</v>
      </c>
      <c r="AX210" s="2">
        <f t="shared" si="168"/>
        <v>3.6037679999999996</v>
      </c>
      <c r="AY210" s="2">
        <f t="shared" si="185"/>
        <v>20.764568000000001</v>
      </c>
      <c r="AZ210" s="2">
        <f t="shared" si="186"/>
        <v>3.1146851999999998</v>
      </c>
      <c r="BA210" s="2">
        <f t="shared" si="169"/>
        <v>0.34321600000000002</v>
      </c>
      <c r="BB210" s="2">
        <f t="shared" si="170"/>
        <v>10.296480000000001</v>
      </c>
      <c r="BC210" s="2">
        <f t="shared" si="187"/>
        <v>43.111349199999999</v>
      </c>
      <c r="BD210" s="2">
        <v>0</v>
      </c>
      <c r="BE210" s="2">
        <f t="shared" si="171"/>
        <v>171.608</v>
      </c>
      <c r="BF210" s="2">
        <f t="shared" si="172"/>
        <v>5.5772599999999999</v>
      </c>
      <c r="BG210" s="2">
        <f t="shared" si="188"/>
        <v>5.5772599999999999</v>
      </c>
      <c r="BH210" s="2">
        <f t="shared" si="189"/>
        <v>0.83658899999999992</v>
      </c>
      <c r="BI210" s="2">
        <f t="shared" si="173"/>
        <v>0.34321600000000002</v>
      </c>
      <c r="BJ210" s="2">
        <f t="shared" si="174"/>
        <v>10.296480000000001</v>
      </c>
      <c r="BK210" s="2">
        <f t="shared" si="190"/>
        <v>188.66154500000002</v>
      </c>
      <c r="BL210" s="2">
        <f t="shared" si="175"/>
        <v>85684</v>
      </c>
      <c r="BM210" s="2">
        <f t="shared" si="176"/>
        <v>85924</v>
      </c>
      <c r="BN210" s="2">
        <f t="shared" si="191"/>
        <v>171608</v>
      </c>
    </row>
    <row r="211" spans="1:66" x14ac:dyDescent="0.25">
      <c r="A211" s="42">
        <v>208</v>
      </c>
      <c r="B211" s="43">
        <v>42858</v>
      </c>
      <c r="C211" s="42" t="s">
        <v>50</v>
      </c>
      <c r="D211" s="42" t="s">
        <v>167</v>
      </c>
      <c r="E211" s="6">
        <f t="shared" si="177"/>
        <v>-581.3347250000046</v>
      </c>
      <c r="F211" s="5" t="str">
        <f t="shared" si="192"/>
        <v>Loss</v>
      </c>
      <c r="G211" s="4">
        <f t="shared" si="193"/>
        <v>-520.00000000000455</v>
      </c>
      <c r="H211" s="46">
        <v>800</v>
      </c>
      <c r="I211" s="42">
        <v>113.4</v>
      </c>
      <c r="N211" s="5">
        <f t="shared" si="194"/>
        <v>800</v>
      </c>
      <c r="O211" s="4">
        <f t="shared" si="195"/>
        <v>113.4</v>
      </c>
      <c r="P211" s="5">
        <f t="shared" si="150"/>
        <v>800</v>
      </c>
      <c r="Q211" s="42">
        <v>112.75</v>
      </c>
      <c r="R211" s="2">
        <f t="shared" si="149"/>
        <v>0</v>
      </c>
      <c r="T211" s="2">
        <f t="shared" si="178"/>
        <v>0</v>
      </c>
      <c r="V211" s="5">
        <f t="shared" si="196"/>
        <v>800</v>
      </c>
      <c r="W211" s="4">
        <f t="shared" si="197"/>
        <v>112.75</v>
      </c>
      <c r="X211" s="14">
        <f t="shared" si="151"/>
        <v>-0.65000000000000568</v>
      </c>
      <c r="Y211" s="5">
        <f t="shared" si="152"/>
        <v>-520.00000000000455</v>
      </c>
      <c r="Z211" s="2">
        <f t="shared" si="153"/>
        <v>0</v>
      </c>
      <c r="AA211" s="4">
        <f t="shared" si="154"/>
        <v>0</v>
      </c>
      <c r="AB211" s="13">
        <f t="shared" si="155"/>
        <v>61.334725000000006</v>
      </c>
      <c r="AC211" s="10">
        <f>SUM($E$4:E211)</f>
        <v>-9473.8971960269082</v>
      </c>
      <c r="AD211" s="20">
        <f>SUM($AB$4:AB211)</f>
        <v>10537.430896026872</v>
      </c>
      <c r="AF211" s="28">
        <f t="shared" si="156"/>
        <v>18.092000000000002</v>
      </c>
      <c r="AG211" s="2">
        <f t="shared" si="157"/>
        <v>22.55</v>
      </c>
      <c r="AH211" s="2">
        <f t="shared" si="158"/>
        <v>5.8798999999999992</v>
      </c>
      <c r="AI211" s="2">
        <f t="shared" si="179"/>
        <v>23.971900000000002</v>
      </c>
      <c r="AJ211" s="2">
        <f t="shared" si="180"/>
        <v>3.5957850000000002</v>
      </c>
      <c r="AK211" s="2">
        <f t="shared" si="159"/>
        <v>0.36183999999999999</v>
      </c>
      <c r="AL211" s="2">
        <f t="shared" si="160"/>
        <v>10.8552</v>
      </c>
      <c r="AM211" s="2">
        <f t="shared" si="181"/>
        <v>61.334725000000006</v>
      </c>
      <c r="AN211" s="2">
        <f t="shared" si="161"/>
        <v>40</v>
      </c>
      <c r="AO211" s="2">
        <f t="shared" si="162"/>
        <v>45.1</v>
      </c>
      <c r="AP211" s="2">
        <f t="shared" si="163"/>
        <v>95.887599999999992</v>
      </c>
      <c r="AQ211" s="2">
        <f t="shared" si="182"/>
        <v>135.88759999999999</v>
      </c>
      <c r="AR211" s="2">
        <f t="shared" si="183"/>
        <v>20.383139999999997</v>
      </c>
      <c r="AS211" s="2">
        <f t="shared" si="164"/>
        <v>0.36183999999999999</v>
      </c>
      <c r="AT211" s="2">
        <f t="shared" si="165"/>
        <v>10.8552</v>
      </c>
      <c r="AU211" s="2">
        <f t="shared" si="184"/>
        <v>212.58777999999998</v>
      </c>
      <c r="AV211" s="2">
        <f t="shared" si="166"/>
        <v>18.092000000000002</v>
      </c>
      <c r="AW211" s="2">
        <f t="shared" si="167"/>
        <v>9.02</v>
      </c>
      <c r="AX211" s="2">
        <f t="shared" si="168"/>
        <v>3.7993199999999998</v>
      </c>
      <c r="AY211" s="2">
        <f t="shared" si="185"/>
        <v>21.89132</v>
      </c>
      <c r="AZ211" s="2">
        <f t="shared" si="186"/>
        <v>3.2836979999999998</v>
      </c>
      <c r="BA211" s="2">
        <f t="shared" si="169"/>
        <v>0.36183999999999999</v>
      </c>
      <c r="BB211" s="2">
        <f t="shared" si="170"/>
        <v>10.8552</v>
      </c>
      <c r="BC211" s="2">
        <f t="shared" si="187"/>
        <v>45.412058000000002</v>
      </c>
      <c r="BD211" s="2">
        <v>0</v>
      </c>
      <c r="BE211" s="2">
        <f t="shared" si="171"/>
        <v>180.92000000000002</v>
      </c>
      <c r="BF211" s="2">
        <f t="shared" si="172"/>
        <v>5.8798999999999992</v>
      </c>
      <c r="BG211" s="2">
        <f t="shared" si="188"/>
        <v>5.8798999999999992</v>
      </c>
      <c r="BH211" s="2">
        <f t="shared" si="189"/>
        <v>0.88198499999999991</v>
      </c>
      <c r="BI211" s="2">
        <f t="shared" si="173"/>
        <v>0.36183999999999999</v>
      </c>
      <c r="BJ211" s="2">
        <f t="shared" si="174"/>
        <v>10.8552</v>
      </c>
      <c r="BK211" s="2">
        <f t="shared" si="190"/>
        <v>198.89892499999999</v>
      </c>
      <c r="BL211" s="2">
        <f t="shared" si="175"/>
        <v>90720</v>
      </c>
      <c r="BM211" s="2">
        <f t="shared" si="176"/>
        <v>90200</v>
      </c>
      <c r="BN211" s="2">
        <f t="shared" si="191"/>
        <v>180920</v>
      </c>
    </row>
    <row r="212" spans="1:66" x14ac:dyDescent="0.25">
      <c r="A212" s="42">
        <v>209</v>
      </c>
      <c r="B212" s="43">
        <v>42858</v>
      </c>
      <c r="C212" s="42" t="s">
        <v>50</v>
      </c>
      <c r="D212" s="42" t="s">
        <v>172</v>
      </c>
      <c r="E212" s="6">
        <f t="shared" si="177"/>
        <v>-340.19727499999544</v>
      </c>
      <c r="F212" s="5" t="str">
        <f t="shared" si="192"/>
        <v>Loss</v>
      </c>
      <c r="G212" s="4">
        <f t="shared" si="193"/>
        <v>-279.99999999999545</v>
      </c>
      <c r="H212" s="46">
        <v>800</v>
      </c>
      <c r="I212" s="42">
        <v>111.1</v>
      </c>
      <c r="N212" s="5">
        <f t="shared" si="194"/>
        <v>800</v>
      </c>
      <c r="O212" s="4">
        <f t="shared" si="195"/>
        <v>111.1</v>
      </c>
      <c r="P212" s="5">
        <f t="shared" si="150"/>
        <v>800</v>
      </c>
      <c r="Q212" s="42">
        <v>110.75</v>
      </c>
      <c r="R212" s="2">
        <f t="shared" si="149"/>
        <v>0</v>
      </c>
      <c r="T212" s="2">
        <f t="shared" si="178"/>
        <v>0</v>
      </c>
      <c r="V212" s="5">
        <f t="shared" si="196"/>
        <v>800</v>
      </c>
      <c r="W212" s="4">
        <f t="shared" si="197"/>
        <v>110.75</v>
      </c>
      <c r="X212" s="14">
        <f t="shared" si="151"/>
        <v>-0.34999999999999432</v>
      </c>
      <c r="Y212" s="5">
        <f t="shared" si="152"/>
        <v>-279.99999999999545</v>
      </c>
      <c r="Z212" s="2">
        <f t="shared" si="153"/>
        <v>0</v>
      </c>
      <c r="AA212" s="4">
        <f t="shared" si="154"/>
        <v>0</v>
      </c>
      <c r="AB212" s="13">
        <f t="shared" si="155"/>
        <v>60.197274999999998</v>
      </c>
      <c r="AC212" s="10">
        <f>SUM($E$4:E212)</f>
        <v>-9814.0944710269032</v>
      </c>
      <c r="AD212" s="20">
        <f>SUM($AB$4:AB212)</f>
        <v>10597.628171026872</v>
      </c>
      <c r="AF212" s="28">
        <f t="shared" si="156"/>
        <v>17.748000000000001</v>
      </c>
      <c r="AG212" s="2">
        <f t="shared" si="157"/>
        <v>22.150000000000002</v>
      </c>
      <c r="AH212" s="2">
        <f t="shared" si="158"/>
        <v>5.7680999999999996</v>
      </c>
      <c r="AI212" s="2">
        <f t="shared" si="179"/>
        <v>23.516100000000002</v>
      </c>
      <c r="AJ212" s="2">
        <f t="shared" si="180"/>
        <v>3.527415</v>
      </c>
      <c r="AK212" s="2">
        <f t="shared" si="159"/>
        <v>0.35496</v>
      </c>
      <c r="AL212" s="2">
        <f t="shared" si="160"/>
        <v>10.6488</v>
      </c>
      <c r="AM212" s="2">
        <f t="shared" si="181"/>
        <v>60.197274999999998</v>
      </c>
      <c r="AN212" s="2">
        <f t="shared" si="161"/>
        <v>40</v>
      </c>
      <c r="AO212" s="2">
        <f t="shared" si="162"/>
        <v>44.300000000000004</v>
      </c>
      <c r="AP212" s="2">
        <f t="shared" si="163"/>
        <v>94.064399999999992</v>
      </c>
      <c r="AQ212" s="2">
        <f t="shared" si="182"/>
        <v>134.06439999999998</v>
      </c>
      <c r="AR212" s="2">
        <f t="shared" si="183"/>
        <v>20.109659999999995</v>
      </c>
      <c r="AS212" s="2">
        <f t="shared" si="164"/>
        <v>0.35496</v>
      </c>
      <c r="AT212" s="2">
        <f t="shared" si="165"/>
        <v>10.6488</v>
      </c>
      <c r="AU212" s="2">
        <f t="shared" si="184"/>
        <v>209.47781999999998</v>
      </c>
      <c r="AV212" s="2">
        <f t="shared" si="166"/>
        <v>17.748000000000001</v>
      </c>
      <c r="AW212" s="2">
        <f t="shared" si="167"/>
        <v>8.86</v>
      </c>
      <c r="AX212" s="2">
        <f t="shared" si="168"/>
        <v>3.7270799999999999</v>
      </c>
      <c r="AY212" s="2">
        <f t="shared" si="185"/>
        <v>21.475080000000002</v>
      </c>
      <c r="AZ212" s="2">
        <f t="shared" si="186"/>
        <v>3.2212620000000003</v>
      </c>
      <c r="BA212" s="2">
        <f t="shared" si="169"/>
        <v>0.35496</v>
      </c>
      <c r="BB212" s="2">
        <f t="shared" si="170"/>
        <v>10.6488</v>
      </c>
      <c r="BC212" s="2">
        <f t="shared" si="187"/>
        <v>44.560102000000001</v>
      </c>
      <c r="BD212" s="2">
        <v>0</v>
      </c>
      <c r="BE212" s="2">
        <f t="shared" si="171"/>
        <v>177.48</v>
      </c>
      <c r="BF212" s="2">
        <f t="shared" si="172"/>
        <v>5.7680999999999996</v>
      </c>
      <c r="BG212" s="2">
        <f t="shared" si="188"/>
        <v>5.7680999999999996</v>
      </c>
      <c r="BH212" s="2">
        <f t="shared" si="189"/>
        <v>0.86521499999999996</v>
      </c>
      <c r="BI212" s="2">
        <f t="shared" si="173"/>
        <v>0.35496</v>
      </c>
      <c r="BJ212" s="2">
        <f t="shared" si="174"/>
        <v>10.6488</v>
      </c>
      <c r="BK212" s="2">
        <f t="shared" si="190"/>
        <v>195.117075</v>
      </c>
      <c r="BL212" s="2">
        <f t="shared" si="175"/>
        <v>88880</v>
      </c>
      <c r="BM212" s="2">
        <f t="shared" si="176"/>
        <v>88600</v>
      </c>
      <c r="BN212" s="2">
        <f t="shared" si="191"/>
        <v>177480</v>
      </c>
    </row>
    <row r="213" spans="1:66" x14ac:dyDescent="0.25">
      <c r="A213" s="42">
        <v>210</v>
      </c>
      <c r="B213" s="43">
        <v>42858</v>
      </c>
      <c r="C213" s="42" t="s">
        <v>50</v>
      </c>
      <c r="D213" s="42" t="s">
        <v>174</v>
      </c>
      <c r="E213" s="6">
        <f t="shared" si="177"/>
        <v>-7.8833671875056908</v>
      </c>
      <c r="F213" s="5" t="str">
        <f t="shared" si="192"/>
        <v>Win</v>
      </c>
      <c r="G213" s="4">
        <f t="shared" si="193"/>
        <v>37.499999999994316</v>
      </c>
      <c r="H213" s="46">
        <v>250</v>
      </c>
      <c r="I213" s="42">
        <v>267.35000000000002</v>
      </c>
      <c r="N213" s="5">
        <f t="shared" si="194"/>
        <v>250</v>
      </c>
      <c r="O213" s="4">
        <f t="shared" si="195"/>
        <v>267.35000000000002</v>
      </c>
      <c r="P213" s="5">
        <f t="shared" si="150"/>
        <v>250</v>
      </c>
      <c r="Q213" s="42">
        <v>267.5</v>
      </c>
      <c r="R213" s="2">
        <f t="shared" si="149"/>
        <v>0</v>
      </c>
      <c r="T213" s="2">
        <f t="shared" si="178"/>
        <v>0</v>
      </c>
      <c r="V213" s="5">
        <f t="shared" si="196"/>
        <v>250</v>
      </c>
      <c r="W213" s="4">
        <f t="shared" si="197"/>
        <v>267.5</v>
      </c>
      <c r="X213" s="14">
        <f t="shared" si="151"/>
        <v>0.14999999999997726</v>
      </c>
      <c r="Y213" s="5">
        <f t="shared" si="152"/>
        <v>37.499999999994316</v>
      </c>
      <c r="Z213" s="2">
        <f t="shared" si="153"/>
        <v>0</v>
      </c>
      <c r="AA213" s="4">
        <f t="shared" si="154"/>
        <v>0</v>
      </c>
      <c r="AB213" s="13">
        <f t="shared" si="155"/>
        <v>45.383367187500006</v>
      </c>
      <c r="AC213" s="10">
        <f>SUM($E$4:E213)</f>
        <v>-9821.9778382144086</v>
      </c>
      <c r="AD213" s="20">
        <f>SUM($AB$4:AB213)</f>
        <v>10643.011538214372</v>
      </c>
      <c r="AF213" s="28">
        <f t="shared" si="156"/>
        <v>13.37125</v>
      </c>
      <c r="AG213" s="2">
        <f t="shared" si="157"/>
        <v>16.71875</v>
      </c>
      <c r="AH213" s="2">
        <f t="shared" si="158"/>
        <v>4.3456562499999993</v>
      </c>
      <c r="AI213" s="2">
        <f t="shared" si="179"/>
        <v>17.716906250000001</v>
      </c>
      <c r="AJ213" s="2">
        <f t="shared" si="180"/>
        <v>2.6575359375000001</v>
      </c>
      <c r="AK213" s="2">
        <f t="shared" si="159"/>
        <v>0.26742499999999997</v>
      </c>
      <c r="AL213" s="2">
        <f t="shared" si="160"/>
        <v>8.0227500000000003</v>
      </c>
      <c r="AM213" s="2">
        <f t="shared" si="181"/>
        <v>45.383367187500006</v>
      </c>
      <c r="AN213" s="2">
        <f t="shared" si="161"/>
        <v>40</v>
      </c>
      <c r="AO213" s="2">
        <f t="shared" si="162"/>
        <v>33.4375</v>
      </c>
      <c r="AP213" s="2">
        <f t="shared" si="163"/>
        <v>70.867625000000004</v>
      </c>
      <c r="AQ213" s="2">
        <f t="shared" si="182"/>
        <v>110.867625</v>
      </c>
      <c r="AR213" s="2">
        <f t="shared" si="183"/>
        <v>16.630143749999998</v>
      </c>
      <c r="AS213" s="2">
        <f t="shared" si="164"/>
        <v>0.26742499999999997</v>
      </c>
      <c r="AT213" s="2">
        <f t="shared" si="165"/>
        <v>8.0227500000000003</v>
      </c>
      <c r="AU213" s="2">
        <f t="shared" si="184"/>
        <v>169.22544375000001</v>
      </c>
      <c r="AV213" s="2">
        <f t="shared" si="166"/>
        <v>13.37125</v>
      </c>
      <c r="AW213" s="2">
        <f t="shared" si="167"/>
        <v>6.6875</v>
      </c>
      <c r="AX213" s="2">
        <f t="shared" si="168"/>
        <v>2.8079624999999999</v>
      </c>
      <c r="AY213" s="2">
        <f t="shared" si="185"/>
        <v>16.179212499999998</v>
      </c>
      <c r="AZ213" s="2">
        <f t="shared" si="186"/>
        <v>2.4268818749999999</v>
      </c>
      <c r="BA213" s="2">
        <f t="shared" si="169"/>
        <v>0.26742499999999997</v>
      </c>
      <c r="BB213" s="2">
        <f t="shared" si="170"/>
        <v>8.0227500000000003</v>
      </c>
      <c r="BC213" s="2">
        <f t="shared" si="187"/>
        <v>33.583769374999996</v>
      </c>
      <c r="BD213" s="2">
        <v>0</v>
      </c>
      <c r="BE213" s="2">
        <f t="shared" si="171"/>
        <v>133.71250000000001</v>
      </c>
      <c r="BF213" s="2">
        <f t="shared" si="172"/>
        <v>4.3456562499999993</v>
      </c>
      <c r="BG213" s="2">
        <f t="shared" si="188"/>
        <v>4.3456562499999993</v>
      </c>
      <c r="BH213" s="2">
        <f t="shared" si="189"/>
        <v>0.65184843749999988</v>
      </c>
      <c r="BI213" s="2">
        <f t="shared" si="173"/>
        <v>0.26742499999999997</v>
      </c>
      <c r="BJ213" s="2">
        <f t="shared" si="174"/>
        <v>8.0227500000000003</v>
      </c>
      <c r="BK213" s="2">
        <f t="shared" si="190"/>
        <v>147.00017968750001</v>
      </c>
      <c r="BL213" s="2">
        <f t="shared" si="175"/>
        <v>66837.5</v>
      </c>
      <c r="BM213" s="2">
        <f t="shared" si="176"/>
        <v>66875</v>
      </c>
      <c r="BN213" s="2">
        <f t="shared" si="191"/>
        <v>133712.5</v>
      </c>
    </row>
    <row r="214" spans="1:66" x14ac:dyDescent="0.25">
      <c r="A214" s="42">
        <v>211</v>
      </c>
      <c r="B214" s="43">
        <v>42858</v>
      </c>
      <c r="C214" s="42" t="s">
        <v>50</v>
      </c>
      <c r="D214" s="42" t="s">
        <v>166</v>
      </c>
      <c r="E214" s="6">
        <f t="shared" si="177"/>
        <v>-1173.6711395833333</v>
      </c>
      <c r="F214" s="5" t="str">
        <f t="shared" si="192"/>
        <v>Loss</v>
      </c>
      <c r="G214" s="4">
        <f t="shared" si="193"/>
        <v>-1050</v>
      </c>
      <c r="H214" s="46">
        <v>50</v>
      </c>
      <c r="I214" s="42">
        <v>1069</v>
      </c>
      <c r="J214" s="42">
        <v>50</v>
      </c>
      <c r="K214" s="42">
        <v>1083</v>
      </c>
      <c r="L214" s="42">
        <v>70</v>
      </c>
      <c r="M214" s="44">
        <v>1075</v>
      </c>
      <c r="N214" s="5">
        <f t="shared" si="194"/>
        <v>170</v>
      </c>
      <c r="O214" s="4">
        <f t="shared" si="195"/>
        <v>1075.6666666666667</v>
      </c>
      <c r="P214" s="5">
        <f t="shared" si="150"/>
        <v>50</v>
      </c>
      <c r="Q214" s="42">
        <v>1072</v>
      </c>
      <c r="R214" s="2">
        <f t="shared" si="149"/>
        <v>50</v>
      </c>
      <c r="S214" s="42">
        <v>1073</v>
      </c>
      <c r="T214" s="2">
        <f t="shared" si="178"/>
        <v>70</v>
      </c>
      <c r="U214" s="44">
        <v>1065</v>
      </c>
      <c r="V214" s="5">
        <f t="shared" si="196"/>
        <v>170</v>
      </c>
      <c r="W214" s="4">
        <f t="shared" si="197"/>
        <v>1070</v>
      </c>
      <c r="X214" s="14">
        <f t="shared" si="151"/>
        <v>4</v>
      </c>
      <c r="Y214" s="5">
        <f t="shared" si="152"/>
        <v>150</v>
      </c>
      <c r="Z214" s="2">
        <f t="shared" si="153"/>
        <v>-500</v>
      </c>
      <c r="AA214" s="4">
        <f t="shared" si="154"/>
        <v>-700</v>
      </c>
      <c r="AB214" s="13">
        <f t="shared" si="155"/>
        <v>123.67113958333336</v>
      </c>
      <c r="AC214" s="10">
        <f>SUM($E$4:E214)</f>
        <v>-10995.648977797742</v>
      </c>
      <c r="AD214" s="20">
        <f>SUM($AB$4:AB214)</f>
        <v>10766.682677797706</v>
      </c>
      <c r="AF214" s="28">
        <f t="shared" si="156"/>
        <v>36.476333333333336</v>
      </c>
      <c r="AG214" s="2">
        <f t="shared" si="157"/>
        <v>45.475000000000001</v>
      </c>
      <c r="AH214" s="2">
        <f t="shared" si="158"/>
        <v>11.854808333333333</v>
      </c>
      <c r="AI214" s="2">
        <f t="shared" si="179"/>
        <v>48.331141666666667</v>
      </c>
      <c r="AJ214" s="2">
        <f t="shared" si="180"/>
        <v>7.2496712499999996</v>
      </c>
      <c r="AK214" s="2">
        <f t="shared" si="159"/>
        <v>0.72952666666666677</v>
      </c>
      <c r="AL214" s="2">
        <f t="shared" si="160"/>
        <v>21.885800000000003</v>
      </c>
      <c r="AM214" s="2">
        <f t="shared" si="181"/>
        <v>123.67113958333336</v>
      </c>
      <c r="AN214" s="2">
        <f t="shared" si="161"/>
        <v>120</v>
      </c>
      <c r="AO214" s="2">
        <f t="shared" si="162"/>
        <v>90.95</v>
      </c>
      <c r="AP214" s="2">
        <f t="shared" si="163"/>
        <v>193.32456666666667</v>
      </c>
      <c r="AQ214" s="2">
        <f t="shared" si="182"/>
        <v>313.32456666666667</v>
      </c>
      <c r="AR214" s="2">
        <f t="shared" si="183"/>
        <v>46.998685000000002</v>
      </c>
      <c r="AS214" s="2">
        <f t="shared" si="164"/>
        <v>0.72952666666666677</v>
      </c>
      <c r="AT214" s="2">
        <f t="shared" si="165"/>
        <v>21.885800000000003</v>
      </c>
      <c r="AU214" s="2">
        <f t="shared" si="184"/>
        <v>473.88857833333338</v>
      </c>
      <c r="AV214" s="2">
        <f t="shared" si="166"/>
        <v>36.476333333333336</v>
      </c>
      <c r="AW214" s="2">
        <f t="shared" si="167"/>
        <v>18.190000000000001</v>
      </c>
      <c r="AX214" s="2">
        <f t="shared" si="168"/>
        <v>7.6600300000000008</v>
      </c>
      <c r="AY214" s="2">
        <f t="shared" si="185"/>
        <v>44.136363333333335</v>
      </c>
      <c r="AZ214" s="2">
        <f t="shared" si="186"/>
        <v>6.6204545000000001</v>
      </c>
      <c r="BA214" s="2">
        <f t="shared" si="169"/>
        <v>0.72952666666666677</v>
      </c>
      <c r="BB214" s="2">
        <f t="shared" si="170"/>
        <v>21.885800000000003</v>
      </c>
      <c r="BC214" s="2">
        <f t="shared" si="187"/>
        <v>91.562144500000016</v>
      </c>
      <c r="BD214" s="2">
        <v>0</v>
      </c>
      <c r="BE214" s="2">
        <f t="shared" si="171"/>
        <v>364.76333333333338</v>
      </c>
      <c r="BF214" s="2">
        <f t="shared" si="172"/>
        <v>11.854808333333333</v>
      </c>
      <c r="BG214" s="2">
        <f t="shared" si="188"/>
        <v>11.854808333333333</v>
      </c>
      <c r="BH214" s="2">
        <f t="shared" si="189"/>
        <v>1.7782212499999999</v>
      </c>
      <c r="BI214" s="2">
        <f t="shared" si="173"/>
        <v>0.72952666666666677</v>
      </c>
      <c r="BJ214" s="2">
        <f t="shared" si="174"/>
        <v>21.885800000000003</v>
      </c>
      <c r="BK214" s="2">
        <f t="shared" si="190"/>
        <v>401.01168958333341</v>
      </c>
      <c r="BL214" s="2">
        <f t="shared" si="175"/>
        <v>182863.33333333334</v>
      </c>
      <c r="BM214" s="2">
        <f t="shared" si="176"/>
        <v>181900</v>
      </c>
      <c r="BN214" s="2">
        <f t="shared" si="191"/>
        <v>364763.33333333337</v>
      </c>
    </row>
    <row r="215" spans="1:66" x14ac:dyDescent="0.25">
      <c r="A215" s="42">
        <v>212</v>
      </c>
      <c r="B215" s="43">
        <v>42858</v>
      </c>
      <c r="C215" s="42" t="s">
        <v>50</v>
      </c>
      <c r="D215" s="42" t="s">
        <v>163</v>
      </c>
      <c r="E215" s="6">
        <f t="shared" si="177"/>
        <v>-35.838000000000001</v>
      </c>
      <c r="F215" s="5" t="str">
        <f t="shared" si="192"/>
        <v>Break Even</v>
      </c>
      <c r="G215" s="4">
        <f t="shared" si="193"/>
        <v>0</v>
      </c>
      <c r="H215" s="46">
        <v>600</v>
      </c>
      <c r="I215" s="42">
        <v>88</v>
      </c>
      <c r="N215" s="5">
        <f t="shared" si="194"/>
        <v>600</v>
      </c>
      <c r="O215" s="4">
        <f t="shared" si="195"/>
        <v>88</v>
      </c>
      <c r="P215" s="5">
        <f t="shared" si="150"/>
        <v>600</v>
      </c>
      <c r="Q215" s="42">
        <v>88</v>
      </c>
      <c r="R215" s="2">
        <f t="shared" si="149"/>
        <v>0</v>
      </c>
      <c r="T215" s="2">
        <f t="shared" si="178"/>
        <v>0</v>
      </c>
      <c r="V215" s="5">
        <f t="shared" si="196"/>
        <v>600</v>
      </c>
      <c r="W215" s="4">
        <f t="shared" si="197"/>
        <v>88</v>
      </c>
      <c r="X215" s="14">
        <f t="shared" si="151"/>
        <v>0</v>
      </c>
      <c r="Y215" s="5">
        <f t="shared" si="152"/>
        <v>0</v>
      </c>
      <c r="Z215" s="2">
        <f t="shared" si="153"/>
        <v>0</v>
      </c>
      <c r="AA215" s="4">
        <f t="shared" si="154"/>
        <v>0</v>
      </c>
      <c r="AB215" s="13">
        <f t="shared" si="155"/>
        <v>35.838000000000001</v>
      </c>
      <c r="AC215" s="10">
        <f>SUM($E$4:E215)</f>
        <v>-11031.486977797742</v>
      </c>
      <c r="AD215" s="20">
        <f>SUM($AB$4:AB215)</f>
        <v>10802.520677797706</v>
      </c>
      <c r="AF215" s="28">
        <f t="shared" si="156"/>
        <v>10.56</v>
      </c>
      <c r="AG215" s="2">
        <f t="shared" si="157"/>
        <v>13.2</v>
      </c>
      <c r="AH215" s="2">
        <f t="shared" si="158"/>
        <v>3.4319999999999995</v>
      </c>
      <c r="AI215" s="2">
        <f t="shared" si="179"/>
        <v>13.992000000000001</v>
      </c>
      <c r="AJ215" s="2">
        <f t="shared" si="180"/>
        <v>2.0988000000000002</v>
      </c>
      <c r="AK215" s="2">
        <f t="shared" si="159"/>
        <v>0.2112</v>
      </c>
      <c r="AL215" s="2">
        <f t="shared" si="160"/>
        <v>6.3360000000000003</v>
      </c>
      <c r="AM215" s="2">
        <f t="shared" si="181"/>
        <v>35.838000000000001</v>
      </c>
      <c r="AN215" s="2">
        <f t="shared" si="161"/>
        <v>40</v>
      </c>
      <c r="AO215" s="2">
        <f t="shared" si="162"/>
        <v>26.4</v>
      </c>
      <c r="AP215" s="2">
        <f t="shared" si="163"/>
        <v>55.967999999999996</v>
      </c>
      <c r="AQ215" s="2">
        <f t="shared" si="182"/>
        <v>95.967999999999989</v>
      </c>
      <c r="AR215" s="2">
        <f t="shared" si="183"/>
        <v>14.395199999999997</v>
      </c>
      <c r="AS215" s="2">
        <f t="shared" si="164"/>
        <v>0.2112</v>
      </c>
      <c r="AT215" s="2">
        <f t="shared" si="165"/>
        <v>6.3360000000000003</v>
      </c>
      <c r="AU215" s="2">
        <f t="shared" si="184"/>
        <v>143.31039999999999</v>
      </c>
      <c r="AV215" s="2">
        <f t="shared" si="166"/>
        <v>10.56</v>
      </c>
      <c r="AW215" s="2">
        <f t="shared" si="167"/>
        <v>5.28</v>
      </c>
      <c r="AX215" s="2">
        <f t="shared" si="168"/>
        <v>2.2176</v>
      </c>
      <c r="AY215" s="2">
        <f t="shared" si="185"/>
        <v>12.7776</v>
      </c>
      <c r="AZ215" s="2">
        <f t="shared" si="186"/>
        <v>1.9166399999999999</v>
      </c>
      <c r="BA215" s="2">
        <f t="shared" si="169"/>
        <v>0.2112</v>
      </c>
      <c r="BB215" s="2">
        <f t="shared" si="170"/>
        <v>6.3360000000000003</v>
      </c>
      <c r="BC215" s="2">
        <f t="shared" si="187"/>
        <v>26.521440000000005</v>
      </c>
      <c r="BD215" s="2">
        <v>0</v>
      </c>
      <c r="BE215" s="2">
        <f t="shared" si="171"/>
        <v>105.60000000000001</v>
      </c>
      <c r="BF215" s="2">
        <f t="shared" si="172"/>
        <v>3.4319999999999995</v>
      </c>
      <c r="BG215" s="2">
        <f t="shared" si="188"/>
        <v>3.4319999999999995</v>
      </c>
      <c r="BH215" s="2">
        <f t="shared" si="189"/>
        <v>0.51479999999999992</v>
      </c>
      <c r="BI215" s="2">
        <f t="shared" si="173"/>
        <v>0.2112</v>
      </c>
      <c r="BJ215" s="2">
        <f t="shared" si="174"/>
        <v>6.3360000000000003</v>
      </c>
      <c r="BK215" s="2">
        <f t="shared" si="190"/>
        <v>116.09400000000001</v>
      </c>
      <c r="BL215" s="2">
        <f t="shared" si="175"/>
        <v>52800</v>
      </c>
      <c r="BM215" s="2">
        <f t="shared" si="176"/>
        <v>52800</v>
      </c>
      <c r="BN215" s="2">
        <f t="shared" si="191"/>
        <v>105600</v>
      </c>
    </row>
    <row r="216" spans="1:66" x14ac:dyDescent="0.25">
      <c r="A216" s="42">
        <v>213</v>
      </c>
      <c r="B216" s="43">
        <v>42858</v>
      </c>
      <c r="C216" s="42" t="s">
        <v>50</v>
      </c>
      <c r="D216" s="42" t="s">
        <v>166</v>
      </c>
      <c r="E216" s="6">
        <f t="shared" si="177"/>
        <v>-536.14881249999996</v>
      </c>
      <c r="F216" s="5" t="str">
        <f t="shared" si="192"/>
        <v>Loss</v>
      </c>
      <c r="G216" s="4">
        <f t="shared" si="193"/>
        <v>-500</v>
      </c>
      <c r="H216" s="46">
        <v>50</v>
      </c>
      <c r="I216" s="42">
        <v>1072</v>
      </c>
      <c r="N216" s="5">
        <f t="shared" si="194"/>
        <v>50</v>
      </c>
      <c r="O216" s="4">
        <f t="shared" si="195"/>
        <v>1072</v>
      </c>
      <c r="P216" s="5">
        <f t="shared" si="150"/>
        <v>50</v>
      </c>
      <c r="Q216" s="42">
        <v>1062</v>
      </c>
      <c r="R216" s="2">
        <f t="shared" si="149"/>
        <v>0</v>
      </c>
      <c r="T216" s="2">
        <f t="shared" si="178"/>
        <v>0</v>
      </c>
      <c r="V216" s="5">
        <f t="shared" si="196"/>
        <v>50</v>
      </c>
      <c r="W216" s="4">
        <f t="shared" si="197"/>
        <v>1062</v>
      </c>
      <c r="X216" s="14">
        <f t="shared" si="151"/>
        <v>-10</v>
      </c>
      <c r="Y216" s="5">
        <f t="shared" si="152"/>
        <v>-500</v>
      </c>
      <c r="Z216" s="2">
        <f t="shared" si="153"/>
        <v>0</v>
      </c>
      <c r="AA216" s="4">
        <f t="shared" si="154"/>
        <v>0</v>
      </c>
      <c r="AB216" s="13">
        <f t="shared" si="155"/>
        <v>36.148812499999998</v>
      </c>
      <c r="AC216" s="10">
        <f>SUM($E$4:E216)</f>
        <v>-11567.635790297742</v>
      </c>
      <c r="AD216" s="20">
        <f>SUM($AB$4:AB216)</f>
        <v>10838.669490297705</v>
      </c>
      <c r="AF216" s="28">
        <f t="shared" si="156"/>
        <v>10.67</v>
      </c>
      <c r="AG216" s="2">
        <f t="shared" si="157"/>
        <v>13.275</v>
      </c>
      <c r="AH216" s="2">
        <f t="shared" si="158"/>
        <v>3.4677499999999997</v>
      </c>
      <c r="AI216" s="2">
        <f t="shared" si="179"/>
        <v>14.13775</v>
      </c>
      <c r="AJ216" s="2">
        <f t="shared" si="180"/>
        <v>2.1206624999999999</v>
      </c>
      <c r="AK216" s="2">
        <f t="shared" si="159"/>
        <v>0.21340000000000001</v>
      </c>
      <c r="AL216" s="2">
        <f t="shared" si="160"/>
        <v>6.4020000000000001</v>
      </c>
      <c r="AM216" s="2">
        <f t="shared" si="181"/>
        <v>36.148812499999998</v>
      </c>
      <c r="AN216" s="2">
        <f t="shared" si="161"/>
        <v>40</v>
      </c>
      <c r="AO216" s="2">
        <f t="shared" si="162"/>
        <v>26.55</v>
      </c>
      <c r="AP216" s="2">
        <f t="shared" si="163"/>
        <v>56.550999999999995</v>
      </c>
      <c r="AQ216" s="2">
        <f t="shared" si="182"/>
        <v>96.550999999999988</v>
      </c>
      <c r="AR216" s="2">
        <f t="shared" si="183"/>
        <v>14.482649999999998</v>
      </c>
      <c r="AS216" s="2">
        <f t="shared" si="164"/>
        <v>0.21340000000000001</v>
      </c>
      <c r="AT216" s="2">
        <f t="shared" si="165"/>
        <v>6.4020000000000001</v>
      </c>
      <c r="AU216" s="2">
        <f t="shared" si="184"/>
        <v>144.19905</v>
      </c>
      <c r="AV216" s="2">
        <f t="shared" si="166"/>
        <v>10.67</v>
      </c>
      <c r="AW216" s="2">
        <f t="shared" si="167"/>
        <v>5.3100000000000005</v>
      </c>
      <c r="AX216" s="2">
        <f t="shared" si="168"/>
        <v>2.2406999999999999</v>
      </c>
      <c r="AY216" s="2">
        <f t="shared" si="185"/>
        <v>12.9107</v>
      </c>
      <c r="AZ216" s="2">
        <f t="shared" si="186"/>
        <v>1.9366049999999999</v>
      </c>
      <c r="BA216" s="2">
        <f t="shared" si="169"/>
        <v>0.21340000000000001</v>
      </c>
      <c r="BB216" s="2">
        <f t="shared" si="170"/>
        <v>6.4020000000000001</v>
      </c>
      <c r="BC216" s="2">
        <f t="shared" si="187"/>
        <v>26.772705000000002</v>
      </c>
      <c r="BD216" s="2">
        <v>0</v>
      </c>
      <c r="BE216" s="2">
        <f t="shared" si="171"/>
        <v>106.7</v>
      </c>
      <c r="BF216" s="2">
        <f t="shared" si="172"/>
        <v>3.4677499999999997</v>
      </c>
      <c r="BG216" s="2">
        <f t="shared" si="188"/>
        <v>3.4677499999999997</v>
      </c>
      <c r="BH216" s="2">
        <f t="shared" si="189"/>
        <v>0.52016249999999997</v>
      </c>
      <c r="BI216" s="2">
        <f t="shared" si="173"/>
        <v>0.21340000000000001</v>
      </c>
      <c r="BJ216" s="2">
        <f t="shared" si="174"/>
        <v>6.4020000000000001</v>
      </c>
      <c r="BK216" s="2">
        <f t="shared" si="190"/>
        <v>117.30331249999999</v>
      </c>
      <c r="BL216" s="2">
        <f t="shared" si="175"/>
        <v>53600</v>
      </c>
      <c r="BM216" s="2">
        <f t="shared" si="176"/>
        <v>53100</v>
      </c>
      <c r="BN216" s="2">
        <f t="shared" si="191"/>
        <v>106700</v>
      </c>
    </row>
    <row r="217" spans="1:66" x14ac:dyDescent="0.25">
      <c r="A217" s="42">
        <v>214</v>
      </c>
      <c r="B217" s="43">
        <v>42858</v>
      </c>
      <c r="C217" s="42" t="s">
        <v>50</v>
      </c>
      <c r="D217" s="42" t="s">
        <v>175</v>
      </c>
      <c r="E217" s="6">
        <f t="shared" si="177"/>
        <v>-442.60469524999928</v>
      </c>
      <c r="F217" s="5" t="str">
        <f t="shared" si="192"/>
        <v>Loss</v>
      </c>
      <c r="G217" s="4">
        <f t="shared" si="193"/>
        <v>-410.79999999999927</v>
      </c>
      <c r="H217" s="46">
        <v>40</v>
      </c>
      <c r="I217" s="42">
        <v>1178.47</v>
      </c>
      <c r="N217" s="5">
        <f t="shared" si="194"/>
        <v>40</v>
      </c>
      <c r="O217" s="4">
        <f t="shared" si="195"/>
        <v>1178.47</v>
      </c>
      <c r="P217" s="5">
        <f t="shared" si="150"/>
        <v>40</v>
      </c>
      <c r="Q217" s="42">
        <v>1168.2</v>
      </c>
      <c r="R217" s="2">
        <f t="shared" si="149"/>
        <v>0</v>
      </c>
      <c r="T217" s="2">
        <f t="shared" si="178"/>
        <v>0</v>
      </c>
      <c r="V217" s="5">
        <f t="shared" si="196"/>
        <v>40</v>
      </c>
      <c r="W217" s="4">
        <f t="shared" si="197"/>
        <v>1168.2</v>
      </c>
      <c r="X217" s="14">
        <f t="shared" si="151"/>
        <v>-10.269999999999982</v>
      </c>
      <c r="Y217" s="5">
        <f t="shared" si="152"/>
        <v>-410.79999999999927</v>
      </c>
      <c r="Z217" s="2">
        <f t="shared" si="153"/>
        <v>0</v>
      </c>
      <c r="AA217" s="4">
        <f t="shared" si="154"/>
        <v>0</v>
      </c>
      <c r="AB217" s="13">
        <f t="shared" si="155"/>
        <v>31.804695250000002</v>
      </c>
      <c r="AC217" s="10">
        <f>SUM($E$4:E217)</f>
        <v>-12010.240485547742</v>
      </c>
      <c r="AD217" s="20">
        <f>SUM($AB$4:AB217)</f>
        <v>10870.474185547706</v>
      </c>
      <c r="AF217" s="28">
        <f t="shared" si="156"/>
        <v>9.3866800000000001</v>
      </c>
      <c r="AG217" s="2">
        <f t="shared" si="157"/>
        <v>11.682</v>
      </c>
      <c r="AH217" s="2">
        <f t="shared" si="158"/>
        <v>3.0506709999999999</v>
      </c>
      <c r="AI217" s="2">
        <f t="shared" si="179"/>
        <v>12.437351</v>
      </c>
      <c r="AJ217" s="2">
        <f t="shared" si="180"/>
        <v>1.8656026499999998</v>
      </c>
      <c r="AK217" s="2">
        <f t="shared" si="159"/>
        <v>0.1877336</v>
      </c>
      <c r="AL217" s="2">
        <f t="shared" si="160"/>
        <v>5.6320079999999999</v>
      </c>
      <c r="AM217" s="2">
        <f t="shared" si="181"/>
        <v>31.804695250000002</v>
      </c>
      <c r="AN217" s="2">
        <f t="shared" si="161"/>
        <v>40</v>
      </c>
      <c r="AO217" s="2">
        <f t="shared" si="162"/>
        <v>23.364000000000001</v>
      </c>
      <c r="AP217" s="2">
        <f t="shared" si="163"/>
        <v>49.749403999999998</v>
      </c>
      <c r="AQ217" s="2">
        <f t="shared" si="182"/>
        <v>89.749403999999998</v>
      </c>
      <c r="AR217" s="2">
        <f t="shared" si="183"/>
        <v>13.4624106</v>
      </c>
      <c r="AS217" s="2">
        <f t="shared" si="164"/>
        <v>0.1877336</v>
      </c>
      <c r="AT217" s="2">
        <f t="shared" si="165"/>
        <v>5.6320079999999999</v>
      </c>
      <c r="AU217" s="2">
        <f t="shared" si="184"/>
        <v>132.39555620000002</v>
      </c>
      <c r="AV217" s="2">
        <f t="shared" si="166"/>
        <v>9.3866800000000001</v>
      </c>
      <c r="AW217" s="2">
        <f t="shared" si="167"/>
        <v>4.6728000000000005</v>
      </c>
      <c r="AX217" s="2">
        <f t="shared" si="168"/>
        <v>1.9712027999999999</v>
      </c>
      <c r="AY217" s="2">
        <f t="shared" si="185"/>
        <v>11.357882800000001</v>
      </c>
      <c r="AZ217" s="2">
        <f t="shared" si="186"/>
        <v>1.70368242</v>
      </c>
      <c r="BA217" s="2">
        <f t="shared" si="169"/>
        <v>0.1877336</v>
      </c>
      <c r="BB217" s="2">
        <f t="shared" si="170"/>
        <v>5.6320079999999999</v>
      </c>
      <c r="BC217" s="2">
        <f t="shared" si="187"/>
        <v>23.554106820000001</v>
      </c>
      <c r="BD217" s="2">
        <v>0</v>
      </c>
      <c r="BE217" s="2">
        <f t="shared" si="171"/>
        <v>93.866799999999998</v>
      </c>
      <c r="BF217" s="2">
        <f t="shared" si="172"/>
        <v>3.0506709999999999</v>
      </c>
      <c r="BG217" s="2">
        <f t="shared" si="188"/>
        <v>3.0506709999999999</v>
      </c>
      <c r="BH217" s="2">
        <f t="shared" si="189"/>
        <v>0.45760064999999994</v>
      </c>
      <c r="BI217" s="2">
        <f t="shared" si="173"/>
        <v>0.1877336</v>
      </c>
      <c r="BJ217" s="2">
        <f t="shared" si="174"/>
        <v>5.6320079999999999</v>
      </c>
      <c r="BK217" s="2">
        <f t="shared" si="190"/>
        <v>103.19481325</v>
      </c>
      <c r="BL217" s="2">
        <f t="shared" si="175"/>
        <v>47138.8</v>
      </c>
      <c r="BM217" s="2">
        <f t="shared" si="176"/>
        <v>46728</v>
      </c>
      <c r="BN217" s="2">
        <f t="shared" si="191"/>
        <v>93866.8</v>
      </c>
    </row>
    <row r="218" spans="1:66" x14ac:dyDescent="0.25">
      <c r="A218" s="42">
        <v>215</v>
      </c>
      <c r="B218" s="43">
        <v>42859</v>
      </c>
      <c r="C218" s="42" t="s">
        <v>50</v>
      </c>
      <c r="D218" s="42" t="s">
        <v>176</v>
      </c>
      <c r="E218" s="6">
        <f t="shared" si="177"/>
        <v>1.3638928125000001</v>
      </c>
      <c r="F218" s="5" t="str">
        <f t="shared" si="192"/>
        <v>Win</v>
      </c>
      <c r="G218" s="4">
        <f t="shared" si="193"/>
        <v>1.5</v>
      </c>
      <c r="H218" s="46">
        <v>1</v>
      </c>
      <c r="I218" s="42">
        <v>199.5</v>
      </c>
      <c r="N218" s="5">
        <f t="shared" si="194"/>
        <v>1</v>
      </c>
      <c r="O218" s="4">
        <f t="shared" si="195"/>
        <v>199.5</v>
      </c>
      <c r="P218" s="5">
        <f t="shared" si="150"/>
        <v>1</v>
      </c>
      <c r="Q218" s="42">
        <v>201</v>
      </c>
      <c r="R218" s="2">
        <f t="shared" si="149"/>
        <v>0</v>
      </c>
      <c r="T218" s="2">
        <f t="shared" si="178"/>
        <v>0</v>
      </c>
      <c r="V218" s="5">
        <f t="shared" si="196"/>
        <v>1</v>
      </c>
      <c r="W218" s="4">
        <f t="shared" si="197"/>
        <v>201</v>
      </c>
      <c r="X218" s="14">
        <f t="shared" si="151"/>
        <v>1.5</v>
      </c>
      <c r="Y218" s="5">
        <f t="shared" si="152"/>
        <v>1.5</v>
      </c>
      <c r="Z218" s="2">
        <f t="shared" si="153"/>
        <v>0</v>
      </c>
      <c r="AA218" s="4">
        <f t="shared" si="154"/>
        <v>0</v>
      </c>
      <c r="AB218" s="13">
        <f t="shared" si="155"/>
        <v>0.1361071875</v>
      </c>
      <c r="AC218" s="10">
        <f>SUM($E$4:E218)</f>
        <v>-12008.876592735242</v>
      </c>
      <c r="AD218" s="20">
        <f>SUM($AB$4:AB218)</f>
        <v>10870.610292735206</v>
      </c>
      <c r="AF218" s="28">
        <f t="shared" si="156"/>
        <v>4.0050000000000002E-2</v>
      </c>
      <c r="AG218" s="2">
        <f t="shared" si="157"/>
        <v>5.0250000000000003E-2</v>
      </c>
      <c r="AH218" s="2">
        <f t="shared" si="158"/>
        <v>1.3016249999999998E-2</v>
      </c>
      <c r="AI218" s="2">
        <f t="shared" si="179"/>
        <v>5.3066250000000002E-2</v>
      </c>
      <c r="AJ218" s="2">
        <f t="shared" si="180"/>
        <v>7.9599375E-3</v>
      </c>
      <c r="AK218" s="2">
        <f t="shared" si="159"/>
        <v>8.0099999999999995E-4</v>
      </c>
      <c r="AL218" s="2">
        <f t="shared" si="160"/>
        <v>2.4029999999999999E-2</v>
      </c>
      <c r="AM218" s="2">
        <f t="shared" si="181"/>
        <v>0.1361071875</v>
      </c>
      <c r="AN218" s="2">
        <f t="shared" si="161"/>
        <v>40</v>
      </c>
      <c r="AO218" s="2">
        <f t="shared" si="162"/>
        <v>0.10050000000000001</v>
      </c>
      <c r="AP218" s="2">
        <f t="shared" si="163"/>
        <v>0.21226499999999998</v>
      </c>
      <c r="AQ218" s="2">
        <f t="shared" si="182"/>
        <v>40.212265000000002</v>
      </c>
      <c r="AR218" s="2">
        <f t="shared" si="183"/>
        <v>6.0318397500000005</v>
      </c>
      <c r="AS218" s="2">
        <f t="shared" si="164"/>
        <v>8.0099999999999995E-4</v>
      </c>
      <c r="AT218" s="2">
        <f t="shared" si="165"/>
        <v>2.4029999999999999E-2</v>
      </c>
      <c r="AU218" s="2">
        <f t="shared" si="184"/>
        <v>46.369435750000008</v>
      </c>
      <c r="AV218" s="2">
        <f t="shared" si="166"/>
        <v>4.0050000000000002E-2</v>
      </c>
      <c r="AW218" s="2">
        <f t="shared" si="167"/>
        <v>2.01E-2</v>
      </c>
      <c r="AX218" s="2">
        <f t="shared" si="168"/>
        <v>8.4104999999999996E-3</v>
      </c>
      <c r="AY218" s="2">
        <f t="shared" si="185"/>
        <v>4.8460500000000004E-2</v>
      </c>
      <c r="AZ218" s="2">
        <f t="shared" si="186"/>
        <v>7.2690749999999998E-3</v>
      </c>
      <c r="BA218" s="2">
        <f t="shared" si="169"/>
        <v>8.0099999999999995E-4</v>
      </c>
      <c r="BB218" s="2">
        <f t="shared" si="170"/>
        <v>2.4029999999999999E-2</v>
      </c>
      <c r="BC218" s="2">
        <f t="shared" si="187"/>
        <v>0.10066057499999999</v>
      </c>
      <c r="BD218" s="2">
        <v>0</v>
      </c>
      <c r="BE218" s="2">
        <f t="shared" si="171"/>
        <v>0.40050000000000002</v>
      </c>
      <c r="BF218" s="2">
        <f t="shared" si="172"/>
        <v>1.3016249999999998E-2</v>
      </c>
      <c r="BG218" s="2">
        <f t="shared" si="188"/>
        <v>1.3016249999999998E-2</v>
      </c>
      <c r="BH218" s="2">
        <f t="shared" si="189"/>
        <v>1.9524374999999997E-3</v>
      </c>
      <c r="BI218" s="2">
        <f t="shared" si="173"/>
        <v>8.0099999999999995E-4</v>
      </c>
      <c r="BJ218" s="2">
        <f t="shared" si="174"/>
        <v>2.4029999999999999E-2</v>
      </c>
      <c r="BK218" s="2">
        <f t="shared" si="190"/>
        <v>0.44029968750000004</v>
      </c>
      <c r="BL218" s="2">
        <f t="shared" si="175"/>
        <v>199.5</v>
      </c>
      <c r="BM218" s="2">
        <f t="shared" si="176"/>
        <v>201</v>
      </c>
      <c r="BN218" s="2">
        <f t="shared" si="191"/>
        <v>400.5</v>
      </c>
    </row>
    <row r="219" spans="1:66" x14ac:dyDescent="0.25">
      <c r="A219" s="42">
        <v>216</v>
      </c>
      <c r="B219" s="43">
        <v>42859</v>
      </c>
      <c r="C219" s="42" t="s">
        <v>50</v>
      </c>
      <c r="D219" s="42" t="s">
        <v>177</v>
      </c>
      <c r="E219" s="6">
        <f t="shared" si="177"/>
        <v>-1.1759843125000085</v>
      </c>
      <c r="F219" s="5" t="str">
        <f t="shared" si="192"/>
        <v>Loss</v>
      </c>
      <c r="G219" s="4">
        <f t="shared" si="193"/>
        <v>-1.1000000000000085</v>
      </c>
      <c r="H219" s="46">
        <v>1</v>
      </c>
      <c r="I219" s="42">
        <v>112.7</v>
      </c>
      <c r="N219" s="5">
        <f t="shared" si="194"/>
        <v>1</v>
      </c>
      <c r="O219" s="4">
        <f t="shared" si="195"/>
        <v>112.7</v>
      </c>
      <c r="P219" s="5">
        <f t="shared" si="150"/>
        <v>1</v>
      </c>
      <c r="Q219" s="42">
        <v>111.6</v>
      </c>
      <c r="R219" s="2">
        <f t="shared" si="149"/>
        <v>0</v>
      </c>
      <c r="T219" s="2">
        <f t="shared" si="178"/>
        <v>0</v>
      </c>
      <c r="V219" s="5">
        <f t="shared" si="196"/>
        <v>1</v>
      </c>
      <c r="W219" s="4">
        <f t="shared" si="197"/>
        <v>111.6</v>
      </c>
      <c r="X219" s="14">
        <f t="shared" si="151"/>
        <v>-1.1000000000000085</v>
      </c>
      <c r="Y219" s="5">
        <f t="shared" si="152"/>
        <v>-1.1000000000000085</v>
      </c>
      <c r="Z219" s="2">
        <f t="shared" si="153"/>
        <v>0</v>
      </c>
      <c r="AA219" s="4">
        <f t="shared" si="154"/>
        <v>0</v>
      </c>
      <c r="AB219" s="13">
        <f t="shared" si="155"/>
        <v>7.5984312499999998E-2</v>
      </c>
      <c r="AC219" s="10">
        <f>SUM($E$4:E219)</f>
        <v>-12010.052577047742</v>
      </c>
      <c r="AD219" s="20">
        <f>SUM($AB$4:AB219)</f>
        <v>10870.686277047706</v>
      </c>
      <c r="AF219" s="28">
        <f t="shared" si="156"/>
        <v>2.2430000000000002E-2</v>
      </c>
      <c r="AG219" s="2">
        <f t="shared" si="157"/>
        <v>2.7899999999999998E-2</v>
      </c>
      <c r="AH219" s="2">
        <f t="shared" si="158"/>
        <v>7.2897499999999994E-3</v>
      </c>
      <c r="AI219" s="2">
        <f t="shared" si="179"/>
        <v>2.9719750000000003E-2</v>
      </c>
      <c r="AJ219" s="2">
        <f t="shared" si="180"/>
        <v>4.4579624999999999E-3</v>
      </c>
      <c r="AK219" s="2">
        <f t="shared" si="159"/>
        <v>4.4860000000000001E-4</v>
      </c>
      <c r="AL219" s="2">
        <f t="shared" si="160"/>
        <v>1.3458000000000001E-2</v>
      </c>
      <c r="AM219" s="2">
        <f t="shared" si="181"/>
        <v>7.5984312499999998E-2</v>
      </c>
      <c r="AN219" s="2">
        <f t="shared" si="161"/>
        <v>40</v>
      </c>
      <c r="AO219" s="2">
        <f t="shared" si="162"/>
        <v>5.5799999999999995E-2</v>
      </c>
      <c r="AP219" s="2">
        <f t="shared" si="163"/>
        <v>0.118879</v>
      </c>
      <c r="AQ219" s="2">
        <f t="shared" si="182"/>
        <v>40.118879</v>
      </c>
      <c r="AR219" s="2">
        <f t="shared" si="183"/>
        <v>6.0178318499999994</v>
      </c>
      <c r="AS219" s="2">
        <f t="shared" si="164"/>
        <v>4.4860000000000001E-4</v>
      </c>
      <c r="AT219" s="2">
        <f t="shared" si="165"/>
        <v>1.3458000000000001E-2</v>
      </c>
      <c r="AU219" s="2">
        <f t="shared" si="184"/>
        <v>46.206417449999996</v>
      </c>
      <c r="AV219" s="2">
        <f t="shared" si="166"/>
        <v>2.2430000000000002E-2</v>
      </c>
      <c r="AW219" s="2">
        <f t="shared" si="167"/>
        <v>1.116E-2</v>
      </c>
      <c r="AX219" s="2">
        <f t="shared" si="168"/>
        <v>4.7102999999999997E-3</v>
      </c>
      <c r="AY219" s="2">
        <f t="shared" si="185"/>
        <v>2.7140300000000003E-2</v>
      </c>
      <c r="AZ219" s="2">
        <f t="shared" si="186"/>
        <v>4.0710450000000006E-3</v>
      </c>
      <c r="BA219" s="2">
        <f t="shared" si="169"/>
        <v>4.4860000000000001E-4</v>
      </c>
      <c r="BB219" s="2">
        <f t="shared" si="170"/>
        <v>1.3458000000000001E-2</v>
      </c>
      <c r="BC219" s="2">
        <f t="shared" si="187"/>
        <v>5.627794500000001E-2</v>
      </c>
      <c r="BD219" s="2">
        <v>0</v>
      </c>
      <c r="BE219" s="2">
        <f t="shared" si="171"/>
        <v>0.22430000000000003</v>
      </c>
      <c r="BF219" s="2">
        <f t="shared" si="172"/>
        <v>7.2897499999999994E-3</v>
      </c>
      <c r="BG219" s="2">
        <f t="shared" si="188"/>
        <v>7.2897499999999994E-3</v>
      </c>
      <c r="BH219" s="2">
        <f t="shared" si="189"/>
        <v>1.0934624999999999E-3</v>
      </c>
      <c r="BI219" s="2">
        <f t="shared" si="173"/>
        <v>4.4860000000000001E-4</v>
      </c>
      <c r="BJ219" s="2">
        <f t="shared" si="174"/>
        <v>1.3458000000000001E-2</v>
      </c>
      <c r="BK219" s="2">
        <f t="shared" si="190"/>
        <v>0.24658981250000003</v>
      </c>
      <c r="BL219" s="2">
        <f t="shared" si="175"/>
        <v>112.7</v>
      </c>
      <c r="BM219" s="2">
        <f t="shared" si="176"/>
        <v>111.6</v>
      </c>
      <c r="BN219" s="2">
        <f t="shared" si="191"/>
        <v>224.3</v>
      </c>
    </row>
    <row r="220" spans="1:66" x14ac:dyDescent="0.25">
      <c r="A220" s="42">
        <v>217</v>
      </c>
      <c r="B220" s="43">
        <v>42859</v>
      </c>
      <c r="C220" s="42" t="s">
        <v>50</v>
      </c>
      <c r="D220" s="42" t="s">
        <v>178</v>
      </c>
      <c r="E220" s="6">
        <f t="shared" si="177"/>
        <v>-3.2601797812499544</v>
      </c>
      <c r="F220" s="5" t="str">
        <f t="shared" si="192"/>
        <v>Loss</v>
      </c>
      <c r="G220" s="4">
        <f t="shared" si="193"/>
        <v>-2.5499999999999545</v>
      </c>
      <c r="H220" s="46">
        <v>1</v>
      </c>
      <c r="I220" s="42">
        <v>1048.05</v>
      </c>
      <c r="N220" s="5">
        <f t="shared" si="194"/>
        <v>1</v>
      </c>
      <c r="O220" s="4">
        <f t="shared" si="195"/>
        <v>1048.05</v>
      </c>
      <c r="P220" s="5">
        <f t="shared" si="150"/>
        <v>1</v>
      </c>
      <c r="Q220" s="42">
        <v>1045.5</v>
      </c>
      <c r="R220" s="2">
        <f t="shared" si="149"/>
        <v>0</v>
      </c>
      <c r="T220" s="2">
        <f t="shared" si="178"/>
        <v>0</v>
      </c>
      <c r="V220" s="5">
        <f t="shared" si="196"/>
        <v>1</v>
      </c>
      <c r="W220" s="4">
        <f t="shared" si="197"/>
        <v>1045.5</v>
      </c>
      <c r="X220" s="14">
        <f t="shared" si="151"/>
        <v>-2.5499999999999545</v>
      </c>
      <c r="Y220" s="5">
        <f t="shared" si="152"/>
        <v>-2.5499999999999545</v>
      </c>
      <c r="Z220" s="2">
        <f t="shared" si="153"/>
        <v>0</v>
      </c>
      <c r="AA220" s="4">
        <f t="shared" si="154"/>
        <v>0</v>
      </c>
      <c r="AB220" s="13">
        <f t="shared" si="155"/>
        <v>0.71017978125000014</v>
      </c>
      <c r="AC220" s="10">
        <f>SUM($E$4:E220)</f>
        <v>-12013.312756828991</v>
      </c>
      <c r="AD220" s="20">
        <f>SUM($AB$4:AB220)</f>
        <v>10871.396456828956</v>
      </c>
      <c r="AF220" s="28">
        <f t="shared" si="156"/>
        <v>0.20935500000000004</v>
      </c>
      <c r="AG220" s="2">
        <f t="shared" si="157"/>
        <v>0.26137500000000002</v>
      </c>
      <c r="AH220" s="2">
        <f t="shared" si="158"/>
        <v>6.8040375E-2</v>
      </c>
      <c r="AI220" s="2">
        <f t="shared" si="179"/>
        <v>0.27739537500000006</v>
      </c>
      <c r="AJ220" s="2">
        <f t="shared" si="180"/>
        <v>4.1609306250000005E-2</v>
      </c>
      <c r="AK220" s="2">
        <f t="shared" si="159"/>
        <v>4.1871E-3</v>
      </c>
      <c r="AL220" s="2">
        <f t="shared" si="160"/>
        <v>0.125613</v>
      </c>
      <c r="AM220" s="2">
        <f t="shared" si="181"/>
        <v>0.71017978125000014</v>
      </c>
      <c r="AN220" s="2">
        <f t="shared" si="161"/>
        <v>40</v>
      </c>
      <c r="AO220" s="2">
        <f t="shared" si="162"/>
        <v>0.52275000000000005</v>
      </c>
      <c r="AP220" s="2">
        <f t="shared" si="163"/>
        <v>1.1095815</v>
      </c>
      <c r="AQ220" s="2">
        <f t="shared" si="182"/>
        <v>41.109581499999997</v>
      </c>
      <c r="AR220" s="2">
        <f t="shared" si="183"/>
        <v>6.1664372249999992</v>
      </c>
      <c r="AS220" s="2">
        <f t="shared" si="164"/>
        <v>4.1871E-3</v>
      </c>
      <c r="AT220" s="2">
        <f t="shared" si="165"/>
        <v>0.125613</v>
      </c>
      <c r="AU220" s="2">
        <f t="shared" si="184"/>
        <v>47.928568825000006</v>
      </c>
      <c r="AV220" s="2">
        <f t="shared" si="166"/>
        <v>0.20935500000000004</v>
      </c>
      <c r="AW220" s="2">
        <f t="shared" si="167"/>
        <v>0.10455</v>
      </c>
      <c r="AX220" s="2">
        <f t="shared" si="168"/>
        <v>4.3964549999999998E-2</v>
      </c>
      <c r="AY220" s="2">
        <f t="shared" si="185"/>
        <v>0.25331955000000006</v>
      </c>
      <c r="AZ220" s="2">
        <f t="shared" si="186"/>
        <v>3.7997932500000005E-2</v>
      </c>
      <c r="BA220" s="2">
        <f t="shared" si="169"/>
        <v>4.1871E-3</v>
      </c>
      <c r="BB220" s="2">
        <f t="shared" si="170"/>
        <v>0.125613</v>
      </c>
      <c r="BC220" s="2">
        <f t="shared" si="187"/>
        <v>0.52566758250000001</v>
      </c>
      <c r="BD220" s="2">
        <v>0</v>
      </c>
      <c r="BE220" s="2">
        <f t="shared" si="171"/>
        <v>2.09355</v>
      </c>
      <c r="BF220" s="2">
        <f t="shared" si="172"/>
        <v>6.8040375E-2</v>
      </c>
      <c r="BG220" s="2">
        <f t="shared" si="188"/>
        <v>6.8040375E-2</v>
      </c>
      <c r="BH220" s="2">
        <f t="shared" si="189"/>
        <v>1.020605625E-2</v>
      </c>
      <c r="BI220" s="2">
        <f t="shared" si="173"/>
        <v>4.1871E-3</v>
      </c>
      <c r="BJ220" s="2">
        <f t="shared" si="174"/>
        <v>0.125613</v>
      </c>
      <c r="BK220" s="2">
        <f t="shared" si="190"/>
        <v>2.30159653125</v>
      </c>
      <c r="BL220" s="2">
        <f t="shared" si="175"/>
        <v>1048.05</v>
      </c>
      <c r="BM220" s="2">
        <f t="shared" si="176"/>
        <v>1045.5</v>
      </c>
      <c r="BN220" s="2">
        <f t="shared" si="191"/>
        <v>2093.5500000000002</v>
      </c>
    </row>
    <row r="221" spans="1:66" ht="13.5" customHeight="1" x14ac:dyDescent="0.25">
      <c r="A221" s="42">
        <v>218</v>
      </c>
      <c r="B221" s="43">
        <v>42859</v>
      </c>
      <c r="C221" s="42" t="s">
        <v>50</v>
      </c>
      <c r="D221" s="42" t="s">
        <v>179</v>
      </c>
      <c r="E221" s="6">
        <f t="shared" si="177"/>
        <v>0.9928596562500227</v>
      </c>
      <c r="F221" s="5" t="str">
        <f t="shared" si="192"/>
        <v>Win</v>
      </c>
      <c r="G221" s="4">
        <f t="shared" si="193"/>
        <v>1.3500000000000227</v>
      </c>
      <c r="H221" s="46">
        <v>1</v>
      </c>
      <c r="I221" s="42">
        <v>525.25</v>
      </c>
      <c r="N221" s="5">
        <f t="shared" si="194"/>
        <v>1</v>
      </c>
      <c r="O221" s="4">
        <f t="shared" si="195"/>
        <v>525.25</v>
      </c>
      <c r="P221" s="5">
        <f t="shared" si="150"/>
        <v>1</v>
      </c>
      <c r="Q221" s="42">
        <v>526.6</v>
      </c>
      <c r="R221" s="2">
        <f t="shared" si="149"/>
        <v>0</v>
      </c>
      <c r="T221" s="2">
        <f t="shared" si="178"/>
        <v>0</v>
      </c>
      <c r="V221" s="5">
        <f t="shared" si="196"/>
        <v>1</v>
      </c>
      <c r="W221" s="4">
        <f t="shared" si="197"/>
        <v>526.6</v>
      </c>
      <c r="X221" s="14">
        <f t="shared" si="151"/>
        <v>1.3500000000000227</v>
      </c>
      <c r="Y221" s="5">
        <f t="shared" si="152"/>
        <v>1.3500000000000227</v>
      </c>
      <c r="Z221" s="2">
        <f t="shared" si="153"/>
        <v>0</v>
      </c>
      <c r="AA221" s="4">
        <f t="shared" si="154"/>
        <v>0</v>
      </c>
      <c r="AB221" s="13">
        <f t="shared" si="155"/>
        <v>0.35714034375000003</v>
      </c>
      <c r="AC221" s="10">
        <f>SUM($E$4:E221)</f>
        <v>-12012.319897172742</v>
      </c>
      <c r="AD221" s="20">
        <f>SUM($AB$4:AB221)</f>
        <v>10871.753597172707</v>
      </c>
      <c r="AF221" s="28">
        <f t="shared" si="156"/>
        <v>0.105185</v>
      </c>
      <c r="AG221" s="2">
        <f t="shared" si="157"/>
        <v>0.13165000000000002</v>
      </c>
      <c r="AH221" s="2">
        <f t="shared" si="158"/>
        <v>3.4185124999999997E-2</v>
      </c>
      <c r="AI221" s="2">
        <f t="shared" si="179"/>
        <v>0.13937012500000001</v>
      </c>
      <c r="AJ221" s="2">
        <f t="shared" si="180"/>
        <v>2.0905518750000001E-2</v>
      </c>
      <c r="AK221" s="2">
        <f t="shared" si="159"/>
        <v>2.1037E-3</v>
      </c>
      <c r="AL221" s="2">
        <f t="shared" si="160"/>
        <v>6.3111E-2</v>
      </c>
      <c r="AM221" s="2">
        <f t="shared" si="181"/>
        <v>0.35714034375000003</v>
      </c>
      <c r="AN221" s="2">
        <f t="shared" si="161"/>
        <v>40</v>
      </c>
      <c r="AO221" s="2">
        <f t="shared" si="162"/>
        <v>0.26330000000000003</v>
      </c>
      <c r="AP221" s="2">
        <f t="shared" si="163"/>
        <v>0.55748049999999993</v>
      </c>
      <c r="AQ221" s="2">
        <f t="shared" si="182"/>
        <v>40.557480499999997</v>
      </c>
      <c r="AR221" s="2">
        <f t="shared" si="183"/>
        <v>6.0836220749999992</v>
      </c>
      <c r="AS221" s="2">
        <f t="shared" si="164"/>
        <v>2.1037E-3</v>
      </c>
      <c r="AT221" s="2">
        <f t="shared" si="165"/>
        <v>6.3111E-2</v>
      </c>
      <c r="AU221" s="2">
        <f t="shared" si="184"/>
        <v>46.969617274999997</v>
      </c>
      <c r="AV221" s="2">
        <f t="shared" si="166"/>
        <v>0.105185</v>
      </c>
      <c r="AW221" s="2">
        <f t="shared" si="167"/>
        <v>5.2660000000000005E-2</v>
      </c>
      <c r="AX221" s="2">
        <f t="shared" si="168"/>
        <v>2.2088849999999997E-2</v>
      </c>
      <c r="AY221" s="2">
        <f t="shared" si="185"/>
        <v>0.12727384999999999</v>
      </c>
      <c r="AZ221" s="2">
        <f t="shared" si="186"/>
        <v>1.9091077499999998E-2</v>
      </c>
      <c r="BA221" s="2">
        <f t="shared" si="169"/>
        <v>2.1037E-3</v>
      </c>
      <c r="BB221" s="2">
        <f t="shared" si="170"/>
        <v>6.3111E-2</v>
      </c>
      <c r="BC221" s="2">
        <f t="shared" si="187"/>
        <v>0.26423962749999996</v>
      </c>
      <c r="BD221" s="2">
        <v>0</v>
      </c>
      <c r="BE221" s="2">
        <f t="shared" si="171"/>
        <v>1.05185</v>
      </c>
      <c r="BF221" s="2">
        <f t="shared" si="172"/>
        <v>3.4185124999999997E-2</v>
      </c>
      <c r="BG221" s="2">
        <f t="shared" si="188"/>
        <v>3.4185124999999997E-2</v>
      </c>
      <c r="BH221" s="2">
        <f t="shared" si="189"/>
        <v>5.1277687499999992E-3</v>
      </c>
      <c r="BI221" s="2">
        <f t="shared" si="173"/>
        <v>2.1037E-3</v>
      </c>
      <c r="BJ221" s="2">
        <f t="shared" si="174"/>
        <v>6.3111E-2</v>
      </c>
      <c r="BK221" s="2">
        <f t="shared" si="190"/>
        <v>1.1563775937499998</v>
      </c>
      <c r="BL221" s="2">
        <f t="shared" si="175"/>
        <v>525.25</v>
      </c>
      <c r="BM221" s="2">
        <f t="shared" si="176"/>
        <v>526.6</v>
      </c>
      <c r="BN221" s="2">
        <f t="shared" si="191"/>
        <v>1051.8499999999999</v>
      </c>
    </row>
    <row r="222" spans="1:66" x14ac:dyDescent="0.25">
      <c r="A222" s="42">
        <v>219</v>
      </c>
      <c r="B222" s="43">
        <v>42859</v>
      </c>
      <c r="C222" s="42" t="s">
        <v>50</v>
      </c>
      <c r="D222" s="42" t="s">
        <v>129</v>
      </c>
      <c r="E222" s="6">
        <f t="shared" si="177"/>
        <v>0.67184065625002276</v>
      </c>
      <c r="F222" s="5" t="str">
        <f t="shared" si="192"/>
        <v>Win</v>
      </c>
      <c r="G222" s="4">
        <f t="shared" si="193"/>
        <v>0.85000000000002274</v>
      </c>
      <c r="H222" s="46">
        <v>1</v>
      </c>
      <c r="I222" s="42">
        <v>261.89999999999998</v>
      </c>
      <c r="N222" s="5">
        <f t="shared" si="194"/>
        <v>1</v>
      </c>
      <c r="O222" s="4">
        <f t="shared" si="195"/>
        <v>261.89999999999998</v>
      </c>
      <c r="P222" s="5">
        <f t="shared" si="150"/>
        <v>1</v>
      </c>
      <c r="Q222" s="42">
        <v>262.75</v>
      </c>
      <c r="R222" s="2">
        <f t="shared" si="149"/>
        <v>0</v>
      </c>
      <c r="T222" s="2">
        <f t="shared" si="178"/>
        <v>0</v>
      </c>
      <c r="V222" s="5">
        <f t="shared" si="196"/>
        <v>1</v>
      </c>
      <c r="W222" s="4">
        <f t="shared" si="197"/>
        <v>262.75</v>
      </c>
      <c r="X222" s="14">
        <f t="shared" si="151"/>
        <v>0.85000000000002274</v>
      </c>
      <c r="Y222" s="5">
        <f t="shared" si="152"/>
        <v>0.85000000000002274</v>
      </c>
      <c r="Z222" s="2">
        <f t="shared" si="153"/>
        <v>0</v>
      </c>
      <c r="AA222" s="4">
        <f t="shared" si="154"/>
        <v>0</v>
      </c>
      <c r="AB222" s="13">
        <f t="shared" si="155"/>
        <v>0.17815934375</v>
      </c>
      <c r="AC222" s="10">
        <f>SUM($E$4:E222)</f>
        <v>-12011.648056516491</v>
      </c>
      <c r="AD222" s="20">
        <f>SUM($AB$4:AB222)</f>
        <v>10871.931756516457</v>
      </c>
      <c r="AF222" s="28">
        <f t="shared" si="156"/>
        <v>5.2464999999999998E-2</v>
      </c>
      <c r="AG222" s="2">
        <f t="shared" si="157"/>
        <v>6.5687499999999996E-2</v>
      </c>
      <c r="AH222" s="2">
        <f t="shared" si="158"/>
        <v>1.7051124999999997E-2</v>
      </c>
      <c r="AI222" s="2">
        <f t="shared" si="179"/>
        <v>6.9516124999999998E-2</v>
      </c>
      <c r="AJ222" s="2">
        <f t="shared" si="180"/>
        <v>1.0427418749999999E-2</v>
      </c>
      <c r="AK222" s="2">
        <f t="shared" si="159"/>
        <v>1.0493E-3</v>
      </c>
      <c r="AL222" s="2">
        <f t="shared" si="160"/>
        <v>3.1479E-2</v>
      </c>
      <c r="AM222" s="2">
        <f t="shared" si="181"/>
        <v>0.17815934375</v>
      </c>
      <c r="AN222" s="2">
        <f t="shared" si="161"/>
        <v>40</v>
      </c>
      <c r="AO222" s="2">
        <f t="shared" si="162"/>
        <v>0.13137499999999999</v>
      </c>
      <c r="AP222" s="2">
        <f t="shared" si="163"/>
        <v>0.27806449999999999</v>
      </c>
      <c r="AQ222" s="2">
        <f t="shared" si="182"/>
        <v>40.278064499999999</v>
      </c>
      <c r="AR222" s="2">
        <f t="shared" si="183"/>
        <v>6.0417096749999999</v>
      </c>
      <c r="AS222" s="2">
        <f t="shared" si="164"/>
        <v>1.0493E-3</v>
      </c>
      <c r="AT222" s="2">
        <f t="shared" si="165"/>
        <v>3.1479E-2</v>
      </c>
      <c r="AU222" s="2">
        <f t="shared" si="184"/>
        <v>46.483677474999993</v>
      </c>
      <c r="AV222" s="2">
        <f t="shared" si="166"/>
        <v>5.2464999999999998E-2</v>
      </c>
      <c r="AW222" s="2">
        <f t="shared" si="167"/>
        <v>2.6275E-2</v>
      </c>
      <c r="AX222" s="2">
        <f t="shared" si="168"/>
        <v>1.1017649999999999E-2</v>
      </c>
      <c r="AY222" s="2">
        <f t="shared" si="185"/>
        <v>6.3482650000000002E-2</v>
      </c>
      <c r="AZ222" s="2">
        <f t="shared" si="186"/>
        <v>9.5223974999999999E-3</v>
      </c>
      <c r="BA222" s="2">
        <f t="shared" si="169"/>
        <v>1.0493E-3</v>
      </c>
      <c r="BB222" s="2">
        <f t="shared" si="170"/>
        <v>3.1479E-2</v>
      </c>
      <c r="BC222" s="2">
        <f t="shared" si="187"/>
        <v>0.13180834750000001</v>
      </c>
      <c r="BD222" s="2">
        <v>0</v>
      </c>
      <c r="BE222" s="2">
        <f t="shared" si="171"/>
        <v>0.52464999999999995</v>
      </c>
      <c r="BF222" s="2">
        <f t="shared" si="172"/>
        <v>1.7051124999999997E-2</v>
      </c>
      <c r="BG222" s="2">
        <f t="shared" si="188"/>
        <v>1.7051124999999997E-2</v>
      </c>
      <c r="BH222" s="2">
        <f t="shared" si="189"/>
        <v>2.5576687499999995E-3</v>
      </c>
      <c r="BI222" s="2">
        <f t="shared" si="173"/>
        <v>1.0493E-3</v>
      </c>
      <c r="BJ222" s="2">
        <f t="shared" si="174"/>
        <v>3.1479E-2</v>
      </c>
      <c r="BK222" s="2">
        <f t="shared" si="190"/>
        <v>0.57678709374999992</v>
      </c>
      <c r="BL222" s="2">
        <f t="shared" si="175"/>
        <v>261.89999999999998</v>
      </c>
      <c r="BM222" s="2">
        <f t="shared" si="176"/>
        <v>262.75</v>
      </c>
      <c r="BN222" s="2">
        <f t="shared" si="191"/>
        <v>524.65</v>
      </c>
    </row>
    <row r="223" spans="1:66" x14ac:dyDescent="0.25">
      <c r="A223" s="42">
        <v>220</v>
      </c>
      <c r="B223" s="43">
        <v>42859</v>
      </c>
      <c r="C223" s="42" t="s">
        <v>50</v>
      </c>
      <c r="D223" s="42" t="s">
        <v>180</v>
      </c>
      <c r="E223" s="6">
        <f t="shared" si="177"/>
        <v>0.48480899999999427</v>
      </c>
      <c r="F223" s="5" t="str">
        <f t="shared" si="192"/>
        <v>Win</v>
      </c>
      <c r="G223" s="4">
        <f t="shared" si="193"/>
        <v>0.59999999999999432</v>
      </c>
      <c r="H223" s="46">
        <v>1</v>
      </c>
      <c r="I223" s="42">
        <v>169.3</v>
      </c>
      <c r="N223" s="5">
        <f t="shared" si="194"/>
        <v>1</v>
      </c>
      <c r="O223" s="4">
        <f t="shared" si="195"/>
        <v>169.3</v>
      </c>
      <c r="P223" s="5">
        <f t="shared" si="150"/>
        <v>1</v>
      </c>
      <c r="Q223" s="42">
        <v>169.9</v>
      </c>
      <c r="R223" s="2">
        <f t="shared" si="149"/>
        <v>0</v>
      </c>
      <c r="T223" s="2">
        <f t="shared" si="178"/>
        <v>0</v>
      </c>
      <c r="V223" s="5">
        <f t="shared" si="196"/>
        <v>1</v>
      </c>
      <c r="W223" s="4">
        <f t="shared" si="197"/>
        <v>169.9</v>
      </c>
      <c r="X223" s="14">
        <f t="shared" si="151"/>
        <v>0.59999999999999432</v>
      </c>
      <c r="Y223" s="5">
        <f t="shared" si="152"/>
        <v>0.59999999999999432</v>
      </c>
      <c r="Z223" s="2">
        <f t="shared" si="153"/>
        <v>0</v>
      </c>
      <c r="AA223" s="4">
        <f t="shared" si="154"/>
        <v>0</v>
      </c>
      <c r="AB223" s="13">
        <f t="shared" si="155"/>
        <v>0.11519100000000002</v>
      </c>
      <c r="AC223" s="10">
        <f>SUM($E$4:E223)</f>
        <v>-12011.163247516492</v>
      </c>
      <c r="AD223" s="20">
        <f>SUM($AB$4:AB223)</f>
        <v>10872.046947516457</v>
      </c>
      <c r="AF223" s="28">
        <f t="shared" si="156"/>
        <v>3.3920000000000006E-2</v>
      </c>
      <c r="AG223" s="2">
        <f t="shared" si="157"/>
        <v>4.2474999999999999E-2</v>
      </c>
      <c r="AH223" s="2">
        <f t="shared" si="158"/>
        <v>1.1024000000000001E-2</v>
      </c>
      <c r="AI223" s="2">
        <f t="shared" si="179"/>
        <v>4.4944000000000005E-2</v>
      </c>
      <c r="AJ223" s="2">
        <f t="shared" si="180"/>
        <v>6.7416000000000004E-3</v>
      </c>
      <c r="AK223" s="2">
        <f t="shared" si="159"/>
        <v>6.7840000000000012E-4</v>
      </c>
      <c r="AL223" s="2">
        <f t="shared" si="160"/>
        <v>2.0352000000000002E-2</v>
      </c>
      <c r="AM223" s="2">
        <f t="shared" si="181"/>
        <v>0.11519100000000002</v>
      </c>
      <c r="AN223" s="2">
        <f t="shared" si="161"/>
        <v>40</v>
      </c>
      <c r="AO223" s="2">
        <f t="shared" si="162"/>
        <v>8.4949999999999998E-2</v>
      </c>
      <c r="AP223" s="2">
        <f t="shared" si="163"/>
        <v>0.17977600000000002</v>
      </c>
      <c r="AQ223" s="2">
        <f t="shared" si="182"/>
        <v>40.179775999999997</v>
      </c>
      <c r="AR223" s="2">
        <f t="shared" si="183"/>
        <v>6.0269663999999992</v>
      </c>
      <c r="AS223" s="2">
        <f t="shared" si="164"/>
        <v>6.7840000000000012E-4</v>
      </c>
      <c r="AT223" s="2">
        <f t="shared" si="165"/>
        <v>2.0352000000000002E-2</v>
      </c>
      <c r="AU223" s="2">
        <f t="shared" si="184"/>
        <v>46.312722799999996</v>
      </c>
      <c r="AV223" s="2">
        <f t="shared" si="166"/>
        <v>3.3920000000000006E-2</v>
      </c>
      <c r="AW223" s="2">
        <f t="shared" si="167"/>
        <v>1.6990000000000002E-2</v>
      </c>
      <c r="AX223" s="2">
        <f t="shared" si="168"/>
        <v>7.1232000000000005E-3</v>
      </c>
      <c r="AY223" s="2">
        <f t="shared" si="185"/>
        <v>4.1043200000000009E-2</v>
      </c>
      <c r="AZ223" s="2">
        <f t="shared" si="186"/>
        <v>6.1564800000000015E-3</v>
      </c>
      <c r="BA223" s="2">
        <f t="shared" si="169"/>
        <v>6.7840000000000012E-4</v>
      </c>
      <c r="BB223" s="2">
        <f t="shared" si="170"/>
        <v>2.0352000000000002E-2</v>
      </c>
      <c r="BC223" s="2">
        <f t="shared" si="187"/>
        <v>8.5220080000000004E-2</v>
      </c>
      <c r="BD223" s="2">
        <v>0</v>
      </c>
      <c r="BE223" s="2">
        <f t="shared" si="171"/>
        <v>0.33920000000000006</v>
      </c>
      <c r="BF223" s="2">
        <f t="shared" si="172"/>
        <v>1.1024000000000001E-2</v>
      </c>
      <c r="BG223" s="2">
        <f t="shared" si="188"/>
        <v>1.1024000000000001E-2</v>
      </c>
      <c r="BH223" s="2">
        <f t="shared" si="189"/>
        <v>1.6536000000000001E-3</v>
      </c>
      <c r="BI223" s="2">
        <f t="shared" si="173"/>
        <v>6.7840000000000012E-4</v>
      </c>
      <c r="BJ223" s="2">
        <f t="shared" si="174"/>
        <v>2.0352000000000002E-2</v>
      </c>
      <c r="BK223" s="2">
        <f t="shared" si="190"/>
        <v>0.37290800000000002</v>
      </c>
      <c r="BL223" s="2">
        <f t="shared" si="175"/>
        <v>169.3</v>
      </c>
      <c r="BM223" s="2">
        <f t="shared" si="176"/>
        <v>169.9</v>
      </c>
      <c r="BN223" s="2">
        <f t="shared" si="191"/>
        <v>339.20000000000005</v>
      </c>
    </row>
    <row r="224" spans="1:66" x14ac:dyDescent="0.25">
      <c r="A224" s="42">
        <v>221</v>
      </c>
      <c r="B224" s="43">
        <v>42859</v>
      </c>
      <c r="C224" s="42" t="s">
        <v>50</v>
      </c>
      <c r="D224" s="42" t="s">
        <v>181</v>
      </c>
      <c r="E224" s="6">
        <f t="shared" si="177"/>
        <v>-8.8591819687500006</v>
      </c>
      <c r="F224" s="5" t="str">
        <f t="shared" si="192"/>
        <v>Loss</v>
      </c>
      <c r="G224" s="4">
        <f t="shared" si="193"/>
        <v>-8.25</v>
      </c>
      <c r="H224" s="46">
        <v>1</v>
      </c>
      <c r="I224" s="42">
        <v>903.15</v>
      </c>
      <c r="N224" s="5">
        <f t="shared" si="194"/>
        <v>1</v>
      </c>
      <c r="O224" s="4">
        <f t="shared" si="195"/>
        <v>903.15</v>
      </c>
      <c r="P224" s="5">
        <f t="shared" si="150"/>
        <v>1</v>
      </c>
      <c r="Q224" s="42">
        <v>894.9</v>
      </c>
      <c r="R224" s="2">
        <f t="shared" si="149"/>
        <v>0</v>
      </c>
      <c r="T224" s="2">
        <f t="shared" si="178"/>
        <v>0</v>
      </c>
      <c r="V224" s="5">
        <f t="shared" si="196"/>
        <v>1</v>
      </c>
      <c r="W224" s="4">
        <f t="shared" si="197"/>
        <v>894.9</v>
      </c>
      <c r="X224" s="14">
        <f t="shared" si="151"/>
        <v>-8.25</v>
      </c>
      <c r="Y224" s="5">
        <f t="shared" si="152"/>
        <v>-8.25</v>
      </c>
      <c r="Z224" s="2">
        <f t="shared" si="153"/>
        <v>0</v>
      </c>
      <c r="AA224" s="4">
        <f t="shared" si="154"/>
        <v>0</v>
      </c>
      <c r="AB224" s="13">
        <f t="shared" si="155"/>
        <v>0.60918196874999997</v>
      </c>
      <c r="AC224" s="10">
        <f>SUM($E$4:E224)</f>
        <v>-12020.022429485241</v>
      </c>
      <c r="AD224" s="20">
        <f>SUM($AB$4:AB224)</f>
        <v>10872.656129485207</v>
      </c>
      <c r="AF224" s="28">
        <f t="shared" si="156"/>
        <v>0.17980499999999999</v>
      </c>
      <c r="AG224" s="2">
        <f t="shared" si="157"/>
        <v>0.22372500000000001</v>
      </c>
      <c r="AH224" s="2">
        <f t="shared" si="158"/>
        <v>5.8436624999999992E-2</v>
      </c>
      <c r="AI224" s="2">
        <f t="shared" si="179"/>
        <v>0.23824162499999998</v>
      </c>
      <c r="AJ224" s="2">
        <f t="shared" si="180"/>
        <v>3.5736243749999994E-2</v>
      </c>
      <c r="AK224" s="2">
        <f t="shared" si="159"/>
        <v>3.5961000000000001E-3</v>
      </c>
      <c r="AL224" s="2">
        <f t="shared" si="160"/>
        <v>0.10788300000000001</v>
      </c>
      <c r="AM224" s="2">
        <f t="shared" si="181"/>
        <v>0.60918196874999997</v>
      </c>
      <c r="AN224" s="2">
        <f t="shared" si="161"/>
        <v>40</v>
      </c>
      <c r="AO224" s="2">
        <f t="shared" si="162"/>
        <v>0.44745000000000001</v>
      </c>
      <c r="AP224" s="2">
        <f t="shared" si="163"/>
        <v>0.95296649999999994</v>
      </c>
      <c r="AQ224" s="2">
        <f t="shared" si="182"/>
        <v>40.952966500000002</v>
      </c>
      <c r="AR224" s="2">
        <f t="shared" si="183"/>
        <v>6.1429449749999998</v>
      </c>
      <c r="AS224" s="2">
        <f t="shared" si="164"/>
        <v>3.5961000000000001E-3</v>
      </c>
      <c r="AT224" s="2">
        <f t="shared" si="165"/>
        <v>0.10788300000000001</v>
      </c>
      <c r="AU224" s="2">
        <f t="shared" si="184"/>
        <v>47.654840575000009</v>
      </c>
      <c r="AV224" s="2">
        <f t="shared" si="166"/>
        <v>0.17980499999999999</v>
      </c>
      <c r="AW224" s="2">
        <f t="shared" si="167"/>
        <v>8.949E-2</v>
      </c>
      <c r="AX224" s="2">
        <f t="shared" si="168"/>
        <v>3.7759049999999995E-2</v>
      </c>
      <c r="AY224" s="2">
        <f t="shared" si="185"/>
        <v>0.21756404999999998</v>
      </c>
      <c r="AZ224" s="2">
        <f t="shared" si="186"/>
        <v>3.2634607499999996E-2</v>
      </c>
      <c r="BA224" s="2">
        <f t="shared" si="169"/>
        <v>3.5961000000000001E-3</v>
      </c>
      <c r="BB224" s="2">
        <f t="shared" si="170"/>
        <v>0.10788300000000001</v>
      </c>
      <c r="BC224" s="2">
        <f t="shared" si="187"/>
        <v>0.45116775749999999</v>
      </c>
      <c r="BD224" s="2">
        <v>0</v>
      </c>
      <c r="BE224" s="2">
        <f t="shared" si="171"/>
        <v>1.7980499999999999</v>
      </c>
      <c r="BF224" s="2">
        <f t="shared" si="172"/>
        <v>5.8436624999999992E-2</v>
      </c>
      <c r="BG224" s="2">
        <f t="shared" si="188"/>
        <v>5.8436624999999992E-2</v>
      </c>
      <c r="BH224" s="2">
        <f t="shared" si="189"/>
        <v>8.7654937499999988E-3</v>
      </c>
      <c r="BI224" s="2">
        <f t="shared" si="173"/>
        <v>3.5961000000000001E-3</v>
      </c>
      <c r="BJ224" s="2">
        <f t="shared" si="174"/>
        <v>0.10788300000000001</v>
      </c>
      <c r="BK224" s="2">
        <f t="shared" si="190"/>
        <v>1.9767312187499997</v>
      </c>
      <c r="BL224" s="2">
        <f t="shared" si="175"/>
        <v>903.15</v>
      </c>
      <c r="BM224" s="2">
        <f t="shared" si="176"/>
        <v>894.9</v>
      </c>
      <c r="BN224" s="2">
        <f t="shared" si="191"/>
        <v>1798.05</v>
      </c>
    </row>
    <row r="225" spans="1:66" x14ac:dyDescent="0.25">
      <c r="A225" s="42">
        <v>222</v>
      </c>
      <c r="B225" s="43">
        <v>42859</v>
      </c>
      <c r="C225" s="42" t="s">
        <v>50</v>
      </c>
      <c r="D225" s="42" t="s">
        <v>182</v>
      </c>
      <c r="E225" s="6">
        <f t="shared" si="177"/>
        <v>4.241676656249977</v>
      </c>
      <c r="F225" s="5" t="str">
        <f t="shared" si="192"/>
        <v>Win</v>
      </c>
      <c r="G225" s="4">
        <f t="shared" si="193"/>
        <v>4.6499999999999773</v>
      </c>
      <c r="H225" s="46">
        <v>1</v>
      </c>
      <c r="I225" s="42">
        <v>598.4</v>
      </c>
      <c r="N225" s="5">
        <f t="shared" si="194"/>
        <v>1</v>
      </c>
      <c r="O225" s="4">
        <f t="shared" si="195"/>
        <v>598.4</v>
      </c>
      <c r="P225" s="5">
        <f t="shared" si="150"/>
        <v>1</v>
      </c>
      <c r="Q225" s="42">
        <v>603.04999999999995</v>
      </c>
      <c r="R225" s="2">
        <f t="shared" si="149"/>
        <v>0</v>
      </c>
      <c r="T225" s="2">
        <f t="shared" si="178"/>
        <v>0</v>
      </c>
      <c r="V225" s="5">
        <f t="shared" si="196"/>
        <v>1</v>
      </c>
      <c r="W225" s="4">
        <f t="shared" si="197"/>
        <v>603.04999999999995</v>
      </c>
      <c r="X225" s="14">
        <f t="shared" si="151"/>
        <v>4.6499999999999773</v>
      </c>
      <c r="Y225" s="5">
        <f t="shared" si="152"/>
        <v>4.6499999999999773</v>
      </c>
      <c r="Z225" s="2">
        <f t="shared" si="153"/>
        <v>0</v>
      </c>
      <c r="AA225" s="4">
        <f t="shared" si="154"/>
        <v>0</v>
      </c>
      <c r="AB225" s="13">
        <f t="shared" si="155"/>
        <v>0.4083233437499999</v>
      </c>
      <c r="AC225" s="10">
        <f>SUM($E$4:E225)</f>
        <v>-12015.780752828992</v>
      </c>
      <c r="AD225" s="20">
        <f>SUM($AB$4:AB225)</f>
        <v>10873.064452828958</v>
      </c>
      <c r="AF225" s="28">
        <f t="shared" si="156"/>
        <v>0.12014499999999999</v>
      </c>
      <c r="AG225" s="2">
        <f t="shared" si="157"/>
        <v>0.15076249999999999</v>
      </c>
      <c r="AH225" s="2">
        <f t="shared" si="158"/>
        <v>3.9047124999999988E-2</v>
      </c>
      <c r="AI225" s="2">
        <f t="shared" si="179"/>
        <v>0.15919212499999996</v>
      </c>
      <c r="AJ225" s="2">
        <f t="shared" si="180"/>
        <v>2.3878818749999992E-2</v>
      </c>
      <c r="AK225" s="2">
        <f t="shared" si="159"/>
        <v>2.4028999999999995E-3</v>
      </c>
      <c r="AL225" s="2">
        <f t="shared" si="160"/>
        <v>7.2086999999999984E-2</v>
      </c>
      <c r="AM225" s="2">
        <f t="shared" si="181"/>
        <v>0.4083233437499999</v>
      </c>
      <c r="AN225" s="2">
        <f t="shared" si="161"/>
        <v>40</v>
      </c>
      <c r="AO225" s="2">
        <f t="shared" si="162"/>
        <v>0.30152499999999999</v>
      </c>
      <c r="AP225" s="2">
        <f t="shared" si="163"/>
        <v>0.63676849999999985</v>
      </c>
      <c r="AQ225" s="2">
        <f t="shared" si="182"/>
        <v>40.636768500000002</v>
      </c>
      <c r="AR225" s="2">
        <f t="shared" si="183"/>
        <v>6.0955152750000003</v>
      </c>
      <c r="AS225" s="2">
        <f t="shared" si="164"/>
        <v>2.4028999999999995E-3</v>
      </c>
      <c r="AT225" s="2">
        <f t="shared" si="165"/>
        <v>7.2086999999999984E-2</v>
      </c>
      <c r="AU225" s="2">
        <f t="shared" si="184"/>
        <v>47.108298675</v>
      </c>
      <c r="AV225" s="2">
        <f t="shared" si="166"/>
        <v>0.12014499999999999</v>
      </c>
      <c r="AW225" s="2">
        <f t="shared" si="167"/>
        <v>6.0304999999999997E-2</v>
      </c>
      <c r="AX225" s="2">
        <f t="shared" si="168"/>
        <v>2.5230449999999995E-2</v>
      </c>
      <c r="AY225" s="2">
        <f t="shared" si="185"/>
        <v>0.14537544999999999</v>
      </c>
      <c r="AZ225" s="2">
        <f t="shared" si="186"/>
        <v>2.1806317499999998E-2</v>
      </c>
      <c r="BA225" s="2">
        <f t="shared" si="169"/>
        <v>2.4028999999999995E-3</v>
      </c>
      <c r="BB225" s="2">
        <f t="shared" si="170"/>
        <v>7.2086999999999984E-2</v>
      </c>
      <c r="BC225" s="2">
        <f t="shared" si="187"/>
        <v>0.30197666749999996</v>
      </c>
      <c r="BD225" s="2">
        <v>0</v>
      </c>
      <c r="BE225" s="2">
        <f t="shared" si="171"/>
        <v>1.2014499999999999</v>
      </c>
      <c r="BF225" s="2">
        <f t="shared" si="172"/>
        <v>3.9047124999999988E-2</v>
      </c>
      <c r="BG225" s="2">
        <f t="shared" si="188"/>
        <v>3.9047124999999988E-2</v>
      </c>
      <c r="BH225" s="2">
        <f t="shared" si="189"/>
        <v>5.8570687499999979E-3</v>
      </c>
      <c r="BI225" s="2">
        <f t="shared" si="173"/>
        <v>2.4028999999999995E-3</v>
      </c>
      <c r="BJ225" s="2">
        <f t="shared" si="174"/>
        <v>7.2086999999999984E-2</v>
      </c>
      <c r="BK225" s="2">
        <f t="shared" si="190"/>
        <v>1.3208440937499999</v>
      </c>
      <c r="BL225" s="2">
        <f t="shared" si="175"/>
        <v>598.4</v>
      </c>
      <c r="BM225" s="2">
        <f t="shared" si="176"/>
        <v>603.04999999999995</v>
      </c>
      <c r="BN225" s="2">
        <f t="shared" si="191"/>
        <v>1201.4499999999998</v>
      </c>
    </row>
    <row r="226" spans="1:66" x14ac:dyDescent="0.25">
      <c r="A226" s="42">
        <v>223</v>
      </c>
      <c r="B226" s="43">
        <v>42859</v>
      </c>
      <c r="C226" s="42" t="s">
        <v>50</v>
      </c>
      <c r="D226" s="42" t="s">
        <v>183</v>
      </c>
      <c r="E226" s="6">
        <f t="shared" si="177"/>
        <v>-0.95870118749999145</v>
      </c>
      <c r="F226" s="5" t="str">
        <f t="shared" si="192"/>
        <v>Loss</v>
      </c>
      <c r="G226" s="4">
        <f t="shared" si="193"/>
        <v>-0.89999999999999147</v>
      </c>
      <c r="H226" s="46">
        <v>1</v>
      </c>
      <c r="I226" s="42">
        <v>87.1</v>
      </c>
      <c r="N226" s="5">
        <f t="shared" si="194"/>
        <v>1</v>
      </c>
      <c r="O226" s="4">
        <f t="shared" si="195"/>
        <v>87.1</v>
      </c>
      <c r="P226" s="5">
        <f t="shared" si="150"/>
        <v>1</v>
      </c>
      <c r="Q226" s="42">
        <v>86.2</v>
      </c>
      <c r="R226" s="2">
        <f t="shared" si="149"/>
        <v>0</v>
      </c>
      <c r="T226" s="2">
        <f t="shared" si="178"/>
        <v>0</v>
      </c>
      <c r="V226" s="5">
        <f t="shared" si="196"/>
        <v>1</v>
      </c>
      <c r="W226" s="4">
        <f t="shared" si="197"/>
        <v>86.2</v>
      </c>
      <c r="X226" s="14">
        <f t="shared" si="151"/>
        <v>-0.89999999999999147</v>
      </c>
      <c r="Y226" s="5">
        <f t="shared" si="152"/>
        <v>-0.89999999999999147</v>
      </c>
      <c r="Z226" s="2">
        <f t="shared" si="153"/>
        <v>0</v>
      </c>
      <c r="AA226" s="4">
        <f t="shared" si="154"/>
        <v>0</v>
      </c>
      <c r="AB226" s="13">
        <f t="shared" si="155"/>
        <v>5.8701187500000002E-2</v>
      </c>
      <c r="AC226" s="10">
        <f>SUM($E$4:E226)</f>
        <v>-12016.739454016491</v>
      </c>
      <c r="AD226" s="20">
        <f>SUM($AB$4:AB226)</f>
        <v>10873.123154016457</v>
      </c>
      <c r="AF226" s="28">
        <f t="shared" si="156"/>
        <v>1.7330000000000002E-2</v>
      </c>
      <c r="AG226" s="2">
        <f t="shared" si="157"/>
        <v>2.155E-2</v>
      </c>
      <c r="AH226" s="2">
        <f t="shared" si="158"/>
        <v>5.6322500000000001E-3</v>
      </c>
      <c r="AI226" s="2">
        <f t="shared" si="179"/>
        <v>2.2962250000000003E-2</v>
      </c>
      <c r="AJ226" s="2">
        <f t="shared" si="180"/>
        <v>3.4443375000000006E-3</v>
      </c>
      <c r="AK226" s="2">
        <f t="shared" si="159"/>
        <v>3.4660000000000002E-4</v>
      </c>
      <c r="AL226" s="2">
        <f t="shared" si="160"/>
        <v>1.0398000000000001E-2</v>
      </c>
      <c r="AM226" s="2">
        <f t="shared" si="181"/>
        <v>5.8701187500000002E-2</v>
      </c>
      <c r="AN226" s="2">
        <f t="shared" si="161"/>
        <v>40</v>
      </c>
      <c r="AO226" s="2">
        <f t="shared" si="162"/>
        <v>4.3099999999999999E-2</v>
      </c>
      <c r="AP226" s="2">
        <f t="shared" si="163"/>
        <v>9.1849E-2</v>
      </c>
      <c r="AQ226" s="2">
        <f t="shared" si="182"/>
        <v>40.091849000000003</v>
      </c>
      <c r="AR226" s="2">
        <f t="shared" si="183"/>
        <v>6.0137773500000007</v>
      </c>
      <c r="AS226" s="2">
        <f t="shared" si="164"/>
        <v>3.4660000000000002E-4</v>
      </c>
      <c r="AT226" s="2">
        <f t="shared" si="165"/>
        <v>1.0398000000000001E-2</v>
      </c>
      <c r="AU226" s="2">
        <f t="shared" si="184"/>
        <v>46.159470950000006</v>
      </c>
      <c r="AV226" s="2">
        <f t="shared" si="166"/>
        <v>1.7330000000000002E-2</v>
      </c>
      <c r="AW226" s="2">
        <f t="shared" si="167"/>
        <v>8.6200000000000009E-3</v>
      </c>
      <c r="AX226" s="2">
        <f t="shared" si="168"/>
        <v>3.6392999999999998E-3</v>
      </c>
      <c r="AY226" s="2">
        <f t="shared" si="185"/>
        <v>2.0969300000000003E-2</v>
      </c>
      <c r="AZ226" s="2">
        <f t="shared" si="186"/>
        <v>3.1453950000000005E-3</v>
      </c>
      <c r="BA226" s="2">
        <f t="shared" si="169"/>
        <v>3.4660000000000002E-4</v>
      </c>
      <c r="BB226" s="2">
        <f t="shared" si="170"/>
        <v>1.0398000000000001E-2</v>
      </c>
      <c r="BC226" s="2">
        <f t="shared" si="187"/>
        <v>4.3479295000000001E-2</v>
      </c>
      <c r="BD226" s="2">
        <v>0</v>
      </c>
      <c r="BE226" s="2">
        <f t="shared" si="171"/>
        <v>0.17330000000000001</v>
      </c>
      <c r="BF226" s="2">
        <f t="shared" si="172"/>
        <v>5.6322500000000001E-3</v>
      </c>
      <c r="BG226" s="2">
        <f t="shared" si="188"/>
        <v>5.6322500000000001E-3</v>
      </c>
      <c r="BH226" s="2">
        <f t="shared" si="189"/>
        <v>8.4483750000000004E-4</v>
      </c>
      <c r="BI226" s="2">
        <f t="shared" si="173"/>
        <v>3.4660000000000002E-4</v>
      </c>
      <c r="BJ226" s="2">
        <f t="shared" si="174"/>
        <v>1.0398000000000001E-2</v>
      </c>
      <c r="BK226" s="2">
        <f t="shared" si="190"/>
        <v>0.19052168750000001</v>
      </c>
      <c r="BL226" s="2">
        <f t="shared" si="175"/>
        <v>87.1</v>
      </c>
      <c r="BM226" s="2">
        <f t="shared" si="176"/>
        <v>86.2</v>
      </c>
      <c r="BN226" s="2">
        <f t="shared" si="191"/>
        <v>173.3</v>
      </c>
    </row>
    <row r="227" spans="1:66" x14ac:dyDescent="0.25">
      <c r="A227" s="42">
        <v>224</v>
      </c>
      <c r="B227" s="43">
        <v>42859</v>
      </c>
      <c r="C227" s="42" t="s">
        <v>50</v>
      </c>
      <c r="D227" s="42" t="s">
        <v>184</v>
      </c>
      <c r="E227" s="6">
        <f t="shared" si="177"/>
        <v>-16.450957531250001</v>
      </c>
      <c r="F227" s="5" t="str">
        <f t="shared" si="192"/>
        <v>Loss</v>
      </c>
      <c r="G227" s="4">
        <f t="shared" si="193"/>
        <v>-15.25</v>
      </c>
      <c r="H227" s="46">
        <v>1</v>
      </c>
      <c r="I227" s="42">
        <v>1779.8</v>
      </c>
      <c r="N227" s="5">
        <f t="shared" si="194"/>
        <v>1</v>
      </c>
      <c r="O227" s="4">
        <f t="shared" si="195"/>
        <v>1779.8</v>
      </c>
      <c r="P227" s="5">
        <f t="shared" si="150"/>
        <v>1</v>
      </c>
      <c r="Q227" s="42">
        <v>1764.55</v>
      </c>
      <c r="R227" s="2">
        <f t="shared" si="149"/>
        <v>0</v>
      </c>
      <c r="T227" s="2">
        <f t="shared" si="178"/>
        <v>0</v>
      </c>
      <c r="V227" s="5">
        <f t="shared" si="196"/>
        <v>1</v>
      </c>
      <c r="W227" s="4">
        <f t="shared" si="197"/>
        <v>1764.55</v>
      </c>
      <c r="X227" s="14">
        <f t="shared" si="151"/>
        <v>-15.25</v>
      </c>
      <c r="Y227" s="5">
        <f t="shared" si="152"/>
        <v>-15.25</v>
      </c>
      <c r="Z227" s="2">
        <f t="shared" si="153"/>
        <v>0</v>
      </c>
      <c r="AA227" s="4">
        <f t="shared" si="154"/>
        <v>0</v>
      </c>
      <c r="AB227" s="13">
        <f t="shared" si="155"/>
        <v>1.2009575312499998</v>
      </c>
      <c r="AC227" s="10">
        <f>SUM($E$4:E227)</f>
        <v>-12033.190411547741</v>
      </c>
      <c r="AD227" s="20">
        <f>SUM($AB$4:AB227)</f>
        <v>10874.324111547707</v>
      </c>
      <c r="AF227" s="28">
        <f t="shared" si="156"/>
        <v>0.354435</v>
      </c>
      <c r="AG227" s="2">
        <f t="shared" si="157"/>
        <v>0.44113750000000002</v>
      </c>
      <c r="AH227" s="2">
        <f t="shared" si="158"/>
        <v>0.11519137499999998</v>
      </c>
      <c r="AI227" s="2">
        <f t="shared" si="179"/>
        <v>0.46962637499999998</v>
      </c>
      <c r="AJ227" s="2">
        <f t="shared" si="180"/>
        <v>7.0443956249999995E-2</v>
      </c>
      <c r="AK227" s="2">
        <f t="shared" si="159"/>
        <v>7.0886999999999999E-3</v>
      </c>
      <c r="AL227" s="2">
        <f t="shared" si="160"/>
        <v>0.21266099999999999</v>
      </c>
      <c r="AM227" s="2">
        <f t="shared" si="181"/>
        <v>1.2009575312499998</v>
      </c>
      <c r="AN227" s="2">
        <f t="shared" si="161"/>
        <v>40</v>
      </c>
      <c r="AO227" s="2">
        <f t="shared" si="162"/>
        <v>0.88227500000000003</v>
      </c>
      <c r="AP227" s="2">
        <f t="shared" si="163"/>
        <v>1.8785054999999999</v>
      </c>
      <c r="AQ227" s="2">
        <f t="shared" si="182"/>
        <v>41.878505500000003</v>
      </c>
      <c r="AR227" s="2">
        <f t="shared" si="183"/>
        <v>6.2817758250000004</v>
      </c>
      <c r="AS227" s="2">
        <f t="shared" si="164"/>
        <v>7.0886999999999999E-3</v>
      </c>
      <c r="AT227" s="2">
        <f t="shared" si="165"/>
        <v>0.21266099999999999</v>
      </c>
      <c r="AU227" s="2">
        <f t="shared" si="184"/>
        <v>49.262306025000001</v>
      </c>
      <c r="AV227" s="2">
        <f t="shared" si="166"/>
        <v>0.354435</v>
      </c>
      <c r="AW227" s="2">
        <f t="shared" si="167"/>
        <v>0.176455</v>
      </c>
      <c r="AX227" s="2">
        <f t="shared" si="168"/>
        <v>7.4431349999999993E-2</v>
      </c>
      <c r="AY227" s="2">
        <f t="shared" si="185"/>
        <v>0.42886635000000001</v>
      </c>
      <c r="AZ227" s="2">
        <f t="shared" si="186"/>
        <v>6.4329952499999996E-2</v>
      </c>
      <c r="BA227" s="2">
        <f t="shared" si="169"/>
        <v>7.0886999999999999E-3</v>
      </c>
      <c r="BB227" s="2">
        <f t="shared" si="170"/>
        <v>0.21266099999999999</v>
      </c>
      <c r="BC227" s="2">
        <f t="shared" si="187"/>
        <v>0.88940100249999987</v>
      </c>
      <c r="BD227" s="2">
        <v>0</v>
      </c>
      <c r="BE227" s="2">
        <f t="shared" si="171"/>
        <v>3.5443500000000001</v>
      </c>
      <c r="BF227" s="2">
        <f t="shared" si="172"/>
        <v>0.11519137499999998</v>
      </c>
      <c r="BG227" s="2">
        <f t="shared" si="188"/>
        <v>0.11519137499999998</v>
      </c>
      <c r="BH227" s="2">
        <f t="shared" si="189"/>
        <v>1.7278706249999998E-2</v>
      </c>
      <c r="BI227" s="2">
        <f t="shared" si="173"/>
        <v>7.0886999999999999E-3</v>
      </c>
      <c r="BJ227" s="2">
        <f t="shared" si="174"/>
        <v>0.21266099999999999</v>
      </c>
      <c r="BK227" s="2">
        <f t="shared" si="190"/>
        <v>3.8965697812500002</v>
      </c>
      <c r="BL227" s="2">
        <f t="shared" si="175"/>
        <v>1779.8</v>
      </c>
      <c r="BM227" s="2">
        <f t="shared" si="176"/>
        <v>1764.55</v>
      </c>
      <c r="BN227" s="2">
        <f t="shared" si="191"/>
        <v>3544.35</v>
      </c>
    </row>
    <row r="228" spans="1:66" x14ac:dyDescent="0.25">
      <c r="A228" s="42">
        <v>225</v>
      </c>
      <c r="B228" s="43">
        <v>42859</v>
      </c>
      <c r="C228" s="42" t="s">
        <v>50</v>
      </c>
      <c r="D228" s="42" t="s">
        <v>185</v>
      </c>
      <c r="E228" s="6">
        <f t="shared" si="177"/>
        <v>-5.0307290624999998</v>
      </c>
      <c r="F228" s="5" t="str">
        <f t="shared" si="192"/>
        <v>Loss</v>
      </c>
      <c r="G228" s="4">
        <f t="shared" si="193"/>
        <v>-4.5</v>
      </c>
      <c r="H228" s="46">
        <v>1</v>
      </c>
      <c r="I228" s="42">
        <v>785</v>
      </c>
      <c r="N228" s="5">
        <f t="shared" si="194"/>
        <v>1</v>
      </c>
      <c r="O228" s="4">
        <f t="shared" si="195"/>
        <v>785</v>
      </c>
      <c r="P228" s="5">
        <f t="shared" si="150"/>
        <v>1</v>
      </c>
      <c r="Q228" s="42">
        <v>780.5</v>
      </c>
      <c r="R228" s="2">
        <f t="shared" si="149"/>
        <v>0</v>
      </c>
      <c r="T228" s="2">
        <f t="shared" si="178"/>
        <v>0</v>
      </c>
      <c r="V228" s="5">
        <f t="shared" si="196"/>
        <v>1</v>
      </c>
      <c r="W228" s="4">
        <f t="shared" si="197"/>
        <v>780.5</v>
      </c>
      <c r="X228" s="14">
        <f t="shared" si="151"/>
        <v>-4.5</v>
      </c>
      <c r="Y228" s="5">
        <f t="shared" si="152"/>
        <v>-4.5</v>
      </c>
      <c r="Z228" s="2">
        <f t="shared" si="153"/>
        <v>0</v>
      </c>
      <c r="AA228" s="4">
        <f t="shared" si="154"/>
        <v>0</v>
      </c>
      <c r="AB228" s="13">
        <f t="shared" si="155"/>
        <v>0.53072906249999996</v>
      </c>
      <c r="AC228" s="10">
        <f>SUM($E$4:E228)</f>
        <v>-12038.221140610241</v>
      </c>
      <c r="AD228" s="20">
        <f>SUM($AB$4:AB228)</f>
        <v>10874.854840610207</v>
      </c>
      <c r="AF228" s="28">
        <f t="shared" si="156"/>
        <v>0.15654999999999999</v>
      </c>
      <c r="AG228" s="2">
        <f t="shared" si="157"/>
        <v>0.19512499999999999</v>
      </c>
      <c r="AH228" s="2">
        <f t="shared" si="158"/>
        <v>5.0878749999999993E-2</v>
      </c>
      <c r="AI228" s="2">
        <f t="shared" si="179"/>
        <v>0.20742875</v>
      </c>
      <c r="AJ228" s="2">
        <f t="shared" si="180"/>
        <v>3.1114312499999998E-2</v>
      </c>
      <c r="AK228" s="2">
        <f t="shared" si="159"/>
        <v>3.1310000000000001E-3</v>
      </c>
      <c r="AL228" s="2">
        <f t="shared" si="160"/>
        <v>9.393E-2</v>
      </c>
      <c r="AM228" s="2">
        <f t="shared" si="181"/>
        <v>0.53072906249999996</v>
      </c>
      <c r="AN228" s="2">
        <f t="shared" si="161"/>
        <v>40</v>
      </c>
      <c r="AO228" s="2">
        <f t="shared" si="162"/>
        <v>0.39024999999999999</v>
      </c>
      <c r="AP228" s="2">
        <f t="shared" si="163"/>
        <v>0.82971499999999998</v>
      </c>
      <c r="AQ228" s="2">
        <f t="shared" si="182"/>
        <v>40.829715</v>
      </c>
      <c r="AR228" s="2">
        <f t="shared" si="183"/>
        <v>6.1244572499999999</v>
      </c>
      <c r="AS228" s="2">
        <f t="shared" si="164"/>
        <v>3.1310000000000001E-3</v>
      </c>
      <c r="AT228" s="2">
        <f t="shared" si="165"/>
        <v>9.393E-2</v>
      </c>
      <c r="AU228" s="2">
        <f t="shared" si="184"/>
        <v>47.441483250000005</v>
      </c>
      <c r="AV228" s="2">
        <f t="shared" si="166"/>
        <v>0.15654999999999999</v>
      </c>
      <c r="AW228" s="2">
        <f t="shared" si="167"/>
        <v>7.8050000000000008E-2</v>
      </c>
      <c r="AX228" s="2">
        <f t="shared" si="168"/>
        <v>3.2875499999999995E-2</v>
      </c>
      <c r="AY228" s="2">
        <f t="shared" si="185"/>
        <v>0.1894255</v>
      </c>
      <c r="AZ228" s="2">
        <f t="shared" si="186"/>
        <v>2.8413824999999997E-2</v>
      </c>
      <c r="BA228" s="2">
        <f t="shared" si="169"/>
        <v>3.1310000000000001E-3</v>
      </c>
      <c r="BB228" s="2">
        <f t="shared" si="170"/>
        <v>9.393E-2</v>
      </c>
      <c r="BC228" s="2">
        <f t="shared" si="187"/>
        <v>0.39295032499999999</v>
      </c>
      <c r="BD228" s="2">
        <v>0</v>
      </c>
      <c r="BE228" s="2">
        <f t="shared" si="171"/>
        <v>1.5655000000000001</v>
      </c>
      <c r="BF228" s="2">
        <f t="shared" si="172"/>
        <v>5.0878749999999993E-2</v>
      </c>
      <c r="BG228" s="2">
        <f t="shared" si="188"/>
        <v>5.0878749999999993E-2</v>
      </c>
      <c r="BH228" s="2">
        <f t="shared" si="189"/>
        <v>7.6318124999999988E-3</v>
      </c>
      <c r="BI228" s="2">
        <f t="shared" si="173"/>
        <v>3.1310000000000001E-3</v>
      </c>
      <c r="BJ228" s="2">
        <f t="shared" si="174"/>
        <v>9.393E-2</v>
      </c>
      <c r="BK228" s="2">
        <f t="shared" si="190"/>
        <v>1.7210715625000002</v>
      </c>
      <c r="BL228" s="2">
        <f t="shared" si="175"/>
        <v>785</v>
      </c>
      <c r="BM228" s="2">
        <f t="shared" si="176"/>
        <v>780.5</v>
      </c>
      <c r="BN228" s="2">
        <f t="shared" si="191"/>
        <v>1565.5</v>
      </c>
    </row>
    <row r="229" spans="1:66" x14ac:dyDescent="0.25">
      <c r="A229" s="42">
        <v>226</v>
      </c>
      <c r="B229" s="43">
        <v>42859</v>
      </c>
      <c r="C229" s="42" t="s">
        <v>50</v>
      </c>
      <c r="D229" s="42" t="s">
        <v>186</v>
      </c>
      <c r="E229" s="6">
        <f t="shared" si="177"/>
        <v>-0.22669696874999148</v>
      </c>
      <c r="F229" s="5" t="str">
        <f t="shared" si="192"/>
        <v>Loss</v>
      </c>
      <c r="G229" s="4">
        <f t="shared" si="193"/>
        <v>-0.14999999999999147</v>
      </c>
      <c r="H229" s="46">
        <v>1</v>
      </c>
      <c r="I229" s="42">
        <v>113.1</v>
      </c>
      <c r="N229" s="5">
        <f t="shared" si="194"/>
        <v>1</v>
      </c>
      <c r="O229" s="4">
        <f t="shared" si="195"/>
        <v>113.1</v>
      </c>
      <c r="P229" s="5">
        <f t="shared" si="150"/>
        <v>1</v>
      </c>
      <c r="Q229" s="42">
        <v>112.95</v>
      </c>
      <c r="R229" s="2">
        <f t="shared" si="149"/>
        <v>0</v>
      </c>
      <c r="T229" s="2">
        <f t="shared" si="178"/>
        <v>0</v>
      </c>
      <c r="V229" s="5">
        <f t="shared" si="196"/>
        <v>1</v>
      </c>
      <c r="W229" s="4">
        <f t="shared" si="197"/>
        <v>112.95</v>
      </c>
      <c r="X229" s="14">
        <f t="shared" si="151"/>
        <v>-0.14999999999999147</v>
      </c>
      <c r="Y229" s="5">
        <f t="shared" si="152"/>
        <v>-0.14999999999999147</v>
      </c>
      <c r="Z229" s="2">
        <f t="shared" si="153"/>
        <v>0</v>
      </c>
      <c r="AA229" s="4">
        <f t="shared" si="154"/>
        <v>0</v>
      </c>
      <c r="AB229" s="13">
        <f t="shared" si="155"/>
        <v>7.6696968750000011E-2</v>
      </c>
      <c r="AC229" s="10">
        <f>SUM($E$4:E229)</f>
        <v>-12038.447837578991</v>
      </c>
      <c r="AD229" s="20">
        <f>SUM($AB$4:AB229)</f>
        <v>10874.931537578957</v>
      </c>
      <c r="AF229" s="28">
        <f t="shared" si="156"/>
        <v>2.2605000000000004E-2</v>
      </c>
      <c r="AG229" s="2">
        <f t="shared" si="157"/>
        <v>2.8237500000000002E-2</v>
      </c>
      <c r="AH229" s="2">
        <f t="shared" si="158"/>
        <v>7.3466249999999999E-3</v>
      </c>
      <c r="AI229" s="2">
        <f t="shared" si="179"/>
        <v>2.9951625000000003E-2</v>
      </c>
      <c r="AJ229" s="2">
        <f t="shared" si="180"/>
        <v>4.49274375E-3</v>
      </c>
      <c r="AK229" s="2">
        <f t="shared" si="159"/>
        <v>4.5210000000000004E-4</v>
      </c>
      <c r="AL229" s="2">
        <f t="shared" si="160"/>
        <v>1.3563E-2</v>
      </c>
      <c r="AM229" s="2">
        <f t="shared" si="181"/>
        <v>7.6696968750000011E-2</v>
      </c>
      <c r="AN229" s="2">
        <f t="shared" si="161"/>
        <v>40</v>
      </c>
      <c r="AO229" s="2">
        <f t="shared" si="162"/>
        <v>5.6475000000000004E-2</v>
      </c>
      <c r="AP229" s="2">
        <f t="shared" si="163"/>
        <v>0.1198065</v>
      </c>
      <c r="AQ229" s="2">
        <f t="shared" si="182"/>
        <v>40.119806500000003</v>
      </c>
      <c r="AR229" s="2">
        <f t="shared" si="183"/>
        <v>6.0179709749999999</v>
      </c>
      <c r="AS229" s="2">
        <f t="shared" si="164"/>
        <v>4.5210000000000004E-4</v>
      </c>
      <c r="AT229" s="2">
        <f t="shared" si="165"/>
        <v>1.3563E-2</v>
      </c>
      <c r="AU229" s="2">
        <f t="shared" si="184"/>
        <v>46.208267574999994</v>
      </c>
      <c r="AV229" s="2">
        <f t="shared" si="166"/>
        <v>2.2605000000000004E-2</v>
      </c>
      <c r="AW229" s="2">
        <f t="shared" si="167"/>
        <v>1.1295000000000001E-2</v>
      </c>
      <c r="AX229" s="2">
        <f t="shared" si="168"/>
        <v>4.7470500000000001E-3</v>
      </c>
      <c r="AY229" s="2">
        <f t="shared" si="185"/>
        <v>2.7352050000000003E-2</v>
      </c>
      <c r="AZ229" s="2">
        <f t="shared" si="186"/>
        <v>4.1028075000000006E-3</v>
      </c>
      <c r="BA229" s="2">
        <f t="shared" si="169"/>
        <v>4.5210000000000004E-4</v>
      </c>
      <c r="BB229" s="2">
        <f t="shared" si="170"/>
        <v>1.3563E-2</v>
      </c>
      <c r="BC229" s="2">
        <f t="shared" si="187"/>
        <v>5.6764957500000005E-2</v>
      </c>
      <c r="BD229" s="2">
        <v>0</v>
      </c>
      <c r="BE229" s="2">
        <f t="shared" si="171"/>
        <v>0.22605000000000003</v>
      </c>
      <c r="BF229" s="2">
        <f t="shared" si="172"/>
        <v>7.3466249999999999E-3</v>
      </c>
      <c r="BG229" s="2">
        <f t="shared" si="188"/>
        <v>7.3466249999999999E-3</v>
      </c>
      <c r="BH229" s="2">
        <f t="shared" si="189"/>
        <v>1.1019937499999999E-3</v>
      </c>
      <c r="BI229" s="2">
        <f t="shared" si="173"/>
        <v>4.5210000000000004E-4</v>
      </c>
      <c r="BJ229" s="2">
        <f t="shared" si="174"/>
        <v>1.3563E-2</v>
      </c>
      <c r="BK229" s="2">
        <f t="shared" si="190"/>
        <v>0.24851371875000003</v>
      </c>
      <c r="BL229" s="2">
        <f t="shared" si="175"/>
        <v>113.1</v>
      </c>
      <c r="BM229" s="2">
        <f t="shared" si="176"/>
        <v>112.95</v>
      </c>
      <c r="BN229" s="2">
        <f t="shared" si="191"/>
        <v>226.05</v>
      </c>
    </row>
    <row r="230" spans="1:66" x14ac:dyDescent="0.25">
      <c r="A230" s="42">
        <v>227</v>
      </c>
      <c r="B230" s="43">
        <v>42859</v>
      </c>
      <c r="C230" s="42" t="s">
        <v>50</v>
      </c>
      <c r="D230" s="42" t="s">
        <v>187</v>
      </c>
      <c r="E230" s="6">
        <f t="shared" si="177"/>
        <v>-1.1766969999999943</v>
      </c>
      <c r="F230" s="5" t="str">
        <f t="shared" si="192"/>
        <v>Loss</v>
      </c>
      <c r="G230" s="4">
        <f t="shared" si="193"/>
        <v>-1.0999999999999943</v>
      </c>
      <c r="H230" s="46">
        <v>1</v>
      </c>
      <c r="I230" s="42">
        <v>113.75</v>
      </c>
      <c r="N230" s="5">
        <f t="shared" si="194"/>
        <v>1</v>
      </c>
      <c r="O230" s="4">
        <f t="shared" si="195"/>
        <v>113.75</v>
      </c>
      <c r="P230" s="5">
        <f t="shared" si="150"/>
        <v>1</v>
      </c>
      <c r="Q230" s="42">
        <v>112.65</v>
      </c>
      <c r="R230" s="2">
        <f t="shared" si="149"/>
        <v>0</v>
      </c>
      <c r="T230" s="2">
        <f t="shared" si="178"/>
        <v>0</v>
      </c>
      <c r="V230" s="5">
        <f t="shared" si="196"/>
        <v>1</v>
      </c>
      <c r="W230" s="4">
        <f t="shared" si="197"/>
        <v>112.65</v>
      </c>
      <c r="X230" s="14">
        <f t="shared" si="151"/>
        <v>-1.0999999999999943</v>
      </c>
      <c r="Y230" s="5">
        <f t="shared" si="152"/>
        <v>-1.0999999999999943</v>
      </c>
      <c r="Z230" s="2">
        <f t="shared" si="153"/>
        <v>0</v>
      </c>
      <c r="AA230" s="4">
        <f t="shared" si="154"/>
        <v>0</v>
      </c>
      <c r="AB230" s="13">
        <f t="shared" si="155"/>
        <v>7.6697000000000001E-2</v>
      </c>
      <c r="AC230" s="10">
        <f>SUM($E$4:E230)</f>
        <v>-12039.624534578992</v>
      </c>
      <c r="AD230" s="20">
        <f>SUM($AB$4:AB230)</f>
        <v>10875.008234578958</v>
      </c>
      <c r="AF230" s="28">
        <f t="shared" si="156"/>
        <v>2.264E-2</v>
      </c>
      <c r="AG230" s="2">
        <f t="shared" si="157"/>
        <v>2.8162500000000004E-2</v>
      </c>
      <c r="AH230" s="2">
        <f t="shared" si="158"/>
        <v>7.358E-3</v>
      </c>
      <c r="AI230" s="2">
        <f t="shared" si="179"/>
        <v>2.9998E-2</v>
      </c>
      <c r="AJ230" s="2">
        <f t="shared" si="180"/>
        <v>4.4996999999999997E-3</v>
      </c>
      <c r="AK230" s="2">
        <f t="shared" si="159"/>
        <v>4.528E-4</v>
      </c>
      <c r="AL230" s="2">
        <f t="shared" si="160"/>
        <v>1.3584000000000001E-2</v>
      </c>
      <c r="AM230" s="2">
        <f t="shared" si="181"/>
        <v>7.6697000000000001E-2</v>
      </c>
      <c r="AN230" s="2">
        <f t="shared" si="161"/>
        <v>40</v>
      </c>
      <c r="AO230" s="2">
        <f t="shared" si="162"/>
        <v>5.6325000000000007E-2</v>
      </c>
      <c r="AP230" s="2">
        <f t="shared" si="163"/>
        <v>0.119992</v>
      </c>
      <c r="AQ230" s="2">
        <f t="shared" si="182"/>
        <v>40.119992000000003</v>
      </c>
      <c r="AR230" s="2">
        <f t="shared" si="183"/>
        <v>6.0179988</v>
      </c>
      <c r="AS230" s="2">
        <f t="shared" si="164"/>
        <v>4.528E-4</v>
      </c>
      <c r="AT230" s="2">
        <f t="shared" si="165"/>
        <v>1.3584000000000001E-2</v>
      </c>
      <c r="AU230" s="2">
        <f t="shared" si="184"/>
        <v>46.208352600000005</v>
      </c>
      <c r="AV230" s="2">
        <f t="shared" si="166"/>
        <v>2.264E-2</v>
      </c>
      <c r="AW230" s="2">
        <f t="shared" si="167"/>
        <v>1.1265000000000001E-2</v>
      </c>
      <c r="AX230" s="2">
        <f t="shared" si="168"/>
        <v>4.7543999999999998E-3</v>
      </c>
      <c r="AY230" s="2">
        <f t="shared" si="185"/>
        <v>2.7394399999999999E-2</v>
      </c>
      <c r="AZ230" s="2">
        <f t="shared" si="186"/>
        <v>4.1091599999999997E-3</v>
      </c>
      <c r="BA230" s="2">
        <f t="shared" si="169"/>
        <v>4.528E-4</v>
      </c>
      <c r="BB230" s="2">
        <f t="shared" si="170"/>
        <v>1.3584000000000001E-2</v>
      </c>
      <c r="BC230" s="2">
        <f t="shared" si="187"/>
        <v>5.6805360000000006E-2</v>
      </c>
      <c r="BD230" s="2">
        <v>0</v>
      </c>
      <c r="BE230" s="2">
        <f t="shared" si="171"/>
        <v>0.22640000000000002</v>
      </c>
      <c r="BF230" s="2">
        <f t="shared" si="172"/>
        <v>7.358E-3</v>
      </c>
      <c r="BG230" s="2">
        <f t="shared" si="188"/>
        <v>7.358E-3</v>
      </c>
      <c r="BH230" s="2">
        <f t="shared" si="189"/>
        <v>1.1037E-3</v>
      </c>
      <c r="BI230" s="2">
        <f t="shared" si="173"/>
        <v>4.528E-4</v>
      </c>
      <c r="BJ230" s="2">
        <f t="shared" si="174"/>
        <v>1.3584000000000001E-2</v>
      </c>
      <c r="BK230" s="2">
        <f t="shared" si="190"/>
        <v>0.24889850000000005</v>
      </c>
      <c r="BL230" s="2">
        <f t="shared" si="175"/>
        <v>113.75</v>
      </c>
      <c r="BM230" s="2">
        <f t="shared" si="176"/>
        <v>112.65</v>
      </c>
      <c r="BN230" s="2">
        <f t="shared" si="191"/>
        <v>226.4</v>
      </c>
    </row>
    <row r="231" spans="1:66" ht="14.25" customHeight="1" x14ac:dyDescent="0.25">
      <c r="A231" s="42">
        <v>228</v>
      </c>
      <c r="B231" s="43">
        <v>42859</v>
      </c>
      <c r="C231" s="42" t="s">
        <v>50</v>
      </c>
      <c r="D231" s="42" t="s">
        <v>188</v>
      </c>
      <c r="E231" s="6">
        <f t="shared" si="177"/>
        <v>-0.9814864062500227</v>
      </c>
      <c r="F231" s="5" t="str">
        <f t="shared" si="192"/>
        <v>Loss</v>
      </c>
      <c r="G231" s="4">
        <f t="shared" si="193"/>
        <v>-0.85000000000002274</v>
      </c>
      <c r="H231" s="46">
        <v>1</v>
      </c>
      <c r="I231" s="42">
        <v>194.3</v>
      </c>
      <c r="N231" s="5">
        <f t="shared" si="194"/>
        <v>1</v>
      </c>
      <c r="O231" s="4">
        <f t="shared" si="195"/>
        <v>194.3</v>
      </c>
      <c r="P231" s="5">
        <f t="shared" si="150"/>
        <v>1</v>
      </c>
      <c r="Q231" s="42">
        <v>193.45</v>
      </c>
      <c r="R231" s="2">
        <f t="shared" si="149"/>
        <v>0</v>
      </c>
      <c r="T231" s="2">
        <f t="shared" si="178"/>
        <v>0</v>
      </c>
      <c r="V231" s="5">
        <f t="shared" si="196"/>
        <v>1</v>
      </c>
      <c r="W231" s="4">
        <f t="shared" si="197"/>
        <v>193.45</v>
      </c>
      <c r="X231" s="14">
        <f t="shared" si="151"/>
        <v>-0.85000000000002274</v>
      </c>
      <c r="Y231" s="5">
        <f t="shared" si="152"/>
        <v>-0.85000000000002274</v>
      </c>
      <c r="Z231" s="2">
        <f t="shared" si="153"/>
        <v>0</v>
      </c>
      <c r="AA231" s="4">
        <f t="shared" si="154"/>
        <v>0</v>
      </c>
      <c r="AB231" s="13">
        <f t="shared" si="155"/>
        <v>0.13148640624999999</v>
      </c>
      <c r="AC231" s="10">
        <f>SUM($E$4:E231)</f>
        <v>-12040.606020985242</v>
      </c>
      <c r="AD231" s="20">
        <f>SUM($AB$4:AB231)</f>
        <v>10875.139720985208</v>
      </c>
      <c r="AF231" s="28">
        <f t="shared" si="156"/>
        <v>3.8775000000000004E-2</v>
      </c>
      <c r="AG231" s="2">
        <f t="shared" si="157"/>
        <v>4.8362499999999996E-2</v>
      </c>
      <c r="AH231" s="2">
        <f t="shared" si="158"/>
        <v>1.2601874999999998E-2</v>
      </c>
      <c r="AI231" s="2">
        <f t="shared" si="179"/>
        <v>5.1376875000000002E-2</v>
      </c>
      <c r="AJ231" s="2">
        <f t="shared" si="180"/>
        <v>7.7065312499999998E-3</v>
      </c>
      <c r="AK231" s="2">
        <f t="shared" si="159"/>
        <v>7.7550000000000004E-4</v>
      </c>
      <c r="AL231" s="2">
        <f t="shared" si="160"/>
        <v>2.3265000000000001E-2</v>
      </c>
      <c r="AM231" s="2">
        <f t="shared" si="181"/>
        <v>0.13148640624999999</v>
      </c>
      <c r="AN231" s="2">
        <f t="shared" si="161"/>
        <v>40</v>
      </c>
      <c r="AO231" s="2">
        <f t="shared" si="162"/>
        <v>9.6724999999999992E-2</v>
      </c>
      <c r="AP231" s="2">
        <f t="shared" si="163"/>
        <v>0.20550749999999998</v>
      </c>
      <c r="AQ231" s="2">
        <f t="shared" si="182"/>
        <v>40.205507500000003</v>
      </c>
      <c r="AR231" s="2">
        <f t="shared" si="183"/>
        <v>6.0308261249999999</v>
      </c>
      <c r="AS231" s="2">
        <f t="shared" si="164"/>
        <v>7.7550000000000004E-4</v>
      </c>
      <c r="AT231" s="2">
        <f t="shared" si="165"/>
        <v>2.3265000000000001E-2</v>
      </c>
      <c r="AU231" s="2">
        <f t="shared" si="184"/>
        <v>46.357099125000005</v>
      </c>
      <c r="AV231" s="2">
        <f t="shared" si="166"/>
        <v>3.8775000000000004E-2</v>
      </c>
      <c r="AW231" s="2">
        <f t="shared" si="167"/>
        <v>1.9345000000000001E-2</v>
      </c>
      <c r="AX231" s="2">
        <f t="shared" si="168"/>
        <v>8.1427499999999989E-3</v>
      </c>
      <c r="AY231" s="2">
        <f t="shared" si="185"/>
        <v>4.6917750000000001E-2</v>
      </c>
      <c r="AZ231" s="2">
        <f t="shared" si="186"/>
        <v>7.0376624999999998E-3</v>
      </c>
      <c r="BA231" s="2">
        <f t="shared" si="169"/>
        <v>7.7550000000000004E-4</v>
      </c>
      <c r="BB231" s="2">
        <f t="shared" si="170"/>
        <v>2.3265000000000001E-2</v>
      </c>
      <c r="BC231" s="2">
        <f t="shared" si="187"/>
        <v>9.7340912500000015E-2</v>
      </c>
      <c r="BD231" s="2">
        <v>0</v>
      </c>
      <c r="BE231" s="2">
        <f t="shared" si="171"/>
        <v>0.38774999999999998</v>
      </c>
      <c r="BF231" s="2">
        <f t="shared" si="172"/>
        <v>1.2601874999999998E-2</v>
      </c>
      <c r="BG231" s="2">
        <f t="shared" si="188"/>
        <v>1.2601874999999998E-2</v>
      </c>
      <c r="BH231" s="2">
        <f t="shared" si="189"/>
        <v>1.8902812499999996E-3</v>
      </c>
      <c r="BI231" s="2">
        <f t="shared" si="173"/>
        <v>7.7550000000000004E-4</v>
      </c>
      <c r="BJ231" s="2">
        <f t="shared" si="174"/>
        <v>2.3265000000000001E-2</v>
      </c>
      <c r="BK231" s="2">
        <f t="shared" si="190"/>
        <v>0.42628265624999995</v>
      </c>
      <c r="BL231" s="2">
        <f t="shared" si="175"/>
        <v>194.3</v>
      </c>
      <c r="BM231" s="2">
        <f t="shared" si="176"/>
        <v>193.45</v>
      </c>
      <c r="BN231" s="2">
        <f t="shared" si="191"/>
        <v>387.75</v>
      </c>
    </row>
    <row r="232" spans="1:66" x14ac:dyDescent="0.25">
      <c r="A232" s="42">
        <v>229</v>
      </c>
      <c r="B232" s="43">
        <v>42859</v>
      </c>
      <c r="C232" s="42" t="s">
        <v>50</v>
      </c>
      <c r="D232" s="42" t="s">
        <v>189</v>
      </c>
      <c r="E232" s="6">
        <f t="shared" si="177"/>
        <v>-1.9209997500000113</v>
      </c>
      <c r="F232" s="5" t="str">
        <f t="shared" si="192"/>
        <v>Loss</v>
      </c>
      <c r="G232" s="4">
        <f t="shared" si="193"/>
        <v>-1.8000000000000114</v>
      </c>
      <c r="H232" s="46">
        <v>1</v>
      </c>
      <c r="I232" s="42">
        <v>179.5</v>
      </c>
      <c r="N232" s="5">
        <f t="shared" si="194"/>
        <v>1</v>
      </c>
      <c r="O232" s="4">
        <f t="shared" si="195"/>
        <v>179.5</v>
      </c>
      <c r="P232" s="5">
        <f t="shared" si="150"/>
        <v>1</v>
      </c>
      <c r="Q232" s="42">
        <v>177.7</v>
      </c>
      <c r="R232" s="2">
        <f t="shared" ref="R232:R295" si="198">J232</f>
        <v>0</v>
      </c>
      <c r="T232" s="2">
        <f t="shared" si="178"/>
        <v>0</v>
      </c>
      <c r="V232" s="5">
        <f t="shared" si="196"/>
        <v>1</v>
      </c>
      <c r="W232" s="4">
        <f t="shared" si="197"/>
        <v>177.7</v>
      </c>
      <c r="X232" s="14">
        <f t="shared" si="151"/>
        <v>-1.8000000000000114</v>
      </c>
      <c r="Y232" s="5">
        <f t="shared" si="152"/>
        <v>-1.8000000000000114</v>
      </c>
      <c r="Z232" s="2">
        <f t="shared" si="153"/>
        <v>0</v>
      </c>
      <c r="AA232" s="4">
        <f t="shared" si="154"/>
        <v>0</v>
      </c>
      <c r="AB232" s="13">
        <f t="shared" si="155"/>
        <v>0.12099974999999999</v>
      </c>
      <c r="AC232" s="10">
        <f>SUM($E$4:E232)</f>
        <v>-12042.527020735242</v>
      </c>
      <c r="AD232" s="20">
        <f>SUM($AB$4:AB232)</f>
        <v>10875.260720735207</v>
      </c>
      <c r="AF232" s="28">
        <f t="shared" si="156"/>
        <v>3.5720000000000002E-2</v>
      </c>
      <c r="AG232" s="2">
        <f t="shared" si="157"/>
        <v>4.4424999999999999E-2</v>
      </c>
      <c r="AH232" s="2">
        <f t="shared" si="158"/>
        <v>1.1608999999999998E-2</v>
      </c>
      <c r="AI232" s="2">
        <f t="shared" si="179"/>
        <v>4.7328999999999996E-2</v>
      </c>
      <c r="AJ232" s="2">
        <f t="shared" si="180"/>
        <v>7.0993499999999991E-3</v>
      </c>
      <c r="AK232" s="2">
        <f t="shared" si="159"/>
        <v>7.1439999999999991E-4</v>
      </c>
      <c r="AL232" s="2">
        <f t="shared" si="160"/>
        <v>2.1432E-2</v>
      </c>
      <c r="AM232" s="2">
        <f t="shared" si="181"/>
        <v>0.12099974999999999</v>
      </c>
      <c r="AN232" s="2">
        <f t="shared" si="161"/>
        <v>40</v>
      </c>
      <c r="AO232" s="2">
        <f t="shared" si="162"/>
        <v>8.8849999999999998E-2</v>
      </c>
      <c r="AP232" s="2">
        <f t="shared" si="163"/>
        <v>0.18931599999999998</v>
      </c>
      <c r="AQ232" s="2">
        <f t="shared" si="182"/>
        <v>40.189315999999998</v>
      </c>
      <c r="AR232" s="2">
        <f t="shared" si="183"/>
        <v>6.0283973999999994</v>
      </c>
      <c r="AS232" s="2">
        <f t="shared" si="164"/>
        <v>7.1439999999999991E-4</v>
      </c>
      <c r="AT232" s="2">
        <f t="shared" si="165"/>
        <v>2.1432E-2</v>
      </c>
      <c r="AU232" s="2">
        <f t="shared" si="184"/>
        <v>46.328709799999999</v>
      </c>
      <c r="AV232" s="2">
        <f t="shared" si="166"/>
        <v>3.5720000000000002E-2</v>
      </c>
      <c r="AW232" s="2">
        <f t="shared" si="167"/>
        <v>1.7770000000000001E-2</v>
      </c>
      <c r="AX232" s="2">
        <f t="shared" si="168"/>
        <v>7.5011999999999995E-3</v>
      </c>
      <c r="AY232" s="2">
        <f t="shared" si="185"/>
        <v>4.3221200000000001E-2</v>
      </c>
      <c r="AZ232" s="2">
        <f t="shared" si="186"/>
        <v>6.4831799999999998E-3</v>
      </c>
      <c r="BA232" s="2">
        <f t="shared" si="169"/>
        <v>7.1439999999999991E-4</v>
      </c>
      <c r="BB232" s="2">
        <f t="shared" si="170"/>
        <v>2.1432E-2</v>
      </c>
      <c r="BC232" s="2">
        <f t="shared" si="187"/>
        <v>8.9620780000000011E-2</v>
      </c>
      <c r="BD232" s="2">
        <v>0</v>
      </c>
      <c r="BE232" s="2">
        <f t="shared" si="171"/>
        <v>0.35720000000000002</v>
      </c>
      <c r="BF232" s="2">
        <f t="shared" si="172"/>
        <v>1.1608999999999998E-2</v>
      </c>
      <c r="BG232" s="2">
        <f t="shared" si="188"/>
        <v>1.1608999999999998E-2</v>
      </c>
      <c r="BH232" s="2">
        <f t="shared" si="189"/>
        <v>1.7413499999999996E-3</v>
      </c>
      <c r="BI232" s="2">
        <f t="shared" si="173"/>
        <v>7.1439999999999991E-4</v>
      </c>
      <c r="BJ232" s="2">
        <f t="shared" si="174"/>
        <v>2.1432E-2</v>
      </c>
      <c r="BK232" s="2">
        <f t="shared" si="190"/>
        <v>0.39269674999999998</v>
      </c>
      <c r="BL232" s="2">
        <f t="shared" si="175"/>
        <v>179.5</v>
      </c>
      <c r="BM232" s="2">
        <f t="shared" si="176"/>
        <v>177.7</v>
      </c>
      <c r="BN232" s="2">
        <f t="shared" si="191"/>
        <v>357.2</v>
      </c>
    </row>
    <row r="233" spans="1:66" x14ac:dyDescent="0.25">
      <c r="A233" s="42">
        <v>230</v>
      </c>
      <c r="B233" s="43">
        <v>42859</v>
      </c>
      <c r="C233" s="42" t="s">
        <v>50</v>
      </c>
      <c r="D233" s="42" t="s">
        <v>190</v>
      </c>
      <c r="E233" s="6">
        <f t="shared" si="177"/>
        <v>5.4437457500000681</v>
      </c>
      <c r="F233" s="5" t="str">
        <f t="shared" si="192"/>
        <v>Win</v>
      </c>
      <c r="G233" s="4">
        <f t="shared" si="193"/>
        <v>5.8000000000000682</v>
      </c>
      <c r="H233" s="46">
        <v>1</v>
      </c>
      <c r="I233" s="42">
        <v>520.9</v>
      </c>
      <c r="N233" s="5">
        <f t="shared" si="194"/>
        <v>1</v>
      </c>
      <c r="O233" s="4">
        <f t="shared" si="195"/>
        <v>520.9</v>
      </c>
      <c r="P233" s="5">
        <f t="shared" si="150"/>
        <v>1</v>
      </c>
      <c r="Q233" s="42">
        <v>526.70000000000005</v>
      </c>
      <c r="R233" s="2">
        <f t="shared" si="198"/>
        <v>0</v>
      </c>
      <c r="T233" s="2">
        <f t="shared" si="178"/>
        <v>0</v>
      </c>
      <c r="V233" s="5">
        <f t="shared" si="196"/>
        <v>1</v>
      </c>
      <c r="W233" s="4">
        <f t="shared" si="197"/>
        <v>526.70000000000005</v>
      </c>
      <c r="X233" s="14">
        <f t="shared" si="151"/>
        <v>5.8000000000000682</v>
      </c>
      <c r="Y233" s="5">
        <f t="shared" si="152"/>
        <v>5.8000000000000682</v>
      </c>
      <c r="Z233" s="2">
        <f t="shared" si="153"/>
        <v>0</v>
      </c>
      <c r="AA233" s="4">
        <f t="shared" si="154"/>
        <v>0</v>
      </c>
      <c r="AB233" s="13">
        <f t="shared" si="155"/>
        <v>0.35625424999999999</v>
      </c>
      <c r="AC233" s="10">
        <f>SUM($E$4:E233)</f>
        <v>-12037.083274985242</v>
      </c>
      <c r="AD233" s="20">
        <f>SUM($AB$4:AB233)</f>
        <v>10875.616974985207</v>
      </c>
      <c r="AF233" s="28">
        <f t="shared" si="156"/>
        <v>0.10475999999999999</v>
      </c>
      <c r="AG233" s="2">
        <f t="shared" si="157"/>
        <v>0.13167500000000001</v>
      </c>
      <c r="AH233" s="2">
        <f t="shared" si="158"/>
        <v>3.4046999999999994E-2</v>
      </c>
      <c r="AI233" s="2">
        <f t="shared" si="179"/>
        <v>0.13880699999999999</v>
      </c>
      <c r="AJ233" s="2">
        <f t="shared" si="180"/>
        <v>2.0821049999999997E-2</v>
      </c>
      <c r="AK233" s="2">
        <f t="shared" si="159"/>
        <v>2.0951999999999998E-3</v>
      </c>
      <c r="AL233" s="2">
        <f t="shared" si="160"/>
        <v>6.2855999999999995E-2</v>
      </c>
      <c r="AM233" s="2">
        <f t="shared" si="181"/>
        <v>0.35625424999999999</v>
      </c>
      <c r="AN233" s="2">
        <f t="shared" si="161"/>
        <v>40</v>
      </c>
      <c r="AO233" s="2">
        <f t="shared" si="162"/>
        <v>0.26335000000000003</v>
      </c>
      <c r="AP233" s="2">
        <f t="shared" si="163"/>
        <v>0.55522799999999994</v>
      </c>
      <c r="AQ233" s="2">
        <f t="shared" si="182"/>
        <v>40.555228</v>
      </c>
      <c r="AR233" s="2">
        <f t="shared" si="183"/>
        <v>6.0832841999999996</v>
      </c>
      <c r="AS233" s="2">
        <f t="shared" si="164"/>
        <v>2.0951999999999998E-3</v>
      </c>
      <c r="AT233" s="2">
        <f t="shared" si="165"/>
        <v>6.2855999999999995E-2</v>
      </c>
      <c r="AU233" s="2">
        <f t="shared" si="184"/>
        <v>46.966813399999999</v>
      </c>
      <c r="AV233" s="2">
        <f t="shared" si="166"/>
        <v>0.10475999999999999</v>
      </c>
      <c r="AW233" s="2">
        <f t="shared" si="167"/>
        <v>5.2670000000000008E-2</v>
      </c>
      <c r="AX233" s="2">
        <f t="shared" si="168"/>
        <v>2.1999599999999998E-2</v>
      </c>
      <c r="AY233" s="2">
        <f t="shared" si="185"/>
        <v>0.1267596</v>
      </c>
      <c r="AZ233" s="2">
        <f t="shared" si="186"/>
        <v>1.901394E-2</v>
      </c>
      <c r="BA233" s="2">
        <f t="shared" si="169"/>
        <v>2.0951999999999998E-3</v>
      </c>
      <c r="BB233" s="2">
        <f t="shared" si="170"/>
        <v>6.2855999999999995E-2</v>
      </c>
      <c r="BC233" s="2">
        <f t="shared" si="187"/>
        <v>0.26339474000000002</v>
      </c>
      <c r="BD233" s="2">
        <v>0</v>
      </c>
      <c r="BE233" s="2">
        <f t="shared" si="171"/>
        <v>1.0475999999999999</v>
      </c>
      <c r="BF233" s="2">
        <f t="shared" si="172"/>
        <v>3.4046999999999994E-2</v>
      </c>
      <c r="BG233" s="2">
        <f t="shared" si="188"/>
        <v>3.4046999999999994E-2</v>
      </c>
      <c r="BH233" s="2">
        <f t="shared" si="189"/>
        <v>5.1070499999999993E-3</v>
      </c>
      <c r="BI233" s="2">
        <f t="shared" si="173"/>
        <v>2.0951999999999998E-3</v>
      </c>
      <c r="BJ233" s="2">
        <f t="shared" si="174"/>
        <v>6.2855999999999995E-2</v>
      </c>
      <c r="BK233" s="2">
        <f t="shared" si="190"/>
        <v>1.1517052499999998</v>
      </c>
      <c r="BL233" s="2">
        <f t="shared" si="175"/>
        <v>520.9</v>
      </c>
      <c r="BM233" s="2">
        <f t="shared" si="176"/>
        <v>526.70000000000005</v>
      </c>
      <c r="BN233" s="2">
        <f t="shared" si="191"/>
        <v>1047.5999999999999</v>
      </c>
    </row>
    <row r="234" spans="1:66" x14ac:dyDescent="0.25">
      <c r="A234" s="42">
        <v>231</v>
      </c>
      <c r="B234" s="43">
        <v>42859</v>
      </c>
      <c r="C234" s="42" t="s">
        <v>50</v>
      </c>
      <c r="D234" s="42" t="s">
        <v>191</v>
      </c>
      <c r="E234" s="6">
        <f t="shared" si="177"/>
        <v>1.8736174687500029</v>
      </c>
      <c r="F234" s="5" t="str">
        <f t="shared" si="192"/>
        <v>Win</v>
      </c>
      <c r="G234" s="4">
        <f t="shared" si="193"/>
        <v>1.9500000000000028</v>
      </c>
      <c r="H234" s="46">
        <v>1</v>
      </c>
      <c r="I234" s="42">
        <v>111.2</v>
      </c>
      <c r="N234" s="5">
        <f t="shared" si="194"/>
        <v>1</v>
      </c>
      <c r="O234" s="4">
        <f t="shared" si="195"/>
        <v>111.2</v>
      </c>
      <c r="P234" s="5">
        <f t="shared" si="150"/>
        <v>1</v>
      </c>
      <c r="Q234" s="42">
        <v>113.15</v>
      </c>
      <c r="R234" s="2">
        <f t="shared" si="198"/>
        <v>0</v>
      </c>
      <c r="T234" s="2">
        <f t="shared" si="178"/>
        <v>0</v>
      </c>
      <c r="V234" s="5">
        <f t="shared" si="196"/>
        <v>1</v>
      </c>
      <c r="W234" s="4">
        <f t="shared" si="197"/>
        <v>113.15</v>
      </c>
      <c r="X234" s="14">
        <f t="shared" si="151"/>
        <v>1.9500000000000028</v>
      </c>
      <c r="Y234" s="5">
        <f t="shared" si="152"/>
        <v>1.9500000000000028</v>
      </c>
      <c r="Z234" s="2">
        <f t="shared" si="153"/>
        <v>0</v>
      </c>
      <c r="AA234" s="4">
        <f t="shared" si="154"/>
        <v>0</v>
      </c>
      <c r="AB234" s="13">
        <f t="shared" si="155"/>
        <v>7.638253125000001E-2</v>
      </c>
      <c r="AC234" s="10">
        <f>SUM($E$4:E234)</f>
        <v>-12035.209657516492</v>
      </c>
      <c r="AD234" s="20">
        <f>SUM($AB$4:AB234)</f>
        <v>10875.693357516457</v>
      </c>
      <c r="AF234" s="28">
        <f t="shared" si="156"/>
        <v>2.2435000000000004E-2</v>
      </c>
      <c r="AG234" s="2">
        <f t="shared" si="157"/>
        <v>2.8287500000000004E-2</v>
      </c>
      <c r="AH234" s="2">
        <f t="shared" si="158"/>
        <v>7.2913750000000001E-3</v>
      </c>
      <c r="AI234" s="2">
        <f t="shared" si="179"/>
        <v>2.9726375000000003E-2</v>
      </c>
      <c r="AJ234" s="2">
        <f t="shared" si="180"/>
        <v>4.4589562499999999E-3</v>
      </c>
      <c r="AK234" s="2">
        <f t="shared" si="159"/>
        <v>4.4870000000000001E-4</v>
      </c>
      <c r="AL234" s="2">
        <f t="shared" si="160"/>
        <v>1.3461000000000002E-2</v>
      </c>
      <c r="AM234" s="2">
        <f t="shared" si="181"/>
        <v>7.638253125000001E-2</v>
      </c>
      <c r="AN234" s="2">
        <f t="shared" si="161"/>
        <v>40</v>
      </c>
      <c r="AO234" s="2">
        <f t="shared" si="162"/>
        <v>5.6575000000000007E-2</v>
      </c>
      <c r="AP234" s="2">
        <f t="shared" si="163"/>
        <v>0.11890550000000001</v>
      </c>
      <c r="AQ234" s="2">
        <f t="shared" si="182"/>
        <v>40.118905499999997</v>
      </c>
      <c r="AR234" s="2">
        <f t="shared" si="183"/>
        <v>6.0178358249999997</v>
      </c>
      <c r="AS234" s="2">
        <f t="shared" si="164"/>
        <v>4.4870000000000001E-4</v>
      </c>
      <c r="AT234" s="2">
        <f t="shared" si="165"/>
        <v>1.3461000000000002E-2</v>
      </c>
      <c r="AU234" s="2">
        <f t="shared" si="184"/>
        <v>46.207226024999997</v>
      </c>
      <c r="AV234" s="2">
        <f t="shared" si="166"/>
        <v>2.2435000000000004E-2</v>
      </c>
      <c r="AW234" s="2">
        <f t="shared" si="167"/>
        <v>1.1315E-2</v>
      </c>
      <c r="AX234" s="2">
        <f t="shared" si="168"/>
        <v>4.7113500000000004E-3</v>
      </c>
      <c r="AY234" s="2">
        <f t="shared" si="185"/>
        <v>2.7146350000000003E-2</v>
      </c>
      <c r="AZ234" s="2">
        <f t="shared" si="186"/>
        <v>4.0719524999999999E-3</v>
      </c>
      <c r="BA234" s="2">
        <f t="shared" si="169"/>
        <v>4.4870000000000001E-4</v>
      </c>
      <c r="BB234" s="2">
        <f t="shared" si="170"/>
        <v>1.3461000000000002E-2</v>
      </c>
      <c r="BC234" s="2">
        <f t="shared" si="187"/>
        <v>5.6443002500000013E-2</v>
      </c>
      <c r="BD234" s="2">
        <v>0</v>
      </c>
      <c r="BE234" s="2">
        <f t="shared" si="171"/>
        <v>0.22435000000000002</v>
      </c>
      <c r="BF234" s="2">
        <f t="shared" si="172"/>
        <v>7.2913750000000001E-3</v>
      </c>
      <c r="BG234" s="2">
        <f t="shared" si="188"/>
        <v>7.2913750000000001E-3</v>
      </c>
      <c r="BH234" s="2">
        <f t="shared" si="189"/>
        <v>1.0937062499999999E-3</v>
      </c>
      <c r="BI234" s="2">
        <f t="shared" si="173"/>
        <v>4.4870000000000001E-4</v>
      </c>
      <c r="BJ234" s="2">
        <f t="shared" si="174"/>
        <v>1.3461000000000002E-2</v>
      </c>
      <c r="BK234" s="2">
        <f t="shared" si="190"/>
        <v>0.24664478125</v>
      </c>
      <c r="BL234" s="2">
        <f t="shared" si="175"/>
        <v>111.2</v>
      </c>
      <c r="BM234" s="2">
        <f t="shared" si="176"/>
        <v>113.15</v>
      </c>
      <c r="BN234" s="2">
        <f t="shared" si="191"/>
        <v>224.35000000000002</v>
      </c>
    </row>
    <row r="235" spans="1:66" x14ac:dyDescent="0.25">
      <c r="A235" s="42">
        <v>232</v>
      </c>
      <c r="B235" s="43">
        <v>42859</v>
      </c>
      <c r="C235" s="42" t="s">
        <v>50</v>
      </c>
      <c r="D235" s="42" t="s">
        <v>192</v>
      </c>
      <c r="E235" s="6">
        <f t="shared" si="177"/>
        <v>-0.85484481249999711</v>
      </c>
      <c r="F235" s="5" t="str">
        <f t="shared" si="192"/>
        <v>Loss</v>
      </c>
      <c r="G235" s="4">
        <f t="shared" si="193"/>
        <v>-0.79999999999999716</v>
      </c>
      <c r="H235" s="46">
        <v>1</v>
      </c>
      <c r="I235" s="42">
        <v>81.349999999999994</v>
      </c>
      <c r="N235" s="5">
        <f t="shared" si="194"/>
        <v>1</v>
      </c>
      <c r="O235" s="4">
        <f t="shared" si="195"/>
        <v>81.349999999999994</v>
      </c>
      <c r="P235" s="5">
        <f t="shared" si="150"/>
        <v>1</v>
      </c>
      <c r="Q235" s="42">
        <v>80.55</v>
      </c>
      <c r="R235" s="2">
        <f t="shared" si="198"/>
        <v>0</v>
      </c>
      <c r="T235" s="2">
        <f t="shared" si="178"/>
        <v>0</v>
      </c>
      <c r="V235" s="5">
        <f t="shared" si="196"/>
        <v>1</v>
      </c>
      <c r="W235" s="4">
        <f t="shared" si="197"/>
        <v>80.55</v>
      </c>
      <c r="X235" s="14">
        <f t="shared" si="151"/>
        <v>-0.79999999999999716</v>
      </c>
      <c r="Y235" s="5">
        <f t="shared" si="152"/>
        <v>-0.79999999999999716</v>
      </c>
      <c r="Z235" s="2">
        <f t="shared" si="153"/>
        <v>0</v>
      </c>
      <c r="AA235" s="4">
        <f t="shared" si="154"/>
        <v>0</v>
      </c>
      <c r="AB235" s="13">
        <f t="shared" si="155"/>
        <v>5.4844812499999993E-2</v>
      </c>
      <c r="AC235" s="10">
        <f>SUM($E$4:E235)</f>
        <v>-12036.064502328993</v>
      </c>
      <c r="AD235" s="20">
        <f>SUM($AB$4:AB235)</f>
        <v>10875.748202328956</v>
      </c>
      <c r="AF235" s="28">
        <f t="shared" si="156"/>
        <v>1.619E-2</v>
      </c>
      <c r="AG235" s="2">
        <f t="shared" si="157"/>
        <v>2.0137499999999999E-2</v>
      </c>
      <c r="AH235" s="2">
        <f t="shared" si="158"/>
        <v>5.2617499999999991E-3</v>
      </c>
      <c r="AI235" s="2">
        <f t="shared" si="179"/>
        <v>2.1451749999999999E-2</v>
      </c>
      <c r="AJ235" s="2">
        <f t="shared" si="180"/>
        <v>3.2177624999999996E-3</v>
      </c>
      <c r="AK235" s="2">
        <f t="shared" si="159"/>
        <v>3.2379999999999996E-4</v>
      </c>
      <c r="AL235" s="2">
        <f t="shared" si="160"/>
        <v>9.7139999999999987E-3</v>
      </c>
      <c r="AM235" s="2">
        <f t="shared" si="181"/>
        <v>5.4844812499999993E-2</v>
      </c>
      <c r="AN235" s="2">
        <f t="shared" si="161"/>
        <v>40</v>
      </c>
      <c r="AO235" s="2">
        <f t="shared" si="162"/>
        <v>4.0274999999999998E-2</v>
      </c>
      <c r="AP235" s="2">
        <f t="shared" si="163"/>
        <v>8.5806999999999981E-2</v>
      </c>
      <c r="AQ235" s="2">
        <f t="shared" si="182"/>
        <v>40.085807000000003</v>
      </c>
      <c r="AR235" s="2">
        <f t="shared" si="183"/>
        <v>6.0128710500000002</v>
      </c>
      <c r="AS235" s="2">
        <f t="shared" si="164"/>
        <v>3.2379999999999996E-4</v>
      </c>
      <c r="AT235" s="2">
        <f t="shared" si="165"/>
        <v>9.7139999999999987E-3</v>
      </c>
      <c r="AU235" s="2">
        <f t="shared" si="184"/>
        <v>46.148990850000004</v>
      </c>
      <c r="AV235" s="2">
        <f t="shared" si="166"/>
        <v>1.619E-2</v>
      </c>
      <c r="AW235" s="2">
        <f t="shared" si="167"/>
        <v>8.0549999999999997E-3</v>
      </c>
      <c r="AX235" s="2">
        <f t="shared" si="168"/>
        <v>3.3998999999999995E-3</v>
      </c>
      <c r="AY235" s="2">
        <f t="shared" si="185"/>
        <v>1.95899E-2</v>
      </c>
      <c r="AZ235" s="2">
        <f t="shared" si="186"/>
        <v>2.9384849999999998E-3</v>
      </c>
      <c r="BA235" s="2">
        <f t="shared" si="169"/>
        <v>3.2379999999999996E-4</v>
      </c>
      <c r="BB235" s="2">
        <f t="shared" si="170"/>
        <v>9.7139999999999987E-3</v>
      </c>
      <c r="BC235" s="2">
        <f t="shared" si="187"/>
        <v>4.0621184999999997E-2</v>
      </c>
      <c r="BD235" s="2">
        <v>0</v>
      </c>
      <c r="BE235" s="2">
        <f t="shared" si="171"/>
        <v>0.16189999999999999</v>
      </c>
      <c r="BF235" s="2">
        <f t="shared" si="172"/>
        <v>5.2617499999999991E-3</v>
      </c>
      <c r="BG235" s="2">
        <f t="shared" si="188"/>
        <v>5.2617499999999991E-3</v>
      </c>
      <c r="BH235" s="2">
        <f t="shared" si="189"/>
        <v>7.8926249999999984E-4</v>
      </c>
      <c r="BI235" s="2">
        <f t="shared" si="173"/>
        <v>3.2379999999999996E-4</v>
      </c>
      <c r="BJ235" s="2">
        <f t="shared" si="174"/>
        <v>9.7139999999999987E-3</v>
      </c>
      <c r="BK235" s="2">
        <f t="shared" si="190"/>
        <v>0.17798881250000001</v>
      </c>
      <c r="BL235" s="2">
        <f t="shared" si="175"/>
        <v>81.349999999999994</v>
      </c>
      <c r="BM235" s="2">
        <f t="shared" si="176"/>
        <v>80.55</v>
      </c>
      <c r="BN235" s="2">
        <f t="shared" si="191"/>
        <v>161.89999999999998</v>
      </c>
    </row>
    <row r="236" spans="1:66" x14ac:dyDescent="0.25">
      <c r="A236" s="42">
        <v>233</v>
      </c>
      <c r="B236" s="43">
        <v>42859</v>
      </c>
      <c r="C236" s="42" t="s">
        <v>50</v>
      </c>
      <c r="D236" s="42" t="s">
        <v>193</v>
      </c>
      <c r="E236" s="6">
        <f t="shared" si="177"/>
        <v>0.15711193750000285</v>
      </c>
      <c r="F236" s="5" t="str">
        <f t="shared" si="192"/>
        <v>Win</v>
      </c>
      <c r="G236" s="4">
        <f t="shared" si="193"/>
        <v>0.20000000000000284</v>
      </c>
      <c r="H236" s="46">
        <v>1</v>
      </c>
      <c r="I236" s="42">
        <v>63.05</v>
      </c>
      <c r="N236" s="5">
        <f t="shared" si="194"/>
        <v>1</v>
      </c>
      <c r="O236" s="4">
        <f t="shared" si="195"/>
        <v>63.05</v>
      </c>
      <c r="P236" s="5">
        <f t="shared" si="150"/>
        <v>1</v>
      </c>
      <c r="Q236" s="42">
        <v>63.25</v>
      </c>
      <c r="R236" s="2">
        <f t="shared" si="198"/>
        <v>0</v>
      </c>
      <c r="T236" s="2">
        <f t="shared" si="178"/>
        <v>0</v>
      </c>
      <c r="V236" s="5">
        <f t="shared" si="196"/>
        <v>1</v>
      </c>
      <c r="W236" s="4">
        <f t="shared" si="197"/>
        <v>63.25</v>
      </c>
      <c r="X236" s="14">
        <f t="shared" si="151"/>
        <v>0.20000000000000284</v>
      </c>
      <c r="Y236" s="5">
        <f t="shared" si="152"/>
        <v>0.20000000000000284</v>
      </c>
      <c r="Z236" s="2">
        <f t="shared" si="153"/>
        <v>0</v>
      </c>
      <c r="AA236" s="4">
        <f t="shared" si="154"/>
        <v>0</v>
      </c>
      <c r="AB236" s="13">
        <f t="shared" si="155"/>
        <v>4.2888062499999997E-2</v>
      </c>
      <c r="AC236" s="10">
        <f>SUM($E$4:E236)</f>
        <v>-12035.907390391492</v>
      </c>
      <c r="AD236" s="20">
        <f>SUM($AB$4:AB236)</f>
        <v>10875.791090391456</v>
      </c>
      <c r="AF236" s="28">
        <f t="shared" si="156"/>
        <v>1.2630000000000001E-2</v>
      </c>
      <c r="AG236" s="2">
        <f t="shared" si="157"/>
        <v>1.58125E-2</v>
      </c>
      <c r="AH236" s="2">
        <f t="shared" si="158"/>
        <v>4.1047499999999999E-3</v>
      </c>
      <c r="AI236" s="2">
        <f t="shared" si="179"/>
        <v>1.673475E-2</v>
      </c>
      <c r="AJ236" s="2">
        <f t="shared" si="180"/>
        <v>2.5102124999999997E-3</v>
      </c>
      <c r="AK236" s="2">
        <f t="shared" si="159"/>
        <v>2.5259999999999996E-4</v>
      </c>
      <c r="AL236" s="2">
        <f t="shared" si="160"/>
        <v>7.5779999999999997E-3</v>
      </c>
      <c r="AM236" s="2">
        <f t="shared" si="181"/>
        <v>4.2888062499999997E-2</v>
      </c>
      <c r="AN236" s="2">
        <f t="shared" si="161"/>
        <v>40</v>
      </c>
      <c r="AO236" s="2">
        <f t="shared" si="162"/>
        <v>3.1625E-2</v>
      </c>
      <c r="AP236" s="2">
        <f t="shared" si="163"/>
        <v>6.6938999999999999E-2</v>
      </c>
      <c r="AQ236" s="2">
        <f t="shared" si="182"/>
        <v>40.066938999999998</v>
      </c>
      <c r="AR236" s="2">
        <f t="shared" si="183"/>
        <v>6.0100408499999993</v>
      </c>
      <c r="AS236" s="2">
        <f t="shared" si="164"/>
        <v>2.5259999999999996E-4</v>
      </c>
      <c r="AT236" s="2">
        <f t="shared" si="165"/>
        <v>7.5779999999999997E-3</v>
      </c>
      <c r="AU236" s="2">
        <f t="shared" si="184"/>
        <v>46.116435449999997</v>
      </c>
      <c r="AV236" s="2">
        <f t="shared" si="166"/>
        <v>1.2630000000000001E-2</v>
      </c>
      <c r="AW236" s="2">
        <f t="shared" si="167"/>
        <v>6.3249999999999999E-3</v>
      </c>
      <c r="AX236" s="2">
        <f t="shared" si="168"/>
        <v>2.6522999999999998E-3</v>
      </c>
      <c r="AY236" s="2">
        <f t="shared" si="185"/>
        <v>1.52823E-2</v>
      </c>
      <c r="AZ236" s="2">
        <f t="shared" si="186"/>
        <v>2.2923449999999999E-3</v>
      </c>
      <c r="BA236" s="2">
        <f t="shared" si="169"/>
        <v>2.5259999999999996E-4</v>
      </c>
      <c r="BB236" s="2">
        <f t="shared" si="170"/>
        <v>7.5779999999999997E-3</v>
      </c>
      <c r="BC236" s="2">
        <f t="shared" si="187"/>
        <v>3.1730244999999997E-2</v>
      </c>
      <c r="BD236" s="2">
        <v>0</v>
      </c>
      <c r="BE236" s="2">
        <f t="shared" si="171"/>
        <v>0.1263</v>
      </c>
      <c r="BF236" s="2">
        <f t="shared" si="172"/>
        <v>4.1047499999999999E-3</v>
      </c>
      <c r="BG236" s="2">
        <f t="shared" si="188"/>
        <v>4.1047499999999999E-3</v>
      </c>
      <c r="BH236" s="2">
        <f t="shared" si="189"/>
        <v>6.1571249999999998E-4</v>
      </c>
      <c r="BI236" s="2">
        <f t="shared" si="173"/>
        <v>2.5259999999999996E-4</v>
      </c>
      <c r="BJ236" s="2">
        <f t="shared" si="174"/>
        <v>7.5779999999999997E-3</v>
      </c>
      <c r="BK236" s="2">
        <f t="shared" si="190"/>
        <v>0.13885106249999998</v>
      </c>
      <c r="BL236" s="2">
        <f t="shared" si="175"/>
        <v>63.05</v>
      </c>
      <c r="BM236" s="2">
        <f t="shared" si="176"/>
        <v>63.25</v>
      </c>
      <c r="BN236" s="2">
        <f t="shared" si="191"/>
        <v>126.3</v>
      </c>
    </row>
    <row r="237" spans="1:66" x14ac:dyDescent="0.25">
      <c r="A237" s="42">
        <v>234</v>
      </c>
      <c r="B237" s="43">
        <v>42859</v>
      </c>
      <c r="C237" s="42" t="s">
        <v>50</v>
      </c>
      <c r="D237" s="42" t="s">
        <v>194</v>
      </c>
      <c r="E237" s="6">
        <f t="shared" si="177"/>
        <v>-0.29318053125000565</v>
      </c>
      <c r="F237" s="5" t="str">
        <f t="shared" si="192"/>
        <v>Loss</v>
      </c>
      <c r="G237" s="4">
        <f t="shared" si="193"/>
        <v>-0.15000000000000568</v>
      </c>
      <c r="H237" s="46">
        <v>1</v>
      </c>
      <c r="I237" s="42">
        <v>211.05</v>
      </c>
      <c r="N237" s="5">
        <f t="shared" si="194"/>
        <v>1</v>
      </c>
      <c r="O237" s="4">
        <f t="shared" si="195"/>
        <v>211.05</v>
      </c>
      <c r="P237" s="5">
        <f t="shared" si="150"/>
        <v>1</v>
      </c>
      <c r="Q237" s="42">
        <v>210.9</v>
      </c>
      <c r="R237" s="2">
        <f t="shared" si="198"/>
        <v>0</v>
      </c>
      <c r="T237" s="2">
        <f t="shared" si="178"/>
        <v>0</v>
      </c>
      <c r="V237" s="5">
        <f t="shared" si="196"/>
        <v>1</v>
      </c>
      <c r="W237" s="4">
        <f t="shared" si="197"/>
        <v>210.9</v>
      </c>
      <c r="X237" s="14">
        <f t="shared" si="151"/>
        <v>-0.15000000000000568</v>
      </c>
      <c r="Y237" s="5">
        <f t="shared" si="152"/>
        <v>-0.15000000000000568</v>
      </c>
      <c r="Z237" s="2">
        <f t="shared" si="153"/>
        <v>0</v>
      </c>
      <c r="AA237" s="4">
        <f t="shared" si="154"/>
        <v>0</v>
      </c>
      <c r="AB237" s="13">
        <f t="shared" si="155"/>
        <v>0.14318053124999999</v>
      </c>
      <c r="AC237" s="10">
        <f>SUM($E$4:E237)</f>
        <v>-12036.200570922741</v>
      </c>
      <c r="AD237" s="20">
        <f>SUM($AB$4:AB237)</f>
        <v>10875.934270922706</v>
      </c>
      <c r="AF237" s="28">
        <f t="shared" si="156"/>
        <v>4.2195000000000003E-2</v>
      </c>
      <c r="AG237" s="2">
        <f t="shared" si="157"/>
        <v>5.2725000000000001E-2</v>
      </c>
      <c r="AH237" s="2">
        <f t="shared" si="158"/>
        <v>1.3713375E-2</v>
      </c>
      <c r="AI237" s="2">
        <f t="shared" si="179"/>
        <v>5.5908375000000003E-2</v>
      </c>
      <c r="AJ237" s="2">
        <f t="shared" si="180"/>
        <v>8.3862562499999998E-3</v>
      </c>
      <c r="AK237" s="2">
        <f t="shared" si="159"/>
        <v>8.4390000000000008E-4</v>
      </c>
      <c r="AL237" s="2">
        <f t="shared" si="160"/>
        <v>2.5317000000000003E-2</v>
      </c>
      <c r="AM237" s="2">
        <f t="shared" si="181"/>
        <v>0.14318053124999999</v>
      </c>
      <c r="AN237" s="2">
        <f t="shared" si="161"/>
        <v>40</v>
      </c>
      <c r="AO237" s="2">
        <f t="shared" si="162"/>
        <v>0.10545</v>
      </c>
      <c r="AP237" s="2">
        <f t="shared" si="163"/>
        <v>0.22363350000000001</v>
      </c>
      <c r="AQ237" s="2">
        <f t="shared" si="182"/>
        <v>40.223633499999998</v>
      </c>
      <c r="AR237" s="2">
        <f t="shared" si="183"/>
        <v>6.0335450249999996</v>
      </c>
      <c r="AS237" s="2">
        <f t="shared" si="164"/>
        <v>8.4390000000000008E-4</v>
      </c>
      <c r="AT237" s="2">
        <f t="shared" si="165"/>
        <v>2.5317000000000003E-2</v>
      </c>
      <c r="AU237" s="2">
        <f t="shared" si="184"/>
        <v>46.388789424999999</v>
      </c>
      <c r="AV237" s="2">
        <f t="shared" si="166"/>
        <v>4.2195000000000003E-2</v>
      </c>
      <c r="AW237" s="2">
        <f t="shared" si="167"/>
        <v>2.1090000000000001E-2</v>
      </c>
      <c r="AX237" s="2">
        <f t="shared" si="168"/>
        <v>8.8609500000000011E-3</v>
      </c>
      <c r="AY237" s="2">
        <f t="shared" si="185"/>
        <v>5.1055950000000003E-2</v>
      </c>
      <c r="AZ237" s="2">
        <f t="shared" si="186"/>
        <v>7.6583924999999997E-3</v>
      </c>
      <c r="BA237" s="2">
        <f t="shared" si="169"/>
        <v>8.4390000000000008E-4</v>
      </c>
      <c r="BB237" s="2">
        <f t="shared" si="170"/>
        <v>2.5317000000000003E-2</v>
      </c>
      <c r="BC237" s="2">
        <f t="shared" si="187"/>
        <v>0.10596524250000001</v>
      </c>
      <c r="BD237" s="2">
        <v>0</v>
      </c>
      <c r="BE237" s="2">
        <f t="shared" si="171"/>
        <v>0.42195000000000005</v>
      </c>
      <c r="BF237" s="2">
        <f t="shared" si="172"/>
        <v>1.3713375E-2</v>
      </c>
      <c r="BG237" s="2">
        <f t="shared" si="188"/>
        <v>1.3713375E-2</v>
      </c>
      <c r="BH237" s="2">
        <f t="shared" si="189"/>
        <v>2.05700625E-3</v>
      </c>
      <c r="BI237" s="2">
        <f t="shared" si="173"/>
        <v>8.4390000000000008E-4</v>
      </c>
      <c r="BJ237" s="2">
        <f t="shared" si="174"/>
        <v>2.5317000000000003E-2</v>
      </c>
      <c r="BK237" s="2">
        <f t="shared" si="190"/>
        <v>0.46388128125000005</v>
      </c>
      <c r="BL237" s="2">
        <f t="shared" si="175"/>
        <v>211.05</v>
      </c>
      <c r="BM237" s="2">
        <f t="shared" si="176"/>
        <v>210.9</v>
      </c>
      <c r="BN237" s="2">
        <f t="shared" si="191"/>
        <v>421.95000000000005</v>
      </c>
    </row>
    <row r="238" spans="1:66" x14ac:dyDescent="0.25">
      <c r="A238" s="42">
        <v>235</v>
      </c>
      <c r="B238" s="43">
        <v>42859</v>
      </c>
      <c r="C238" s="42" t="s">
        <v>50</v>
      </c>
      <c r="D238" s="42" t="s">
        <v>195</v>
      </c>
      <c r="E238" s="6">
        <f t="shared" si="177"/>
        <v>4.5494371562500229</v>
      </c>
      <c r="F238" s="5" t="str">
        <f t="shared" si="192"/>
        <v>Win</v>
      </c>
      <c r="G238" s="4">
        <f t="shared" si="193"/>
        <v>4.8500000000000227</v>
      </c>
      <c r="H238" s="46">
        <v>1</v>
      </c>
      <c r="I238" s="42">
        <v>439.5</v>
      </c>
      <c r="N238" s="5">
        <f t="shared" si="194"/>
        <v>1</v>
      </c>
      <c r="O238" s="4">
        <f t="shared" si="195"/>
        <v>439.5</v>
      </c>
      <c r="P238" s="5">
        <f t="shared" si="150"/>
        <v>1</v>
      </c>
      <c r="Q238" s="42">
        <v>444.35</v>
      </c>
      <c r="R238" s="2">
        <f t="shared" si="198"/>
        <v>0</v>
      </c>
      <c r="T238" s="2">
        <f t="shared" si="178"/>
        <v>0</v>
      </c>
      <c r="V238" s="5">
        <f t="shared" si="196"/>
        <v>1</v>
      </c>
      <c r="W238" s="4">
        <f t="shared" si="197"/>
        <v>444.35</v>
      </c>
      <c r="X238" s="14">
        <f t="shared" si="151"/>
        <v>4.8500000000000227</v>
      </c>
      <c r="Y238" s="5">
        <f t="shared" si="152"/>
        <v>4.8500000000000227</v>
      </c>
      <c r="Z238" s="2">
        <f t="shared" si="153"/>
        <v>0</v>
      </c>
      <c r="AA238" s="4">
        <f t="shared" si="154"/>
        <v>0</v>
      </c>
      <c r="AB238" s="13">
        <f t="shared" si="155"/>
        <v>0.30056284375000003</v>
      </c>
      <c r="AC238" s="10">
        <f>SUM($E$4:E238)</f>
        <v>-12031.651133766491</v>
      </c>
      <c r="AD238" s="20">
        <f>SUM($AB$4:AB238)</f>
        <v>10876.234833766455</v>
      </c>
      <c r="AF238" s="28">
        <f t="shared" si="156"/>
        <v>8.8385000000000005E-2</v>
      </c>
      <c r="AG238" s="2">
        <f t="shared" si="157"/>
        <v>0.11108750000000001</v>
      </c>
      <c r="AH238" s="2">
        <f t="shared" si="158"/>
        <v>2.8725124999999997E-2</v>
      </c>
      <c r="AI238" s="2">
        <f t="shared" si="179"/>
        <v>0.11711012500000001</v>
      </c>
      <c r="AJ238" s="2">
        <f t="shared" si="180"/>
        <v>1.7566518749999999E-2</v>
      </c>
      <c r="AK238" s="2">
        <f t="shared" si="159"/>
        <v>1.7677000000000001E-3</v>
      </c>
      <c r="AL238" s="2">
        <f t="shared" si="160"/>
        <v>5.3031000000000002E-2</v>
      </c>
      <c r="AM238" s="2">
        <f t="shared" si="181"/>
        <v>0.30056284375000003</v>
      </c>
      <c r="AN238" s="2">
        <f t="shared" si="161"/>
        <v>40</v>
      </c>
      <c r="AO238" s="2">
        <f t="shared" si="162"/>
        <v>0.22217500000000001</v>
      </c>
      <c r="AP238" s="2">
        <f t="shared" si="163"/>
        <v>0.46844049999999998</v>
      </c>
      <c r="AQ238" s="2">
        <f t="shared" si="182"/>
        <v>40.4684405</v>
      </c>
      <c r="AR238" s="2">
        <f t="shared" si="183"/>
        <v>6.0702660750000001</v>
      </c>
      <c r="AS238" s="2">
        <f t="shared" si="164"/>
        <v>1.7677000000000001E-3</v>
      </c>
      <c r="AT238" s="2">
        <f t="shared" si="165"/>
        <v>5.3031000000000002E-2</v>
      </c>
      <c r="AU238" s="2">
        <f t="shared" si="184"/>
        <v>46.815680274999998</v>
      </c>
      <c r="AV238" s="2">
        <f t="shared" si="166"/>
        <v>8.8385000000000005E-2</v>
      </c>
      <c r="AW238" s="2">
        <f t="shared" si="167"/>
        <v>4.4435000000000002E-2</v>
      </c>
      <c r="AX238" s="2">
        <f t="shared" si="168"/>
        <v>1.856085E-2</v>
      </c>
      <c r="AY238" s="2">
        <f t="shared" si="185"/>
        <v>0.10694585000000001</v>
      </c>
      <c r="AZ238" s="2">
        <f t="shared" si="186"/>
        <v>1.6041877499999999E-2</v>
      </c>
      <c r="BA238" s="2">
        <f t="shared" si="169"/>
        <v>1.7677000000000001E-3</v>
      </c>
      <c r="BB238" s="2">
        <f t="shared" si="170"/>
        <v>5.3031000000000002E-2</v>
      </c>
      <c r="BC238" s="2">
        <f t="shared" si="187"/>
        <v>0.22222142749999999</v>
      </c>
      <c r="BD238" s="2">
        <v>0</v>
      </c>
      <c r="BE238" s="2">
        <f t="shared" si="171"/>
        <v>0.88385000000000002</v>
      </c>
      <c r="BF238" s="2">
        <f t="shared" si="172"/>
        <v>2.8725124999999997E-2</v>
      </c>
      <c r="BG238" s="2">
        <f t="shared" si="188"/>
        <v>2.8725124999999997E-2</v>
      </c>
      <c r="BH238" s="2">
        <f t="shared" si="189"/>
        <v>4.3087687499999998E-3</v>
      </c>
      <c r="BI238" s="2">
        <f t="shared" si="173"/>
        <v>1.7677000000000001E-3</v>
      </c>
      <c r="BJ238" s="2">
        <f t="shared" si="174"/>
        <v>5.3031000000000002E-2</v>
      </c>
      <c r="BK238" s="2">
        <f t="shared" si="190"/>
        <v>0.9716825937500001</v>
      </c>
      <c r="BL238" s="2">
        <f t="shared" si="175"/>
        <v>439.5</v>
      </c>
      <c r="BM238" s="2">
        <f t="shared" si="176"/>
        <v>444.35</v>
      </c>
      <c r="BN238" s="2">
        <f t="shared" si="191"/>
        <v>883.85</v>
      </c>
    </row>
    <row r="239" spans="1:66" x14ac:dyDescent="0.25">
      <c r="A239" s="42">
        <v>236</v>
      </c>
      <c r="B239" s="43">
        <v>42859</v>
      </c>
      <c r="C239" s="42" t="s">
        <v>50</v>
      </c>
      <c r="D239" s="42" t="s">
        <v>196</v>
      </c>
      <c r="E239" s="6">
        <f t="shared" si="177"/>
        <v>-1.4089936562500001</v>
      </c>
      <c r="F239" s="5" t="str">
        <f t="shared" si="192"/>
        <v>Loss</v>
      </c>
      <c r="G239" s="4">
        <f t="shared" si="193"/>
        <v>-1.25</v>
      </c>
      <c r="H239" s="46">
        <v>1</v>
      </c>
      <c r="I239" s="42">
        <v>235.1</v>
      </c>
      <c r="N239" s="5">
        <f t="shared" si="194"/>
        <v>1</v>
      </c>
      <c r="O239" s="4">
        <f t="shared" si="195"/>
        <v>235.1</v>
      </c>
      <c r="P239" s="5">
        <f t="shared" si="150"/>
        <v>1</v>
      </c>
      <c r="Q239" s="42">
        <v>233.85</v>
      </c>
      <c r="R239" s="2">
        <f t="shared" si="198"/>
        <v>0</v>
      </c>
      <c r="T239" s="2">
        <f t="shared" si="178"/>
        <v>0</v>
      </c>
      <c r="V239" s="5">
        <f t="shared" si="196"/>
        <v>1</v>
      </c>
      <c r="W239" s="4">
        <f t="shared" si="197"/>
        <v>233.85</v>
      </c>
      <c r="X239" s="14">
        <f t="shared" si="151"/>
        <v>-1.25</v>
      </c>
      <c r="Y239" s="5">
        <f t="shared" si="152"/>
        <v>-1.25</v>
      </c>
      <c r="Z239" s="2">
        <f t="shared" si="153"/>
        <v>0</v>
      </c>
      <c r="AA239" s="4">
        <f t="shared" si="154"/>
        <v>0</v>
      </c>
      <c r="AB239" s="13">
        <f t="shared" si="155"/>
        <v>0.15899365624999998</v>
      </c>
      <c r="AC239" s="10">
        <f>SUM($E$4:E239)</f>
        <v>-12033.060127422741</v>
      </c>
      <c r="AD239" s="20">
        <f>SUM($AB$4:AB239)</f>
        <v>10876.393827422706</v>
      </c>
      <c r="AF239" s="28">
        <f t="shared" si="156"/>
        <v>4.6894999999999999E-2</v>
      </c>
      <c r="AG239" s="2">
        <f t="shared" si="157"/>
        <v>5.8462500000000001E-2</v>
      </c>
      <c r="AH239" s="2">
        <f t="shared" si="158"/>
        <v>1.5240874999999997E-2</v>
      </c>
      <c r="AI239" s="2">
        <f t="shared" si="179"/>
        <v>6.2135874999999993E-2</v>
      </c>
      <c r="AJ239" s="2">
        <f t="shared" si="180"/>
        <v>9.320381249999999E-3</v>
      </c>
      <c r="AK239" s="2">
        <f t="shared" si="159"/>
        <v>9.3789999999999998E-4</v>
      </c>
      <c r="AL239" s="2">
        <f t="shared" si="160"/>
        <v>2.8136999999999999E-2</v>
      </c>
      <c r="AM239" s="2">
        <f t="shared" si="181"/>
        <v>0.15899365624999998</v>
      </c>
      <c r="AN239" s="2">
        <f t="shared" si="161"/>
        <v>40</v>
      </c>
      <c r="AO239" s="2">
        <f t="shared" si="162"/>
        <v>0.116925</v>
      </c>
      <c r="AP239" s="2">
        <f t="shared" si="163"/>
        <v>0.24854349999999997</v>
      </c>
      <c r="AQ239" s="2">
        <f t="shared" si="182"/>
        <v>40.248543499999997</v>
      </c>
      <c r="AR239" s="2">
        <f t="shared" si="183"/>
        <v>6.0372815249999991</v>
      </c>
      <c r="AS239" s="2">
        <f t="shared" si="164"/>
        <v>9.3789999999999998E-4</v>
      </c>
      <c r="AT239" s="2">
        <f t="shared" si="165"/>
        <v>2.8136999999999999E-2</v>
      </c>
      <c r="AU239" s="2">
        <f t="shared" si="184"/>
        <v>46.431824924999994</v>
      </c>
      <c r="AV239" s="2">
        <f t="shared" si="166"/>
        <v>4.6894999999999999E-2</v>
      </c>
      <c r="AW239" s="2">
        <f t="shared" si="167"/>
        <v>2.3385E-2</v>
      </c>
      <c r="AX239" s="2">
        <f t="shared" si="168"/>
        <v>9.8479499999999994E-3</v>
      </c>
      <c r="AY239" s="2">
        <f t="shared" si="185"/>
        <v>5.674295E-2</v>
      </c>
      <c r="AZ239" s="2">
        <f t="shared" si="186"/>
        <v>8.511442499999999E-3</v>
      </c>
      <c r="BA239" s="2">
        <f t="shared" si="169"/>
        <v>9.3789999999999998E-4</v>
      </c>
      <c r="BB239" s="2">
        <f t="shared" si="170"/>
        <v>2.8136999999999999E-2</v>
      </c>
      <c r="BC239" s="2">
        <f t="shared" si="187"/>
        <v>0.11771429249999998</v>
      </c>
      <c r="BD239" s="2">
        <v>0</v>
      </c>
      <c r="BE239" s="2">
        <f t="shared" si="171"/>
        <v>0.46894999999999998</v>
      </c>
      <c r="BF239" s="2">
        <f t="shared" si="172"/>
        <v>1.5240874999999997E-2</v>
      </c>
      <c r="BG239" s="2">
        <f t="shared" si="188"/>
        <v>1.5240874999999997E-2</v>
      </c>
      <c r="BH239" s="2">
        <f t="shared" si="189"/>
        <v>2.2861312499999997E-3</v>
      </c>
      <c r="BI239" s="2">
        <f t="shared" si="173"/>
        <v>9.3789999999999998E-4</v>
      </c>
      <c r="BJ239" s="2">
        <f t="shared" si="174"/>
        <v>2.8136999999999999E-2</v>
      </c>
      <c r="BK239" s="2">
        <f t="shared" si="190"/>
        <v>0.51555190624999991</v>
      </c>
      <c r="BL239" s="2">
        <f t="shared" si="175"/>
        <v>235.1</v>
      </c>
      <c r="BM239" s="2">
        <f t="shared" si="176"/>
        <v>233.85</v>
      </c>
      <c r="BN239" s="2">
        <f t="shared" si="191"/>
        <v>468.95</v>
      </c>
    </row>
    <row r="240" spans="1:66" x14ac:dyDescent="0.25">
      <c r="A240" s="42">
        <v>237</v>
      </c>
      <c r="B240" s="43">
        <v>42859</v>
      </c>
      <c r="C240" s="42" t="s">
        <v>50</v>
      </c>
      <c r="D240" s="42" t="s">
        <v>197</v>
      </c>
      <c r="E240" s="6">
        <f t="shared" si="177"/>
        <v>-2.3007493124999661</v>
      </c>
      <c r="F240" s="5" t="str">
        <f t="shared" si="192"/>
        <v>Loss</v>
      </c>
      <c r="G240" s="4">
        <f t="shared" si="193"/>
        <v>-2.0999999999999659</v>
      </c>
      <c r="H240" s="46">
        <v>1</v>
      </c>
      <c r="I240" s="42">
        <v>297.2</v>
      </c>
      <c r="N240" s="5">
        <f t="shared" si="194"/>
        <v>1</v>
      </c>
      <c r="O240" s="4">
        <f t="shared" si="195"/>
        <v>297.2</v>
      </c>
      <c r="P240" s="5">
        <f t="shared" si="150"/>
        <v>1</v>
      </c>
      <c r="Q240" s="42">
        <v>295.10000000000002</v>
      </c>
      <c r="R240" s="2">
        <f t="shared" si="198"/>
        <v>0</v>
      </c>
      <c r="T240" s="2">
        <f t="shared" si="178"/>
        <v>0</v>
      </c>
      <c r="V240" s="5">
        <f t="shared" si="196"/>
        <v>1</v>
      </c>
      <c r="W240" s="4">
        <f t="shared" si="197"/>
        <v>295.10000000000002</v>
      </c>
      <c r="X240" s="14">
        <f t="shared" si="151"/>
        <v>-2.0999999999999659</v>
      </c>
      <c r="Y240" s="5">
        <f t="shared" si="152"/>
        <v>-2.0999999999999659</v>
      </c>
      <c r="Z240" s="2">
        <f t="shared" si="153"/>
        <v>0</v>
      </c>
      <c r="AA240" s="4">
        <f t="shared" si="154"/>
        <v>0</v>
      </c>
      <c r="AB240" s="13">
        <f t="shared" si="155"/>
        <v>0.2007493125</v>
      </c>
      <c r="AC240" s="10">
        <f>SUM($E$4:E240)</f>
        <v>-12035.360876735242</v>
      </c>
      <c r="AD240" s="20">
        <f>SUM($AB$4:AB240)</f>
        <v>10876.594576735206</v>
      </c>
      <c r="AF240" s="28">
        <f t="shared" si="156"/>
        <v>5.9229999999999998E-2</v>
      </c>
      <c r="AG240" s="2">
        <f t="shared" si="157"/>
        <v>7.3775000000000007E-2</v>
      </c>
      <c r="AH240" s="2">
        <f t="shared" si="158"/>
        <v>1.9249749999999996E-2</v>
      </c>
      <c r="AI240" s="2">
        <f t="shared" si="179"/>
        <v>7.8479749999999987E-2</v>
      </c>
      <c r="AJ240" s="2">
        <f t="shared" si="180"/>
        <v>1.1771962499999998E-2</v>
      </c>
      <c r="AK240" s="2">
        <f t="shared" si="159"/>
        <v>1.1845999999999998E-3</v>
      </c>
      <c r="AL240" s="2">
        <f t="shared" si="160"/>
        <v>3.5538E-2</v>
      </c>
      <c r="AM240" s="2">
        <f t="shared" si="181"/>
        <v>0.2007493125</v>
      </c>
      <c r="AN240" s="2">
        <f t="shared" si="161"/>
        <v>40</v>
      </c>
      <c r="AO240" s="2">
        <f t="shared" si="162"/>
        <v>0.14755000000000001</v>
      </c>
      <c r="AP240" s="2">
        <f t="shared" si="163"/>
        <v>0.31391899999999995</v>
      </c>
      <c r="AQ240" s="2">
        <f t="shared" si="182"/>
        <v>40.313918999999999</v>
      </c>
      <c r="AR240" s="2">
        <f t="shared" si="183"/>
        <v>6.0470878499999996</v>
      </c>
      <c r="AS240" s="2">
        <f t="shared" si="164"/>
        <v>1.1845999999999998E-3</v>
      </c>
      <c r="AT240" s="2">
        <f t="shared" si="165"/>
        <v>3.5538E-2</v>
      </c>
      <c r="AU240" s="2">
        <f t="shared" si="184"/>
        <v>46.545279450000002</v>
      </c>
      <c r="AV240" s="2">
        <f t="shared" si="166"/>
        <v>5.9229999999999998E-2</v>
      </c>
      <c r="AW240" s="2">
        <f t="shared" si="167"/>
        <v>2.9510000000000005E-2</v>
      </c>
      <c r="AX240" s="2">
        <f t="shared" si="168"/>
        <v>1.2438299999999998E-2</v>
      </c>
      <c r="AY240" s="2">
        <f t="shared" si="185"/>
        <v>7.166829999999999E-2</v>
      </c>
      <c r="AZ240" s="2">
        <f t="shared" si="186"/>
        <v>1.0750244999999999E-2</v>
      </c>
      <c r="BA240" s="2">
        <f t="shared" si="169"/>
        <v>1.1845999999999998E-3</v>
      </c>
      <c r="BB240" s="2">
        <f t="shared" si="170"/>
        <v>3.5538E-2</v>
      </c>
      <c r="BC240" s="2">
        <f t="shared" si="187"/>
        <v>0.14865114499999998</v>
      </c>
      <c r="BD240" s="2">
        <v>0</v>
      </c>
      <c r="BE240" s="2">
        <f t="shared" si="171"/>
        <v>0.59229999999999994</v>
      </c>
      <c r="BF240" s="2">
        <f t="shared" si="172"/>
        <v>1.9249749999999996E-2</v>
      </c>
      <c r="BG240" s="2">
        <f t="shared" si="188"/>
        <v>1.9249749999999996E-2</v>
      </c>
      <c r="BH240" s="2">
        <f t="shared" si="189"/>
        <v>2.8874624999999992E-3</v>
      </c>
      <c r="BI240" s="2">
        <f t="shared" si="173"/>
        <v>1.1845999999999998E-3</v>
      </c>
      <c r="BJ240" s="2">
        <f t="shared" si="174"/>
        <v>3.5538E-2</v>
      </c>
      <c r="BK240" s="2">
        <f t="shared" si="190"/>
        <v>0.65115981249999988</v>
      </c>
      <c r="BL240" s="2">
        <f t="shared" si="175"/>
        <v>297.2</v>
      </c>
      <c r="BM240" s="2">
        <f t="shared" si="176"/>
        <v>295.10000000000002</v>
      </c>
      <c r="BN240" s="2">
        <f t="shared" si="191"/>
        <v>592.29999999999995</v>
      </c>
    </row>
    <row r="241" spans="1:66" x14ac:dyDescent="0.25">
      <c r="A241" s="42">
        <v>238</v>
      </c>
      <c r="B241" s="43">
        <v>42859</v>
      </c>
      <c r="C241" s="42" t="s">
        <v>50</v>
      </c>
      <c r="D241" s="42" t="s">
        <v>198</v>
      </c>
      <c r="E241" s="6">
        <f t="shared" si="177"/>
        <v>0.32203921874999991</v>
      </c>
      <c r="F241" s="5" t="str">
        <f t="shared" si="192"/>
        <v>Win</v>
      </c>
      <c r="G241" s="4">
        <f t="shared" si="193"/>
        <v>0.75</v>
      </c>
      <c r="H241" s="46">
        <v>1</v>
      </c>
      <c r="I241" s="42">
        <v>630</v>
      </c>
      <c r="N241" s="5">
        <f t="shared" si="194"/>
        <v>1</v>
      </c>
      <c r="O241" s="4">
        <f t="shared" si="195"/>
        <v>630</v>
      </c>
      <c r="P241" s="5">
        <f t="shared" si="150"/>
        <v>1</v>
      </c>
      <c r="Q241" s="42">
        <v>630.75</v>
      </c>
      <c r="R241" s="2">
        <f t="shared" si="198"/>
        <v>0</v>
      </c>
      <c r="T241" s="2">
        <f t="shared" si="178"/>
        <v>0</v>
      </c>
      <c r="V241" s="5">
        <f t="shared" si="196"/>
        <v>1</v>
      </c>
      <c r="W241" s="4">
        <f t="shared" si="197"/>
        <v>630.75</v>
      </c>
      <c r="X241" s="14">
        <f t="shared" si="151"/>
        <v>0.75</v>
      </c>
      <c r="Y241" s="5">
        <f t="shared" si="152"/>
        <v>0.75</v>
      </c>
      <c r="Z241" s="2">
        <f t="shared" si="153"/>
        <v>0</v>
      </c>
      <c r="AA241" s="4">
        <f t="shared" si="154"/>
        <v>0</v>
      </c>
      <c r="AB241" s="13">
        <f t="shared" si="155"/>
        <v>0.42796078125000009</v>
      </c>
      <c r="AC241" s="10">
        <f>SUM($E$4:E241)</f>
        <v>-12035.038837516491</v>
      </c>
      <c r="AD241" s="20">
        <f>SUM($AB$4:AB241)</f>
        <v>10877.022537516455</v>
      </c>
      <c r="AF241" s="28">
        <f t="shared" si="156"/>
        <v>0.12607499999999999</v>
      </c>
      <c r="AG241" s="2">
        <f t="shared" si="157"/>
        <v>0.15768750000000001</v>
      </c>
      <c r="AH241" s="2">
        <f t="shared" si="158"/>
        <v>4.0974374999999993E-2</v>
      </c>
      <c r="AI241" s="2">
        <f t="shared" si="179"/>
        <v>0.167049375</v>
      </c>
      <c r="AJ241" s="2">
        <f t="shared" si="180"/>
        <v>2.5057406250000001E-2</v>
      </c>
      <c r="AK241" s="2">
        <f t="shared" si="159"/>
        <v>2.5214999999999999E-3</v>
      </c>
      <c r="AL241" s="2">
        <f t="shared" si="160"/>
        <v>7.5645000000000004E-2</v>
      </c>
      <c r="AM241" s="2">
        <f t="shared" si="181"/>
        <v>0.42796078125000009</v>
      </c>
      <c r="AN241" s="2">
        <f t="shared" si="161"/>
        <v>40</v>
      </c>
      <c r="AO241" s="2">
        <f t="shared" si="162"/>
        <v>0.31537500000000002</v>
      </c>
      <c r="AP241" s="2">
        <f t="shared" si="163"/>
        <v>0.6681975</v>
      </c>
      <c r="AQ241" s="2">
        <f t="shared" si="182"/>
        <v>40.668197499999998</v>
      </c>
      <c r="AR241" s="2">
        <f t="shared" si="183"/>
        <v>6.1002296249999999</v>
      </c>
      <c r="AS241" s="2">
        <f t="shared" si="164"/>
        <v>2.5214999999999999E-3</v>
      </c>
      <c r="AT241" s="2">
        <f t="shared" si="165"/>
        <v>7.5645000000000004E-2</v>
      </c>
      <c r="AU241" s="2">
        <f t="shared" si="184"/>
        <v>47.161968625</v>
      </c>
      <c r="AV241" s="2">
        <f t="shared" si="166"/>
        <v>0.12607499999999999</v>
      </c>
      <c r="AW241" s="2">
        <f t="shared" si="167"/>
        <v>6.3075000000000006E-2</v>
      </c>
      <c r="AX241" s="2">
        <f t="shared" si="168"/>
        <v>2.6475749999999999E-2</v>
      </c>
      <c r="AY241" s="2">
        <f t="shared" si="185"/>
        <v>0.15255074999999998</v>
      </c>
      <c r="AZ241" s="2">
        <f t="shared" si="186"/>
        <v>2.2882612499999996E-2</v>
      </c>
      <c r="BA241" s="2">
        <f t="shared" si="169"/>
        <v>2.5214999999999999E-3</v>
      </c>
      <c r="BB241" s="2">
        <f t="shared" si="170"/>
        <v>7.5645000000000004E-2</v>
      </c>
      <c r="BC241" s="2">
        <f t="shared" si="187"/>
        <v>0.31667486249999999</v>
      </c>
      <c r="BD241" s="2">
        <v>0</v>
      </c>
      <c r="BE241" s="2">
        <f t="shared" si="171"/>
        <v>1.26075</v>
      </c>
      <c r="BF241" s="2">
        <f t="shared" si="172"/>
        <v>4.0974374999999993E-2</v>
      </c>
      <c r="BG241" s="2">
        <f t="shared" si="188"/>
        <v>4.0974374999999993E-2</v>
      </c>
      <c r="BH241" s="2">
        <f t="shared" si="189"/>
        <v>6.1461562499999988E-3</v>
      </c>
      <c r="BI241" s="2">
        <f t="shared" si="173"/>
        <v>2.5214999999999999E-3</v>
      </c>
      <c r="BJ241" s="2">
        <f t="shared" si="174"/>
        <v>7.5645000000000004E-2</v>
      </c>
      <c r="BK241" s="2">
        <f t="shared" si="190"/>
        <v>1.3860370312500001</v>
      </c>
      <c r="BL241" s="2">
        <f t="shared" si="175"/>
        <v>630</v>
      </c>
      <c r="BM241" s="2">
        <f t="shared" si="176"/>
        <v>630.75</v>
      </c>
      <c r="BN241" s="2">
        <f t="shared" si="191"/>
        <v>1260.75</v>
      </c>
    </row>
    <row r="242" spans="1:66" x14ac:dyDescent="0.25">
      <c r="A242" s="42">
        <v>239</v>
      </c>
      <c r="B242" s="43">
        <v>42859</v>
      </c>
      <c r="C242" s="42" t="s">
        <v>50</v>
      </c>
      <c r="D242" s="42" t="s">
        <v>199</v>
      </c>
      <c r="E242" s="6">
        <f t="shared" si="177"/>
        <v>-1.7103475937500114</v>
      </c>
      <c r="F242" s="5" t="str">
        <f t="shared" si="192"/>
        <v>Loss</v>
      </c>
      <c r="G242" s="4">
        <f t="shared" si="193"/>
        <v>-1.5500000000000114</v>
      </c>
      <c r="H242" s="46">
        <v>1</v>
      </c>
      <c r="I242" s="42">
        <v>237.3</v>
      </c>
      <c r="N242" s="5">
        <f t="shared" si="194"/>
        <v>1</v>
      </c>
      <c r="O242" s="4">
        <f t="shared" si="195"/>
        <v>237.3</v>
      </c>
      <c r="P242" s="5">
        <f t="shared" si="150"/>
        <v>1</v>
      </c>
      <c r="Q242" s="42">
        <v>235.75</v>
      </c>
      <c r="R242" s="2">
        <f t="shared" si="198"/>
        <v>0</v>
      </c>
      <c r="T242" s="2">
        <f t="shared" si="178"/>
        <v>0</v>
      </c>
      <c r="V242" s="5">
        <f t="shared" si="196"/>
        <v>1</v>
      </c>
      <c r="W242" s="4">
        <f t="shared" si="197"/>
        <v>235.75</v>
      </c>
      <c r="X242" s="14">
        <f t="shared" si="151"/>
        <v>-1.5500000000000114</v>
      </c>
      <c r="Y242" s="5">
        <f t="shared" si="152"/>
        <v>-1.5500000000000114</v>
      </c>
      <c r="Z242" s="2">
        <f t="shared" si="153"/>
        <v>0</v>
      </c>
      <c r="AA242" s="4">
        <f t="shared" si="154"/>
        <v>0</v>
      </c>
      <c r="AB242" s="13">
        <f t="shared" si="155"/>
        <v>0.16034759375000002</v>
      </c>
      <c r="AC242" s="10">
        <f>SUM($E$4:E242)</f>
        <v>-12036.74918511024</v>
      </c>
      <c r="AD242" s="20">
        <f>SUM($AB$4:AB242)</f>
        <v>10877.182885110205</v>
      </c>
      <c r="AF242" s="28">
        <f t="shared" si="156"/>
        <v>4.7305000000000007E-2</v>
      </c>
      <c r="AG242" s="2">
        <f t="shared" si="157"/>
        <v>5.8937500000000004E-2</v>
      </c>
      <c r="AH242" s="2">
        <f t="shared" si="158"/>
        <v>1.5374124999999999E-2</v>
      </c>
      <c r="AI242" s="2">
        <f t="shared" si="179"/>
        <v>6.2679125000000002E-2</v>
      </c>
      <c r="AJ242" s="2">
        <f t="shared" si="180"/>
        <v>9.4018687500000003E-3</v>
      </c>
      <c r="AK242" s="2">
        <f t="shared" si="159"/>
        <v>9.4610000000000007E-4</v>
      </c>
      <c r="AL242" s="2">
        <f t="shared" si="160"/>
        <v>2.8383000000000002E-2</v>
      </c>
      <c r="AM242" s="2">
        <f t="shared" si="181"/>
        <v>0.16034759375000002</v>
      </c>
      <c r="AN242" s="2">
        <f t="shared" si="161"/>
        <v>40</v>
      </c>
      <c r="AO242" s="2">
        <f t="shared" si="162"/>
        <v>0.11787500000000001</v>
      </c>
      <c r="AP242" s="2">
        <f t="shared" si="163"/>
        <v>0.25071650000000001</v>
      </c>
      <c r="AQ242" s="2">
        <f t="shared" si="182"/>
        <v>40.250716500000003</v>
      </c>
      <c r="AR242" s="2">
        <f t="shared" si="183"/>
        <v>6.0376074750000006</v>
      </c>
      <c r="AS242" s="2">
        <f t="shared" si="164"/>
        <v>9.4610000000000007E-4</v>
      </c>
      <c r="AT242" s="2">
        <f t="shared" si="165"/>
        <v>2.8383000000000002E-2</v>
      </c>
      <c r="AU242" s="2">
        <f t="shared" si="184"/>
        <v>46.435528075000001</v>
      </c>
      <c r="AV242" s="2">
        <f t="shared" si="166"/>
        <v>4.7305000000000007E-2</v>
      </c>
      <c r="AW242" s="2">
        <f t="shared" si="167"/>
        <v>2.3575000000000002E-2</v>
      </c>
      <c r="AX242" s="2">
        <f t="shared" si="168"/>
        <v>9.9340499999999998E-3</v>
      </c>
      <c r="AY242" s="2">
        <f t="shared" si="185"/>
        <v>5.7239050000000007E-2</v>
      </c>
      <c r="AZ242" s="2">
        <f t="shared" si="186"/>
        <v>8.5858575000000003E-3</v>
      </c>
      <c r="BA242" s="2">
        <f t="shared" si="169"/>
        <v>9.4610000000000007E-4</v>
      </c>
      <c r="BB242" s="2">
        <f t="shared" si="170"/>
        <v>2.8383000000000002E-2</v>
      </c>
      <c r="BC242" s="2">
        <f t="shared" si="187"/>
        <v>0.11872900750000003</v>
      </c>
      <c r="BD242" s="2">
        <v>0</v>
      </c>
      <c r="BE242" s="2">
        <f t="shared" si="171"/>
        <v>0.47305000000000003</v>
      </c>
      <c r="BF242" s="2">
        <f t="shared" si="172"/>
        <v>1.5374124999999999E-2</v>
      </c>
      <c r="BG242" s="2">
        <f t="shared" si="188"/>
        <v>1.5374124999999999E-2</v>
      </c>
      <c r="BH242" s="2">
        <f t="shared" si="189"/>
        <v>2.3061187499999998E-3</v>
      </c>
      <c r="BI242" s="2">
        <f t="shared" si="173"/>
        <v>9.4610000000000007E-4</v>
      </c>
      <c r="BJ242" s="2">
        <f t="shared" si="174"/>
        <v>2.8383000000000002E-2</v>
      </c>
      <c r="BK242" s="2">
        <f t="shared" si="190"/>
        <v>0.52005934375000007</v>
      </c>
      <c r="BL242" s="2">
        <f t="shared" si="175"/>
        <v>237.3</v>
      </c>
      <c r="BM242" s="2">
        <f t="shared" si="176"/>
        <v>235.75</v>
      </c>
      <c r="BN242" s="2">
        <f t="shared" si="191"/>
        <v>473.05</v>
      </c>
    </row>
    <row r="243" spans="1:66" x14ac:dyDescent="0.25">
      <c r="A243" s="42">
        <v>240</v>
      </c>
      <c r="B243" s="43">
        <v>42859</v>
      </c>
      <c r="C243" s="42" t="s">
        <v>50</v>
      </c>
      <c r="D243" s="42" t="s">
        <v>200</v>
      </c>
      <c r="E243" s="6">
        <f t="shared" si="177"/>
        <v>-0.64176993750000144</v>
      </c>
      <c r="F243" s="5" t="str">
        <f t="shared" si="192"/>
        <v>Loss</v>
      </c>
      <c r="G243" s="4">
        <f t="shared" si="193"/>
        <v>-0.60000000000000142</v>
      </c>
      <c r="H243" s="46">
        <v>1</v>
      </c>
      <c r="I243" s="42">
        <v>61.95</v>
      </c>
      <c r="N243" s="5">
        <f t="shared" si="194"/>
        <v>1</v>
      </c>
      <c r="O243" s="4">
        <f t="shared" si="195"/>
        <v>61.95</v>
      </c>
      <c r="P243" s="5">
        <f t="shared" si="150"/>
        <v>1</v>
      </c>
      <c r="Q243" s="42">
        <v>61.35</v>
      </c>
      <c r="R243" s="2">
        <f t="shared" si="198"/>
        <v>0</v>
      </c>
      <c r="T243" s="2">
        <f t="shared" si="178"/>
        <v>0</v>
      </c>
      <c r="V243" s="5">
        <f t="shared" si="196"/>
        <v>1</v>
      </c>
      <c r="W243" s="4">
        <f t="shared" si="197"/>
        <v>61.35</v>
      </c>
      <c r="X243" s="14">
        <f t="shared" si="151"/>
        <v>-0.60000000000000142</v>
      </c>
      <c r="Y243" s="5">
        <f t="shared" si="152"/>
        <v>-0.60000000000000142</v>
      </c>
      <c r="Z243" s="2">
        <f t="shared" si="153"/>
        <v>0</v>
      </c>
      <c r="AA243" s="4">
        <f t="shared" si="154"/>
        <v>0</v>
      </c>
      <c r="AB243" s="13">
        <f t="shared" si="155"/>
        <v>4.1769937500000007E-2</v>
      </c>
      <c r="AC243" s="10">
        <f>SUM($E$4:E243)</f>
        <v>-12037.39095504774</v>
      </c>
      <c r="AD243" s="20">
        <f>SUM($AB$4:AB243)</f>
        <v>10877.224655047705</v>
      </c>
      <c r="AF243" s="28">
        <f t="shared" si="156"/>
        <v>1.2330000000000002E-2</v>
      </c>
      <c r="AG243" s="2">
        <f t="shared" si="157"/>
        <v>1.53375E-2</v>
      </c>
      <c r="AH243" s="2">
        <f t="shared" si="158"/>
        <v>4.0072500000000004E-3</v>
      </c>
      <c r="AI243" s="2">
        <f t="shared" si="179"/>
        <v>1.6337250000000005E-2</v>
      </c>
      <c r="AJ243" s="2">
        <f t="shared" si="180"/>
        <v>2.4505875000000008E-3</v>
      </c>
      <c r="AK243" s="2">
        <f t="shared" si="159"/>
        <v>2.4660000000000003E-4</v>
      </c>
      <c r="AL243" s="2">
        <f t="shared" si="160"/>
        <v>7.3980000000000009E-3</v>
      </c>
      <c r="AM243" s="2">
        <f t="shared" si="181"/>
        <v>4.1769937500000007E-2</v>
      </c>
      <c r="AN243" s="2">
        <f t="shared" si="161"/>
        <v>40</v>
      </c>
      <c r="AO243" s="2">
        <f t="shared" si="162"/>
        <v>3.0675000000000001E-2</v>
      </c>
      <c r="AP243" s="2">
        <f t="shared" si="163"/>
        <v>6.5349000000000004E-2</v>
      </c>
      <c r="AQ243" s="2">
        <f t="shared" si="182"/>
        <v>40.065348999999998</v>
      </c>
      <c r="AR243" s="2">
        <f t="shared" si="183"/>
        <v>6.0098023499999993</v>
      </c>
      <c r="AS243" s="2">
        <f t="shared" si="164"/>
        <v>2.4660000000000003E-4</v>
      </c>
      <c r="AT243" s="2">
        <f t="shared" si="165"/>
        <v>7.3980000000000009E-3</v>
      </c>
      <c r="AU243" s="2">
        <f t="shared" si="184"/>
        <v>46.11347095</v>
      </c>
      <c r="AV243" s="2">
        <f t="shared" si="166"/>
        <v>1.2330000000000002E-2</v>
      </c>
      <c r="AW243" s="2">
        <f t="shared" si="167"/>
        <v>6.1350000000000007E-3</v>
      </c>
      <c r="AX243" s="2">
        <f t="shared" si="168"/>
        <v>2.5893000000000001E-3</v>
      </c>
      <c r="AY243" s="2">
        <f t="shared" si="185"/>
        <v>1.4919300000000003E-2</v>
      </c>
      <c r="AZ243" s="2">
        <f t="shared" si="186"/>
        <v>2.2378950000000006E-3</v>
      </c>
      <c r="BA243" s="2">
        <f t="shared" si="169"/>
        <v>2.4660000000000003E-4</v>
      </c>
      <c r="BB243" s="2">
        <f t="shared" si="170"/>
        <v>7.3980000000000009E-3</v>
      </c>
      <c r="BC243" s="2">
        <f t="shared" si="187"/>
        <v>3.0936795000000003E-2</v>
      </c>
      <c r="BD243" s="2">
        <v>0</v>
      </c>
      <c r="BE243" s="2">
        <f t="shared" si="171"/>
        <v>0.12330000000000002</v>
      </c>
      <c r="BF243" s="2">
        <f t="shared" si="172"/>
        <v>4.0072500000000004E-3</v>
      </c>
      <c r="BG243" s="2">
        <f t="shared" si="188"/>
        <v>4.0072500000000004E-3</v>
      </c>
      <c r="BH243" s="2">
        <f t="shared" si="189"/>
        <v>6.0108749999999999E-4</v>
      </c>
      <c r="BI243" s="2">
        <f t="shared" si="173"/>
        <v>2.4660000000000003E-4</v>
      </c>
      <c r="BJ243" s="2">
        <f t="shared" si="174"/>
        <v>7.3980000000000009E-3</v>
      </c>
      <c r="BK243" s="2">
        <f t="shared" si="190"/>
        <v>0.13555293750000003</v>
      </c>
      <c r="BL243" s="2">
        <f t="shared" si="175"/>
        <v>61.95</v>
      </c>
      <c r="BM243" s="2">
        <f t="shared" si="176"/>
        <v>61.35</v>
      </c>
      <c r="BN243" s="2">
        <f t="shared" si="191"/>
        <v>123.30000000000001</v>
      </c>
    </row>
    <row r="244" spans="1:66" x14ac:dyDescent="0.25">
      <c r="A244" s="42">
        <v>241</v>
      </c>
      <c r="B244" s="43">
        <v>42859</v>
      </c>
      <c r="C244" s="42" t="s">
        <v>50</v>
      </c>
      <c r="D244" s="42" t="s">
        <v>163</v>
      </c>
      <c r="E244" s="6">
        <f t="shared" si="177"/>
        <v>0.34035575000000567</v>
      </c>
      <c r="F244" s="5" t="str">
        <f t="shared" si="192"/>
        <v>Win</v>
      </c>
      <c r="G244" s="4">
        <f t="shared" si="193"/>
        <v>0.40000000000000568</v>
      </c>
      <c r="H244" s="46">
        <v>1</v>
      </c>
      <c r="I244" s="42">
        <v>87.6</v>
      </c>
      <c r="N244" s="5">
        <f t="shared" si="194"/>
        <v>1</v>
      </c>
      <c r="O244" s="4">
        <f t="shared" si="195"/>
        <v>87.6</v>
      </c>
      <c r="P244" s="5">
        <f t="shared" si="150"/>
        <v>1</v>
      </c>
      <c r="Q244" s="42">
        <v>88</v>
      </c>
      <c r="R244" s="2">
        <f t="shared" si="198"/>
        <v>0</v>
      </c>
      <c r="T244" s="2">
        <f t="shared" si="178"/>
        <v>0</v>
      </c>
      <c r="V244" s="5">
        <f t="shared" si="196"/>
        <v>1</v>
      </c>
      <c r="W244" s="4">
        <f t="shared" si="197"/>
        <v>88</v>
      </c>
      <c r="X244" s="14">
        <f t="shared" si="151"/>
        <v>0.40000000000000568</v>
      </c>
      <c r="Y244" s="5">
        <f t="shared" si="152"/>
        <v>0.40000000000000568</v>
      </c>
      <c r="Z244" s="2">
        <f t="shared" si="153"/>
        <v>0</v>
      </c>
      <c r="AA244" s="4">
        <f t="shared" si="154"/>
        <v>0</v>
      </c>
      <c r="AB244" s="13">
        <f t="shared" si="155"/>
        <v>5.9644249999999996E-2</v>
      </c>
      <c r="AC244" s="10">
        <f>SUM($E$4:E244)</f>
        <v>-12037.05059929774</v>
      </c>
      <c r="AD244" s="20">
        <f>SUM($AB$4:AB244)</f>
        <v>10877.284299297704</v>
      </c>
      <c r="AF244" s="28">
        <f t="shared" si="156"/>
        <v>1.7559999999999999E-2</v>
      </c>
      <c r="AG244" s="2">
        <f t="shared" si="157"/>
        <v>2.1999999999999999E-2</v>
      </c>
      <c r="AH244" s="2">
        <f t="shared" si="158"/>
        <v>5.7069999999999994E-3</v>
      </c>
      <c r="AI244" s="2">
        <f t="shared" si="179"/>
        <v>2.3266999999999999E-2</v>
      </c>
      <c r="AJ244" s="2">
        <f t="shared" si="180"/>
        <v>3.4900499999999997E-3</v>
      </c>
      <c r="AK244" s="2">
        <f t="shared" si="159"/>
        <v>3.5119999999999997E-4</v>
      </c>
      <c r="AL244" s="2">
        <f t="shared" si="160"/>
        <v>1.0536E-2</v>
      </c>
      <c r="AM244" s="2">
        <f t="shared" si="181"/>
        <v>5.9644249999999996E-2</v>
      </c>
      <c r="AN244" s="2">
        <f t="shared" si="161"/>
        <v>40</v>
      </c>
      <c r="AO244" s="2">
        <f t="shared" si="162"/>
        <v>4.3999999999999997E-2</v>
      </c>
      <c r="AP244" s="2">
        <f t="shared" si="163"/>
        <v>9.3067999999999998E-2</v>
      </c>
      <c r="AQ244" s="2">
        <f t="shared" si="182"/>
        <v>40.093068000000002</v>
      </c>
      <c r="AR244" s="2">
        <f t="shared" si="183"/>
        <v>6.0139602000000005</v>
      </c>
      <c r="AS244" s="2">
        <f t="shared" si="164"/>
        <v>3.5119999999999997E-4</v>
      </c>
      <c r="AT244" s="2">
        <f t="shared" si="165"/>
        <v>1.0536E-2</v>
      </c>
      <c r="AU244" s="2">
        <f t="shared" si="184"/>
        <v>46.161915399999998</v>
      </c>
      <c r="AV244" s="2">
        <f t="shared" si="166"/>
        <v>1.7559999999999999E-2</v>
      </c>
      <c r="AW244" s="2">
        <f t="shared" si="167"/>
        <v>8.8000000000000005E-3</v>
      </c>
      <c r="AX244" s="2">
        <f t="shared" si="168"/>
        <v>3.6875999999999996E-3</v>
      </c>
      <c r="AY244" s="2">
        <f t="shared" si="185"/>
        <v>2.1247599999999998E-2</v>
      </c>
      <c r="AZ244" s="2">
        <f t="shared" si="186"/>
        <v>3.1871399999999998E-3</v>
      </c>
      <c r="BA244" s="2">
        <f t="shared" si="169"/>
        <v>3.5119999999999997E-4</v>
      </c>
      <c r="BB244" s="2">
        <f t="shared" si="170"/>
        <v>1.0536E-2</v>
      </c>
      <c r="BC244" s="2">
        <f t="shared" si="187"/>
        <v>4.4121939999999998E-2</v>
      </c>
      <c r="BD244" s="2">
        <v>0</v>
      </c>
      <c r="BE244" s="2">
        <f t="shared" si="171"/>
        <v>0.17560000000000001</v>
      </c>
      <c r="BF244" s="2">
        <f t="shared" si="172"/>
        <v>5.7069999999999994E-3</v>
      </c>
      <c r="BG244" s="2">
        <f t="shared" si="188"/>
        <v>5.7069999999999994E-3</v>
      </c>
      <c r="BH244" s="2">
        <f t="shared" si="189"/>
        <v>8.5604999999999991E-4</v>
      </c>
      <c r="BI244" s="2">
        <f t="shared" si="173"/>
        <v>3.5119999999999997E-4</v>
      </c>
      <c r="BJ244" s="2">
        <f t="shared" si="174"/>
        <v>1.0536E-2</v>
      </c>
      <c r="BK244" s="2">
        <f t="shared" si="190"/>
        <v>0.19305024999999998</v>
      </c>
      <c r="BL244" s="2">
        <f t="shared" si="175"/>
        <v>87.6</v>
      </c>
      <c r="BM244" s="2">
        <f t="shared" si="176"/>
        <v>88</v>
      </c>
      <c r="BN244" s="2">
        <f t="shared" si="191"/>
        <v>175.6</v>
      </c>
    </row>
    <row r="245" spans="1:66" x14ac:dyDescent="0.25">
      <c r="A245" s="42">
        <v>242</v>
      </c>
      <c r="B245" s="43">
        <v>42859</v>
      </c>
      <c r="C245" s="42" t="s">
        <v>50</v>
      </c>
      <c r="D245" s="42" t="s">
        <v>201</v>
      </c>
      <c r="E245" s="6">
        <f t="shared" si="177"/>
        <v>-0.26749746875000002</v>
      </c>
      <c r="F245" s="5" t="str">
        <f t="shared" si="192"/>
        <v>Loss</v>
      </c>
      <c r="G245" s="4">
        <f t="shared" si="193"/>
        <v>-0.25</v>
      </c>
      <c r="H245" s="46">
        <v>1</v>
      </c>
      <c r="I245" s="42">
        <v>25.95</v>
      </c>
      <c r="N245" s="5">
        <f t="shared" si="194"/>
        <v>1</v>
      </c>
      <c r="O245" s="4">
        <f t="shared" si="195"/>
        <v>25.95</v>
      </c>
      <c r="P245" s="5">
        <f t="shared" si="150"/>
        <v>1</v>
      </c>
      <c r="Q245" s="42">
        <v>25.7</v>
      </c>
      <c r="R245" s="2">
        <f t="shared" si="198"/>
        <v>0</v>
      </c>
      <c r="T245" s="2">
        <f t="shared" si="178"/>
        <v>0</v>
      </c>
      <c r="V245" s="5">
        <f t="shared" si="196"/>
        <v>1</v>
      </c>
      <c r="W245" s="4">
        <f t="shared" si="197"/>
        <v>25.7</v>
      </c>
      <c r="X245" s="14">
        <f t="shared" si="151"/>
        <v>-0.25</v>
      </c>
      <c r="Y245" s="5">
        <f t="shared" si="152"/>
        <v>-0.25</v>
      </c>
      <c r="Z245" s="2">
        <f t="shared" si="153"/>
        <v>0</v>
      </c>
      <c r="AA245" s="4">
        <f t="shared" si="154"/>
        <v>0</v>
      </c>
      <c r="AB245" s="13">
        <f t="shared" si="155"/>
        <v>1.7497468750000002E-2</v>
      </c>
      <c r="AC245" s="10">
        <f>SUM($E$4:E245)</f>
        <v>-12037.31809676649</v>
      </c>
      <c r="AD245" s="20">
        <f>SUM($AB$4:AB245)</f>
        <v>10877.301796766455</v>
      </c>
      <c r="AF245" s="28">
        <f t="shared" si="156"/>
        <v>5.1650000000000003E-3</v>
      </c>
      <c r="AG245" s="2">
        <f t="shared" si="157"/>
        <v>6.4250000000000002E-3</v>
      </c>
      <c r="AH245" s="2">
        <f t="shared" si="158"/>
        <v>1.6786249999999998E-3</v>
      </c>
      <c r="AI245" s="2">
        <f t="shared" si="179"/>
        <v>6.8436249999999999E-3</v>
      </c>
      <c r="AJ245" s="2">
        <f t="shared" si="180"/>
        <v>1.02654375E-3</v>
      </c>
      <c r="AK245" s="2">
        <f t="shared" si="159"/>
        <v>1.0329999999999999E-4</v>
      </c>
      <c r="AL245" s="2">
        <f t="shared" si="160"/>
        <v>3.0990000000000002E-3</v>
      </c>
      <c r="AM245" s="2">
        <f t="shared" si="181"/>
        <v>1.7497468750000002E-2</v>
      </c>
      <c r="AN245" s="2">
        <f t="shared" si="161"/>
        <v>40</v>
      </c>
      <c r="AO245" s="2">
        <f t="shared" si="162"/>
        <v>1.285E-2</v>
      </c>
      <c r="AP245" s="2">
        <f t="shared" si="163"/>
        <v>2.73745E-2</v>
      </c>
      <c r="AQ245" s="2">
        <f t="shared" si="182"/>
        <v>40.027374500000001</v>
      </c>
      <c r="AR245" s="2">
        <f t="shared" si="183"/>
        <v>6.0041061749999995</v>
      </c>
      <c r="AS245" s="2">
        <f t="shared" si="164"/>
        <v>1.0329999999999999E-4</v>
      </c>
      <c r="AT245" s="2">
        <f t="shared" si="165"/>
        <v>3.0990000000000002E-3</v>
      </c>
      <c r="AU245" s="2">
        <f t="shared" si="184"/>
        <v>46.047532974999996</v>
      </c>
      <c r="AV245" s="2">
        <f t="shared" si="166"/>
        <v>5.1650000000000003E-3</v>
      </c>
      <c r="AW245" s="2">
        <f t="shared" si="167"/>
        <v>2.5700000000000002E-3</v>
      </c>
      <c r="AX245" s="2">
        <f t="shared" si="168"/>
        <v>1.0846499999999999E-3</v>
      </c>
      <c r="AY245" s="2">
        <f t="shared" si="185"/>
        <v>6.2496500000000007E-3</v>
      </c>
      <c r="AZ245" s="2">
        <f t="shared" si="186"/>
        <v>9.3744750000000006E-4</v>
      </c>
      <c r="BA245" s="2">
        <f t="shared" si="169"/>
        <v>1.0329999999999999E-4</v>
      </c>
      <c r="BB245" s="2">
        <f t="shared" si="170"/>
        <v>3.0990000000000002E-3</v>
      </c>
      <c r="BC245" s="2">
        <f t="shared" si="187"/>
        <v>1.2959397500000001E-2</v>
      </c>
      <c r="BD245" s="2">
        <v>0</v>
      </c>
      <c r="BE245" s="2">
        <f t="shared" si="171"/>
        <v>5.1650000000000001E-2</v>
      </c>
      <c r="BF245" s="2">
        <f t="shared" si="172"/>
        <v>1.6786249999999998E-3</v>
      </c>
      <c r="BG245" s="2">
        <f t="shared" si="188"/>
        <v>1.6786249999999998E-3</v>
      </c>
      <c r="BH245" s="2">
        <f t="shared" si="189"/>
        <v>2.5179374999999998E-4</v>
      </c>
      <c r="BI245" s="2">
        <f t="shared" si="173"/>
        <v>1.0329999999999999E-4</v>
      </c>
      <c r="BJ245" s="2">
        <f t="shared" si="174"/>
        <v>3.0990000000000002E-3</v>
      </c>
      <c r="BK245" s="2">
        <f t="shared" si="190"/>
        <v>5.6782718750000002E-2</v>
      </c>
      <c r="BL245" s="2">
        <f t="shared" si="175"/>
        <v>25.95</v>
      </c>
      <c r="BM245" s="2">
        <f t="shared" si="176"/>
        <v>25.7</v>
      </c>
      <c r="BN245" s="2">
        <f t="shared" si="191"/>
        <v>51.65</v>
      </c>
    </row>
    <row r="246" spans="1:66" x14ac:dyDescent="0.25">
      <c r="A246" s="42">
        <v>243</v>
      </c>
      <c r="B246" s="43">
        <v>42859</v>
      </c>
      <c r="C246" s="42" t="s">
        <v>50</v>
      </c>
      <c r="D246" s="42" t="s">
        <v>202</v>
      </c>
      <c r="E246" s="6">
        <f t="shared" si="177"/>
        <v>-1.3569916874999772</v>
      </c>
      <c r="F246" s="5" t="str">
        <f t="shared" si="192"/>
        <v>Loss</v>
      </c>
      <c r="G246" s="4">
        <f t="shared" si="193"/>
        <v>-0.89999999999997726</v>
      </c>
      <c r="H246" s="46">
        <v>1</v>
      </c>
      <c r="I246" s="42">
        <v>673.9</v>
      </c>
      <c r="N246" s="5">
        <f t="shared" si="194"/>
        <v>1</v>
      </c>
      <c r="O246" s="4">
        <f t="shared" si="195"/>
        <v>673.9</v>
      </c>
      <c r="P246" s="5">
        <f t="shared" si="150"/>
        <v>1</v>
      </c>
      <c r="Q246" s="42">
        <v>673</v>
      </c>
      <c r="R246" s="2">
        <f t="shared" si="198"/>
        <v>0</v>
      </c>
      <c r="T246" s="2">
        <f t="shared" si="178"/>
        <v>0</v>
      </c>
      <c r="V246" s="5">
        <f t="shared" si="196"/>
        <v>1</v>
      </c>
      <c r="W246" s="4">
        <f t="shared" si="197"/>
        <v>673</v>
      </c>
      <c r="X246" s="14">
        <f t="shared" si="151"/>
        <v>-0.89999999999997726</v>
      </c>
      <c r="Y246" s="5">
        <f t="shared" si="152"/>
        <v>-0.89999999999997726</v>
      </c>
      <c r="Z246" s="2">
        <f t="shared" si="153"/>
        <v>0</v>
      </c>
      <c r="AA246" s="4">
        <f t="shared" si="154"/>
        <v>0</v>
      </c>
      <c r="AB246" s="13">
        <f t="shared" si="155"/>
        <v>0.45699168750000002</v>
      </c>
      <c r="AC246" s="10">
        <f>SUM($E$4:E246)</f>
        <v>-12038.675088453991</v>
      </c>
      <c r="AD246" s="20">
        <f>SUM($AB$4:AB246)</f>
        <v>10877.758788453955</v>
      </c>
      <c r="AF246" s="28">
        <f t="shared" si="156"/>
        <v>0.13469</v>
      </c>
      <c r="AG246" s="2">
        <f t="shared" si="157"/>
        <v>0.16825000000000001</v>
      </c>
      <c r="AH246" s="2">
        <f t="shared" si="158"/>
        <v>4.3774250000000001E-2</v>
      </c>
      <c r="AI246" s="2">
        <f t="shared" si="179"/>
        <v>0.17846424999999999</v>
      </c>
      <c r="AJ246" s="2">
        <f t="shared" si="180"/>
        <v>2.6769637499999999E-2</v>
      </c>
      <c r="AK246" s="2">
        <f t="shared" si="159"/>
        <v>2.6938000000000001E-3</v>
      </c>
      <c r="AL246" s="2">
        <f t="shared" si="160"/>
        <v>8.0814000000000011E-2</v>
      </c>
      <c r="AM246" s="2">
        <f t="shared" si="181"/>
        <v>0.45699168750000002</v>
      </c>
      <c r="AN246" s="2">
        <f t="shared" si="161"/>
        <v>40</v>
      </c>
      <c r="AO246" s="2">
        <f t="shared" si="162"/>
        <v>0.33650000000000002</v>
      </c>
      <c r="AP246" s="2">
        <f t="shared" si="163"/>
        <v>0.71385700000000007</v>
      </c>
      <c r="AQ246" s="2">
        <f t="shared" si="182"/>
        <v>40.713856999999997</v>
      </c>
      <c r="AR246" s="2">
        <f t="shared" si="183"/>
        <v>6.1070785499999998</v>
      </c>
      <c r="AS246" s="2">
        <f t="shared" si="164"/>
        <v>2.6938000000000001E-3</v>
      </c>
      <c r="AT246" s="2">
        <f t="shared" si="165"/>
        <v>8.0814000000000011E-2</v>
      </c>
      <c r="AU246" s="2">
        <f t="shared" si="184"/>
        <v>47.240943349999995</v>
      </c>
      <c r="AV246" s="2">
        <f t="shared" si="166"/>
        <v>0.13469</v>
      </c>
      <c r="AW246" s="2">
        <f t="shared" si="167"/>
        <v>6.7299999999999999E-2</v>
      </c>
      <c r="AX246" s="2">
        <f t="shared" si="168"/>
        <v>2.8284900000000002E-2</v>
      </c>
      <c r="AY246" s="2">
        <f t="shared" si="185"/>
        <v>0.16297490000000001</v>
      </c>
      <c r="AZ246" s="2">
        <f t="shared" si="186"/>
        <v>2.4446235E-2</v>
      </c>
      <c r="BA246" s="2">
        <f t="shared" si="169"/>
        <v>2.6938000000000001E-3</v>
      </c>
      <c r="BB246" s="2">
        <f t="shared" si="170"/>
        <v>8.0814000000000011E-2</v>
      </c>
      <c r="BC246" s="2">
        <f t="shared" si="187"/>
        <v>0.33822893500000001</v>
      </c>
      <c r="BD246" s="2">
        <v>0</v>
      </c>
      <c r="BE246" s="2">
        <f t="shared" si="171"/>
        <v>1.3469000000000002</v>
      </c>
      <c r="BF246" s="2">
        <f t="shared" si="172"/>
        <v>4.3774250000000001E-2</v>
      </c>
      <c r="BG246" s="2">
        <f t="shared" si="188"/>
        <v>4.3774250000000001E-2</v>
      </c>
      <c r="BH246" s="2">
        <f t="shared" si="189"/>
        <v>6.5661375000000003E-3</v>
      </c>
      <c r="BI246" s="2">
        <f t="shared" si="173"/>
        <v>2.6938000000000001E-3</v>
      </c>
      <c r="BJ246" s="2">
        <f t="shared" si="174"/>
        <v>8.0814000000000011E-2</v>
      </c>
      <c r="BK246" s="2">
        <f t="shared" si="190"/>
        <v>1.4807481875000001</v>
      </c>
      <c r="BL246" s="2">
        <f t="shared" si="175"/>
        <v>673.9</v>
      </c>
      <c r="BM246" s="2">
        <f t="shared" si="176"/>
        <v>673</v>
      </c>
      <c r="BN246" s="2">
        <f t="shared" si="191"/>
        <v>1346.9</v>
      </c>
    </row>
    <row r="247" spans="1:66" x14ac:dyDescent="0.25">
      <c r="A247" s="42">
        <v>244</v>
      </c>
      <c r="B247" s="43">
        <v>42859</v>
      </c>
      <c r="C247" s="42" t="s">
        <v>50</v>
      </c>
      <c r="D247" s="42" t="s">
        <v>199</v>
      </c>
      <c r="E247" s="6">
        <f t="shared" si="177"/>
        <v>-0.36158537499998866</v>
      </c>
      <c r="F247" s="5" t="str">
        <f t="shared" si="192"/>
        <v>Loss</v>
      </c>
      <c r="G247" s="4">
        <f t="shared" si="193"/>
        <v>-0.19999999999998863</v>
      </c>
      <c r="H247" s="46">
        <v>1</v>
      </c>
      <c r="I247" s="42">
        <v>238.2</v>
      </c>
      <c r="N247" s="5">
        <f t="shared" si="194"/>
        <v>1</v>
      </c>
      <c r="O247" s="4">
        <f t="shared" si="195"/>
        <v>238.2</v>
      </c>
      <c r="P247" s="5">
        <f t="shared" si="150"/>
        <v>1</v>
      </c>
      <c r="Q247" s="42">
        <v>238</v>
      </c>
      <c r="R247" s="2">
        <f t="shared" si="198"/>
        <v>0</v>
      </c>
      <c r="T247" s="2">
        <f t="shared" si="178"/>
        <v>0</v>
      </c>
      <c r="V247" s="5">
        <f t="shared" si="196"/>
        <v>1</v>
      </c>
      <c r="W247" s="4">
        <f t="shared" si="197"/>
        <v>238</v>
      </c>
      <c r="X247" s="14">
        <f t="shared" si="151"/>
        <v>-0.19999999999998863</v>
      </c>
      <c r="Y247" s="5">
        <f t="shared" si="152"/>
        <v>-0.19999999999998863</v>
      </c>
      <c r="Z247" s="2">
        <f t="shared" si="153"/>
        <v>0</v>
      </c>
      <c r="AA247" s="4">
        <f t="shared" si="154"/>
        <v>0</v>
      </c>
      <c r="AB247" s="13">
        <f t="shared" si="155"/>
        <v>0.16158537500000003</v>
      </c>
      <c r="AC247" s="10">
        <f>SUM($E$4:E247)</f>
        <v>-12039.03667382899</v>
      </c>
      <c r="AD247" s="20">
        <f>SUM($AB$4:AB247)</f>
        <v>10877.920373828956</v>
      </c>
      <c r="AF247" s="28">
        <f t="shared" si="156"/>
        <v>4.7620000000000003E-2</v>
      </c>
      <c r="AG247" s="2">
        <f t="shared" si="157"/>
        <v>5.9500000000000004E-2</v>
      </c>
      <c r="AH247" s="2">
        <f t="shared" si="158"/>
        <v>1.5476499999999999E-2</v>
      </c>
      <c r="AI247" s="2">
        <f t="shared" si="179"/>
        <v>6.30965E-2</v>
      </c>
      <c r="AJ247" s="2">
        <f t="shared" si="180"/>
        <v>9.464475E-3</v>
      </c>
      <c r="AK247" s="2">
        <f t="shared" si="159"/>
        <v>9.5240000000000006E-4</v>
      </c>
      <c r="AL247" s="2">
        <f t="shared" si="160"/>
        <v>2.8572E-2</v>
      </c>
      <c r="AM247" s="2">
        <f t="shared" si="181"/>
        <v>0.16158537500000003</v>
      </c>
      <c r="AN247" s="2">
        <f t="shared" si="161"/>
        <v>40</v>
      </c>
      <c r="AO247" s="2">
        <f t="shared" si="162"/>
        <v>0.11900000000000001</v>
      </c>
      <c r="AP247" s="2">
        <f t="shared" si="163"/>
        <v>0.252386</v>
      </c>
      <c r="AQ247" s="2">
        <f t="shared" si="182"/>
        <v>40.252386000000001</v>
      </c>
      <c r="AR247" s="2">
        <f t="shared" si="183"/>
        <v>6.0378578999999997</v>
      </c>
      <c r="AS247" s="2">
        <f t="shared" si="164"/>
        <v>9.5240000000000006E-4</v>
      </c>
      <c r="AT247" s="2">
        <f t="shared" si="165"/>
        <v>2.8572E-2</v>
      </c>
      <c r="AU247" s="2">
        <f t="shared" si="184"/>
        <v>46.4387683</v>
      </c>
      <c r="AV247" s="2">
        <f t="shared" si="166"/>
        <v>4.7620000000000003E-2</v>
      </c>
      <c r="AW247" s="2">
        <f t="shared" si="167"/>
        <v>2.3800000000000002E-2</v>
      </c>
      <c r="AX247" s="2">
        <f t="shared" si="168"/>
        <v>1.0000199999999999E-2</v>
      </c>
      <c r="AY247" s="2">
        <f t="shared" si="185"/>
        <v>5.7620200000000003E-2</v>
      </c>
      <c r="AZ247" s="2">
        <f t="shared" si="186"/>
        <v>8.6430299999999995E-3</v>
      </c>
      <c r="BA247" s="2">
        <f t="shared" si="169"/>
        <v>9.5240000000000006E-4</v>
      </c>
      <c r="BB247" s="2">
        <f t="shared" si="170"/>
        <v>2.8572E-2</v>
      </c>
      <c r="BC247" s="2">
        <f t="shared" si="187"/>
        <v>0.11958763000000001</v>
      </c>
      <c r="BD247" s="2">
        <v>0</v>
      </c>
      <c r="BE247" s="2">
        <f t="shared" si="171"/>
        <v>0.47620000000000001</v>
      </c>
      <c r="BF247" s="2">
        <f t="shared" si="172"/>
        <v>1.5476499999999999E-2</v>
      </c>
      <c r="BG247" s="2">
        <f t="shared" si="188"/>
        <v>1.5476499999999999E-2</v>
      </c>
      <c r="BH247" s="2">
        <f t="shared" si="189"/>
        <v>2.3214749999999999E-3</v>
      </c>
      <c r="BI247" s="2">
        <f t="shared" si="173"/>
        <v>9.5240000000000006E-4</v>
      </c>
      <c r="BJ247" s="2">
        <f t="shared" si="174"/>
        <v>2.8572E-2</v>
      </c>
      <c r="BK247" s="2">
        <f t="shared" si="190"/>
        <v>0.5235223750000001</v>
      </c>
      <c r="BL247" s="2">
        <f t="shared" si="175"/>
        <v>238.2</v>
      </c>
      <c r="BM247" s="2">
        <f t="shared" si="176"/>
        <v>238</v>
      </c>
      <c r="BN247" s="2">
        <f t="shared" si="191"/>
        <v>476.2</v>
      </c>
    </row>
    <row r="248" spans="1:66" x14ac:dyDescent="0.25">
      <c r="A248" s="42">
        <v>245</v>
      </c>
      <c r="B248" s="43">
        <v>42859</v>
      </c>
      <c r="C248" s="42" t="s">
        <v>50</v>
      </c>
      <c r="D248" s="42" t="s">
        <v>203</v>
      </c>
      <c r="E248" s="6">
        <f t="shared" si="177"/>
        <v>0.19068584374995456</v>
      </c>
      <c r="F248" s="5" t="str">
        <f t="shared" si="192"/>
        <v>Win</v>
      </c>
      <c r="G248" s="4">
        <f t="shared" si="193"/>
        <v>0.54999999999995453</v>
      </c>
      <c r="H248" s="46">
        <v>1</v>
      </c>
      <c r="I248" s="42">
        <v>529</v>
      </c>
      <c r="N248" s="5">
        <f t="shared" si="194"/>
        <v>1</v>
      </c>
      <c r="O248" s="4">
        <f t="shared" si="195"/>
        <v>529</v>
      </c>
      <c r="P248" s="5">
        <f t="shared" si="150"/>
        <v>1</v>
      </c>
      <c r="Q248" s="42">
        <v>529.54999999999995</v>
      </c>
      <c r="R248" s="2">
        <f t="shared" si="198"/>
        <v>0</v>
      </c>
      <c r="T248" s="2">
        <f t="shared" si="178"/>
        <v>0</v>
      </c>
      <c r="V248" s="5">
        <f t="shared" si="196"/>
        <v>1</v>
      </c>
      <c r="W248" s="4">
        <f t="shared" si="197"/>
        <v>529.54999999999995</v>
      </c>
      <c r="X248" s="14">
        <f t="shared" si="151"/>
        <v>0.54999999999995453</v>
      </c>
      <c r="Y248" s="5">
        <f t="shared" si="152"/>
        <v>0.54999999999995453</v>
      </c>
      <c r="Z248" s="2">
        <f t="shared" si="153"/>
        <v>0</v>
      </c>
      <c r="AA248" s="4">
        <f t="shared" si="154"/>
        <v>0</v>
      </c>
      <c r="AB248" s="13">
        <f t="shared" si="155"/>
        <v>0.35931415624999996</v>
      </c>
      <c r="AC248" s="10">
        <f>SUM($E$4:E248)</f>
        <v>-12038.84598798524</v>
      </c>
      <c r="AD248" s="20">
        <f>SUM($AB$4:AB248)</f>
        <v>10878.279687985207</v>
      </c>
      <c r="AF248" s="28">
        <f t="shared" si="156"/>
        <v>0.105855</v>
      </c>
      <c r="AG248" s="2">
        <f t="shared" si="157"/>
        <v>0.13238749999999999</v>
      </c>
      <c r="AH248" s="2">
        <f t="shared" si="158"/>
        <v>3.4402874999999992E-2</v>
      </c>
      <c r="AI248" s="2">
        <f t="shared" si="179"/>
        <v>0.140257875</v>
      </c>
      <c r="AJ248" s="2">
        <f t="shared" si="180"/>
        <v>2.103868125E-2</v>
      </c>
      <c r="AK248" s="2">
        <f t="shared" si="159"/>
        <v>2.1170999999999998E-3</v>
      </c>
      <c r="AL248" s="2">
        <f t="shared" si="160"/>
        <v>6.3513E-2</v>
      </c>
      <c r="AM248" s="2">
        <f t="shared" si="181"/>
        <v>0.35931415624999996</v>
      </c>
      <c r="AN248" s="2">
        <f t="shared" si="161"/>
        <v>40</v>
      </c>
      <c r="AO248" s="2">
        <f t="shared" si="162"/>
        <v>0.26477499999999998</v>
      </c>
      <c r="AP248" s="2">
        <f t="shared" si="163"/>
        <v>0.56103149999999991</v>
      </c>
      <c r="AQ248" s="2">
        <f t="shared" si="182"/>
        <v>40.561031499999999</v>
      </c>
      <c r="AR248" s="2">
        <f t="shared" si="183"/>
        <v>6.0841547249999994</v>
      </c>
      <c r="AS248" s="2">
        <f t="shared" si="164"/>
        <v>2.1170999999999998E-3</v>
      </c>
      <c r="AT248" s="2">
        <f t="shared" si="165"/>
        <v>6.3513E-2</v>
      </c>
      <c r="AU248" s="2">
        <f t="shared" si="184"/>
        <v>46.975591324999996</v>
      </c>
      <c r="AV248" s="2">
        <f t="shared" si="166"/>
        <v>0.105855</v>
      </c>
      <c r="AW248" s="2">
        <f t="shared" si="167"/>
        <v>5.2954999999999995E-2</v>
      </c>
      <c r="AX248" s="2">
        <f t="shared" si="168"/>
        <v>2.2229549999999997E-2</v>
      </c>
      <c r="AY248" s="2">
        <f t="shared" si="185"/>
        <v>0.12808454999999999</v>
      </c>
      <c r="AZ248" s="2">
        <f t="shared" si="186"/>
        <v>1.9212682499999998E-2</v>
      </c>
      <c r="BA248" s="2">
        <f t="shared" si="169"/>
        <v>2.1170999999999998E-3</v>
      </c>
      <c r="BB248" s="2">
        <f t="shared" si="170"/>
        <v>6.3513E-2</v>
      </c>
      <c r="BC248" s="2">
        <f t="shared" si="187"/>
        <v>0.26588233249999998</v>
      </c>
      <c r="BD248" s="2">
        <v>0</v>
      </c>
      <c r="BE248" s="2">
        <f t="shared" si="171"/>
        <v>1.0585499999999999</v>
      </c>
      <c r="BF248" s="2">
        <f t="shared" si="172"/>
        <v>3.4402874999999992E-2</v>
      </c>
      <c r="BG248" s="2">
        <f t="shared" si="188"/>
        <v>3.4402874999999992E-2</v>
      </c>
      <c r="BH248" s="2">
        <f t="shared" si="189"/>
        <v>5.160431249999999E-3</v>
      </c>
      <c r="BI248" s="2">
        <f t="shared" si="173"/>
        <v>2.1170999999999998E-3</v>
      </c>
      <c r="BJ248" s="2">
        <f t="shared" si="174"/>
        <v>6.3513E-2</v>
      </c>
      <c r="BK248" s="2">
        <f t="shared" si="190"/>
        <v>1.1637434062499998</v>
      </c>
      <c r="BL248" s="2">
        <f t="shared" si="175"/>
        <v>529</v>
      </c>
      <c r="BM248" s="2">
        <f t="shared" si="176"/>
        <v>529.54999999999995</v>
      </c>
      <c r="BN248" s="2">
        <f t="shared" si="191"/>
        <v>1058.55</v>
      </c>
    </row>
    <row r="249" spans="1:66" x14ac:dyDescent="0.25">
      <c r="A249" s="42">
        <v>246</v>
      </c>
      <c r="B249" s="43">
        <v>42859</v>
      </c>
      <c r="C249" s="42" t="s">
        <v>50</v>
      </c>
      <c r="D249" s="42" t="s">
        <v>204</v>
      </c>
      <c r="E249" s="6">
        <f t="shared" si="177"/>
        <v>-0.93062725000001134</v>
      </c>
      <c r="F249" s="5" t="str">
        <f t="shared" si="192"/>
        <v>Loss</v>
      </c>
      <c r="G249" s="4">
        <f t="shared" si="193"/>
        <v>-0.80000000000001137</v>
      </c>
      <c r="H249" s="46">
        <v>1</v>
      </c>
      <c r="I249" s="42">
        <v>193</v>
      </c>
      <c r="N249" s="5">
        <f t="shared" si="194"/>
        <v>1</v>
      </c>
      <c r="O249" s="4">
        <f t="shared" si="195"/>
        <v>193</v>
      </c>
      <c r="P249" s="5">
        <f t="shared" si="150"/>
        <v>1</v>
      </c>
      <c r="Q249" s="42">
        <v>192.2</v>
      </c>
      <c r="R249" s="2">
        <f t="shared" si="198"/>
        <v>0</v>
      </c>
      <c r="T249" s="2">
        <f t="shared" si="178"/>
        <v>0</v>
      </c>
      <c r="V249" s="5">
        <f t="shared" si="196"/>
        <v>1</v>
      </c>
      <c r="W249" s="4">
        <f t="shared" si="197"/>
        <v>192.2</v>
      </c>
      <c r="X249" s="14">
        <f t="shared" si="151"/>
        <v>-0.80000000000001137</v>
      </c>
      <c r="Y249" s="5">
        <f t="shared" si="152"/>
        <v>-0.80000000000001137</v>
      </c>
      <c r="Z249" s="2">
        <f t="shared" si="153"/>
        <v>0</v>
      </c>
      <c r="AA249" s="4">
        <f t="shared" si="154"/>
        <v>0</v>
      </c>
      <c r="AB249" s="13">
        <f t="shared" si="155"/>
        <v>0.13062725</v>
      </c>
      <c r="AC249" s="10">
        <f>SUM($E$4:E249)</f>
        <v>-12039.77661523524</v>
      </c>
      <c r="AD249" s="20">
        <f>SUM($AB$4:AB249)</f>
        <v>10878.410315235207</v>
      </c>
      <c r="AF249" s="28">
        <f t="shared" si="156"/>
        <v>3.8519999999999999E-2</v>
      </c>
      <c r="AG249" s="2">
        <f t="shared" si="157"/>
        <v>4.8049999999999995E-2</v>
      </c>
      <c r="AH249" s="2">
        <f t="shared" si="158"/>
        <v>1.2518999999999999E-2</v>
      </c>
      <c r="AI249" s="2">
        <f t="shared" si="179"/>
        <v>5.1039000000000001E-2</v>
      </c>
      <c r="AJ249" s="2">
        <f t="shared" si="180"/>
        <v>7.6558499999999996E-3</v>
      </c>
      <c r="AK249" s="2">
        <f t="shared" si="159"/>
        <v>7.7039999999999997E-4</v>
      </c>
      <c r="AL249" s="2">
        <f t="shared" si="160"/>
        <v>2.3112000000000001E-2</v>
      </c>
      <c r="AM249" s="2">
        <f t="shared" si="181"/>
        <v>0.13062725</v>
      </c>
      <c r="AN249" s="2">
        <f t="shared" si="161"/>
        <v>40</v>
      </c>
      <c r="AO249" s="2">
        <f t="shared" si="162"/>
        <v>9.6099999999999991E-2</v>
      </c>
      <c r="AP249" s="2">
        <f t="shared" si="163"/>
        <v>0.20415599999999998</v>
      </c>
      <c r="AQ249" s="2">
        <f t="shared" si="182"/>
        <v>40.204155999999998</v>
      </c>
      <c r="AR249" s="2">
        <f t="shared" si="183"/>
        <v>6.0306233999999996</v>
      </c>
      <c r="AS249" s="2">
        <f t="shared" si="164"/>
        <v>7.7039999999999997E-4</v>
      </c>
      <c r="AT249" s="2">
        <f t="shared" si="165"/>
        <v>2.3112000000000001E-2</v>
      </c>
      <c r="AU249" s="2">
        <f t="shared" si="184"/>
        <v>46.354761799999999</v>
      </c>
      <c r="AV249" s="2">
        <f t="shared" si="166"/>
        <v>3.8519999999999999E-2</v>
      </c>
      <c r="AW249" s="2">
        <f t="shared" si="167"/>
        <v>1.9220000000000001E-2</v>
      </c>
      <c r="AX249" s="2">
        <f t="shared" si="168"/>
        <v>8.0891999999999995E-3</v>
      </c>
      <c r="AY249" s="2">
        <f t="shared" si="185"/>
        <v>4.6609199999999996E-2</v>
      </c>
      <c r="AZ249" s="2">
        <f t="shared" si="186"/>
        <v>6.9913799999999993E-3</v>
      </c>
      <c r="BA249" s="2">
        <f t="shared" si="169"/>
        <v>7.7039999999999997E-4</v>
      </c>
      <c r="BB249" s="2">
        <f t="shared" si="170"/>
        <v>2.3112000000000001E-2</v>
      </c>
      <c r="BC249" s="2">
        <f t="shared" si="187"/>
        <v>9.6702980000000022E-2</v>
      </c>
      <c r="BD249" s="2">
        <v>0</v>
      </c>
      <c r="BE249" s="2">
        <f t="shared" si="171"/>
        <v>0.38519999999999999</v>
      </c>
      <c r="BF249" s="2">
        <f t="shared" si="172"/>
        <v>1.2518999999999999E-2</v>
      </c>
      <c r="BG249" s="2">
        <f t="shared" si="188"/>
        <v>1.2518999999999999E-2</v>
      </c>
      <c r="BH249" s="2">
        <f t="shared" si="189"/>
        <v>1.8778499999999997E-3</v>
      </c>
      <c r="BI249" s="2">
        <f t="shared" si="173"/>
        <v>7.7039999999999997E-4</v>
      </c>
      <c r="BJ249" s="2">
        <f t="shared" si="174"/>
        <v>2.3112000000000001E-2</v>
      </c>
      <c r="BK249" s="2">
        <f t="shared" si="190"/>
        <v>0.42347925000000003</v>
      </c>
      <c r="BL249" s="2">
        <f t="shared" si="175"/>
        <v>193</v>
      </c>
      <c r="BM249" s="2">
        <f t="shared" si="176"/>
        <v>192.2</v>
      </c>
      <c r="BN249" s="2">
        <f t="shared" si="191"/>
        <v>385.2</v>
      </c>
    </row>
    <row r="250" spans="1:66" x14ac:dyDescent="0.25">
      <c r="A250" s="42">
        <v>247</v>
      </c>
      <c r="B250" s="43">
        <v>42859</v>
      </c>
      <c r="C250" s="42" t="s">
        <v>50</v>
      </c>
      <c r="D250" s="42" t="s">
        <v>205</v>
      </c>
      <c r="E250" s="6">
        <f t="shared" si="177"/>
        <v>-12.167575875000136</v>
      </c>
      <c r="F250" s="5" t="str">
        <f t="shared" si="192"/>
        <v>Loss</v>
      </c>
      <c r="G250" s="4">
        <f t="shared" si="193"/>
        <v>-11.100000000000136</v>
      </c>
      <c r="H250" s="46">
        <v>1</v>
      </c>
      <c r="I250" s="42">
        <v>1580.45</v>
      </c>
      <c r="N250" s="5">
        <f t="shared" si="194"/>
        <v>1</v>
      </c>
      <c r="O250" s="4">
        <f t="shared" si="195"/>
        <v>1580.45</v>
      </c>
      <c r="P250" s="5">
        <f t="shared" si="150"/>
        <v>1</v>
      </c>
      <c r="Q250" s="42">
        <v>1569.35</v>
      </c>
      <c r="R250" s="2">
        <f t="shared" si="198"/>
        <v>0</v>
      </c>
      <c r="T250" s="2">
        <f t="shared" si="178"/>
        <v>0</v>
      </c>
      <c r="V250" s="5">
        <f t="shared" si="196"/>
        <v>1</v>
      </c>
      <c r="W250" s="4">
        <f t="shared" si="197"/>
        <v>1569.35</v>
      </c>
      <c r="X250" s="14">
        <f t="shared" si="151"/>
        <v>-11.100000000000136</v>
      </c>
      <c r="Y250" s="5">
        <f t="shared" si="152"/>
        <v>-11.100000000000136</v>
      </c>
      <c r="Z250" s="2">
        <f t="shared" si="153"/>
        <v>0</v>
      </c>
      <c r="AA250" s="4">
        <f t="shared" si="154"/>
        <v>0</v>
      </c>
      <c r="AB250" s="13">
        <f t="shared" si="155"/>
        <v>1.067575875</v>
      </c>
      <c r="AC250" s="10">
        <f>SUM($E$4:E250)</f>
        <v>-12051.94419111024</v>
      </c>
      <c r="AD250" s="20">
        <f>SUM($AB$4:AB250)</f>
        <v>10879.477891110208</v>
      </c>
      <c r="AF250" s="28">
        <f t="shared" si="156"/>
        <v>0.31498000000000004</v>
      </c>
      <c r="AG250" s="2">
        <f t="shared" si="157"/>
        <v>0.39233750000000001</v>
      </c>
      <c r="AH250" s="2">
        <f t="shared" si="158"/>
        <v>0.1023685</v>
      </c>
      <c r="AI250" s="2">
        <f t="shared" si="179"/>
        <v>0.41734850000000001</v>
      </c>
      <c r="AJ250" s="2">
        <f t="shared" si="180"/>
        <v>6.2602274999999999E-2</v>
      </c>
      <c r="AK250" s="2">
        <f t="shared" si="159"/>
        <v>6.2996000000000007E-3</v>
      </c>
      <c r="AL250" s="2">
        <f t="shared" si="160"/>
        <v>0.18898800000000002</v>
      </c>
      <c r="AM250" s="2">
        <f t="shared" si="181"/>
        <v>1.067575875</v>
      </c>
      <c r="AN250" s="2">
        <f t="shared" si="161"/>
        <v>40</v>
      </c>
      <c r="AO250" s="2">
        <f t="shared" si="162"/>
        <v>0.78467500000000001</v>
      </c>
      <c r="AP250" s="2">
        <f t="shared" si="163"/>
        <v>1.669394</v>
      </c>
      <c r="AQ250" s="2">
        <f t="shared" si="182"/>
        <v>41.669393999999997</v>
      </c>
      <c r="AR250" s="2">
        <f t="shared" si="183"/>
        <v>6.2504090999999997</v>
      </c>
      <c r="AS250" s="2">
        <f t="shared" si="164"/>
        <v>6.2996000000000007E-3</v>
      </c>
      <c r="AT250" s="2">
        <f t="shared" si="165"/>
        <v>0.18898800000000002</v>
      </c>
      <c r="AU250" s="2">
        <f t="shared" si="184"/>
        <v>48.899765699999996</v>
      </c>
      <c r="AV250" s="2">
        <f t="shared" si="166"/>
        <v>0.31498000000000004</v>
      </c>
      <c r="AW250" s="2">
        <f t="shared" si="167"/>
        <v>0.15693499999999999</v>
      </c>
      <c r="AX250" s="2">
        <f t="shared" si="168"/>
        <v>6.6145800000000005E-2</v>
      </c>
      <c r="AY250" s="2">
        <f t="shared" si="185"/>
        <v>0.38112580000000007</v>
      </c>
      <c r="AZ250" s="2">
        <f t="shared" si="186"/>
        <v>5.7168870000000011E-2</v>
      </c>
      <c r="BA250" s="2">
        <f t="shared" si="169"/>
        <v>6.2996000000000007E-3</v>
      </c>
      <c r="BB250" s="2">
        <f t="shared" si="170"/>
        <v>0.18898800000000002</v>
      </c>
      <c r="BC250" s="2">
        <f t="shared" si="187"/>
        <v>0.79051727000000005</v>
      </c>
      <c r="BD250" s="2">
        <v>0</v>
      </c>
      <c r="BE250" s="2">
        <f t="shared" si="171"/>
        <v>3.1498000000000004</v>
      </c>
      <c r="BF250" s="2">
        <f t="shared" si="172"/>
        <v>0.1023685</v>
      </c>
      <c r="BG250" s="2">
        <f t="shared" si="188"/>
        <v>0.1023685</v>
      </c>
      <c r="BH250" s="2">
        <f t="shared" si="189"/>
        <v>1.5355275E-2</v>
      </c>
      <c r="BI250" s="2">
        <f t="shared" si="173"/>
        <v>6.2996000000000007E-3</v>
      </c>
      <c r="BJ250" s="2">
        <f t="shared" si="174"/>
        <v>0.18898800000000002</v>
      </c>
      <c r="BK250" s="2">
        <f t="shared" si="190"/>
        <v>3.4628113750000007</v>
      </c>
      <c r="BL250" s="2">
        <f t="shared" si="175"/>
        <v>1580.45</v>
      </c>
      <c r="BM250" s="2">
        <f t="shared" si="176"/>
        <v>1569.35</v>
      </c>
      <c r="BN250" s="2">
        <f t="shared" si="191"/>
        <v>3149.8</v>
      </c>
    </row>
    <row r="251" spans="1:66" x14ac:dyDescent="0.25">
      <c r="A251" s="42">
        <v>248</v>
      </c>
      <c r="B251" s="43">
        <v>42859</v>
      </c>
      <c r="C251" s="42" t="s">
        <v>50</v>
      </c>
      <c r="D251" s="42" t="s">
        <v>206</v>
      </c>
      <c r="E251" s="6">
        <f t="shared" si="177"/>
        <v>-0.6548829687500114</v>
      </c>
      <c r="F251" s="5" t="str">
        <f t="shared" si="192"/>
        <v>Loss</v>
      </c>
      <c r="G251" s="4">
        <f t="shared" si="193"/>
        <v>-0.55000000000001137</v>
      </c>
      <c r="H251" s="46">
        <v>1</v>
      </c>
      <c r="I251" s="42">
        <v>154.9</v>
      </c>
      <c r="N251" s="5">
        <f t="shared" si="194"/>
        <v>1</v>
      </c>
      <c r="O251" s="4">
        <f t="shared" si="195"/>
        <v>154.9</v>
      </c>
      <c r="P251" s="5">
        <f t="shared" si="150"/>
        <v>1</v>
      </c>
      <c r="Q251" s="42">
        <v>154.35</v>
      </c>
      <c r="R251" s="2">
        <f t="shared" si="198"/>
        <v>0</v>
      </c>
      <c r="T251" s="2">
        <f t="shared" si="178"/>
        <v>0</v>
      </c>
      <c r="V251" s="5">
        <f t="shared" si="196"/>
        <v>1</v>
      </c>
      <c r="W251" s="4">
        <f t="shared" si="197"/>
        <v>154.35</v>
      </c>
      <c r="X251" s="14">
        <f t="shared" si="151"/>
        <v>-0.55000000000001137</v>
      </c>
      <c r="Y251" s="5">
        <f t="shared" si="152"/>
        <v>-0.55000000000001137</v>
      </c>
      <c r="Z251" s="2">
        <f t="shared" si="153"/>
        <v>0</v>
      </c>
      <c r="AA251" s="4">
        <f t="shared" si="154"/>
        <v>0</v>
      </c>
      <c r="AB251" s="13">
        <f t="shared" si="155"/>
        <v>0.10488296875</v>
      </c>
      <c r="AC251" s="10">
        <f>SUM($E$4:E251)</f>
        <v>-12052.599074078991</v>
      </c>
      <c r="AD251" s="20">
        <f>SUM($AB$4:AB251)</f>
        <v>10879.582774078957</v>
      </c>
      <c r="AF251" s="28">
        <f t="shared" si="156"/>
        <v>3.0925000000000001E-2</v>
      </c>
      <c r="AG251" s="2">
        <f t="shared" si="157"/>
        <v>3.8587499999999997E-2</v>
      </c>
      <c r="AH251" s="2">
        <f t="shared" si="158"/>
        <v>1.0050624999999999E-2</v>
      </c>
      <c r="AI251" s="2">
        <f t="shared" si="179"/>
        <v>4.0975625000000002E-2</v>
      </c>
      <c r="AJ251" s="2">
        <f t="shared" si="180"/>
        <v>6.1463437499999999E-3</v>
      </c>
      <c r="AK251" s="2">
        <f t="shared" si="159"/>
        <v>6.1850000000000002E-4</v>
      </c>
      <c r="AL251" s="2">
        <f t="shared" si="160"/>
        <v>1.8555000000000002E-2</v>
      </c>
      <c r="AM251" s="2">
        <f t="shared" si="181"/>
        <v>0.10488296875</v>
      </c>
      <c r="AN251" s="2">
        <f t="shared" si="161"/>
        <v>40</v>
      </c>
      <c r="AO251" s="2">
        <f t="shared" si="162"/>
        <v>7.7174999999999994E-2</v>
      </c>
      <c r="AP251" s="2">
        <f t="shared" si="163"/>
        <v>0.16390250000000001</v>
      </c>
      <c r="AQ251" s="2">
        <f t="shared" si="182"/>
        <v>40.163902499999999</v>
      </c>
      <c r="AR251" s="2">
        <f t="shared" si="183"/>
        <v>6.024585375</v>
      </c>
      <c r="AS251" s="2">
        <f t="shared" si="164"/>
        <v>6.1850000000000002E-4</v>
      </c>
      <c r="AT251" s="2">
        <f t="shared" si="165"/>
        <v>1.8555000000000002E-2</v>
      </c>
      <c r="AU251" s="2">
        <f t="shared" si="184"/>
        <v>46.284836374999998</v>
      </c>
      <c r="AV251" s="2">
        <f t="shared" si="166"/>
        <v>3.0925000000000001E-2</v>
      </c>
      <c r="AW251" s="2">
        <f t="shared" si="167"/>
        <v>1.5435000000000001E-2</v>
      </c>
      <c r="AX251" s="2">
        <f t="shared" si="168"/>
        <v>6.49425E-3</v>
      </c>
      <c r="AY251" s="2">
        <f t="shared" si="185"/>
        <v>3.7419250000000001E-2</v>
      </c>
      <c r="AZ251" s="2">
        <f t="shared" si="186"/>
        <v>5.6128875000000002E-3</v>
      </c>
      <c r="BA251" s="2">
        <f t="shared" si="169"/>
        <v>6.1850000000000002E-4</v>
      </c>
      <c r="BB251" s="2">
        <f t="shared" si="170"/>
        <v>1.8555000000000002E-2</v>
      </c>
      <c r="BC251" s="2">
        <f t="shared" si="187"/>
        <v>7.7640637499999998E-2</v>
      </c>
      <c r="BD251" s="2">
        <v>0</v>
      </c>
      <c r="BE251" s="2">
        <f t="shared" si="171"/>
        <v>0.30925000000000002</v>
      </c>
      <c r="BF251" s="2">
        <f t="shared" si="172"/>
        <v>1.0050624999999999E-2</v>
      </c>
      <c r="BG251" s="2">
        <f t="shared" si="188"/>
        <v>1.0050624999999999E-2</v>
      </c>
      <c r="BH251" s="2">
        <f t="shared" si="189"/>
        <v>1.5075937499999998E-3</v>
      </c>
      <c r="BI251" s="2">
        <f t="shared" si="173"/>
        <v>6.1850000000000002E-4</v>
      </c>
      <c r="BJ251" s="2">
        <f t="shared" si="174"/>
        <v>1.8555000000000002E-2</v>
      </c>
      <c r="BK251" s="2">
        <f t="shared" si="190"/>
        <v>0.33998171874999999</v>
      </c>
      <c r="BL251" s="2">
        <f t="shared" si="175"/>
        <v>154.9</v>
      </c>
      <c r="BM251" s="2">
        <f t="shared" si="176"/>
        <v>154.35</v>
      </c>
      <c r="BN251" s="2">
        <f t="shared" si="191"/>
        <v>309.25</v>
      </c>
    </row>
    <row r="252" spans="1:66" x14ac:dyDescent="0.25">
      <c r="A252" s="42">
        <v>249</v>
      </c>
      <c r="B252" s="43">
        <v>42859</v>
      </c>
      <c r="C252" s="42" t="s">
        <v>50</v>
      </c>
      <c r="D252" s="42" t="s">
        <v>207</v>
      </c>
      <c r="E252" s="6">
        <f t="shared" si="177"/>
        <v>-1.9207282499999829</v>
      </c>
      <c r="F252" s="5" t="str">
        <f t="shared" si="192"/>
        <v>Loss</v>
      </c>
      <c r="G252" s="4">
        <f t="shared" si="193"/>
        <v>-1.7999999999999829</v>
      </c>
      <c r="H252" s="46">
        <v>1</v>
      </c>
      <c r="I252" s="42">
        <v>179.1</v>
      </c>
      <c r="N252" s="5">
        <f t="shared" si="194"/>
        <v>1</v>
      </c>
      <c r="O252" s="4">
        <f t="shared" si="195"/>
        <v>179.1</v>
      </c>
      <c r="P252" s="5">
        <f t="shared" si="150"/>
        <v>1</v>
      </c>
      <c r="Q252" s="42">
        <v>177.3</v>
      </c>
      <c r="R252" s="2">
        <f t="shared" si="198"/>
        <v>0</v>
      </c>
      <c r="T252" s="2">
        <f t="shared" si="178"/>
        <v>0</v>
      </c>
      <c r="V252" s="5">
        <f t="shared" si="196"/>
        <v>1</v>
      </c>
      <c r="W252" s="4">
        <f t="shared" si="197"/>
        <v>177.3</v>
      </c>
      <c r="X252" s="14">
        <f t="shared" si="151"/>
        <v>-1.7999999999999829</v>
      </c>
      <c r="Y252" s="5">
        <f t="shared" si="152"/>
        <v>-1.7999999999999829</v>
      </c>
      <c r="Z252" s="2">
        <f t="shared" si="153"/>
        <v>0</v>
      </c>
      <c r="AA252" s="4">
        <f t="shared" si="154"/>
        <v>0</v>
      </c>
      <c r="AB252" s="13">
        <f t="shared" si="155"/>
        <v>0.12072825000000001</v>
      </c>
      <c r="AC252" s="10">
        <f>SUM($E$4:E252)</f>
        <v>-12054.51980232899</v>
      </c>
      <c r="AD252" s="20">
        <f>SUM($AB$4:AB252)</f>
        <v>10879.703502328957</v>
      </c>
      <c r="AF252" s="28">
        <f t="shared" si="156"/>
        <v>3.5639999999999998E-2</v>
      </c>
      <c r="AG252" s="2">
        <f t="shared" si="157"/>
        <v>4.4325000000000003E-2</v>
      </c>
      <c r="AH252" s="2">
        <f t="shared" si="158"/>
        <v>1.1582999999999998E-2</v>
      </c>
      <c r="AI252" s="2">
        <f t="shared" si="179"/>
        <v>4.7222999999999994E-2</v>
      </c>
      <c r="AJ252" s="2">
        <f t="shared" si="180"/>
        <v>7.0834499999999989E-3</v>
      </c>
      <c r="AK252" s="2">
        <f t="shared" si="159"/>
        <v>7.1279999999999998E-4</v>
      </c>
      <c r="AL252" s="2">
        <f t="shared" si="160"/>
        <v>2.1384E-2</v>
      </c>
      <c r="AM252" s="2">
        <f t="shared" si="181"/>
        <v>0.12072825000000001</v>
      </c>
      <c r="AN252" s="2">
        <f t="shared" si="161"/>
        <v>40</v>
      </c>
      <c r="AO252" s="2">
        <f t="shared" si="162"/>
        <v>8.8650000000000007E-2</v>
      </c>
      <c r="AP252" s="2">
        <f t="shared" si="163"/>
        <v>0.18889199999999998</v>
      </c>
      <c r="AQ252" s="2">
        <f t="shared" si="182"/>
        <v>40.188892000000003</v>
      </c>
      <c r="AR252" s="2">
        <f t="shared" si="183"/>
        <v>6.0283338000000004</v>
      </c>
      <c r="AS252" s="2">
        <f t="shared" si="164"/>
        <v>7.1279999999999998E-4</v>
      </c>
      <c r="AT252" s="2">
        <f t="shared" si="165"/>
        <v>2.1384E-2</v>
      </c>
      <c r="AU252" s="2">
        <f t="shared" si="184"/>
        <v>46.327972600000003</v>
      </c>
      <c r="AV252" s="2">
        <f t="shared" si="166"/>
        <v>3.5639999999999998E-2</v>
      </c>
      <c r="AW252" s="2">
        <f t="shared" si="167"/>
        <v>1.7730000000000003E-2</v>
      </c>
      <c r="AX252" s="2">
        <f t="shared" si="168"/>
        <v>7.4843999999999987E-3</v>
      </c>
      <c r="AY252" s="2">
        <f t="shared" si="185"/>
        <v>4.3124399999999993E-2</v>
      </c>
      <c r="AZ252" s="2">
        <f t="shared" si="186"/>
        <v>6.4686599999999985E-3</v>
      </c>
      <c r="BA252" s="2">
        <f t="shared" si="169"/>
        <v>7.1279999999999998E-4</v>
      </c>
      <c r="BB252" s="2">
        <f t="shared" si="170"/>
        <v>2.1384E-2</v>
      </c>
      <c r="BC252" s="2">
        <f t="shared" si="187"/>
        <v>8.9419860000000004E-2</v>
      </c>
      <c r="BD252" s="2">
        <v>0</v>
      </c>
      <c r="BE252" s="2">
        <f t="shared" si="171"/>
        <v>0.35639999999999999</v>
      </c>
      <c r="BF252" s="2">
        <f t="shared" si="172"/>
        <v>1.1582999999999998E-2</v>
      </c>
      <c r="BG252" s="2">
        <f t="shared" si="188"/>
        <v>1.1582999999999998E-2</v>
      </c>
      <c r="BH252" s="2">
        <f t="shared" si="189"/>
        <v>1.7374499999999995E-3</v>
      </c>
      <c r="BI252" s="2">
        <f t="shared" si="173"/>
        <v>7.1279999999999998E-4</v>
      </c>
      <c r="BJ252" s="2">
        <f t="shared" si="174"/>
        <v>2.1384E-2</v>
      </c>
      <c r="BK252" s="2">
        <f t="shared" si="190"/>
        <v>0.39181725000000001</v>
      </c>
      <c r="BL252" s="2">
        <f t="shared" si="175"/>
        <v>179.1</v>
      </c>
      <c r="BM252" s="2">
        <f t="shared" si="176"/>
        <v>177.3</v>
      </c>
      <c r="BN252" s="2">
        <f t="shared" si="191"/>
        <v>356.4</v>
      </c>
    </row>
    <row r="253" spans="1:66" ht="14.25" customHeight="1" x14ac:dyDescent="0.25">
      <c r="A253" s="42">
        <v>250</v>
      </c>
      <c r="B253" s="43">
        <v>42859</v>
      </c>
      <c r="C253" s="42" t="s">
        <v>50</v>
      </c>
      <c r="D253" s="42" t="s">
        <v>208</v>
      </c>
      <c r="E253" s="6">
        <f t="shared" si="177"/>
        <v>1.0335133437500001</v>
      </c>
      <c r="F253" s="5" t="str">
        <f t="shared" si="192"/>
        <v>Win</v>
      </c>
      <c r="G253" s="4">
        <f t="shared" si="193"/>
        <v>1.75</v>
      </c>
      <c r="H253" s="46">
        <v>1</v>
      </c>
      <c r="I253" s="42">
        <v>1054.4000000000001</v>
      </c>
      <c r="N253" s="5">
        <f t="shared" si="194"/>
        <v>1</v>
      </c>
      <c r="O253" s="4">
        <f t="shared" si="195"/>
        <v>1054.4000000000001</v>
      </c>
      <c r="P253" s="5">
        <f t="shared" si="150"/>
        <v>1</v>
      </c>
      <c r="Q253" s="42">
        <v>1056.1500000000001</v>
      </c>
      <c r="R253" s="2">
        <f t="shared" si="198"/>
        <v>0</v>
      </c>
      <c r="T253" s="2">
        <f t="shared" si="178"/>
        <v>0</v>
      </c>
      <c r="V253" s="5">
        <f t="shared" si="196"/>
        <v>1</v>
      </c>
      <c r="W253" s="4">
        <f t="shared" si="197"/>
        <v>1056.1500000000001</v>
      </c>
      <c r="X253" s="14">
        <f t="shared" si="151"/>
        <v>1.75</v>
      </c>
      <c r="Y253" s="5">
        <f t="shared" si="152"/>
        <v>1.75</v>
      </c>
      <c r="Z253" s="2">
        <f t="shared" si="153"/>
        <v>0</v>
      </c>
      <c r="AA253" s="4">
        <f t="shared" si="154"/>
        <v>0</v>
      </c>
      <c r="AB253" s="13">
        <f t="shared" si="155"/>
        <v>0.71648665624999996</v>
      </c>
      <c r="AC253" s="10">
        <f>SUM($E$4:E253)</f>
        <v>-12053.486288985241</v>
      </c>
      <c r="AD253" s="20">
        <f>SUM($AB$4:AB253)</f>
        <v>10880.419988985208</v>
      </c>
      <c r="AF253" s="28">
        <f t="shared" si="156"/>
        <v>0.21105500000000002</v>
      </c>
      <c r="AG253" s="2">
        <f t="shared" si="157"/>
        <v>0.26403750000000004</v>
      </c>
      <c r="AH253" s="2">
        <f t="shared" si="158"/>
        <v>6.8592874999999998E-2</v>
      </c>
      <c r="AI253" s="2">
        <f t="shared" si="179"/>
        <v>0.27964787499999999</v>
      </c>
      <c r="AJ253" s="2">
        <f t="shared" si="180"/>
        <v>4.194718125E-2</v>
      </c>
      <c r="AK253" s="2">
        <f t="shared" si="159"/>
        <v>4.2211000000000002E-3</v>
      </c>
      <c r="AL253" s="2">
        <f t="shared" si="160"/>
        <v>0.12663300000000002</v>
      </c>
      <c r="AM253" s="2">
        <f t="shared" si="181"/>
        <v>0.71648665624999996</v>
      </c>
      <c r="AN253" s="2">
        <f t="shared" si="161"/>
        <v>40</v>
      </c>
      <c r="AO253" s="2">
        <f t="shared" si="162"/>
        <v>0.52807500000000007</v>
      </c>
      <c r="AP253" s="2">
        <f t="shared" si="163"/>
        <v>1.1185915</v>
      </c>
      <c r="AQ253" s="2">
        <f t="shared" si="182"/>
        <v>41.118591500000001</v>
      </c>
      <c r="AR253" s="2">
        <f t="shared" si="183"/>
        <v>6.1677887250000003</v>
      </c>
      <c r="AS253" s="2">
        <f t="shared" si="164"/>
        <v>4.2211000000000002E-3</v>
      </c>
      <c r="AT253" s="2">
        <f t="shared" si="165"/>
        <v>0.12663300000000002</v>
      </c>
      <c r="AU253" s="2">
        <f t="shared" si="184"/>
        <v>47.945309325000004</v>
      </c>
      <c r="AV253" s="2">
        <f t="shared" si="166"/>
        <v>0.21105500000000002</v>
      </c>
      <c r="AW253" s="2">
        <f t="shared" si="167"/>
        <v>0.10561500000000001</v>
      </c>
      <c r="AX253" s="2">
        <f t="shared" si="168"/>
        <v>4.4321550000000001E-2</v>
      </c>
      <c r="AY253" s="2">
        <f t="shared" si="185"/>
        <v>0.25537655000000004</v>
      </c>
      <c r="AZ253" s="2">
        <f t="shared" si="186"/>
        <v>3.8306482500000003E-2</v>
      </c>
      <c r="BA253" s="2">
        <f t="shared" si="169"/>
        <v>4.2211000000000002E-3</v>
      </c>
      <c r="BB253" s="2">
        <f t="shared" si="170"/>
        <v>0.12663300000000002</v>
      </c>
      <c r="BC253" s="2">
        <f t="shared" si="187"/>
        <v>0.53015213250000004</v>
      </c>
      <c r="BD253" s="2">
        <v>0</v>
      </c>
      <c r="BE253" s="2">
        <f t="shared" si="171"/>
        <v>2.1105500000000004</v>
      </c>
      <c r="BF253" s="2">
        <f t="shared" si="172"/>
        <v>6.8592874999999998E-2</v>
      </c>
      <c r="BG253" s="2">
        <f t="shared" si="188"/>
        <v>6.8592874999999998E-2</v>
      </c>
      <c r="BH253" s="2">
        <f t="shared" si="189"/>
        <v>1.0288931249999999E-2</v>
      </c>
      <c r="BI253" s="2">
        <f t="shared" si="173"/>
        <v>4.2211000000000002E-3</v>
      </c>
      <c r="BJ253" s="2">
        <f t="shared" si="174"/>
        <v>0.12663300000000002</v>
      </c>
      <c r="BK253" s="2">
        <f t="shared" si="190"/>
        <v>2.3202859062500001</v>
      </c>
      <c r="BL253" s="2">
        <f t="shared" si="175"/>
        <v>1054.4000000000001</v>
      </c>
      <c r="BM253" s="2">
        <f t="shared" si="176"/>
        <v>1056.1500000000001</v>
      </c>
      <c r="BN253" s="2">
        <f t="shared" si="191"/>
        <v>2110.5500000000002</v>
      </c>
    </row>
    <row r="254" spans="1:66" x14ac:dyDescent="0.25">
      <c r="A254" s="42">
        <v>251</v>
      </c>
      <c r="B254" s="43">
        <v>42859</v>
      </c>
      <c r="C254" s="42" t="s">
        <v>50</v>
      </c>
      <c r="D254" s="42" t="s">
        <v>209</v>
      </c>
      <c r="E254" s="6">
        <f t="shared" si="177"/>
        <v>8.848268750000142E-2</v>
      </c>
      <c r="F254" s="5" t="str">
        <f t="shared" si="192"/>
        <v>Win</v>
      </c>
      <c r="G254" s="4">
        <f t="shared" si="193"/>
        <v>0.10000000000000142</v>
      </c>
      <c r="H254" s="46">
        <v>1</v>
      </c>
      <c r="I254" s="42">
        <v>16.899999999999999</v>
      </c>
      <c r="N254" s="5">
        <f t="shared" si="194"/>
        <v>1</v>
      </c>
      <c r="O254" s="4">
        <f t="shared" si="195"/>
        <v>16.899999999999999</v>
      </c>
      <c r="P254" s="5">
        <f t="shared" si="150"/>
        <v>1</v>
      </c>
      <c r="Q254" s="42">
        <v>17</v>
      </c>
      <c r="R254" s="2">
        <f t="shared" si="198"/>
        <v>0</v>
      </c>
      <c r="T254" s="2">
        <f t="shared" si="178"/>
        <v>0</v>
      </c>
      <c r="V254" s="5">
        <f t="shared" si="196"/>
        <v>1</v>
      </c>
      <c r="W254" s="4">
        <f t="shared" si="197"/>
        <v>17</v>
      </c>
      <c r="X254" s="14">
        <f t="shared" si="151"/>
        <v>0.10000000000000142</v>
      </c>
      <c r="Y254" s="5">
        <f t="shared" si="152"/>
        <v>0.10000000000000142</v>
      </c>
      <c r="Z254" s="2">
        <f t="shared" si="153"/>
        <v>0</v>
      </c>
      <c r="AA254" s="4">
        <f t="shared" si="154"/>
        <v>0</v>
      </c>
      <c r="AB254" s="13">
        <f t="shared" si="155"/>
        <v>1.15173125E-2</v>
      </c>
      <c r="AC254" s="10">
        <f>SUM($E$4:E254)</f>
        <v>-12053.39780629774</v>
      </c>
      <c r="AD254" s="20">
        <f>SUM($AB$4:AB254)</f>
        <v>10880.431506297708</v>
      </c>
      <c r="AF254" s="28">
        <f t="shared" si="156"/>
        <v>3.3900000000000002E-3</v>
      </c>
      <c r="AG254" s="2">
        <f t="shared" si="157"/>
        <v>4.2500000000000003E-3</v>
      </c>
      <c r="AH254" s="2">
        <f t="shared" si="158"/>
        <v>1.1017499999999999E-3</v>
      </c>
      <c r="AI254" s="2">
        <f t="shared" si="179"/>
        <v>4.4917500000000001E-3</v>
      </c>
      <c r="AJ254" s="2">
        <f t="shared" si="180"/>
        <v>6.7376250000000001E-4</v>
      </c>
      <c r="AK254" s="2">
        <f t="shared" si="159"/>
        <v>6.7799999999999995E-5</v>
      </c>
      <c r="AL254" s="2">
        <f t="shared" si="160"/>
        <v>2.0339999999999998E-3</v>
      </c>
      <c r="AM254" s="2">
        <f t="shared" si="181"/>
        <v>1.15173125E-2</v>
      </c>
      <c r="AN254" s="2">
        <f t="shared" si="161"/>
        <v>40</v>
      </c>
      <c r="AO254" s="2">
        <f t="shared" si="162"/>
        <v>8.5000000000000006E-3</v>
      </c>
      <c r="AP254" s="2">
        <f t="shared" si="163"/>
        <v>1.7966999999999997E-2</v>
      </c>
      <c r="AQ254" s="2">
        <f t="shared" si="182"/>
        <v>40.017966999999999</v>
      </c>
      <c r="AR254" s="2">
        <f t="shared" si="183"/>
        <v>6.0026950499999998</v>
      </c>
      <c r="AS254" s="2">
        <f t="shared" si="164"/>
        <v>6.7799999999999995E-5</v>
      </c>
      <c r="AT254" s="2">
        <f t="shared" si="165"/>
        <v>2.0339999999999998E-3</v>
      </c>
      <c r="AU254" s="2">
        <f t="shared" si="184"/>
        <v>46.031263849999995</v>
      </c>
      <c r="AV254" s="2">
        <f t="shared" si="166"/>
        <v>3.3900000000000002E-3</v>
      </c>
      <c r="AW254" s="2">
        <f t="shared" si="167"/>
        <v>1.7000000000000001E-3</v>
      </c>
      <c r="AX254" s="2">
        <f t="shared" si="168"/>
        <v>7.118999999999999E-4</v>
      </c>
      <c r="AY254" s="2">
        <f t="shared" si="185"/>
        <v>4.1019000000000003E-3</v>
      </c>
      <c r="AZ254" s="2">
        <f t="shared" si="186"/>
        <v>6.1528500000000003E-4</v>
      </c>
      <c r="BA254" s="2">
        <f t="shared" si="169"/>
        <v>6.7799999999999995E-5</v>
      </c>
      <c r="BB254" s="2">
        <f t="shared" si="170"/>
        <v>2.0339999999999998E-3</v>
      </c>
      <c r="BC254" s="2">
        <f t="shared" si="187"/>
        <v>8.5189849999999998E-3</v>
      </c>
      <c r="BD254" s="2">
        <v>0</v>
      </c>
      <c r="BE254" s="2">
        <f t="shared" si="171"/>
        <v>3.39E-2</v>
      </c>
      <c r="BF254" s="2">
        <f t="shared" si="172"/>
        <v>1.1017499999999999E-3</v>
      </c>
      <c r="BG254" s="2">
        <f t="shared" si="188"/>
        <v>1.1017499999999999E-3</v>
      </c>
      <c r="BH254" s="2">
        <f t="shared" si="189"/>
        <v>1.6526249999999999E-4</v>
      </c>
      <c r="BI254" s="2">
        <f t="shared" si="173"/>
        <v>6.7799999999999995E-5</v>
      </c>
      <c r="BJ254" s="2">
        <f t="shared" si="174"/>
        <v>2.0339999999999998E-3</v>
      </c>
      <c r="BK254" s="2">
        <f t="shared" si="190"/>
        <v>3.7268812499999998E-2</v>
      </c>
      <c r="BL254" s="2">
        <f t="shared" si="175"/>
        <v>16.899999999999999</v>
      </c>
      <c r="BM254" s="2">
        <f t="shared" si="176"/>
        <v>17</v>
      </c>
      <c r="BN254" s="2">
        <f t="shared" si="191"/>
        <v>33.9</v>
      </c>
    </row>
    <row r="255" spans="1:66" x14ac:dyDescent="0.25">
      <c r="A255" s="42">
        <v>252</v>
      </c>
      <c r="B255" s="43">
        <v>42859</v>
      </c>
      <c r="C255" s="42" t="s">
        <v>50</v>
      </c>
      <c r="D255" s="42" t="s">
        <v>164</v>
      </c>
      <c r="E255" s="6">
        <f t="shared" si="177"/>
        <v>-0.87596709374999993</v>
      </c>
      <c r="F255" s="5" t="str">
        <f t="shared" si="192"/>
        <v>Loss</v>
      </c>
      <c r="G255" s="4">
        <f t="shared" si="193"/>
        <v>-0.75</v>
      </c>
      <c r="H255" s="46">
        <v>1</v>
      </c>
      <c r="I255" s="42">
        <v>186.1</v>
      </c>
      <c r="N255" s="5">
        <f t="shared" si="194"/>
        <v>1</v>
      </c>
      <c r="O255" s="4">
        <f t="shared" si="195"/>
        <v>186.1</v>
      </c>
      <c r="P255" s="5">
        <f t="shared" si="150"/>
        <v>1</v>
      </c>
      <c r="Q255" s="42">
        <v>185.35</v>
      </c>
      <c r="R255" s="2">
        <f t="shared" si="198"/>
        <v>0</v>
      </c>
      <c r="T255" s="2">
        <f t="shared" si="178"/>
        <v>0</v>
      </c>
      <c r="V255" s="5">
        <f t="shared" si="196"/>
        <v>1</v>
      </c>
      <c r="W255" s="4">
        <f t="shared" si="197"/>
        <v>185.35</v>
      </c>
      <c r="X255" s="14">
        <f t="shared" si="151"/>
        <v>-0.75</v>
      </c>
      <c r="Y255" s="5">
        <f t="shared" si="152"/>
        <v>-0.75</v>
      </c>
      <c r="Z255" s="2">
        <f t="shared" si="153"/>
        <v>0</v>
      </c>
      <c r="AA255" s="4">
        <f t="shared" si="154"/>
        <v>0</v>
      </c>
      <c r="AB255" s="13">
        <f t="shared" si="155"/>
        <v>0.12596709374999998</v>
      </c>
      <c r="AC255" s="10">
        <f>SUM($E$4:E255)</f>
        <v>-12054.273773391491</v>
      </c>
      <c r="AD255" s="20">
        <f>SUM($AB$4:AB255)</f>
        <v>10880.557473391458</v>
      </c>
      <c r="AF255" s="28">
        <f t="shared" si="156"/>
        <v>3.7144999999999997E-2</v>
      </c>
      <c r="AG255" s="2">
        <f t="shared" si="157"/>
        <v>4.6337499999999997E-2</v>
      </c>
      <c r="AH255" s="2">
        <f t="shared" si="158"/>
        <v>1.2072124999999998E-2</v>
      </c>
      <c r="AI255" s="2">
        <f t="shared" si="179"/>
        <v>4.9217124999999994E-2</v>
      </c>
      <c r="AJ255" s="2">
        <f t="shared" si="180"/>
        <v>7.3825687499999987E-3</v>
      </c>
      <c r="AK255" s="2">
        <f t="shared" si="159"/>
        <v>7.428999999999999E-4</v>
      </c>
      <c r="AL255" s="2">
        <f t="shared" si="160"/>
        <v>2.2287000000000001E-2</v>
      </c>
      <c r="AM255" s="2">
        <f t="shared" si="181"/>
        <v>0.12596709374999998</v>
      </c>
      <c r="AN255" s="2">
        <f t="shared" si="161"/>
        <v>40</v>
      </c>
      <c r="AO255" s="2">
        <f t="shared" si="162"/>
        <v>9.2674999999999993E-2</v>
      </c>
      <c r="AP255" s="2">
        <f t="shared" si="163"/>
        <v>0.19686849999999997</v>
      </c>
      <c r="AQ255" s="2">
        <f t="shared" si="182"/>
        <v>40.196868500000001</v>
      </c>
      <c r="AR255" s="2">
        <f t="shared" si="183"/>
        <v>6.0295302749999999</v>
      </c>
      <c r="AS255" s="2">
        <f t="shared" si="164"/>
        <v>7.428999999999999E-4</v>
      </c>
      <c r="AT255" s="2">
        <f t="shared" si="165"/>
        <v>2.2287000000000001E-2</v>
      </c>
      <c r="AU255" s="2">
        <f t="shared" si="184"/>
        <v>46.342103674999997</v>
      </c>
      <c r="AV255" s="2">
        <f t="shared" si="166"/>
        <v>3.7144999999999997E-2</v>
      </c>
      <c r="AW255" s="2">
        <f t="shared" si="167"/>
        <v>1.8534999999999999E-2</v>
      </c>
      <c r="AX255" s="2">
        <f t="shared" si="168"/>
        <v>7.8004499999999996E-3</v>
      </c>
      <c r="AY255" s="2">
        <f t="shared" si="185"/>
        <v>4.4945449999999998E-2</v>
      </c>
      <c r="AZ255" s="2">
        <f t="shared" si="186"/>
        <v>6.7418174999999995E-3</v>
      </c>
      <c r="BA255" s="2">
        <f t="shared" si="169"/>
        <v>7.428999999999999E-4</v>
      </c>
      <c r="BB255" s="2">
        <f t="shared" si="170"/>
        <v>2.2287000000000001E-2</v>
      </c>
      <c r="BC255" s="2">
        <f t="shared" si="187"/>
        <v>9.3252167499999997E-2</v>
      </c>
      <c r="BD255" s="2">
        <v>0</v>
      </c>
      <c r="BE255" s="2">
        <f t="shared" si="171"/>
        <v>0.37145</v>
      </c>
      <c r="BF255" s="2">
        <f t="shared" si="172"/>
        <v>1.2072124999999998E-2</v>
      </c>
      <c r="BG255" s="2">
        <f t="shared" si="188"/>
        <v>1.2072124999999998E-2</v>
      </c>
      <c r="BH255" s="2">
        <f t="shared" si="189"/>
        <v>1.8108187499999997E-3</v>
      </c>
      <c r="BI255" s="2">
        <f t="shared" si="173"/>
        <v>7.428999999999999E-4</v>
      </c>
      <c r="BJ255" s="2">
        <f t="shared" si="174"/>
        <v>2.2287000000000001E-2</v>
      </c>
      <c r="BK255" s="2">
        <f t="shared" si="190"/>
        <v>0.40836284374999998</v>
      </c>
      <c r="BL255" s="2">
        <f t="shared" si="175"/>
        <v>186.1</v>
      </c>
      <c r="BM255" s="2">
        <f t="shared" si="176"/>
        <v>185.35</v>
      </c>
      <c r="BN255" s="2">
        <f t="shared" si="191"/>
        <v>371.45</v>
      </c>
    </row>
    <row r="256" spans="1:66" x14ac:dyDescent="0.25">
      <c r="A256" s="42">
        <v>253</v>
      </c>
      <c r="B256" s="43">
        <v>42859</v>
      </c>
      <c r="C256" s="42" t="s">
        <v>50</v>
      </c>
      <c r="D256" s="42" t="s">
        <v>210</v>
      </c>
      <c r="E256" s="6">
        <f t="shared" si="177"/>
        <v>12.309532406249954</v>
      </c>
      <c r="F256" s="5" t="str">
        <f t="shared" si="192"/>
        <v>Win</v>
      </c>
      <c r="G256" s="4">
        <f t="shared" si="193"/>
        <v>13.049999999999955</v>
      </c>
      <c r="H256" s="46">
        <v>1</v>
      </c>
      <c r="I256" s="42">
        <v>1082</v>
      </c>
      <c r="N256" s="5">
        <f t="shared" si="194"/>
        <v>1</v>
      </c>
      <c r="O256" s="4">
        <f t="shared" si="195"/>
        <v>1082</v>
      </c>
      <c r="P256" s="5">
        <f t="shared" si="150"/>
        <v>1</v>
      </c>
      <c r="Q256" s="42">
        <v>1095.05</v>
      </c>
      <c r="R256" s="2">
        <f t="shared" si="198"/>
        <v>0</v>
      </c>
      <c r="T256" s="2">
        <f t="shared" si="178"/>
        <v>0</v>
      </c>
      <c r="V256" s="5">
        <f t="shared" si="196"/>
        <v>1</v>
      </c>
      <c r="W256" s="4">
        <f t="shared" si="197"/>
        <v>1095.05</v>
      </c>
      <c r="X256" s="14">
        <f t="shared" si="151"/>
        <v>13.049999999999955</v>
      </c>
      <c r="Y256" s="5">
        <f t="shared" si="152"/>
        <v>13.049999999999955</v>
      </c>
      <c r="Z256" s="2">
        <f t="shared" si="153"/>
        <v>0</v>
      </c>
      <c r="AA256" s="4">
        <f t="shared" si="154"/>
        <v>0</v>
      </c>
      <c r="AB256" s="13">
        <f t="shared" si="155"/>
        <v>0.74046759375000015</v>
      </c>
      <c r="AC256" s="10">
        <f>SUM($E$4:E256)</f>
        <v>-12041.96424098524</v>
      </c>
      <c r="AD256" s="20">
        <f>SUM($AB$4:AB256)</f>
        <v>10881.297940985209</v>
      </c>
      <c r="AF256" s="28">
        <f t="shared" si="156"/>
        <v>0.21770500000000004</v>
      </c>
      <c r="AG256" s="2">
        <f t="shared" si="157"/>
        <v>0.27376250000000002</v>
      </c>
      <c r="AH256" s="2">
        <f t="shared" si="158"/>
        <v>7.0754125000000001E-2</v>
      </c>
      <c r="AI256" s="2">
        <f t="shared" si="179"/>
        <v>0.28845912500000004</v>
      </c>
      <c r="AJ256" s="2">
        <f t="shared" si="180"/>
        <v>4.3268868750000002E-2</v>
      </c>
      <c r="AK256" s="2">
        <f t="shared" si="159"/>
        <v>4.3541000000000005E-3</v>
      </c>
      <c r="AL256" s="2">
        <f t="shared" si="160"/>
        <v>0.13062300000000002</v>
      </c>
      <c r="AM256" s="2">
        <f t="shared" si="181"/>
        <v>0.74046759375000015</v>
      </c>
      <c r="AN256" s="2">
        <f t="shared" si="161"/>
        <v>40</v>
      </c>
      <c r="AO256" s="2">
        <f t="shared" si="162"/>
        <v>0.54752500000000004</v>
      </c>
      <c r="AP256" s="2">
        <f t="shared" si="163"/>
        <v>1.1538365000000002</v>
      </c>
      <c r="AQ256" s="2">
        <f t="shared" si="182"/>
        <v>41.153836499999997</v>
      </c>
      <c r="AR256" s="2">
        <f t="shared" si="183"/>
        <v>6.1730754749999992</v>
      </c>
      <c r="AS256" s="2">
        <f t="shared" si="164"/>
        <v>4.3541000000000005E-3</v>
      </c>
      <c r="AT256" s="2">
        <f t="shared" si="165"/>
        <v>0.13062300000000002</v>
      </c>
      <c r="AU256" s="2">
        <f t="shared" si="184"/>
        <v>48.009414074999995</v>
      </c>
      <c r="AV256" s="2">
        <f t="shared" si="166"/>
        <v>0.21770500000000004</v>
      </c>
      <c r="AW256" s="2">
        <f t="shared" si="167"/>
        <v>0.10950500000000001</v>
      </c>
      <c r="AX256" s="2">
        <f t="shared" si="168"/>
        <v>4.5718050000000003E-2</v>
      </c>
      <c r="AY256" s="2">
        <f t="shared" si="185"/>
        <v>0.26342305000000005</v>
      </c>
      <c r="AZ256" s="2">
        <f t="shared" si="186"/>
        <v>3.9513457500000009E-2</v>
      </c>
      <c r="BA256" s="2">
        <f t="shared" si="169"/>
        <v>4.3541000000000005E-3</v>
      </c>
      <c r="BB256" s="2">
        <f t="shared" si="170"/>
        <v>0.13062300000000002</v>
      </c>
      <c r="BC256" s="2">
        <f t="shared" si="187"/>
        <v>0.54741860750000015</v>
      </c>
      <c r="BD256" s="2">
        <v>0</v>
      </c>
      <c r="BE256" s="2">
        <f t="shared" si="171"/>
        <v>2.1770500000000004</v>
      </c>
      <c r="BF256" s="2">
        <f t="shared" si="172"/>
        <v>7.0754125000000001E-2</v>
      </c>
      <c r="BG256" s="2">
        <f t="shared" si="188"/>
        <v>7.0754125000000001E-2</v>
      </c>
      <c r="BH256" s="2">
        <f t="shared" si="189"/>
        <v>1.0613118749999999E-2</v>
      </c>
      <c r="BI256" s="2">
        <f t="shared" si="173"/>
        <v>4.3541000000000005E-3</v>
      </c>
      <c r="BJ256" s="2">
        <f t="shared" si="174"/>
        <v>0.13062300000000002</v>
      </c>
      <c r="BK256" s="2">
        <f t="shared" si="190"/>
        <v>2.3933943437500003</v>
      </c>
      <c r="BL256" s="2">
        <f t="shared" si="175"/>
        <v>1082</v>
      </c>
      <c r="BM256" s="2">
        <f t="shared" si="176"/>
        <v>1095.05</v>
      </c>
      <c r="BN256" s="2">
        <f t="shared" si="191"/>
        <v>2177.0500000000002</v>
      </c>
    </row>
    <row r="257" spans="1:66" x14ac:dyDescent="0.25">
      <c r="A257" s="42">
        <v>254</v>
      </c>
      <c r="B257" s="43">
        <v>42859</v>
      </c>
      <c r="C257" s="42" t="s">
        <v>50</v>
      </c>
      <c r="D257" s="42" t="s">
        <v>211</v>
      </c>
      <c r="E257" s="6">
        <f t="shared" si="177"/>
        <v>-0.32205581250000426</v>
      </c>
      <c r="F257" s="5" t="str">
        <f t="shared" si="192"/>
        <v>Loss</v>
      </c>
      <c r="G257" s="4">
        <f t="shared" si="193"/>
        <v>-0.30000000000000426</v>
      </c>
      <c r="H257" s="46">
        <v>1</v>
      </c>
      <c r="I257" s="42">
        <v>32.700000000000003</v>
      </c>
      <c r="N257" s="5">
        <f t="shared" si="194"/>
        <v>1</v>
      </c>
      <c r="O257" s="4">
        <f t="shared" si="195"/>
        <v>32.700000000000003</v>
      </c>
      <c r="P257" s="5">
        <f t="shared" si="150"/>
        <v>1</v>
      </c>
      <c r="Q257" s="42">
        <v>32.4</v>
      </c>
      <c r="R257" s="2">
        <f t="shared" si="198"/>
        <v>0</v>
      </c>
      <c r="T257" s="2">
        <f t="shared" si="178"/>
        <v>0</v>
      </c>
      <c r="V257" s="5">
        <f t="shared" si="196"/>
        <v>1</v>
      </c>
      <c r="W257" s="4">
        <f t="shared" si="197"/>
        <v>32.4</v>
      </c>
      <c r="X257" s="14">
        <f t="shared" si="151"/>
        <v>-0.30000000000000426</v>
      </c>
      <c r="Y257" s="5">
        <f t="shared" si="152"/>
        <v>-0.30000000000000426</v>
      </c>
      <c r="Z257" s="2">
        <f t="shared" si="153"/>
        <v>0</v>
      </c>
      <c r="AA257" s="4">
        <f t="shared" si="154"/>
        <v>0</v>
      </c>
      <c r="AB257" s="13">
        <f t="shared" si="155"/>
        <v>2.2055812499999997E-2</v>
      </c>
      <c r="AC257" s="10">
        <f>SUM($E$4:E257)</f>
        <v>-12042.28629679774</v>
      </c>
      <c r="AD257" s="20">
        <f>SUM($AB$4:AB257)</f>
        <v>10881.319996797709</v>
      </c>
      <c r="AF257" s="28">
        <f t="shared" si="156"/>
        <v>6.5100000000000002E-3</v>
      </c>
      <c r="AG257" s="2">
        <f t="shared" si="157"/>
        <v>8.0999999999999996E-3</v>
      </c>
      <c r="AH257" s="2">
        <f t="shared" si="158"/>
        <v>2.1157499999999996E-3</v>
      </c>
      <c r="AI257" s="2">
        <f t="shared" si="179"/>
        <v>8.6257499999999997E-3</v>
      </c>
      <c r="AJ257" s="2">
        <f t="shared" si="180"/>
        <v>1.2938625E-3</v>
      </c>
      <c r="AK257" s="2">
        <f t="shared" si="159"/>
        <v>1.3019999999999999E-4</v>
      </c>
      <c r="AL257" s="2">
        <f t="shared" si="160"/>
        <v>3.9059999999999997E-3</v>
      </c>
      <c r="AM257" s="2">
        <f t="shared" si="181"/>
        <v>2.2055812499999997E-2</v>
      </c>
      <c r="AN257" s="2">
        <f t="shared" si="161"/>
        <v>40</v>
      </c>
      <c r="AO257" s="2">
        <f t="shared" si="162"/>
        <v>1.6199999999999999E-2</v>
      </c>
      <c r="AP257" s="2">
        <f t="shared" si="163"/>
        <v>3.4502999999999999E-2</v>
      </c>
      <c r="AQ257" s="2">
        <f t="shared" si="182"/>
        <v>40.034503000000001</v>
      </c>
      <c r="AR257" s="2">
        <f t="shared" si="183"/>
        <v>6.0051754500000003</v>
      </c>
      <c r="AS257" s="2">
        <f t="shared" si="164"/>
        <v>1.3019999999999999E-4</v>
      </c>
      <c r="AT257" s="2">
        <f t="shared" si="165"/>
        <v>3.9059999999999997E-3</v>
      </c>
      <c r="AU257" s="2">
        <f t="shared" si="184"/>
        <v>46.059914650000003</v>
      </c>
      <c r="AV257" s="2">
        <f t="shared" si="166"/>
        <v>6.5100000000000002E-3</v>
      </c>
      <c r="AW257" s="2">
        <f t="shared" si="167"/>
        <v>3.2399999999999998E-3</v>
      </c>
      <c r="AX257" s="2">
        <f t="shared" si="168"/>
        <v>1.3670999999999998E-3</v>
      </c>
      <c r="AY257" s="2">
        <f t="shared" si="185"/>
        <v>7.8770999999999997E-3</v>
      </c>
      <c r="AZ257" s="2">
        <f t="shared" si="186"/>
        <v>1.1815649999999999E-3</v>
      </c>
      <c r="BA257" s="2">
        <f t="shared" si="169"/>
        <v>1.3019999999999999E-4</v>
      </c>
      <c r="BB257" s="2">
        <f t="shared" si="170"/>
        <v>3.9059999999999997E-3</v>
      </c>
      <c r="BC257" s="2">
        <f t="shared" si="187"/>
        <v>1.6334865E-2</v>
      </c>
      <c r="BD257" s="2">
        <v>0</v>
      </c>
      <c r="BE257" s="2">
        <f t="shared" si="171"/>
        <v>6.5099999999999991E-2</v>
      </c>
      <c r="BF257" s="2">
        <f t="shared" si="172"/>
        <v>2.1157499999999996E-3</v>
      </c>
      <c r="BG257" s="2">
        <f t="shared" si="188"/>
        <v>2.1157499999999996E-3</v>
      </c>
      <c r="BH257" s="2">
        <f t="shared" si="189"/>
        <v>3.1736249999999991E-4</v>
      </c>
      <c r="BI257" s="2">
        <f t="shared" si="173"/>
        <v>1.3019999999999999E-4</v>
      </c>
      <c r="BJ257" s="2">
        <f t="shared" si="174"/>
        <v>3.9059999999999997E-3</v>
      </c>
      <c r="BK257" s="2">
        <f t="shared" si="190"/>
        <v>7.1569312499999982E-2</v>
      </c>
      <c r="BL257" s="2">
        <f t="shared" si="175"/>
        <v>32.700000000000003</v>
      </c>
      <c r="BM257" s="2">
        <f t="shared" si="176"/>
        <v>32.4</v>
      </c>
      <c r="BN257" s="2">
        <f t="shared" si="191"/>
        <v>65.099999999999994</v>
      </c>
    </row>
    <row r="258" spans="1:66" x14ac:dyDescent="0.25">
      <c r="A258" s="42">
        <v>255</v>
      </c>
      <c r="B258" s="43">
        <v>42859</v>
      </c>
      <c r="C258" s="42" t="s">
        <v>50</v>
      </c>
      <c r="D258" s="42" t="s">
        <v>212</v>
      </c>
      <c r="E258" s="6">
        <f t="shared" si="177"/>
        <v>-1.0155672812500027</v>
      </c>
      <c r="F258" s="5" t="str">
        <f t="shared" si="192"/>
        <v>Loss</v>
      </c>
      <c r="G258" s="4">
        <f t="shared" si="193"/>
        <v>-0.95000000000000284</v>
      </c>
      <c r="H258" s="46">
        <v>1</v>
      </c>
      <c r="I258" s="42">
        <v>97.25</v>
      </c>
      <c r="N258" s="5">
        <f t="shared" si="194"/>
        <v>1</v>
      </c>
      <c r="O258" s="4">
        <f t="shared" si="195"/>
        <v>97.25</v>
      </c>
      <c r="P258" s="5">
        <f t="shared" si="150"/>
        <v>1</v>
      </c>
      <c r="Q258" s="42">
        <v>96.3</v>
      </c>
      <c r="R258" s="2">
        <f t="shared" si="198"/>
        <v>0</v>
      </c>
      <c r="T258" s="2">
        <f t="shared" si="178"/>
        <v>0</v>
      </c>
      <c r="V258" s="5">
        <f t="shared" si="196"/>
        <v>1</v>
      </c>
      <c r="W258" s="4">
        <f t="shared" si="197"/>
        <v>96.3</v>
      </c>
      <c r="X258" s="14">
        <f t="shared" si="151"/>
        <v>-0.95000000000000284</v>
      </c>
      <c r="Y258" s="5">
        <f t="shared" si="152"/>
        <v>-0.95000000000000284</v>
      </c>
      <c r="Z258" s="2">
        <f t="shared" si="153"/>
        <v>0</v>
      </c>
      <c r="AA258" s="4">
        <f t="shared" si="154"/>
        <v>0</v>
      </c>
      <c r="AB258" s="13">
        <f t="shared" si="155"/>
        <v>6.5567281249999998E-2</v>
      </c>
      <c r="AC258" s="10">
        <f>SUM($E$4:E258)</f>
        <v>-12043.301864078991</v>
      </c>
      <c r="AD258" s="20">
        <f>SUM($AB$4:AB258)</f>
        <v>10881.385564078959</v>
      </c>
      <c r="AF258" s="28">
        <f t="shared" si="156"/>
        <v>1.9355000000000001E-2</v>
      </c>
      <c r="AG258" s="2">
        <f t="shared" si="157"/>
        <v>2.4074999999999999E-2</v>
      </c>
      <c r="AH258" s="2">
        <f t="shared" si="158"/>
        <v>6.290375E-3</v>
      </c>
      <c r="AI258" s="2">
        <f t="shared" si="179"/>
        <v>2.5645375000000002E-2</v>
      </c>
      <c r="AJ258" s="2">
        <f t="shared" si="180"/>
        <v>3.8468062500000002E-3</v>
      </c>
      <c r="AK258" s="2">
        <f t="shared" si="159"/>
        <v>3.8710000000000003E-4</v>
      </c>
      <c r="AL258" s="2">
        <f t="shared" si="160"/>
        <v>1.1613000000000002E-2</v>
      </c>
      <c r="AM258" s="2">
        <f t="shared" si="181"/>
        <v>6.5567281249999998E-2</v>
      </c>
      <c r="AN258" s="2">
        <f t="shared" si="161"/>
        <v>40</v>
      </c>
      <c r="AO258" s="2">
        <f t="shared" si="162"/>
        <v>4.8149999999999998E-2</v>
      </c>
      <c r="AP258" s="2">
        <f t="shared" si="163"/>
        <v>0.10258150000000001</v>
      </c>
      <c r="AQ258" s="2">
        <f t="shared" si="182"/>
        <v>40.102581499999999</v>
      </c>
      <c r="AR258" s="2">
        <f t="shared" si="183"/>
        <v>6.0153872249999996</v>
      </c>
      <c r="AS258" s="2">
        <f t="shared" si="164"/>
        <v>3.8710000000000003E-4</v>
      </c>
      <c r="AT258" s="2">
        <f t="shared" si="165"/>
        <v>1.1613000000000002E-2</v>
      </c>
      <c r="AU258" s="2">
        <f t="shared" si="184"/>
        <v>46.178118824999991</v>
      </c>
      <c r="AV258" s="2">
        <f t="shared" si="166"/>
        <v>1.9355000000000001E-2</v>
      </c>
      <c r="AW258" s="2">
        <f t="shared" si="167"/>
        <v>9.6299999999999997E-3</v>
      </c>
      <c r="AX258" s="2">
        <f t="shared" si="168"/>
        <v>4.0645500000000001E-3</v>
      </c>
      <c r="AY258" s="2">
        <f t="shared" si="185"/>
        <v>2.3419550000000001E-2</v>
      </c>
      <c r="AZ258" s="2">
        <f t="shared" si="186"/>
        <v>3.5129325E-3</v>
      </c>
      <c r="BA258" s="2">
        <f t="shared" si="169"/>
        <v>3.8710000000000003E-4</v>
      </c>
      <c r="BB258" s="2">
        <f t="shared" si="170"/>
        <v>1.1613000000000002E-2</v>
      </c>
      <c r="BC258" s="2">
        <f t="shared" si="187"/>
        <v>4.8562582500000007E-2</v>
      </c>
      <c r="BD258" s="2">
        <v>0</v>
      </c>
      <c r="BE258" s="2">
        <f t="shared" si="171"/>
        <v>0.19355000000000003</v>
      </c>
      <c r="BF258" s="2">
        <f t="shared" si="172"/>
        <v>6.290375E-3</v>
      </c>
      <c r="BG258" s="2">
        <f t="shared" si="188"/>
        <v>6.290375E-3</v>
      </c>
      <c r="BH258" s="2">
        <f t="shared" si="189"/>
        <v>9.4355624999999999E-4</v>
      </c>
      <c r="BI258" s="2">
        <f t="shared" si="173"/>
        <v>3.8710000000000003E-4</v>
      </c>
      <c r="BJ258" s="2">
        <f t="shared" si="174"/>
        <v>1.1613000000000002E-2</v>
      </c>
      <c r="BK258" s="2">
        <f t="shared" si="190"/>
        <v>0.21278403125000003</v>
      </c>
      <c r="BL258" s="2">
        <f t="shared" si="175"/>
        <v>97.25</v>
      </c>
      <c r="BM258" s="2">
        <f t="shared" si="176"/>
        <v>96.3</v>
      </c>
      <c r="BN258" s="2">
        <f t="shared" si="191"/>
        <v>193.55</v>
      </c>
    </row>
    <row r="259" spans="1:66" x14ac:dyDescent="0.25">
      <c r="A259" s="42">
        <v>256</v>
      </c>
      <c r="B259" s="43">
        <v>42859</v>
      </c>
      <c r="C259" s="42" t="s">
        <v>50</v>
      </c>
      <c r="D259" s="42" t="s">
        <v>213</v>
      </c>
      <c r="E259" s="6">
        <f t="shared" si="177"/>
        <v>3.5960593750000713E-2</v>
      </c>
      <c r="F259" s="5" t="str">
        <f t="shared" si="192"/>
        <v>Win</v>
      </c>
      <c r="G259" s="4">
        <f t="shared" si="193"/>
        <v>5.0000000000000711E-2</v>
      </c>
      <c r="H259" s="46">
        <v>1</v>
      </c>
      <c r="I259" s="42">
        <v>20.65</v>
      </c>
      <c r="N259" s="5">
        <f t="shared" si="194"/>
        <v>1</v>
      </c>
      <c r="O259" s="4">
        <f t="shared" si="195"/>
        <v>20.65</v>
      </c>
      <c r="P259" s="5">
        <f t="shared" si="150"/>
        <v>1</v>
      </c>
      <c r="Q259" s="42">
        <v>20.7</v>
      </c>
      <c r="R259" s="2">
        <f t="shared" si="198"/>
        <v>0</v>
      </c>
      <c r="T259" s="2">
        <f t="shared" si="178"/>
        <v>0</v>
      </c>
      <c r="V259" s="5">
        <f t="shared" si="196"/>
        <v>1</v>
      </c>
      <c r="W259" s="4">
        <f t="shared" si="197"/>
        <v>20.7</v>
      </c>
      <c r="X259" s="14">
        <f t="shared" si="151"/>
        <v>5.0000000000000711E-2</v>
      </c>
      <c r="Y259" s="5">
        <f t="shared" si="152"/>
        <v>5.0000000000000711E-2</v>
      </c>
      <c r="Z259" s="2">
        <f t="shared" si="153"/>
        <v>0</v>
      </c>
      <c r="AA259" s="4">
        <f t="shared" si="154"/>
        <v>0</v>
      </c>
      <c r="AB259" s="13">
        <f t="shared" si="155"/>
        <v>1.4039406249999997E-2</v>
      </c>
      <c r="AC259" s="10">
        <f>SUM($E$4:E259)</f>
        <v>-12043.26590348524</v>
      </c>
      <c r="AD259" s="20">
        <f>SUM($AB$4:AB259)</f>
        <v>10881.399603485208</v>
      </c>
      <c r="AF259" s="28">
        <f t="shared" si="156"/>
        <v>4.1349999999999998E-3</v>
      </c>
      <c r="AG259" s="2">
        <f t="shared" si="157"/>
        <v>5.1749999999999999E-3</v>
      </c>
      <c r="AH259" s="2">
        <f t="shared" si="158"/>
        <v>1.3438749999999998E-3</v>
      </c>
      <c r="AI259" s="2">
        <f t="shared" si="179"/>
        <v>5.4788749999999994E-3</v>
      </c>
      <c r="AJ259" s="2">
        <f t="shared" si="180"/>
        <v>8.2183124999999984E-4</v>
      </c>
      <c r="AK259" s="2">
        <f t="shared" si="159"/>
        <v>8.2699999999999991E-5</v>
      </c>
      <c r="AL259" s="2">
        <f t="shared" si="160"/>
        <v>2.4809999999999997E-3</v>
      </c>
      <c r="AM259" s="2">
        <f t="shared" si="181"/>
        <v>1.4039406249999997E-2</v>
      </c>
      <c r="AN259" s="2">
        <f t="shared" si="161"/>
        <v>40</v>
      </c>
      <c r="AO259" s="2">
        <f t="shared" si="162"/>
        <v>1.035E-2</v>
      </c>
      <c r="AP259" s="2">
        <f t="shared" si="163"/>
        <v>2.1915499999999997E-2</v>
      </c>
      <c r="AQ259" s="2">
        <f t="shared" si="182"/>
        <v>40.021915499999999</v>
      </c>
      <c r="AR259" s="2">
        <f t="shared" si="183"/>
        <v>6.0032873249999996</v>
      </c>
      <c r="AS259" s="2">
        <f t="shared" si="164"/>
        <v>8.2699999999999991E-5</v>
      </c>
      <c r="AT259" s="2">
        <f t="shared" si="165"/>
        <v>2.4809999999999997E-3</v>
      </c>
      <c r="AU259" s="2">
        <f t="shared" si="184"/>
        <v>46.038116525000007</v>
      </c>
      <c r="AV259" s="2">
        <f t="shared" si="166"/>
        <v>4.1349999999999998E-3</v>
      </c>
      <c r="AW259" s="2">
        <f t="shared" si="167"/>
        <v>2.0700000000000002E-3</v>
      </c>
      <c r="AX259" s="2">
        <f t="shared" si="168"/>
        <v>8.6834999999999983E-4</v>
      </c>
      <c r="AY259" s="2">
        <f t="shared" si="185"/>
        <v>5.0033499999999993E-3</v>
      </c>
      <c r="AZ259" s="2">
        <f t="shared" si="186"/>
        <v>7.5050249999999985E-4</v>
      </c>
      <c r="BA259" s="2">
        <f t="shared" si="169"/>
        <v>8.2699999999999991E-5</v>
      </c>
      <c r="BB259" s="2">
        <f t="shared" si="170"/>
        <v>2.4809999999999997E-3</v>
      </c>
      <c r="BC259" s="2">
        <f t="shared" si="187"/>
        <v>1.0387552499999998E-2</v>
      </c>
      <c r="BD259" s="2">
        <v>0</v>
      </c>
      <c r="BE259" s="2">
        <f t="shared" si="171"/>
        <v>4.1349999999999998E-2</v>
      </c>
      <c r="BF259" s="2">
        <f t="shared" si="172"/>
        <v>1.3438749999999998E-3</v>
      </c>
      <c r="BG259" s="2">
        <f t="shared" si="188"/>
        <v>1.3438749999999998E-3</v>
      </c>
      <c r="BH259" s="2">
        <f t="shared" si="189"/>
        <v>2.0158124999999997E-4</v>
      </c>
      <c r="BI259" s="2">
        <f t="shared" si="173"/>
        <v>8.2699999999999991E-5</v>
      </c>
      <c r="BJ259" s="2">
        <f t="shared" si="174"/>
        <v>2.4809999999999997E-3</v>
      </c>
      <c r="BK259" s="2">
        <f t="shared" si="190"/>
        <v>4.5459156249999993E-2</v>
      </c>
      <c r="BL259" s="2">
        <f t="shared" si="175"/>
        <v>20.65</v>
      </c>
      <c r="BM259" s="2">
        <f t="shared" si="176"/>
        <v>20.7</v>
      </c>
      <c r="BN259" s="2">
        <f t="shared" si="191"/>
        <v>41.349999999999994</v>
      </c>
    </row>
    <row r="260" spans="1:66" x14ac:dyDescent="0.25">
      <c r="A260" s="42">
        <v>257</v>
      </c>
      <c r="B260" s="43">
        <v>42859</v>
      </c>
      <c r="C260" s="42" t="s">
        <v>50</v>
      </c>
      <c r="D260" s="42" t="s">
        <v>214</v>
      </c>
      <c r="E260" s="6">
        <f t="shared" si="177"/>
        <v>0.67001775000004538</v>
      </c>
      <c r="F260" s="5" t="str">
        <f t="shared" si="192"/>
        <v>Win</v>
      </c>
      <c r="G260" s="4">
        <f t="shared" si="193"/>
        <v>1.2000000000000455</v>
      </c>
      <c r="H260" s="46">
        <v>1</v>
      </c>
      <c r="I260" s="42">
        <v>780</v>
      </c>
      <c r="N260" s="5">
        <f t="shared" si="194"/>
        <v>1</v>
      </c>
      <c r="O260" s="4">
        <f t="shared" si="195"/>
        <v>780</v>
      </c>
      <c r="P260" s="5">
        <f t="shared" ref="P260:P323" si="199">H260</f>
        <v>1</v>
      </c>
      <c r="Q260" s="42">
        <v>781.2</v>
      </c>
      <c r="R260" s="2">
        <f t="shared" si="198"/>
        <v>0</v>
      </c>
      <c r="T260" s="2">
        <f t="shared" si="178"/>
        <v>0</v>
      </c>
      <c r="V260" s="5">
        <f t="shared" si="196"/>
        <v>1</v>
      </c>
      <c r="W260" s="4">
        <f t="shared" si="197"/>
        <v>781.2</v>
      </c>
      <c r="X260" s="14">
        <f t="shared" ref="X260:X323" si="200">MAX(Q260,S260,U260)-MIN(I260,K260,M260)</f>
        <v>1.2000000000000455</v>
      </c>
      <c r="Y260" s="5">
        <f t="shared" ref="Y260:Y323" si="201">P260*(Q260-I260)</f>
        <v>1.2000000000000455</v>
      </c>
      <c r="Z260" s="2">
        <f t="shared" ref="Z260:Z323" si="202">R260*(S260-K260)</f>
        <v>0</v>
      </c>
      <c r="AA260" s="4">
        <f t="shared" ref="AA260:AA323" si="203">T260*(U260-M260)</f>
        <v>0</v>
      </c>
      <c r="AB260" s="13">
        <f t="shared" ref="AB260:AB323" si="204">IF(C260="EQ Intraday",AM260,IF(C260="Index Option",AU260,IF(C260="Index Future",BC260,IF(C260="EQ Delivery",BK260,IF(C260="Stock Option",AU260,IF(C260="Stock Future",BC260,IF(C260="",0,"Error")))))))</f>
        <v>0.5299822500000001</v>
      </c>
      <c r="AC260" s="10">
        <f>SUM($E$4:E260)</f>
        <v>-12042.59588573524</v>
      </c>
      <c r="AD260" s="20">
        <f>SUM($AB$4:AB260)</f>
        <v>10881.929585735208</v>
      </c>
      <c r="AF260" s="28">
        <f t="shared" ref="AF260:AF323" si="205">MIN(IF(ISBLANK(U260)=FALSE,120,IF(ISBLANK(S260)=FALSE,80,40)),(((V260*W260)+(N260*O260))*0.0001))</f>
        <v>0.15612000000000001</v>
      </c>
      <c r="AG260" s="2">
        <f t="shared" ref="AG260:AG323" si="206">(0.00025*V260*W260)</f>
        <v>0.19530000000000003</v>
      </c>
      <c r="AH260" s="2">
        <f t="shared" ref="AH260:AH323" si="207">(0.0000325*((V260*W260)+(N260*O260)))</f>
        <v>5.0738999999999999E-2</v>
      </c>
      <c r="AI260" s="2">
        <f t="shared" si="179"/>
        <v>0.20685900000000002</v>
      </c>
      <c r="AJ260" s="2">
        <f t="shared" si="180"/>
        <v>3.102885E-2</v>
      </c>
      <c r="AK260" s="2">
        <f t="shared" ref="AK260:AK323" si="208">(((V260*W260)+(N260*O260))/10000000)*20</f>
        <v>3.1224000000000004E-3</v>
      </c>
      <c r="AL260" s="2">
        <f t="shared" ref="AL260:AL323" si="209">0.00006*((V260*W260)+(N260*O260))</f>
        <v>9.3672000000000005E-2</v>
      </c>
      <c r="AM260" s="2">
        <f t="shared" si="181"/>
        <v>0.5299822500000001</v>
      </c>
      <c r="AN260" s="2">
        <f t="shared" ref="AN260:AN323" si="210">COUNT(H260,J260,L260)*40</f>
        <v>40</v>
      </c>
      <c r="AO260" s="2">
        <f t="shared" ref="AO260:AO323" si="211">0.0005*V260*W260</f>
        <v>0.39060000000000006</v>
      </c>
      <c r="AP260" s="2">
        <f t="shared" ref="AP260:AP323" si="212">0.00053*((N260*O260)+(V260*W260))</f>
        <v>0.82743599999999995</v>
      </c>
      <c r="AQ260" s="2">
        <f t="shared" si="182"/>
        <v>40.827435999999999</v>
      </c>
      <c r="AR260" s="2">
        <f t="shared" si="183"/>
        <v>6.1241154</v>
      </c>
      <c r="AS260" s="2">
        <f t="shared" ref="AS260:AS323" si="213">(((V260*W260)+(N260*O260))/10000000)*20</f>
        <v>3.1224000000000004E-3</v>
      </c>
      <c r="AT260" s="2">
        <f t="shared" ref="AT260:AT323" si="214">0.00006*((V260*W260)+(N260*O260))</f>
        <v>9.3672000000000005E-2</v>
      </c>
      <c r="AU260" s="2">
        <f t="shared" si="184"/>
        <v>47.438945799999999</v>
      </c>
      <c r="AV260" s="2">
        <f t="shared" ref="AV260:AV323" si="215">MIN(IF(ISBLANK(U260)=FALSE,120,IF(ISBLANK(S260)=FALSE,80,40)),(((V260*W260)+(N260*O260))*0.0001))</f>
        <v>0.15612000000000001</v>
      </c>
      <c r="AW260" s="2">
        <f t="shared" ref="AW260:AW323" si="216">0.0001*V260*W260</f>
        <v>7.8120000000000009E-2</v>
      </c>
      <c r="AX260" s="2">
        <f t="shared" ref="AX260:AX323" si="217">0.000021*((N260*O260)+(V260*W260))</f>
        <v>3.27852E-2</v>
      </c>
      <c r="AY260" s="2">
        <f t="shared" si="185"/>
        <v>0.1889052</v>
      </c>
      <c r="AZ260" s="2">
        <f t="shared" si="186"/>
        <v>2.8335779999999998E-2</v>
      </c>
      <c r="BA260" s="2">
        <f t="shared" ref="BA260:BA323" si="218">(((V260*W260)+(N260*O260))/10000000)*20</f>
        <v>3.1224000000000004E-3</v>
      </c>
      <c r="BB260" s="2">
        <f t="shared" ref="BB260:BB323" si="219">0.00006*((V260*W260)+(N260*O260))</f>
        <v>9.3672000000000005E-2</v>
      </c>
      <c r="BC260" s="2">
        <f t="shared" si="187"/>
        <v>0.39215538000000005</v>
      </c>
      <c r="BD260" s="2">
        <v>0</v>
      </c>
      <c r="BE260" s="2">
        <f t="shared" ref="BE260:BE323" si="220">0.001*((N260*O260)+(V260*W260))</f>
        <v>1.5612000000000001</v>
      </c>
      <c r="BF260" s="2">
        <f t="shared" ref="BF260:BF323" si="221">(0.0000325*((V260*W260)+(N260*O260)))</f>
        <v>5.0738999999999999E-2</v>
      </c>
      <c r="BG260" s="2">
        <f t="shared" si="188"/>
        <v>5.0738999999999999E-2</v>
      </c>
      <c r="BH260" s="2">
        <f t="shared" si="189"/>
        <v>7.6108499999999997E-3</v>
      </c>
      <c r="BI260" s="2">
        <f t="shared" ref="BI260:BI323" si="222">(((V260*W260)+(N260*O260))/10000000)*20</f>
        <v>3.1224000000000004E-3</v>
      </c>
      <c r="BJ260" s="2">
        <f t="shared" ref="BJ260:BJ323" si="223">0.00006*((V260*W260)+(N260*O260))</f>
        <v>9.3672000000000005E-2</v>
      </c>
      <c r="BK260" s="2">
        <f t="shared" si="190"/>
        <v>1.7163442500000003</v>
      </c>
      <c r="BL260" s="2">
        <f t="shared" ref="BL260:BL323" si="224">N260*O260</f>
        <v>780</v>
      </c>
      <c r="BM260" s="2">
        <f t="shared" ref="BM260:BM323" si="225">V260*W260</f>
        <v>781.2</v>
      </c>
      <c r="BN260" s="2">
        <f t="shared" si="191"/>
        <v>1561.2</v>
      </c>
    </row>
    <row r="261" spans="1:66" x14ac:dyDescent="0.25">
      <c r="A261" s="42">
        <v>258</v>
      </c>
      <c r="B261" s="43">
        <v>42859</v>
      </c>
      <c r="C261" s="42" t="s">
        <v>50</v>
      </c>
      <c r="D261" s="42" t="s">
        <v>215</v>
      </c>
      <c r="E261" s="6">
        <f t="shared" ref="E261:E324" si="226">G261-AB261</f>
        <v>-2.1841095624999318</v>
      </c>
      <c r="F261" s="5" t="str">
        <f t="shared" si="192"/>
        <v>Loss</v>
      </c>
      <c r="G261" s="4">
        <f t="shared" si="193"/>
        <v>-1.6999999999999318</v>
      </c>
      <c r="H261" s="46">
        <v>1</v>
      </c>
      <c r="I261" s="42">
        <v>714.4</v>
      </c>
      <c r="N261" s="5">
        <f t="shared" si="194"/>
        <v>1</v>
      </c>
      <c r="O261" s="4">
        <f t="shared" si="195"/>
        <v>714.4</v>
      </c>
      <c r="P261" s="5">
        <f t="shared" si="199"/>
        <v>1</v>
      </c>
      <c r="Q261" s="42">
        <v>712.7</v>
      </c>
      <c r="R261" s="2">
        <f t="shared" si="198"/>
        <v>0</v>
      </c>
      <c r="T261" s="2">
        <f t="shared" ref="T261:T324" si="227">L261</f>
        <v>0</v>
      </c>
      <c r="V261" s="5">
        <f t="shared" si="196"/>
        <v>1</v>
      </c>
      <c r="W261" s="4">
        <f t="shared" si="197"/>
        <v>712.7</v>
      </c>
      <c r="X261" s="14">
        <f t="shared" si="200"/>
        <v>-1.6999999999999318</v>
      </c>
      <c r="Y261" s="5">
        <f t="shared" si="201"/>
        <v>-1.6999999999999318</v>
      </c>
      <c r="Z261" s="2">
        <f t="shared" si="202"/>
        <v>0</v>
      </c>
      <c r="AA261" s="4">
        <f t="shared" si="203"/>
        <v>0</v>
      </c>
      <c r="AB261" s="13">
        <f t="shared" si="204"/>
        <v>0.48410956249999998</v>
      </c>
      <c r="AC261" s="10">
        <f>SUM($E$4:E261)</f>
        <v>-12044.77999529774</v>
      </c>
      <c r="AD261" s="20">
        <f>SUM($AB$4:AB261)</f>
        <v>10882.413695297708</v>
      </c>
      <c r="AF261" s="28">
        <f t="shared" si="205"/>
        <v>0.14271</v>
      </c>
      <c r="AG261" s="2">
        <f t="shared" si="206"/>
        <v>0.17817500000000003</v>
      </c>
      <c r="AH261" s="2">
        <f t="shared" si="207"/>
        <v>4.6380749999999991E-2</v>
      </c>
      <c r="AI261" s="2">
        <f t="shared" ref="AI261:AI324" si="228">AH261+AF261</f>
        <v>0.18909075</v>
      </c>
      <c r="AJ261" s="2">
        <f t="shared" ref="AJ261:AJ324" si="229">0.15*AI261</f>
        <v>2.83636125E-2</v>
      </c>
      <c r="AK261" s="2">
        <f t="shared" si="208"/>
        <v>2.8541999999999999E-3</v>
      </c>
      <c r="AL261" s="2">
        <f t="shared" si="209"/>
        <v>8.5625999999999994E-2</v>
      </c>
      <c r="AM261" s="2">
        <f t="shared" ref="AM261:AM324" si="230">SUM(AF261:AH261,AJ261:AL261)</f>
        <v>0.48410956249999998</v>
      </c>
      <c r="AN261" s="2">
        <f t="shared" si="210"/>
        <v>40</v>
      </c>
      <c r="AO261" s="2">
        <f t="shared" si="211"/>
        <v>0.35635000000000006</v>
      </c>
      <c r="AP261" s="2">
        <f t="shared" si="212"/>
        <v>0.7563629999999999</v>
      </c>
      <c r="AQ261" s="2">
        <f t="shared" ref="AQ261:AQ324" si="231">AN261+AP261</f>
        <v>40.756363</v>
      </c>
      <c r="AR261" s="2">
        <f t="shared" ref="AR261:AR324" si="232">0.15*AQ261</f>
        <v>6.1134544499999999</v>
      </c>
      <c r="AS261" s="2">
        <f t="shared" si="213"/>
        <v>2.8541999999999999E-3</v>
      </c>
      <c r="AT261" s="2">
        <f t="shared" si="214"/>
        <v>8.5625999999999994E-2</v>
      </c>
      <c r="AU261" s="2">
        <f t="shared" ref="AU261:AU324" si="233">SUM(AN261:AP261,AR261:AT261)</f>
        <v>47.314647649999998</v>
      </c>
      <c r="AV261" s="2">
        <f t="shared" si="215"/>
        <v>0.14271</v>
      </c>
      <c r="AW261" s="2">
        <f t="shared" si="216"/>
        <v>7.1270000000000014E-2</v>
      </c>
      <c r="AX261" s="2">
        <f t="shared" si="217"/>
        <v>2.9969099999999995E-2</v>
      </c>
      <c r="AY261" s="2">
        <f t="shared" ref="AY261:AY324" si="234">AV261+AX261</f>
        <v>0.1726791</v>
      </c>
      <c r="AZ261" s="2">
        <f t="shared" ref="AZ261:AZ324" si="235">0.15*AY261</f>
        <v>2.5901865E-2</v>
      </c>
      <c r="BA261" s="2">
        <f t="shared" si="218"/>
        <v>2.8541999999999999E-3</v>
      </c>
      <c r="BB261" s="2">
        <f t="shared" si="219"/>
        <v>8.5625999999999994E-2</v>
      </c>
      <c r="BC261" s="2">
        <f t="shared" ref="BC261:BC324" si="236">SUM(AV261:AX261,AZ261:BB261)</f>
        <v>0.35833116499999995</v>
      </c>
      <c r="BD261" s="2">
        <v>0</v>
      </c>
      <c r="BE261" s="2">
        <f t="shared" si="220"/>
        <v>1.4271</v>
      </c>
      <c r="BF261" s="2">
        <f t="shared" si="221"/>
        <v>4.6380749999999991E-2</v>
      </c>
      <c r="BG261" s="2">
        <f t="shared" ref="BG261:BG324" si="237">BD261+BF261</f>
        <v>4.6380749999999991E-2</v>
      </c>
      <c r="BH261" s="2">
        <f t="shared" ref="BH261:BH324" si="238">0.15*BG261</f>
        <v>6.9571124999999985E-3</v>
      </c>
      <c r="BI261" s="2">
        <f t="shared" si="222"/>
        <v>2.8541999999999999E-3</v>
      </c>
      <c r="BJ261" s="2">
        <f t="shared" si="223"/>
        <v>8.5625999999999994E-2</v>
      </c>
      <c r="BK261" s="2">
        <f t="shared" ref="BK261:BK324" si="239">SUM(BD261:BF261,BH261:BJ261)</f>
        <v>1.5689180625000001</v>
      </c>
      <c r="BL261" s="2">
        <f t="shared" si="224"/>
        <v>714.4</v>
      </c>
      <c r="BM261" s="2">
        <f t="shared" si="225"/>
        <v>712.7</v>
      </c>
      <c r="BN261" s="2">
        <f t="shared" ref="BN261:BN324" si="240">BM261+BL261</f>
        <v>1427.1</v>
      </c>
    </row>
    <row r="262" spans="1:66" x14ac:dyDescent="0.25">
      <c r="A262" s="42">
        <v>259</v>
      </c>
      <c r="B262" s="43">
        <v>42859</v>
      </c>
      <c r="C262" s="42" t="s">
        <v>50</v>
      </c>
      <c r="D262" s="42" t="s">
        <v>216</v>
      </c>
      <c r="E262" s="6">
        <f t="shared" si="226"/>
        <v>-0.50542775000000573</v>
      </c>
      <c r="F262" s="5" t="str">
        <f t="shared" ref="F262:F325" si="241">IF(G262&gt;0,"Win",IF(G262=0,"Break Even","Loss"))</f>
        <v>Loss</v>
      </c>
      <c r="G262" s="4">
        <f t="shared" ref="G262:G325" si="242">SUM(Y262,Z262,AA262)</f>
        <v>-0.40000000000000568</v>
      </c>
      <c r="H262" s="46">
        <v>1</v>
      </c>
      <c r="I262" s="42">
        <v>155.6</v>
      </c>
      <c r="N262" s="5">
        <f t="shared" ref="N262:N325" si="243">SUM(H262,J262,L262)</f>
        <v>1</v>
      </c>
      <c r="O262" s="4">
        <f t="shared" ref="O262:O325" si="244">AVERAGE(M262,K262,I262)</f>
        <v>155.6</v>
      </c>
      <c r="P262" s="5">
        <f t="shared" si="199"/>
        <v>1</v>
      </c>
      <c r="Q262" s="42">
        <v>155.19999999999999</v>
      </c>
      <c r="R262" s="2">
        <f t="shared" si="198"/>
        <v>0</v>
      </c>
      <c r="T262" s="2">
        <f t="shared" si="227"/>
        <v>0</v>
      </c>
      <c r="V262" s="5">
        <f t="shared" ref="V262:V325" si="245">SUM(P262,R262,T262)</f>
        <v>1</v>
      </c>
      <c r="W262" s="4">
        <f t="shared" ref="W262:W325" si="246">AVERAGE(Q262,S262,U262)</f>
        <v>155.19999999999999</v>
      </c>
      <c r="X262" s="14">
        <f t="shared" si="200"/>
        <v>-0.40000000000000568</v>
      </c>
      <c r="Y262" s="5">
        <f t="shared" si="201"/>
        <v>-0.40000000000000568</v>
      </c>
      <c r="Z262" s="2">
        <f t="shared" si="202"/>
        <v>0</v>
      </c>
      <c r="AA262" s="4">
        <f t="shared" si="203"/>
        <v>0</v>
      </c>
      <c r="AB262" s="13">
        <f t="shared" si="204"/>
        <v>0.10542774999999999</v>
      </c>
      <c r="AC262" s="10">
        <f>SUM($E$4:E262)</f>
        <v>-12045.285423047741</v>
      </c>
      <c r="AD262" s="20">
        <f>SUM($AB$4:AB262)</f>
        <v>10882.519123047708</v>
      </c>
      <c r="AF262" s="28">
        <f t="shared" si="205"/>
        <v>3.1079999999999997E-2</v>
      </c>
      <c r="AG262" s="2">
        <f t="shared" si="206"/>
        <v>3.8800000000000001E-2</v>
      </c>
      <c r="AH262" s="2">
        <f t="shared" si="207"/>
        <v>1.0100999999999997E-2</v>
      </c>
      <c r="AI262" s="2">
        <f t="shared" si="228"/>
        <v>4.1180999999999995E-2</v>
      </c>
      <c r="AJ262" s="2">
        <f t="shared" si="229"/>
        <v>6.1771499999999993E-3</v>
      </c>
      <c r="AK262" s="2">
        <f t="shared" si="208"/>
        <v>6.2159999999999993E-4</v>
      </c>
      <c r="AL262" s="2">
        <f t="shared" si="209"/>
        <v>1.8647999999999998E-2</v>
      </c>
      <c r="AM262" s="2">
        <f t="shared" si="230"/>
        <v>0.10542774999999999</v>
      </c>
      <c r="AN262" s="2">
        <f t="shared" si="210"/>
        <v>40</v>
      </c>
      <c r="AO262" s="2">
        <f t="shared" si="211"/>
        <v>7.7600000000000002E-2</v>
      </c>
      <c r="AP262" s="2">
        <f t="shared" si="212"/>
        <v>0.16472399999999998</v>
      </c>
      <c r="AQ262" s="2">
        <f t="shared" si="231"/>
        <v>40.164724</v>
      </c>
      <c r="AR262" s="2">
        <f t="shared" si="232"/>
        <v>6.0247085999999994</v>
      </c>
      <c r="AS262" s="2">
        <f t="shared" si="213"/>
        <v>6.2159999999999993E-4</v>
      </c>
      <c r="AT262" s="2">
        <f t="shared" si="214"/>
        <v>1.8647999999999998E-2</v>
      </c>
      <c r="AU262" s="2">
        <f t="shared" si="233"/>
        <v>46.286302199999994</v>
      </c>
      <c r="AV262" s="2">
        <f t="shared" si="215"/>
        <v>3.1079999999999997E-2</v>
      </c>
      <c r="AW262" s="2">
        <f t="shared" si="216"/>
        <v>1.5519999999999999E-2</v>
      </c>
      <c r="AX262" s="2">
        <f t="shared" si="217"/>
        <v>6.5267999999999984E-3</v>
      </c>
      <c r="AY262" s="2">
        <f t="shared" si="234"/>
        <v>3.7606799999999996E-2</v>
      </c>
      <c r="AZ262" s="2">
        <f t="shared" si="235"/>
        <v>5.6410199999999992E-3</v>
      </c>
      <c r="BA262" s="2">
        <f t="shared" si="218"/>
        <v>6.2159999999999993E-4</v>
      </c>
      <c r="BB262" s="2">
        <f t="shared" si="219"/>
        <v>1.8647999999999998E-2</v>
      </c>
      <c r="BC262" s="2">
        <f t="shared" si="236"/>
        <v>7.8037419999999996E-2</v>
      </c>
      <c r="BD262" s="2">
        <v>0</v>
      </c>
      <c r="BE262" s="2">
        <f t="shared" si="220"/>
        <v>0.31079999999999997</v>
      </c>
      <c r="BF262" s="2">
        <f t="shared" si="221"/>
        <v>1.0100999999999997E-2</v>
      </c>
      <c r="BG262" s="2">
        <f t="shared" si="237"/>
        <v>1.0100999999999997E-2</v>
      </c>
      <c r="BH262" s="2">
        <f t="shared" si="238"/>
        <v>1.5151499999999996E-3</v>
      </c>
      <c r="BI262" s="2">
        <f t="shared" si="222"/>
        <v>6.2159999999999993E-4</v>
      </c>
      <c r="BJ262" s="2">
        <f t="shared" si="223"/>
        <v>1.8647999999999998E-2</v>
      </c>
      <c r="BK262" s="2">
        <f t="shared" si="239"/>
        <v>0.34168574999999995</v>
      </c>
      <c r="BL262" s="2">
        <f t="shared" si="224"/>
        <v>155.6</v>
      </c>
      <c r="BM262" s="2">
        <f t="shared" si="225"/>
        <v>155.19999999999999</v>
      </c>
      <c r="BN262" s="2">
        <f t="shared" si="240"/>
        <v>310.79999999999995</v>
      </c>
    </row>
    <row r="263" spans="1:66" x14ac:dyDescent="0.25">
      <c r="A263" s="42">
        <v>260</v>
      </c>
      <c r="B263" s="43">
        <v>42859</v>
      </c>
      <c r="C263" s="42" t="s">
        <v>50</v>
      </c>
      <c r="D263" s="42" t="s">
        <v>217</v>
      </c>
      <c r="E263" s="6">
        <f t="shared" si="226"/>
        <v>-7.8273031249988634E-2</v>
      </c>
      <c r="F263" s="5" t="str">
        <f t="shared" si="241"/>
        <v>Win</v>
      </c>
      <c r="G263" s="4">
        <f t="shared" si="242"/>
        <v>5.0000000000011369E-2</v>
      </c>
      <c r="H263" s="46">
        <v>1</v>
      </c>
      <c r="I263" s="42">
        <v>188.95</v>
      </c>
      <c r="N263" s="5">
        <f t="shared" si="243"/>
        <v>1</v>
      </c>
      <c r="O263" s="4">
        <f t="shared" si="244"/>
        <v>188.95</v>
      </c>
      <c r="P263" s="5">
        <f t="shared" si="199"/>
        <v>1</v>
      </c>
      <c r="Q263" s="42">
        <v>189</v>
      </c>
      <c r="R263" s="2">
        <f t="shared" si="198"/>
        <v>0</v>
      </c>
      <c r="T263" s="2">
        <f t="shared" si="227"/>
        <v>0</v>
      </c>
      <c r="V263" s="5">
        <f t="shared" si="245"/>
        <v>1</v>
      </c>
      <c r="W263" s="4">
        <f t="shared" si="246"/>
        <v>189</v>
      </c>
      <c r="X263" s="14">
        <f t="shared" si="200"/>
        <v>5.0000000000011369E-2</v>
      </c>
      <c r="Y263" s="5">
        <f t="shared" si="201"/>
        <v>5.0000000000011369E-2</v>
      </c>
      <c r="Z263" s="2">
        <f t="shared" si="202"/>
        <v>0</v>
      </c>
      <c r="AA263" s="4">
        <f t="shared" si="203"/>
        <v>0</v>
      </c>
      <c r="AB263" s="13">
        <f t="shared" si="204"/>
        <v>0.12827303125</v>
      </c>
      <c r="AC263" s="10">
        <f>SUM($E$4:E263)</f>
        <v>-12045.36369607899</v>
      </c>
      <c r="AD263" s="20">
        <f>SUM($AB$4:AB263)</f>
        <v>10882.647396078959</v>
      </c>
      <c r="AF263" s="28">
        <f t="shared" si="205"/>
        <v>3.7795000000000002E-2</v>
      </c>
      <c r="AG263" s="2">
        <f t="shared" si="206"/>
        <v>4.725E-2</v>
      </c>
      <c r="AH263" s="2">
        <f t="shared" si="207"/>
        <v>1.2283374999999999E-2</v>
      </c>
      <c r="AI263" s="2">
        <f t="shared" si="228"/>
        <v>5.0078375000000001E-2</v>
      </c>
      <c r="AJ263" s="2">
        <f t="shared" si="229"/>
        <v>7.5117562499999995E-3</v>
      </c>
      <c r="AK263" s="2">
        <f t="shared" si="208"/>
        <v>7.559E-4</v>
      </c>
      <c r="AL263" s="2">
        <f t="shared" si="209"/>
        <v>2.2676999999999999E-2</v>
      </c>
      <c r="AM263" s="2">
        <f t="shared" si="230"/>
        <v>0.12827303125</v>
      </c>
      <c r="AN263" s="2">
        <f t="shared" si="210"/>
        <v>40</v>
      </c>
      <c r="AO263" s="2">
        <f t="shared" si="211"/>
        <v>9.4500000000000001E-2</v>
      </c>
      <c r="AP263" s="2">
        <f t="shared" si="212"/>
        <v>0.20031349999999998</v>
      </c>
      <c r="AQ263" s="2">
        <f t="shared" si="231"/>
        <v>40.2003135</v>
      </c>
      <c r="AR263" s="2">
        <f t="shared" si="232"/>
        <v>6.030047025</v>
      </c>
      <c r="AS263" s="2">
        <f t="shared" si="213"/>
        <v>7.559E-4</v>
      </c>
      <c r="AT263" s="2">
        <f t="shared" si="214"/>
        <v>2.2676999999999999E-2</v>
      </c>
      <c r="AU263" s="2">
        <f t="shared" si="233"/>
        <v>46.348293425000001</v>
      </c>
      <c r="AV263" s="2">
        <f t="shared" si="215"/>
        <v>3.7795000000000002E-2</v>
      </c>
      <c r="AW263" s="2">
        <f t="shared" si="216"/>
        <v>1.89E-2</v>
      </c>
      <c r="AX263" s="2">
        <f t="shared" si="217"/>
        <v>7.9369499999999999E-3</v>
      </c>
      <c r="AY263" s="2">
        <f t="shared" si="234"/>
        <v>4.573195E-2</v>
      </c>
      <c r="AZ263" s="2">
        <f t="shared" si="235"/>
        <v>6.8597924999999997E-3</v>
      </c>
      <c r="BA263" s="2">
        <f t="shared" si="218"/>
        <v>7.559E-4</v>
      </c>
      <c r="BB263" s="2">
        <f t="shared" si="219"/>
        <v>2.2676999999999999E-2</v>
      </c>
      <c r="BC263" s="2">
        <f t="shared" si="236"/>
        <v>9.4924642500000017E-2</v>
      </c>
      <c r="BD263" s="2">
        <v>0</v>
      </c>
      <c r="BE263" s="2">
        <f t="shared" si="220"/>
        <v>0.37795000000000001</v>
      </c>
      <c r="BF263" s="2">
        <f t="shared" si="221"/>
        <v>1.2283374999999999E-2</v>
      </c>
      <c r="BG263" s="2">
        <f t="shared" si="237"/>
        <v>1.2283374999999999E-2</v>
      </c>
      <c r="BH263" s="2">
        <f t="shared" si="238"/>
        <v>1.8425062499999997E-3</v>
      </c>
      <c r="BI263" s="2">
        <f t="shared" si="222"/>
        <v>7.559E-4</v>
      </c>
      <c r="BJ263" s="2">
        <f t="shared" si="223"/>
        <v>2.2676999999999999E-2</v>
      </c>
      <c r="BK263" s="2">
        <f t="shared" si="239"/>
        <v>0.41550878124999996</v>
      </c>
      <c r="BL263" s="2">
        <f t="shared" si="224"/>
        <v>188.95</v>
      </c>
      <c r="BM263" s="2">
        <f t="shared" si="225"/>
        <v>189</v>
      </c>
      <c r="BN263" s="2">
        <f t="shared" si="240"/>
        <v>377.95</v>
      </c>
    </row>
    <row r="264" spans="1:66" x14ac:dyDescent="0.25">
      <c r="A264" s="42">
        <v>261</v>
      </c>
      <c r="B264" s="43">
        <v>42859</v>
      </c>
      <c r="C264" s="42" t="s">
        <v>50</v>
      </c>
      <c r="D264" s="42" t="s">
        <v>218</v>
      </c>
      <c r="E264" s="6">
        <f t="shared" si="226"/>
        <v>-0.49477137500000568</v>
      </c>
      <c r="F264" s="5" t="str">
        <f t="shared" si="241"/>
        <v>Loss</v>
      </c>
      <c r="G264" s="4">
        <f t="shared" si="242"/>
        <v>-0.40000000000000568</v>
      </c>
      <c r="H264" s="46">
        <v>1</v>
      </c>
      <c r="I264" s="42">
        <v>139.9</v>
      </c>
      <c r="N264" s="5">
        <f t="shared" si="243"/>
        <v>1</v>
      </c>
      <c r="O264" s="4">
        <f t="shared" si="244"/>
        <v>139.9</v>
      </c>
      <c r="P264" s="5">
        <f t="shared" si="199"/>
        <v>1</v>
      </c>
      <c r="Q264" s="42">
        <v>139.5</v>
      </c>
      <c r="R264" s="2">
        <f t="shared" si="198"/>
        <v>0</v>
      </c>
      <c r="T264" s="2">
        <f t="shared" si="227"/>
        <v>0</v>
      </c>
      <c r="V264" s="5">
        <f t="shared" si="245"/>
        <v>1</v>
      </c>
      <c r="W264" s="4">
        <f t="shared" si="246"/>
        <v>139.5</v>
      </c>
      <c r="X264" s="14">
        <f t="shared" si="200"/>
        <v>-0.40000000000000568</v>
      </c>
      <c r="Y264" s="5">
        <f t="shared" si="201"/>
        <v>-0.40000000000000568</v>
      </c>
      <c r="Z264" s="2">
        <f t="shared" si="202"/>
        <v>0</v>
      </c>
      <c r="AA264" s="4">
        <f t="shared" si="203"/>
        <v>0</v>
      </c>
      <c r="AB264" s="13">
        <f t="shared" si="204"/>
        <v>9.4771375000000005E-2</v>
      </c>
      <c r="AC264" s="10">
        <f>SUM($E$4:E264)</f>
        <v>-12045.858467453991</v>
      </c>
      <c r="AD264" s="20">
        <f>SUM($AB$4:AB264)</f>
        <v>10882.742167453958</v>
      </c>
      <c r="AF264" s="28">
        <f t="shared" si="205"/>
        <v>2.794E-2</v>
      </c>
      <c r="AG264" s="2">
        <f t="shared" si="206"/>
        <v>3.4875000000000003E-2</v>
      </c>
      <c r="AH264" s="2">
        <f t="shared" si="207"/>
        <v>9.0804999999999983E-3</v>
      </c>
      <c r="AI264" s="2">
        <f t="shared" si="228"/>
        <v>3.7020499999999998E-2</v>
      </c>
      <c r="AJ264" s="2">
        <f t="shared" si="229"/>
        <v>5.5530749999999993E-3</v>
      </c>
      <c r="AK264" s="2">
        <f t="shared" si="208"/>
        <v>5.5879999999999992E-4</v>
      </c>
      <c r="AL264" s="2">
        <f t="shared" si="209"/>
        <v>1.6763999999999998E-2</v>
      </c>
      <c r="AM264" s="2">
        <f t="shared" si="230"/>
        <v>9.4771375000000005E-2</v>
      </c>
      <c r="AN264" s="2">
        <f t="shared" si="210"/>
        <v>40</v>
      </c>
      <c r="AO264" s="2">
        <f t="shared" si="211"/>
        <v>6.9750000000000006E-2</v>
      </c>
      <c r="AP264" s="2">
        <f t="shared" si="212"/>
        <v>0.14808199999999999</v>
      </c>
      <c r="AQ264" s="2">
        <f t="shared" si="231"/>
        <v>40.148082000000002</v>
      </c>
      <c r="AR264" s="2">
        <f t="shared" si="232"/>
        <v>6.0222123000000005</v>
      </c>
      <c r="AS264" s="2">
        <f t="shared" si="213"/>
        <v>5.5879999999999992E-4</v>
      </c>
      <c r="AT264" s="2">
        <f t="shared" si="214"/>
        <v>1.6763999999999998E-2</v>
      </c>
      <c r="AU264" s="2">
        <f t="shared" si="233"/>
        <v>46.257367100000003</v>
      </c>
      <c r="AV264" s="2">
        <f t="shared" si="215"/>
        <v>2.794E-2</v>
      </c>
      <c r="AW264" s="2">
        <f t="shared" si="216"/>
        <v>1.3950000000000001E-2</v>
      </c>
      <c r="AX264" s="2">
        <f t="shared" si="217"/>
        <v>5.8673999999999992E-3</v>
      </c>
      <c r="AY264" s="2">
        <f t="shared" si="234"/>
        <v>3.3807400000000001E-2</v>
      </c>
      <c r="AZ264" s="2">
        <f t="shared" si="235"/>
        <v>5.0711100000000002E-3</v>
      </c>
      <c r="BA264" s="2">
        <f t="shared" si="218"/>
        <v>5.5879999999999992E-4</v>
      </c>
      <c r="BB264" s="2">
        <f t="shared" si="219"/>
        <v>1.6763999999999998E-2</v>
      </c>
      <c r="BC264" s="2">
        <f t="shared" si="236"/>
        <v>7.0151309999999995E-2</v>
      </c>
      <c r="BD264" s="2">
        <v>0</v>
      </c>
      <c r="BE264" s="2">
        <f t="shared" si="220"/>
        <v>0.27939999999999998</v>
      </c>
      <c r="BF264" s="2">
        <f t="shared" si="221"/>
        <v>9.0804999999999983E-3</v>
      </c>
      <c r="BG264" s="2">
        <f t="shared" si="237"/>
        <v>9.0804999999999983E-3</v>
      </c>
      <c r="BH264" s="2">
        <f t="shared" si="238"/>
        <v>1.3620749999999997E-3</v>
      </c>
      <c r="BI264" s="2">
        <f t="shared" si="222"/>
        <v>5.5879999999999992E-4</v>
      </c>
      <c r="BJ264" s="2">
        <f t="shared" si="223"/>
        <v>1.6763999999999998E-2</v>
      </c>
      <c r="BK264" s="2">
        <f t="shared" si="239"/>
        <v>0.30716537500000002</v>
      </c>
      <c r="BL264" s="2">
        <f t="shared" si="224"/>
        <v>139.9</v>
      </c>
      <c r="BM264" s="2">
        <f t="shared" si="225"/>
        <v>139.5</v>
      </c>
      <c r="BN264" s="2">
        <f t="shared" si="240"/>
        <v>279.39999999999998</v>
      </c>
    </row>
    <row r="265" spans="1:66" x14ac:dyDescent="0.25">
      <c r="A265" s="42">
        <v>262</v>
      </c>
      <c r="B265" s="43">
        <v>42859</v>
      </c>
      <c r="C265" s="42" t="s">
        <v>50</v>
      </c>
      <c r="D265" s="42" t="s">
        <v>219</v>
      </c>
      <c r="E265" s="6">
        <f t="shared" si="226"/>
        <v>-0.15885590625000034</v>
      </c>
      <c r="F265" s="5" t="str">
        <f t="shared" si="241"/>
        <v>Loss</v>
      </c>
      <c r="G265" s="4">
        <f t="shared" si="242"/>
        <v>-0.15000000000000036</v>
      </c>
      <c r="H265" s="46">
        <v>1</v>
      </c>
      <c r="I265" s="42">
        <v>13.15</v>
      </c>
      <c r="N265" s="5">
        <f t="shared" si="243"/>
        <v>1</v>
      </c>
      <c r="O265" s="4">
        <f t="shared" si="244"/>
        <v>13.15</v>
      </c>
      <c r="P265" s="5">
        <f t="shared" si="199"/>
        <v>1</v>
      </c>
      <c r="Q265" s="42">
        <v>13</v>
      </c>
      <c r="R265" s="2">
        <f t="shared" si="198"/>
        <v>0</v>
      </c>
      <c r="T265" s="2">
        <f t="shared" si="227"/>
        <v>0</v>
      </c>
      <c r="V265" s="5">
        <f t="shared" si="245"/>
        <v>1</v>
      </c>
      <c r="W265" s="4">
        <f t="shared" si="246"/>
        <v>13</v>
      </c>
      <c r="X265" s="14">
        <f t="shared" si="200"/>
        <v>-0.15000000000000036</v>
      </c>
      <c r="Y265" s="5">
        <f t="shared" si="201"/>
        <v>-0.15000000000000036</v>
      </c>
      <c r="Z265" s="2">
        <f t="shared" si="202"/>
        <v>0</v>
      </c>
      <c r="AA265" s="4">
        <f t="shared" si="203"/>
        <v>0</v>
      </c>
      <c r="AB265" s="13">
        <f t="shared" si="204"/>
        <v>8.8559062500000001E-3</v>
      </c>
      <c r="AC265" s="10">
        <f>SUM($E$4:E265)</f>
        <v>-12046.01732336024</v>
      </c>
      <c r="AD265" s="20">
        <f>SUM($AB$4:AB265)</f>
        <v>10882.751023360208</v>
      </c>
      <c r="AF265" s="28">
        <f t="shared" si="205"/>
        <v>2.6150000000000001E-3</v>
      </c>
      <c r="AG265" s="2">
        <f t="shared" si="206"/>
        <v>3.2500000000000003E-3</v>
      </c>
      <c r="AH265" s="2">
        <f t="shared" si="207"/>
        <v>8.4987499999999983E-4</v>
      </c>
      <c r="AI265" s="2">
        <f t="shared" si="228"/>
        <v>3.4648750000000001E-3</v>
      </c>
      <c r="AJ265" s="2">
        <f t="shared" si="229"/>
        <v>5.1973125000000003E-4</v>
      </c>
      <c r="AK265" s="2">
        <f t="shared" si="208"/>
        <v>5.2299999999999997E-5</v>
      </c>
      <c r="AL265" s="2">
        <f t="shared" si="209"/>
        <v>1.5689999999999999E-3</v>
      </c>
      <c r="AM265" s="2">
        <f t="shared" si="230"/>
        <v>8.8559062500000001E-3</v>
      </c>
      <c r="AN265" s="2">
        <f t="shared" si="210"/>
        <v>40</v>
      </c>
      <c r="AO265" s="2">
        <f t="shared" si="211"/>
        <v>6.5000000000000006E-3</v>
      </c>
      <c r="AP265" s="2">
        <f t="shared" si="212"/>
        <v>1.3859499999999999E-2</v>
      </c>
      <c r="AQ265" s="2">
        <f t="shared" si="231"/>
        <v>40.013859500000002</v>
      </c>
      <c r="AR265" s="2">
        <f t="shared" si="232"/>
        <v>6.0020789250000002</v>
      </c>
      <c r="AS265" s="2">
        <f t="shared" si="213"/>
        <v>5.2299999999999997E-5</v>
      </c>
      <c r="AT265" s="2">
        <f t="shared" si="214"/>
        <v>1.5689999999999999E-3</v>
      </c>
      <c r="AU265" s="2">
        <f t="shared" si="233"/>
        <v>46.024059725000008</v>
      </c>
      <c r="AV265" s="2">
        <f t="shared" si="215"/>
        <v>2.6150000000000001E-3</v>
      </c>
      <c r="AW265" s="2">
        <f t="shared" si="216"/>
        <v>1.3000000000000002E-3</v>
      </c>
      <c r="AX265" s="2">
        <f t="shared" si="217"/>
        <v>5.4914999999999999E-4</v>
      </c>
      <c r="AY265" s="2">
        <f t="shared" si="234"/>
        <v>3.1641500000000001E-3</v>
      </c>
      <c r="AZ265" s="2">
        <f t="shared" si="235"/>
        <v>4.7462250000000002E-4</v>
      </c>
      <c r="BA265" s="2">
        <f t="shared" si="218"/>
        <v>5.2299999999999997E-5</v>
      </c>
      <c r="BB265" s="2">
        <f t="shared" si="219"/>
        <v>1.5689999999999999E-3</v>
      </c>
      <c r="BC265" s="2">
        <f t="shared" si="236"/>
        <v>6.5600724999999999E-3</v>
      </c>
      <c r="BD265" s="2">
        <v>0</v>
      </c>
      <c r="BE265" s="2">
        <f t="shared" si="220"/>
        <v>2.615E-2</v>
      </c>
      <c r="BF265" s="2">
        <f t="shared" si="221"/>
        <v>8.4987499999999983E-4</v>
      </c>
      <c r="BG265" s="2">
        <f t="shared" si="237"/>
        <v>8.4987499999999983E-4</v>
      </c>
      <c r="BH265" s="2">
        <f t="shared" si="238"/>
        <v>1.2748124999999996E-4</v>
      </c>
      <c r="BI265" s="2">
        <f t="shared" si="222"/>
        <v>5.2299999999999997E-5</v>
      </c>
      <c r="BJ265" s="2">
        <f t="shared" si="223"/>
        <v>1.5689999999999999E-3</v>
      </c>
      <c r="BK265" s="2">
        <f t="shared" si="239"/>
        <v>2.8748656250000001E-2</v>
      </c>
      <c r="BL265" s="2">
        <f t="shared" si="224"/>
        <v>13.15</v>
      </c>
      <c r="BM265" s="2">
        <f t="shared" si="225"/>
        <v>13</v>
      </c>
      <c r="BN265" s="2">
        <f t="shared" si="240"/>
        <v>26.15</v>
      </c>
    </row>
    <row r="266" spans="1:66" x14ac:dyDescent="0.25">
      <c r="A266" s="42">
        <v>263</v>
      </c>
      <c r="B266" s="43">
        <v>42859</v>
      </c>
      <c r="C266" s="42" t="s">
        <v>50</v>
      </c>
      <c r="D266" s="42" t="s">
        <v>220</v>
      </c>
      <c r="E266" s="6">
        <f t="shared" si="226"/>
        <v>-1.203147468749983</v>
      </c>
      <c r="F266" s="5" t="str">
        <f t="shared" si="241"/>
        <v>Loss</v>
      </c>
      <c r="G266" s="4">
        <f t="shared" si="242"/>
        <v>-1.0499999999999829</v>
      </c>
      <c r="H266" s="46">
        <v>1</v>
      </c>
      <c r="I266" s="42">
        <v>226.35</v>
      </c>
      <c r="N266" s="5">
        <f t="shared" si="243"/>
        <v>1</v>
      </c>
      <c r="O266" s="4">
        <f t="shared" si="244"/>
        <v>226.35</v>
      </c>
      <c r="P266" s="5">
        <f t="shared" si="199"/>
        <v>1</v>
      </c>
      <c r="Q266" s="42">
        <v>225.3</v>
      </c>
      <c r="R266" s="2">
        <f t="shared" si="198"/>
        <v>0</v>
      </c>
      <c r="T266" s="2">
        <f t="shared" si="227"/>
        <v>0</v>
      </c>
      <c r="V266" s="5">
        <f t="shared" si="245"/>
        <v>1</v>
      </c>
      <c r="W266" s="4">
        <f t="shared" si="246"/>
        <v>225.3</v>
      </c>
      <c r="X266" s="14">
        <f t="shared" si="200"/>
        <v>-1.0499999999999829</v>
      </c>
      <c r="Y266" s="5">
        <f t="shared" si="201"/>
        <v>-1.0499999999999829</v>
      </c>
      <c r="Z266" s="2">
        <f t="shared" si="202"/>
        <v>0</v>
      </c>
      <c r="AA266" s="4">
        <f t="shared" si="203"/>
        <v>0</v>
      </c>
      <c r="AB266" s="13">
        <f t="shared" si="204"/>
        <v>0.15314746875000002</v>
      </c>
      <c r="AC266" s="10">
        <f>SUM($E$4:E266)</f>
        <v>-12047.22047082899</v>
      </c>
      <c r="AD266" s="20">
        <f>SUM($AB$4:AB266)</f>
        <v>10882.904170828959</v>
      </c>
      <c r="AF266" s="28">
        <f t="shared" si="205"/>
        <v>4.5164999999999997E-2</v>
      </c>
      <c r="AG266" s="2">
        <f t="shared" si="206"/>
        <v>5.6325000000000007E-2</v>
      </c>
      <c r="AH266" s="2">
        <f t="shared" si="207"/>
        <v>1.4678624999999997E-2</v>
      </c>
      <c r="AI266" s="2">
        <f t="shared" si="228"/>
        <v>5.9843624999999998E-2</v>
      </c>
      <c r="AJ266" s="2">
        <f t="shared" si="229"/>
        <v>8.9765437499999996E-3</v>
      </c>
      <c r="AK266" s="2">
        <f t="shared" si="208"/>
        <v>9.033E-4</v>
      </c>
      <c r="AL266" s="2">
        <f t="shared" si="209"/>
        <v>2.7098999999999998E-2</v>
      </c>
      <c r="AM266" s="2">
        <f t="shared" si="230"/>
        <v>0.15314746875000002</v>
      </c>
      <c r="AN266" s="2">
        <f t="shared" si="210"/>
        <v>40</v>
      </c>
      <c r="AO266" s="2">
        <f t="shared" si="211"/>
        <v>0.11265000000000001</v>
      </c>
      <c r="AP266" s="2">
        <f t="shared" si="212"/>
        <v>0.23937449999999999</v>
      </c>
      <c r="AQ266" s="2">
        <f t="shared" si="231"/>
        <v>40.239374499999997</v>
      </c>
      <c r="AR266" s="2">
        <f t="shared" si="232"/>
        <v>6.0359061749999992</v>
      </c>
      <c r="AS266" s="2">
        <f t="shared" si="213"/>
        <v>9.033E-4</v>
      </c>
      <c r="AT266" s="2">
        <f t="shared" si="214"/>
        <v>2.7098999999999998E-2</v>
      </c>
      <c r="AU266" s="2">
        <f t="shared" si="233"/>
        <v>46.415932974999997</v>
      </c>
      <c r="AV266" s="2">
        <f t="shared" si="215"/>
        <v>4.5164999999999997E-2</v>
      </c>
      <c r="AW266" s="2">
        <f t="shared" si="216"/>
        <v>2.2530000000000001E-2</v>
      </c>
      <c r="AX266" s="2">
        <f t="shared" si="217"/>
        <v>9.484649999999999E-3</v>
      </c>
      <c r="AY266" s="2">
        <f t="shared" si="234"/>
        <v>5.4649649999999994E-2</v>
      </c>
      <c r="AZ266" s="2">
        <f t="shared" si="235"/>
        <v>8.1974474999999981E-3</v>
      </c>
      <c r="BA266" s="2">
        <f t="shared" si="218"/>
        <v>9.033E-4</v>
      </c>
      <c r="BB266" s="2">
        <f t="shared" si="219"/>
        <v>2.7098999999999998E-2</v>
      </c>
      <c r="BC266" s="2">
        <f t="shared" si="236"/>
        <v>0.11337939749999999</v>
      </c>
      <c r="BD266" s="2">
        <v>0</v>
      </c>
      <c r="BE266" s="2">
        <f t="shared" si="220"/>
        <v>0.45165</v>
      </c>
      <c r="BF266" s="2">
        <f t="shared" si="221"/>
        <v>1.4678624999999997E-2</v>
      </c>
      <c r="BG266" s="2">
        <f t="shared" si="237"/>
        <v>1.4678624999999997E-2</v>
      </c>
      <c r="BH266" s="2">
        <f t="shared" si="238"/>
        <v>2.2017937499999997E-3</v>
      </c>
      <c r="BI266" s="2">
        <f t="shared" si="222"/>
        <v>9.033E-4</v>
      </c>
      <c r="BJ266" s="2">
        <f t="shared" si="223"/>
        <v>2.7098999999999998E-2</v>
      </c>
      <c r="BK266" s="2">
        <f t="shared" si="239"/>
        <v>0.49653271874999999</v>
      </c>
      <c r="BL266" s="2">
        <f t="shared" si="224"/>
        <v>226.35</v>
      </c>
      <c r="BM266" s="2">
        <f t="shared" si="225"/>
        <v>225.3</v>
      </c>
      <c r="BN266" s="2">
        <f t="shared" si="240"/>
        <v>451.65</v>
      </c>
    </row>
    <row r="267" spans="1:66" x14ac:dyDescent="0.25">
      <c r="A267" s="42">
        <v>264</v>
      </c>
      <c r="B267" s="43">
        <v>42859</v>
      </c>
      <c r="C267" s="42" t="s">
        <v>50</v>
      </c>
      <c r="D267" s="42" t="s">
        <v>221</v>
      </c>
      <c r="E267" s="6">
        <f t="shared" si="226"/>
        <v>5.5186562499971517E-3</v>
      </c>
      <c r="F267" s="5" t="str">
        <f t="shared" si="241"/>
        <v>Win</v>
      </c>
      <c r="G267" s="4">
        <f t="shared" si="242"/>
        <v>4.9999999999997158E-2</v>
      </c>
      <c r="H267" s="46">
        <v>1</v>
      </c>
      <c r="I267" s="42">
        <v>65.5</v>
      </c>
      <c r="N267" s="5">
        <f t="shared" si="243"/>
        <v>1</v>
      </c>
      <c r="O267" s="4">
        <f t="shared" si="244"/>
        <v>65.5</v>
      </c>
      <c r="P267" s="5">
        <f t="shared" si="199"/>
        <v>1</v>
      </c>
      <c r="Q267" s="42">
        <v>65.55</v>
      </c>
      <c r="R267" s="2">
        <f t="shared" si="198"/>
        <v>0</v>
      </c>
      <c r="T267" s="2">
        <f t="shared" si="227"/>
        <v>0</v>
      </c>
      <c r="V267" s="5">
        <f t="shared" si="245"/>
        <v>1</v>
      </c>
      <c r="W267" s="4">
        <f t="shared" si="246"/>
        <v>65.55</v>
      </c>
      <c r="X267" s="14">
        <f t="shared" si="200"/>
        <v>4.9999999999997158E-2</v>
      </c>
      <c r="Y267" s="5">
        <f t="shared" si="201"/>
        <v>4.9999999999997158E-2</v>
      </c>
      <c r="Z267" s="2">
        <f t="shared" si="202"/>
        <v>0</v>
      </c>
      <c r="AA267" s="4">
        <f t="shared" si="203"/>
        <v>0</v>
      </c>
      <c r="AB267" s="13">
        <f t="shared" si="204"/>
        <v>4.4481343750000006E-2</v>
      </c>
      <c r="AC267" s="10">
        <f>SUM($E$4:E267)</f>
        <v>-12047.214952172741</v>
      </c>
      <c r="AD267" s="20">
        <f>SUM($AB$4:AB267)</f>
        <v>10882.948652172709</v>
      </c>
      <c r="AF267" s="28">
        <f t="shared" si="205"/>
        <v>1.3105000000000002E-2</v>
      </c>
      <c r="AG267" s="2">
        <f t="shared" si="206"/>
        <v>1.6387499999999999E-2</v>
      </c>
      <c r="AH267" s="2">
        <f t="shared" si="207"/>
        <v>4.2591249999999999E-3</v>
      </c>
      <c r="AI267" s="2">
        <f t="shared" si="228"/>
        <v>1.7364125000000001E-2</v>
      </c>
      <c r="AJ267" s="2">
        <f t="shared" si="229"/>
        <v>2.60461875E-3</v>
      </c>
      <c r="AK267" s="2">
        <f t="shared" si="208"/>
        <v>2.6210000000000003E-4</v>
      </c>
      <c r="AL267" s="2">
        <f t="shared" si="209"/>
        <v>7.8630000000000002E-3</v>
      </c>
      <c r="AM267" s="2">
        <f t="shared" si="230"/>
        <v>4.4481343750000006E-2</v>
      </c>
      <c r="AN267" s="2">
        <f t="shared" si="210"/>
        <v>40</v>
      </c>
      <c r="AO267" s="2">
        <f t="shared" si="211"/>
        <v>3.2774999999999999E-2</v>
      </c>
      <c r="AP267" s="2">
        <f t="shared" si="212"/>
        <v>6.9456500000000004E-2</v>
      </c>
      <c r="AQ267" s="2">
        <f t="shared" si="231"/>
        <v>40.069456500000001</v>
      </c>
      <c r="AR267" s="2">
        <f t="shared" si="232"/>
        <v>6.0104184749999998</v>
      </c>
      <c r="AS267" s="2">
        <f t="shared" si="213"/>
        <v>2.6210000000000003E-4</v>
      </c>
      <c r="AT267" s="2">
        <f t="shared" si="214"/>
        <v>7.8630000000000002E-3</v>
      </c>
      <c r="AU267" s="2">
        <f t="shared" si="233"/>
        <v>46.120775075000005</v>
      </c>
      <c r="AV267" s="2">
        <f t="shared" si="215"/>
        <v>1.3105000000000002E-2</v>
      </c>
      <c r="AW267" s="2">
        <f t="shared" si="216"/>
        <v>6.5550000000000001E-3</v>
      </c>
      <c r="AX267" s="2">
        <f t="shared" si="217"/>
        <v>2.7520500000000002E-3</v>
      </c>
      <c r="AY267" s="2">
        <f t="shared" si="234"/>
        <v>1.5857050000000001E-2</v>
      </c>
      <c r="AZ267" s="2">
        <f t="shared" si="235"/>
        <v>2.3785575000000001E-3</v>
      </c>
      <c r="BA267" s="2">
        <f t="shared" si="218"/>
        <v>2.6210000000000003E-4</v>
      </c>
      <c r="BB267" s="2">
        <f t="shared" si="219"/>
        <v>7.8630000000000002E-3</v>
      </c>
      <c r="BC267" s="2">
        <f t="shared" si="236"/>
        <v>3.2915707500000002E-2</v>
      </c>
      <c r="BD267" s="2">
        <v>0</v>
      </c>
      <c r="BE267" s="2">
        <f t="shared" si="220"/>
        <v>0.13105000000000003</v>
      </c>
      <c r="BF267" s="2">
        <f t="shared" si="221"/>
        <v>4.2591249999999999E-3</v>
      </c>
      <c r="BG267" s="2">
        <f t="shared" si="237"/>
        <v>4.2591249999999999E-3</v>
      </c>
      <c r="BH267" s="2">
        <f t="shared" si="238"/>
        <v>6.3886874999999994E-4</v>
      </c>
      <c r="BI267" s="2">
        <f t="shared" si="222"/>
        <v>2.6210000000000003E-4</v>
      </c>
      <c r="BJ267" s="2">
        <f t="shared" si="223"/>
        <v>7.8630000000000002E-3</v>
      </c>
      <c r="BK267" s="2">
        <f t="shared" si="239"/>
        <v>0.14407309375000002</v>
      </c>
      <c r="BL267" s="2">
        <f t="shared" si="224"/>
        <v>65.5</v>
      </c>
      <c r="BM267" s="2">
        <f t="shared" si="225"/>
        <v>65.55</v>
      </c>
      <c r="BN267" s="2">
        <f t="shared" si="240"/>
        <v>131.05000000000001</v>
      </c>
    </row>
    <row r="268" spans="1:66" x14ac:dyDescent="0.25">
      <c r="A268" s="42">
        <v>265</v>
      </c>
      <c r="B268" s="43">
        <v>42859</v>
      </c>
      <c r="C268" s="42" t="s">
        <v>50</v>
      </c>
      <c r="D268" s="42" t="s">
        <v>123</v>
      </c>
      <c r="E268" s="6">
        <f t="shared" si="226"/>
        <v>-5.6913419375000451</v>
      </c>
      <c r="F268" s="5" t="str">
        <f t="shared" si="241"/>
        <v>Loss</v>
      </c>
      <c r="G268" s="4">
        <f t="shared" si="242"/>
        <v>-5.2000000000000455</v>
      </c>
      <c r="H268" s="46">
        <v>1</v>
      </c>
      <c r="I268" s="42">
        <v>727.45</v>
      </c>
      <c r="N268" s="5">
        <f t="shared" si="243"/>
        <v>1</v>
      </c>
      <c r="O268" s="4">
        <f t="shared" si="244"/>
        <v>727.45</v>
      </c>
      <c r="P268" s="5">
        <f t="shared" si="199"/>
        <v>1</v>
      </c>
      <c r="Q268" s="42">
        <v>722.25</v>
      </c>
      <c r="R268" s="2">
        <f t="shared" si="198"/>
        <v>0</v>
      </c>
      <c r="T268" s="2">
        <f t="shared" si="227"/>
        <v>0</v>
      </c>
      <c r="V268" s="5">
        <f t="shared" si="245"/>
        <v>1</v>
      </c>
      <c r="W268" s="4">
        <f t="shared" si="246"/>
        <v>722.25</v>
      </c>
      <c r="X268" s="14">
        <f t="shared" si="200"/>
        <v>-5.2000000000000455</v>
      </c>
      <c r="Y268" s="5">
        <f t="shared" si="201"/>
        <v>-5.2000000000000455</v>
      </c>
      <c r="Z268" s="2">
        <f t="shared" si="202"/>
        <v>0</v>
      </c>
      <c r="AA268" s="4">
        <f t="shared" si="203"/>
        <v>0</v>
      </c>
      <c r="AB268" s="13">
        <f t="shared" si="204"/>
        <v>0.49134193749999999</v>
      </c>
      <c r="AC268" s="10">
        <f>SUM($E$4:E268)</f>
        <v>-12052.90629411024</v>
      </c>
      <c r="AD268" s="20">
        <f>SUM($AB$4:AB268)</f>
        <v>10883.439994110209</v>
      </c>
      <c r="AF268" s="28">
        <f t="shared" si="205"/>
        <v>0.14497000000000002</v>
      </c>
      <c r="AG268" s="2">
        <f t="shared" si="206"/>
        <v>0.18056250000000001</v>
      </c>
      <c r="AH268" s="2">
        <f t="shared" si="207"/>
        <v>4.7115249999999997E-2</v>
      </c>
      <c r="AI268" s="2">
        <f t="shared" si="228"/>
        <v>0.19208525000000001</v>
      </c>
      <c r="AJ268" s="2">
        <f t="shared" si="229"/>
        <v>2.8812787499999999E-2</v>
      </c>
      <c r="AK268" s="2">
        <f t="shared" si="208"/>
        <v>2.8994000000000003E-3</v>
      </c>
      <c r="AL268" s="2">
        <f t="shared" si="209"/>
        <v>8.6982000000000004E-2</v>
      </c>
      <c r="AM268" s="2">
        <f t="shared" si="230"/>
        <v>0.49134193749999999</v>
      </c>
      <c r="AN268" s="2">
        <f t="shared" si="210"/>
        <v>40</v>
      </c>
      <c r="AO268" s="2">
        <f t="shared" si="211"/>
        <v>0.36112500000000003</v>
      </c>
      <c r="AP268" s="2">
        <f t="shared" si="212"/>
        <v>0.76834099999999994</v>
      </c>
      <c r="AQ268" s="2">
        <f t="shared" si="231"/>
        <v>40.768340999999999</v>
      </c>
      <c r="AR268" s="2">
        <f t="shared" si="232"/>
        <v>6.1152511499999997</v>
      </c>
      <c r="AS268" s="2">
        <f t="shared" si="213"/>
        <v>2.8994000000000003E-3</v>
      </c>
      <c r="AT268" s="2">
        <f t="shared" si="214"/>
        <v>8.6982000000000004E-2</v>
      </c>
      <c r="AU268" s="2">
        <f t="shared" si="233"/>
        <v>47.334598549999995</v>
      </c>
      <c r="AV268" s="2">
        <f t="shared" si="215"/>
        <v>0.14497000000000002</v>
      </c>
      <c r="AW268" s="2">
        <f t="shared" si="216"/>
        <v>7.2224999999999998E-2</v>
      </c>
      <c r="AX268" s="2">
        <f t="shared" si="217"/>
        <v>3.0443700000000001E-2</v>
      </c>
      <c r="AY268" s="2">
        <f t="shared" si="234"/>
        <v>0.17541370000000001</v>
      </c>
      <c r="AZ268" s="2">
        <f t="shared" si="235"/>
        <v>2.6312055000000001E-2</v>
      </c>
      <c r="BA268" s="2">
        <f t="shared" si="218"/>
        <v>2.8994000000000003E-3</v>
      </c>
      <c r="BB268" s="2">
        <f t="shared" si="219"/>
        <v>8.6982000000000004E-2</v>
      </c>
      <c r="BC268" s="2">
        <f t="shared" si="236"/>
        <v>0.36383215499999999</v>
      </c>
      <c r="BD268" s="2">
        <v>0</v>
      </c>
      <c r="BE268" s="2">
        <f t="shared" si="220"/>
        <v>1.4497</v>
      </c>
      <c r="BF268" s="2">
        <f t="shared" si="221"/>
        <v>4.7115249999999997E-2</v>
      </c>
      <c r="BG268" s="2">
        <f t="shared" si="237"/>
        <v>4.7115249999999997E-2</v>
      </c>
      <c r="BH268" s="2">
        <f t="shared" si="238"/>
        <v>7.0672874999999991E-3</v>
      </c>
      <c r="BI268" s="2">
        <f t="shared" si="222"/>
        <v>2.8994000000000003E-3</v>
      </c>
      <c r="BJ268" s="2">
        <f t="shared" si="223"/>
        <v>8.6982000000000004E-2</v>
      </c>
      <c r="BK268" s="2">
        <f t="shared" si="239"/>
        <v>1.5937639374999999</v>
      </c>
      <c r="BL268" s="2">
        <f t="shared" si="224"/>
        <v>727.45</v>
      </c>
      <c r="BM268" s="2">
        <f t="shared" si="225"/>
        <v>722.25</v>
      </c>
      <c r="BN268" s="2">
        <f t="shared" si="240"/>
        <v>1449.7</v>
      </c>
    </row>
    <row r="269" spans="1:66" x14ac:dyDescent="0.25">
      <c r="A269" s="42">
        <v>266</v>
      </c>
      <c r="B269" s="43">
        <v>42859</v>
      </c>
      <c r="C269" s="42" t="s">
        <v>50</v>
      </c>
      <c r="D269" s="42" t="s">
        <v>222</v>
      </c>
      <c r="E269" s="6">
        <f t="shared" si="226"/>
        <v>-17.818291187500044</v>
      </c>
      <c r="F269" s="5" t="str">
        <f t="shared" si="241"/>
        <v>Loss</v>
      </c>
      <c r="G269" s="4">
        <f t="shared" si="242"/>
        <v>-16.700000000000045</v>
      </c>
      <c r="H269" s="46">
        <v>1</v>
      </c>
      <c r="I269" s="42">
        <v>1659</v>
      </c>
      <c r="N269" s="5">
        <f t="shared" si="243"/>
        <v>1</v>
      </c>
      <c r="O269" s="4">
        <f t="shared" si="244"/>
        <v>1659</v>
      </c>
      <c r="P269" s="5">
        <f t="shared" si="199"/>
        <v>1</v>
      </c>
      <c r="Q269" s="42">
        <v>1642.3</v>
      </c>
      <c r="R269" s="2">
        <f t="shared" si="198"/>
        <v>0</v>
      </c>
      <c r="T269" s="2">
        <f t="shared" si="227"/>
        <v>0</v>
      </c>
      <c r="V269" s="5">
        <f t="shared" si="245"/>
        <v>1</v>
      </c>
      <c r="W269" s="4">
        <f t="shared" si="246"/>
        <v>1642.3</v>
      </c>
      <c r="X269" s="14">
        <f t="shared" si="200"/>
        <v>-16.700000000000045</v>
      </c>
      <c r="Y269" s="5">
        <f t="shared" si="201"/>
        <v>-16.700000000000045</v>
      </c>
      <c r="Z269" s="2">
        <f t="shared" si="202"/>
        <v>0</v>
      </c>
      <c r="AA269" s="4">
        <f t="shared" si="203"/>
        <v>0</v>
      </c>
      <c r="AB269" s="13">
        <f t="shared" si="204"/>
        <v>1.1182911875000001</v>
      </c>
      <c r="AC269" s="10">
        <f>SUM($E$4:E269)</f>
        <v>-12070.724585297739</v>
      </c>
      <c r="AD269" s="20">
        <f>SUM($AB$4:AB269)</f>
        <v>10884.55828529771</v>
      </c>
      <c r="AF269" s="28">
        <f t="shared" si="205"/>
        <v>0.33013000000000003</v>
      </c>
      <c r="AG269" s="2">
        <f t="shared" si="206"/>
        <v>0.41057500000000002</v>
      </c>
      <c r="AH269" s="2">
        <f t="shared" si="207"/>
        <v>0.10729224999999999</v>
      </c>
      <c r="AI269" s="2">
        <f t="shared" si="228"/>
        <v>0.43742225000000001</v>
      </c>
      <c r="AJ269" s="2">
        <f t="shared" si="229"/>
        <v>6.5613337499999994E-2</v>
      </c>
      <c r="AK269" s="2">
        <f t="shared" si="208"/>
        <v>6.602600000000001E-3</v>
      </c>
      <c r="AL269" s="2">
        <f t="shared" si="209"/>
        <v>0.198078</v>
      </c>
      <c r="AM269" s="2">
        <f t="shared" si="230"/>
        <v>1.1182911875000001</v>
      </c>
      <c r="AN269" s="2">
        <f t="shared" si="210"/>
        <v>40</v>
      </c>
      <c r="AO269" s="2">
        <f t="shared" si="211"/>
        <v>0.82115000000000005</v>
      </c>
      <c r="AP269" s="2">
        <f t="shared" si="212"/>
        <v>1.749689</v>
      </c>
      <c r="AQ269" s="2">
        <f t="shared" si="231"/>
        <v>41.749689000000004</v>
      </c>
      <c r="AR269" s="2">
        <f t="shared" si="232"/>
        <v>6.2624533500000004</v>
      </c>
      <c r="AS269" s="2">
        <f t="shared" si="213"/>
        <v>6.602600000000001E-3</v>
      </c>
      <c r="AT269" s="2">
        <f t="shared" si="214"/>
        <v>0.198078</v>
      </c>
      <c r="AU269" s="2">
        <f t="shared" si="233"/>
        <v>49.037972950000011</v>
      </c>
      <c r="AV269" s="2">
        <f t="shared" si="215"/>
        <v>0.33013000000000003</v>
      </c>
      <c r="AW269" s="2">
        <f t="shared" si="216"/>
        <v>0.16423000000000001</v>
      </c>
      <c r="AX269" s="2">
        <f t="shared" si="217"/>
        <v>6.9327299999999994E-2</v>
      </c>
      <c r="AY269" s="2">
        <f t="shared" si="234"/>
        <v>0.39945730000000002</v>
      </c>
      <c r="AZ269" s="2">
        <f t="shared" si="235"/>
        <v>5.9918594999999998E-2</v>
      </c>
      <c r="BA269" s="2">
        <f t="shared" si="218"/>
        <v>6.602600000000001E-3</v>
      </c>
      <c r="BB269" s="2">
        <f t="shared" si="219"/>
        <v>0.198078</v>
      </c>
      <c r="BC269" s="2">
        <f t="shared" si="236"/>
        <v>0.82828649499999996</v>
      </c>
      <c r="BD269" s="2">
        <v>0</v>
      </c>
      <c r="BE269" s="2">
        <f t="shared" si="220"/>
        <v>3.3013000000000003</v>
      </c>
      <c r="BF269" s="2">
        <f t="shared" si="221"/>
        <v>0.10729224999999999</v>
      </c>
      <c r="BG269" s="2">
        <f t="shared" si="237"/>
        <v>0.10729224999999999</v>
      </c>
      <c r="BH269" s="2">
        <f t="shared" si="238"/>
        <v>1.6093837499999999E-2</v>
      </c>
      <c r="BI269" s="2">
        <f t="shared" si="222"/>
        <v>6.602600000000001E-3</v>
      </c>
      <c r="BJ269" s="2">
        <f t="shared" si="223"/>
        <v>0.198078</v>
      </c>
      <c r="BK269" s="2">
        <f t="shared" si="239"/>
        <v>3.6293666875000006</v>
      </c>
      <c r="BL269" s="2">
        <f t="shared" si="224"/>
        <v>1659</v>
      </c>
      <c r="BM269" s="2">
        <f t="shared" si="225"/>
        <v>1642.3</v>
      </c>
      <c r="BN269" s="2">
        <f t="shared" si="240"/>
        <v>3301.3</v>
      </c>
    </row>
    <row r="270" spans="1:66" x14ac:dyDescent="0.25">
      <c r="A270" s="42">
        <v>267</v>
      </c>
      <c r="B270" s="43">
        <v>42859</v>
      </c>
      <c r="C270" s="42" t="s">
        <v>50</v>
      </c>
      <c r="D270" s="42" t="s">
        <v>223</v>
      </c>
      <c r="E270" s="6">
        <f t="shared" si="226"/>
        <v>9.635703968750045</v>
      </c>
      <c r="F270" s="5" t="str">
        <f t="shared" si="241"/>
        <v>Win</v>
      </c>
      <c r="G270" s="4">
        <f t="shared" si="242"/>
        <v>10.450000000000045</v>
      </c>
      <c r="H270" s="46">
        <v>1</v>
      </c>
      <c r="I270" s="42">
        <v>1192.55</v>
      </c>
      <c r="N270" s="5">
        <f t="shared" si="243"/>
        <v>1</v>
      </c>
      <c r="O270" s="4">
        <f t="shared" si="244"/>
        <v>1192.55</v>
      </c>
      <c r="P270" s="5">
        <f t="shared" si="199"/>
        <v>1</v>
      </c>
      <c r="Q270" s="42">
        <v>1203</v>
      </c>
      <c r="R270" s="2">
        <f t="shared" si="198"/>
        <v>0</v>
      </c>
      <c r="T270" s="2">
        <f t="shared" si="227"/>
        <v>0</v>
      </c>
      <c r="V270" s="5">
        <f t="shared" si="245"/>
        <v>1</v>
      </c>
      <c r="W270" s="4">
        <f t="shared" si="246"/>
        <v>1203</v>
      </c>
      <c r="X270" s="14">
        <f t="shared" si="200"/>
        <v>10.450000000000045</v>
      </c>
      <c r="Y270" s="5">
        <f t="shared" si="201"/>
        <v>10.450000000000045</v>
      </c>
      <c r="Z270" s="2">
        <f t="shared" si="202"/>
        <v>0</v>
      </c>
      <c r="AA270" s="4">
        <f t="shared" si="203"/>
        <v>0</v>
      </c>
      <c r="AB270" s="13">
        <f t="shared" si="204"/>
        <v>0.81429603125000005</v>
      </c>
      <c r="AC270" s="10">
        <f>SUM($E$4:E270)</f>
        <v>-12061.088881328989</v>
      </c>
      <c r="AD270" s="20">
        <f>SUM($AB$4:AB270)</f>
        <v>10885.37258132896</v>
      </c>
      <c r="AF270" s="28">
        <f t="shared" si="205"/>
        <v>0.23955500000000002</v>
      </c>
      <c r="AG270" s="2">
        <f t="shared" si="206"/>
        <v>0.30075000000000002</v>
      </c>
      <c r="AH270" s="2">
        <f t="shared" si="207"/>
        <v>7.7855375000000004E-2</v>
      </c>
      <c r="AI270" s="2">
        <f t="shared" si="228"/>
        <v>0.31741037500000002</v>
      </c>
      <c r="AJ270" s="2">
        <f t="shared" si="229"/>
        <v>4.7611556249999999E-2</v>
      </c>
      <c r="AK270" s="2">
        <f t="shared" si="208"/>
        <v>4.7911000000000004E-3</v>
      </c>
      <c r="AL270" s="2">
        <f t="shared" si="209"/>
        <v>0.14373300000000003</v>
      </c>
      <c r="AM270" s="2">
        <f t="shared" si="230"/>
        <v>0.81429603125000005</v>
      </c>
      <c r="AN270" s="2">
        <f t="shared" si="210"/>
        <v>40</v>
      </c>
      <c r="AO270" s="2">
        <f t="shared" si="211"/>
        <v>0.60150000000000003</v>
      </c>
      <c r="AP270" s="2">
        <f t="shared" si="212"/>
        <v>1.2696415000000001</v>
      </c>
      <c r="AQ270" s="2">
        <f t="shared" si="231"/>
        <v>41.269641499999999</v>
      </c>
      <c r="AR270" s="2">
        <f t="shared" si="232"/>
        <v>6.1904462249999996</v>
      </c>
      <c r="AS270" s="2">
        <f t="shared" si="213"/>
        <v>4.7911000000000004E-3</v>
      </c>
      <c r="AT270" s="2">
        <f t="shared" si="214"/>
        <v>0.14373300000000003</v>
      </c>
      <c r="AU270" s="2">
        <f t="shared" si="233"/>
        <v>48.210111824999998</v>
      </c>
      <c r="AV270" s="2">
        <f t="shared" si="215"/>
        <v>0.23955500000000002</v>
      </c>
      <c r="AW270" s="2">
        <f t="shared" si="216"/>
        <v>0.1203</v>
      </c>
      <c r="AX270" s="2">
        <f t="shared" si="217"/>
        <v>5.0306549999999998E-2</v>
      </c>
      <c r="AY270" s="2">
        <f t="shared" si="234"/>
        <v>0.28986155000000002</v>
      </c>
      <c r="AZ270" s="2">
        <f t="shared" si="235"/>
        <v>4.3479232499999999E-2</v>
      </c>
      <c r="BA270" s="2">
        <f t="shared" si="218"/>
        <v>4.7911000000000004E-3</v>
      </c>
      <c r="BB270" s="2">
        <f t="shared" si="219"/>
        <v>0.14373300000000003</v>
      </c>
      <c r="BC270" s="2">
        <f t="shared" si="236"/>
        <v>0.60216488250000011</v>
      </c>
      <c r="BD270" s="2">
        <v>0</v>
      </c>
      <c r="BE270" s="2">
        <f t="shared" si="220"/>
        <v>2.3955500000000001</v>
      </c>
      <c r="BF270" s="2">
        <f t="shared" si="221"/>
        <v>7.7855375000000004E-2</v>
      </c>
      <c r="BG270" s="2">
        <f t="shared" si="237"/>
        <v>7.7855375000000004E-2</v>
      </c>
      <c r="BH270" s="2">
        <f t="shared" si="238"/>
        <v>1.1678306250000001E-2</v>
      </c>
      <c r="BI270" s="2">
        <f t="shared" si="222"/>
        <v>4.7911000000000004E-3</v>
      </c>
      <c r="BJ270" s="2">
        <f t="shared" si="223"/>
        <v>0.14373300000000003</v>
      </c>
      <c r="BK270" s="2">
        <f t="shared" si="239"/>
        <v>2.6336077812499998</v>
      </c>
      <c r="BL270" s="2">
        <f t="shared" si="224"/>
        <v>1192.55</v>
      </c>
      <c r="BM270" s="2">
        <f t="shared" si="225"/>
        <v>1203</v>
      </c>
      <c r="BN270" s="2">
        <f t="shared" si="240"/>
        <v>2395.5500000000002</v>
      </c>
    </row>
    <row r="271" spans="1:66" x14ac:dyDescent="0.25">
      <c r="A271" s="42">
        <v>268</v>
      </c>
      <c r="B271" s="43">
        <v>42859</v>
      </c>
      <c r="C271" s="42" t="s">
        <v>50</v>
      </c>
      <c r="D271" s="42" t="s">
        <v>224</v>
      </c>
      <c r="E271" s="6">
        <f t="shared" si="226"/>
        <v>3.533956437500017</v>
      </c>
      <c r="F271" s="5" t="str">
        <f t="shared" si="241"/>
        <v>Win</v>
      </c>
      <c r="G271" s="4">
        <f t="shared" si="242"/>
        <v>3.7000000000000171</v>
      </c>
      <c r="H271" s="46">
        <v>1</v>
      </c>
      <c r="I271" s="42">
        <v>242.1</v>
      </c>
      <c r="N271" s="5">
        <f t="shared" si="243"/>
        <v>1</v>
      </c>
      <c r="O271" s="4">
        <f t="shared" si="244"/>
        <v>242.1</v>
      </c>
      <c r="P271" s="5">
        <f t="shared" si="199"/>
        <v>1</v>
      </c>
      <c r="Q271" s="42">
        <v>245.8</v>
      </c>
      <c r="R271" s="2">
        <f t="shared" si="198"/>
        <v>0</v>
      </c>
      <c r="T271" s="2">
        <f t="shared" si="227"/>
        <v>0</v>
      </c>
      <c r="V271" s="5">
        <f t="shared" si="245"/>
        <v>1</v>
      </c>
      <c r="W271" s="4">
        <f t="shared" si="246"/>
        <v>245.8</v>
      </c>
      <c r="X271" s="14">
        <f t="shared" si="200"/>
        <v>3.7000000000000171</v>
      </c>
      <c r="Y271" s="5">
        <f t="shared" si="201"/>
        <v>3.7000000000000171</v>
      </c>
      <c r="Z271" s="2">
        <f t="shared" si="202"/>
        <v>0</v>
      </c>
      <c r="AA271" s="4">
        <f t="shared" si="203"/>
        <v>0</v>
      </c>
      <c r="AB271" s="13">
        <f t="shared" si="204"/>
        <v>0.16604356249999999</v>
      </c>
      <c r="AC271" s="10">
        <f>SUM($E$4:E271)</f>
        <v>-12057.554924891489</v>
      </c>
      <c r="AD271" s="20">
        <f>SUM($AB$4:AB271)</f>
        <v>10885.53862489146</v>
      </c>
      <c r="AF271" s="28">
        <f t="shared" si="205"/>
        <v>4.879E-2</v>
      </c>
      <c r="AG271" s="2">
        <f t="shared" si="206"/>
        <v>6.1450000000000005E-2</v>
      </c>
      <c r="AH271" s="2">
        <f t="shared" si="207"/>
        <v>1.5856749999999999E-2</v>
      </c>
      <c r="AI271" s="2">
        <f t="shared" si="228"/>
        <v>6.4646750000000003E-2</v>
      </c>
      <c r="AJ271" s="2">
        <f t="shared" si="229"/>
        <v>9.6970124999999994E-3</v>
      </c>
      <c r="AK271" s="2">
        <f t="shared" si="208"/>
        <v>9.7579999999999997E-4</v>
      </c>
      <c r="AL271" s="2">
        <f t="shared" si="209"/>
        <v>2.9273999999999998E-2</v>
      </c>
      <c r="AM271" s="2">
        <f t="shared" si="230"/>
        <v>0.16604356249999999</v>
      </c>
      <c r="AN271" s="2">
        <f t="shared" si="210"/>
        <v>40</v>
      </c>
      <c r="AO271" s="2">
        <f t="shared" si="211"/>
        <v>0.12290000000000001</v>
      </c>
      <c r="AP271" s="2">
        <f t="shared" si="212"/>
        <v>0.25858699999999996</v>
      </c>
      <c r="AQ271" s="2">
        <f t="shared" si="231"/>
        <v>40.258586999999999</v>
      </c>
      <c r="AR271" s="2">
        <f t="shared" si="232"/>
        <v>6.03878805</v>
      </c>
      <c r="AS271" s="2">
        <f t="shared" si="213"/>
        <v>9.7579999999999997E-4</v>
      </c>
      <c r="AT271" s="2">
        <f t="shared" si="214"/>
        <v>2.9273999999999998E-2</v>
      </c>
      <c r="AU271" s="2">
        <f t="shared" si="233"/>
        <v>46.450524850000001</v>
      </c>
      <c r="AV271" s="2">
        <f t="shared" si="215"/>
        <v>4.879E-2</v>
      </c>
      <c r="AW271" s="2">
        <f t="shared" si="216"/>
        <v>2.4580000000000001E-2</v>
      </c>
      <c r="AX271" s="2">
        <f t="shared" si="217"/>
        <v>1.0245899999999999E-2</v>
      </c>
      <c r="AY271" s="2">
        <f t="shared" si="234"/>
        <v>5.9035900000000002E-2</v>
      </c>
      <c r="AZ271" s="2">
        <f t="shared" si="235"/>
        <v>8.8553850000000003E-3</v>
      </c>
      <c r="BA271" s="2">
        <f t="shared" si="218"/>
        <v>9.7579999999999997E-4</v>
      </c>
      <c r="BB271" s="2">
        <f t="shared" si="219"/>
        <v>2.9273999999999998E-2</v>
      </c>
      <c r="BC271" s="2">
        <f t="shared" si="236"/>
        <v>0.12272108500000001</v>
      </c>
      <c r="BD271" s="2">
        <v>0</v>
      </c>
      <c r="BE271" s="2">
        <f t="shared" si="220"/>
        <v>0.4879</v>
      </c>
      <c r="BF271" s="2">
        <f t="shared" si="221"/>
        <v>1.5856749999999999E-2</v>
      </c>
      <c r="BG271" s="2">
        <f t="shared" si="237"/>
        <v>1.5856749999999999E-2</v>
      </c>
      <c r="BH271" s="2">
        <f t="shared" si="238"/>
        <v>2.3785124999999999E-3</v>
      </c>
      <c r="BI271" s="2">
        <f t="shared" si="222"/>
        <v>9.7579999999999997E-4</v>
      </c>
      <c r="BJ271" s="2">
        <f t="shared" si="223"/>
        <v>2.9273999999999998E-2</v>
      </c>
      <c r="BK271" s="2">
        <f t="shared" si="239"/>
        <v>0.53638506249999995</v>
      </c>
      <c r="BL271" s="2">
        <f t="shared" si="224"/>
        <v>242.1</v>
      </c>
      <c r="BM271" s="2">
        <f t="shared" si="225"/>
        <v>245.8</v>
      </c>
      <c r="BN271" s="2">
        <f t="shared" si="240"/>
        <v>487.9</v>
      </c>
    </row>
    <row r="272" spans="1:66" ht="14.25" customHeight="1" x14ac:dyDescent="0.25">
      <c r="A272" s="42">
        <v>269</v>
      </c>
      <c r="B272" s="43">
        <v>42859</v>
      </c>
      <c r="C272" s="42" t="s">
        <v>50</v>
      </c>
      <c r="D272" s="42" t="s">
        <v>225</v>
      </c>
      <c r="E272" s="6">
        <f t="shared" si="226"/>
        <v>4.6524208749999545</v>
      </c>
      <c r="F272" s="5" t="str">
        <f t="shared" si="241"/>
        <v>Win</v>
      </c>
      <c r="G272" s="4">
        <f t="shared" si="242"/>
        <v>5.2999999999999545</v>
      </c>
      <c r="H272" s="46">
        <v>1</v>
      </c>
      <c r="I272" s="42">
        <v>950.45</v>
      </c>
      <c r="N272" s="5">
        <f t="shared" si="243"/>
        <v>1</v>
      </c>
      <c r="O272" s="4">
        <f t="shared" si="244"/>
        <v>950.45</v>
      </c>
      <c r="P272" s="5">
        <f t="shared" si="199"/>
        <v>1</v>
      </c>
      <c r="Q272" s="42">
        <v>955.75</v>
      </c>
      <c r="R272" s="2">
        <f t="shared" si="198"/>
        <v>0</v>
      </c>
      <c r="T272" s="2">
        <f t="shared" si="227"/>
        <v>0</v>
      </c>
      <c r="V272" s="5">
        <f t="shared" si="245"/>
        <v>1</v>
      </c>
      <c r="W272" s="4">
        <f t="shared" si="246"/>
        <v>955.75</v>
      </c>
      <c r="X272" s="14">
        <f t="shared" si="200"/>
        <v>5.2999999999999545</v>
      </c>
      <c r="Y272" s="5">
        <f t="shared" si="201"/>
        <v>5.2999999999999545</v>
      </c>
      <c r="Z272" s="2">
        <f t="shared" si="202"/>
        <v>0</v>
      </c>
      <c r="AA272" s="4">
        <f t="shared" si="203"/>
        <v>0</v>
      </c>
      <c r="AB272" s="13">
        <f t="shared" si="204"/>
        <v>0.64757912500000014</v>
      </c>
      <c r="AC272" s="10">
        <f>SUM($E$4:E272)</f>
        <v>-12052.902504016489</v>
      </c>
      <c r="AD272" s="20">
        <f>SUM($AB$4:AB272)</f>
        <v>10886.18620401646</v>
      </c>
      <c r="AF272" s="28">
        <f t="shared" si="205"/>
        <v>0.19062000000000001</v>
      </c>
      <c r="AG272" s="2">
        <f t="shared" si="206"/>
        <v>0.2389375</v>
      </c>
      <c r="AH272" s="2">
        <f t="shared" si="207"/>
        <v>6.1951499999999993E-2</v>
      </c>
      <c r="AI272" s="2">
        <f t="shared" si="228"/>
        <v>0.2525715</v>
      </c>
      <c r="AJ272" s="2">
        <f t="shared" si="229"/>
        <v>3.7885725000000002E-2</v>
      </c>
      <c r="AK272" s="2">
        <f t="shared" si="208"/>
        <v>3.8124000000000005E-3</v>
      </c>
      <c r="AL272" s="2">
        <f t="shared" si="209"/>
        <v>0.114372</v>
      </c>
      <c r="AM272" s="2">
        <f t="shared" si="230"/>
        <v>0.64757912500000014</v>
      </c>
      <c r="AN272" s="2">
        <f t="shared" si="210"/>
        <v>40</v>
      </c>
      <c r="AO272" s="2">
        <f t="shared" si="211"/>
        <v>0.47787499999999999</v>
      </c>
      <c r="AP272" s="2">
        <f t="shared" si="212"/>
        <v>1.010286</v>
      </c>
      <c r="AQ272" s="2">
        <f t="shared" si="231"/>
        <v>41.010286000000001</v>
      </c>
      <c r="AR272" s="2">
        <f t="shared" si="232"/>
        <v>6.1515428999999999</v>
      </c>
      <c r="AS272" s="2">
        <f t="shared" si="213"/>
        <v>3.8124000000000005E-3</v>
      </c>
      <c r="AT272" s="2">
        <f t="shared" si="214"/>
        <v>0.114372</v>
      </c>
      <c r="AU272" s="2">
        <f t="shared" si="233"/>
        <v>47.757888300000005</v>
      </c>
      <c r="AV272" s="2">
        <f t="shared" si="215"/>
        <v>0.19062000000000001</v>
      </c>
      <c r="AW272" s="2">
        <f t="shared" si="216"/>
        <v>9.5575000000000007E-2</v>
      </c>
      <c r="AX272" s="2">
        <f t="shared" si="217"/>
        <v>4.0030200000000002E-2</v>
      </c>
      <c r="AY272" s="2">
        <f t="shared" si="234"/>
        <v>0.23065020000000003</v>
      </c>
      <c r="AZ272" s="2">
        <f t="shared" si="235"/>
        <v>3.4597530000000001E-2</v>
      </c>
      <c r="BA272" s="2">
        <f t="shared" si="218"/>
        <v>3.8124000000000005E-3</v>
      </c>
      <c r="BB272" s="2">
        <f t="shared" si="219"/>
        <v>0.114372</v>
      </c>
      <c r="BC272" s="2">
        <f t="shared" si="236"/>
        <v>0.47900713000000006</v>
      </c>
      <c r="BD272" s="2">
        <v>0</v>
      </c>
      <c r="BE272" s="2">
        <f t="shared" si="220"/>
        <v>1.9062000000000001</v>
      </c>
      <c r="BF272" s="2">
        <f t="shared" si="221"/>
        <v>6.1951499999999993E-2</v>
      </c>
      <c r="BG272" s="2">
        <f t="shared" si="237"/>
        <v>6.1951499999999993E-2</v>
      </c>
      <c r="BH272" s="2">
        <f t="shared" si="238"/>
        <v>9.2927249999999982E-3</v>
      </c>
      <c r="BI272" s="2">
        <f t="shared" si="222"/>
        <v>3.8124000000000005E-3</v>
      </c>
      <c r="BJ272" s="2">
        <f t="shared" si="223"/>
        <v>0.114372</v>
      </c>
      <c r="BK272" s="2">
        <f t="shared" si="239"/>
        <v>2.0956286249999998</v>
      </c>
      <c r="BL272" s="2">
        <f t="shared" si="224"/>
        <v>950.45</v>
      </c>
      <c r="BM272" s="2">
        <f t="shared" si="225"/>
        <v>955.75</v>
      </c>
      <c r="BN272" s="2">
        <f t="shared" si="240"/>
        <v>1906.2</v>
      </c>
    </row>
    <row r="273" spans="1:66" x14ac:dyDescent="0.25">
      <c r="A273" s="42">
        <v>270</v>
      </c>
      <c r="B273" s="43">
        <v>42859</v>
      </c>
      <c r="C273" s="42" t="s">
        <v>50</v>
      </c>
      <c r="D273" s="42" t="s">
        <v>226</v>
      </c>
      <c r="E273" s="6">
        <f t="shared" si="226"/>
        <v>1.0663059374999886</v>
      </c>
      <c r="F273" s="5" t="str">
        <f t="shared" si="241"/>
        <v>Win</v>
      </c>
      <c r="G273" s="4">
        <f t="shared" si="242"/>
        <v>1.1999999999999886</v>
      </c>
      <c r="H273" s="46">
        <v>1</v>
      </c>
      <c r="I273" s="42">
        <v>196.15</v>
      </c>
      <c r="N273" s="5">
        <f t="shared" si="243"/>
        <v>1</v>
      </c>
      <c r="O273" s="4">
        <f t="shared" si="244"/>
        <v>196.15</v>
      </c>
      <c r="P273" s="5">
        <f t="shared" si="199"/>
        <v>1</v>
      </c>
      <c r="Q273" s="42">
        <v>197.35</v>
      </c>
      <c r="R273" s="2">
        <f t="shared" si="198"/>
        <v>0</v>
      </c>
      <c r="T273" s="2">
        <f t="shared" si="227"/>
        <v>0</v>
      </c>
      <c r="V273" s="5">
        <f t="shared" si="245"/>
        <v>1</v>
      </c>
      <c r="W273" s="4">
        <f t="shared" si="246"/>
        <v>197.35</v>
      </c>
      <c r="X273" s="14">
        <f t="shared" si="200"/>
        <v>1.1999999999999886</v>
      </c>
      <c r="Y273" s="5">
        <f t="shared" si="201"/>
        <v>1.1999999999999886</v>
      </c>
      <c r="Z273" s="2">
        <f t="shared" si="202"/>
        <v>0</v>
      </c>
      <c r="AA273" s="4">
        <f t="shared" si="203"/>
        <v>0</v>
      </c>
      <c r="AB273" s="13">
        <f t="shared" si="204"/>
        <v>0.13369406249999999</v>
      </c>
      <c r="AC273" s="10">
        <f>SUM($E$4:E273)</f>
        <v>-12051.836198078989</v>
      </c>
      <c r="AD273" s="20">
        <f>SUM($AB$4:AB273)</f>
        <v>10886.31989807896</v>
      </c>
      <c r="AF273" s="28">
        <f t="shared" si="205"/>
        <v>3.9350000000000003E-2</v>
      </c>
      <c r="AG273" s="2">
        <f t="shared" si="206"/>
        <v>4.9337499999999999E-2</v>
      </c>
      <c r="AH273" s="2">
        <f t="shared" si="207"/>
        <v>1.2788749999999998E-2</v>
      </c>
      <c r="AI273" s="2">
        <f t="shared" si="228"/>
        <v>5.2138749999999998E-2</v>
      </c>
      <c r="AJ273" s="2">
        <f t="shared" si="229"/>
        <v>7.8208124999999996E-3</v>
      </c>
      <c r="AK273" s="2">
        <f t="shared" si="208"/>
        <v>7.8700000000000005E-4</v>
      </c>
      <c r="AL273" s="2">
        <f t="shared" si="209"/>
        <v>2.3609999999999999E-2</v>
      </c>
      <c r="AM273" s="2">
        <f t="shared" si="230"/>
        <v>0.13369406249999999</v>
      </c>
      <c r="AN273" s="2">
        <f t="shared" si="210"/>
        <v>40</v>
      </c>
      <c r="AO273" s="2">
        <f t="shared" si="211"/>
        <v>9.8674999999999999E-2</v>
      </c>
      <c r="AP273" s="2">
        <f t="shared" si="212"/>
        <v>0.20855499999999999</v>
      </c>
      <c r="AQ273" s="2">
        <f t="shared" si="231"/>
        <v>40.208554999999997</v>
      </c>
      <c r="AR273" s="2">
        <f t="shared" si="232"/>
        <v>6.0312832499999995</v>
      </c>
      <c r="AS273" s="2">
        <f t="shared" si="213"/>
        <v>7.8700000000000005E-4</v>
      </c>
      <c r="AT273" s="2">
        <f t="shared" si="214"/>
        <v>2.3609999999999999E-2</v>
      </c>
      <c r="AU273" s="2">
        <f t="shared" si="233"/>
        <v>46.362910249999999</v>
      </c>
      <c r="AV273" s="2">
        <f t="shared" si="215"/>
        <v>3.9350000000000003E-2</v>
      </c>
      <c r="AW273" s="2">
        <f t="shared" si="216"/>
        <v>1.9734999999999999E-2</v>
      </c>
      <c r="AX273" s="2">
        <f t="shared" si="217"/>
        <v>8.2635E-3</v>
      </c>
      <c r="AY273" s="2">
        <f t="shared" si="234"/>
        <v>4.7613500000000003E-2</v>
      </c>
      <c r="AZ273" s="2">
        <f t="shared" si="235"/>
        <v>7.1420249999999998E-3</v>
      </c>
      <c r="BA273" s="2">
        <f t="shared" si="218"/>
        <v>7.8700000000000005E-4</v>
      </c>
      <c r="BB273" s="2">
        <f t="shared" si="219"/>
        <v>2.3609999999999999E-2</v>
      </c>
      <c r="BC273" s="2">
        <f t="shared" si="236"/>
        <v>9.8887525000000004E-2</v>
      </c>
      <c r="BD273" s="2">
        <v>0</v>
      </c>
      <c r="BE273" s="2">
        <f t="shared" si="220"/>
        <v>0.39350000000000002</v>
      </c>
      <c r="BF273" s="2">
        <f t="shared" si="221"/>
        <v>1.2788749999999998E-2</v>
      </c>
      <c r="BG273" s="2">
        <f t="shared" si="237"/>
        <v>1.2788749999999998E-2</v>
      </c>
      <c r="BH273" s="2">
        <f t="shared" si="238"/>
        <v>1.9183124999999997E-3</v>
      </c>
      <c r="BI273" s="2">
        <f t="shared" si="222"/>
        <v>7.8700000000000005E-4</v>
      </c>
      <c r="BJ273" s="2">
        <f t="shared" si="223"/>
        <v>2.3609999999999999E-2</v>
      </c>
      <c r="BK273" s="2">
        <f t="shared" si="239"/>
        <v>0.43260406250000005</v>
      </c>
      <c r="BL273" s="2">
        <f t="shared" si="224"/>
        <v>196.15</v>
      </c>
      <c r="BM273" s="2">
        <f t="shared" si="225"/>
        <v>197.35</v>
      </c>
      <c r="BN273" s="2">
        <f t="shared" si="240"/>
        <v>393.5</v>
      </c>
    </row>
    <row r="274" spans="1:66" x14ac:dyDescent="0.25">
      <c r="A274" s="42">
        <v>271</v>
      </c>
      <c r="B274" s="43">
        <v>42859</v>
      </c>
      <c r="C274" s="42" t="s">
        <v>50</v>
      </c>
      <c r="D274" s="42" t="s">
        <v>227</v>
      </c>
      <c r="E274" s="6">
        <f t="shared" si="226"/>
        <v>12.236100625000001</v>
      </c>
      <c r="F274" s="5" t="str">
        <f t="shared" si="241"/>
        <v>Win</v>
      </c>
      <c r="G274" s="4">
        <f t="shared" si="242"/>
        <v>12.5</v>
      </c>
      <c r="H274" s="46">
        <v>1</v>
      </c>
      <c r="I274" s="42">
        <v>380.25</v>
      </c>
      <c r="N274" s="5">
        <f t="shared" si="243"/>
        <v>1</v>
      </c>
      <c r="O274" s="4">
        <f t="shared" si="244"/>
        <v>380.25</v>
      </c>
      <c r="P274" s="5">
        <f t="shared" si="199"/>
        <v>1</v>
      </c>
      <c r="Q274" s="42">
        <v>392.75</v>
      </c>
      <c r="R274" s="2">
        <f t="shared" si="198"/>
        <v>0</v>
      </c>
      <c r="T274" s="2">
        <f t="shared" si="227"/>
        <v>0</v>
      </c>
      <c r="V274" s="5">
        <f t="shared" si="245"/>
        <v>1</v>
      </c>
      <c r="W274" s="4">
        <f t="shared" si="246"/>
        <v>392.75</v>
      </c>
      <c r="X274" s="14">
        <f t="shared" si="200"/>
        <v>12.5</v>
      </c>
      <c r="Y274" s="5">
        <f t="shared" si="201"/>
        <v>12.5</v>
      </c>
      <c r="Z274" s="2">
        <f t="shared" si="202"/>
        <v>0</v>
      </c>
      <c r="AA274" s="4">
        <f t="shared" si="203"/>
        <v>0</v>
      </c>
      <c r="AB274" s="13">
        <f t="shared" si="204"/>
        <v>0.26389937500000005</v>
      </c>
      <c r="AC274" s="10">
        <f>SUM($E$4:E274)</f>
        <v>-12039.600097453989</v>
      </c>
      <c r="AD274" s="20">
        <f>SUM($AB$4:AB274)</f>
        <v>10886.583797453961</v>
      </c>
      <c r="AF274" s="28">
        <f t="shared" si="205"/>
        <v>7.7300000000000008E-2</v>
      </c>
      <c r="AG274" s="2">
        <f t="shared" si="206"/>
        <v>9.8187499999999997E-2</v>
      </c>
      <c r="AH274" s="2">
        <f t="shared" si="207"/>
        <v>2.5122499999999999E-2</v>
      </c>
      <c r="AI274" s="2">
        <f t="shared" si="228"/>
        <v>0.1024225</v>
      </c>
      <c r="AJ274" s="2">
        <f t="shared" si="229"/>
        <v>1.5363374999999999E-2</v>
      </c>
      <c r="AK274" s="2">
        <f t="shared" si="208"/>
        <v>1.5459999999999998E-3</v>
      </c>
      <c r="AL274" s="2">
        <f t="shared" si="209"/>
        <v>4.6380000000000005E-2</v>
      </c>
      <c r="AM274" s="2">
        <f t="shared" si="230"/>
        <v>0.26389937500000005</v>
      </c>
      <c r="AN274" s="2">
        <f t="shared" si="210"/>
        <v>40</v>
      </c>
      <c r="AO274" s="2">
        <f t="shared" si="211"/>
        <v>0.19637499999999999</v>
      </c>
      <c r="AP274" s="2">
        <f t="shared" si="212"/>
        <v>0.40969</v>
      </c>
      <c r="AQ274" s="2">
        <f t="shared" si="231"/>
        <v>40.409689999999998</v>
      </c>
      <c r="AR274" s="2">
        <f t="shared" si="232"/>
        <v>6.0614534999999998</v>
      </c>
      <c r="AS274" s="2">
        <f t="shared" si="213"/>
        <v>1.5459999999999998E-3</v>
      </c>
      <c r="AT274" s="2">
        <f t="shared" si="214"/>
        <v>4.6380000000000005E-2</v>
      </c>
      <c r="AU274" s="2">
        <f t="shared" si="233"/>
        <v>46.715444499999997</v>
      </c>
      <c r="AV274" s="2">
        <f t="shared" si="215"/>
        <v>7.7300000000000008E-2</v>
      </c>
      <c r="AW274" s="2">
        <f t="shared" si="216"/>
        <v>3.9275000000000004E-2</v>
      </c>
      <c r="AX274" s="2">
        <f t="shared" si="217"/>
        <v>1.6232999999999997E-2</v>
      </c>
      <c r="AY274" s="2">
        <f t="shared" si="234"/>
        <v>9.3533000000000005E-2</v>
      </c>
      <c r="AZ274" s="2">
        <f t="shared" si="235"/>
        <v>1.4029950000000001E-2</v>
      </c>
      <c r="BA274" s="2">
        <f t="shared" si="218"/>
        <v>1.5459999999999998E-3</v>
      </c>
      <c r="BB274" s="2">
        <f t="shared" si="219"/>
        <v>4.6380000000000005E-2</v>
      </c>
      <c r="BC274" s="2">
        <f t="shared" si="236"/>
        <v>0.19476395000000002</v>
      </c>
      <c r="BD274" s="2">
        <v>0</v>
      </c>
      <c r="BE274" s="2">
        <f t="shared" si="220"/>
        <v>0.77300000000000002</v>
      </c>
      <c r="BF274" s="2">
        <f t="shared" si="221"/>
        <v>2.5122499999999999E-2</v>
      </c>
      <c r="BG274" s="2">
        <f t="shared" si="237"/>
        <v>2.5122499999999999E-2</v>
      </c>
      <c r="BH274" s="2">
        <f t="shared" si="238"/>
        <v>3.7683749999999996E-3</v>
      </c>
      <c r="BI274" s="2">
        <f t="shared" si="222"/>
        <v>1.5459999999999998E-3</v>
      </c>
      <c r="BJ274" s="2">
        <f t="shared" si="223"/>
        <v>4.6380000000000005E-2</v>
      </c>
      <c r="BK274" s="2">
        <f t="shared" si="239"/>
        <v>0.84981687500000014</v>
      </c>
      <c r="BL274" s="2">
        <f t="shared" si="224"/>
        <v>380.25</v>
      </c>
      <c r="BM274" s="2">
        <f t="shared" si="225"/>
        <v>392.75</v>
      </c>
      <c r="BN274" s="2">
        <f t="shared" si="240"/>
        <v>773</v>
      </c>
    </row>
    <row r="275" spans="1:66" x14ac:dyDescent="0.25">
      <c r="A275" s="42">
        <v>272</v>
      </c>
      <c r="B275" s="43">
        <v>42859</v>
      </c>
      <c r="C275" s="42" t="s">
        <v>50</v>
      </c>
      <c r="D275" s="42" t="s">
        <v>228</v>
      </c>
      <c r="E275" s="6">
        <f t="shared" si="226"/>
        <v>3.5588949687500229</v>
      </c>
      <c r="F275" s="5" t="str">
        <f t="shared" si="241"/>
        <v>Win</v>
      </c>
      <c r="G275" s="4">
        <f t="shared" si="242"/>
        <v>3.8500000000000227</v>
      </c>
      <c r="H275" s="46">
        <v>1</v>
      </c>
      <c r="I275" s="42">
        <v>426.25</v>
      </c>
      <c r="N275" s="5">
        <f t="shared" si="243"/>
        <v>1</v>
      </c>
      <c r="O275" s="4">
        <f t="shared" si="244"/>
        <v>426.25</v>
      </c>
      <c r="P275" s="5">
        <f t="shared" si="199"/>
        <v>1</v>
      </c>
      <c r="Q275" s="42">
        <v>430.1</v>
      </c>
      <c r="R275" s="2">
        <f t="shared" si="198"/>
        <v>0</v>
      </c>
      <c r="T275" s="2">
        <f t="shared" si="227"/>
        <v>0</v>
      </c>
      <c r="V275" s="5">
        <f t="shared" si="245"/>
        <v>1</v>
      </c>
      <c r="W275" s="4">
        <f t="shared" si="246"/>
        <v>430.1</v>
      </c>
      <c r="X275" s="14">
        <f t="shared" si="200"/>
        <v>3.8500000000000227</v>
      </c>
      <c r="Y275" s="5">
        <f t="shared" si="201"/>
        <v>3.8500000000000227</v>
      </c>
      <c r="Z275" s="2">
        <f t="shared" si="202"/>
        <v>0</v>
      </c>
      <c r="AA275" s="4">
        <f t="shared" si="203"/>
        <v>0</v>
      </c>
      <c r="AB275" s="13">
        <f t="shared" si="204"/>
        <v>0.29110503124999998</v>
      </c>
      <c r="AC275" s="10">
        <f>SUM($E$4:E275)</f>
        <v>-12036.041202485239</v>
      </c>
      <c r="AD275" s="20">
        <f>SUM($AB$4:AB275)</f>
        <v>10886.874902485211</v>
      </c>
      <c r="AF275" s="28">
        <f t="shared" si="205"/>
        <v>8.5635000000000003E-2</v>
      </c>
      <c r="AG275" s="2">
        <f t="shared" si="206"/>
        <v>0.10752500000000001</v>
      </c>
      <c r="AH275" s="2">
        <f t="shared" si="207"/>
        <v>2.7831374999999998E-2</v>
      </c>
      <c r="AI275" s="2">
        <f t="shared" si="228"/>
        <v>0.11346637500000001</v>
      </c>
      <c r="AJ275" s="2">
        <f t="shared" si="229"/>
        <v>1.7019956249999999E-2</v>
      </c>
      <c r="AK275" s="2">
        <f t="shared" si="208"/>
        <v>1.7127000000000002E-3</v>
      </c>
      <c r="AL275" s="2">
        <f t="shared" si="209"/>
        <v>5.1381000000000003E-2</v>
      </c>
      <c r="AM275" s="2">
        <f t="shared" si="230"/>
        <v>0.29110503124999998</v>
      </c>
      <c r="AN275" s="2">
        <f t="shared" si="210"/>
        <v>40</v>
      </c>
      <c r="AO275" s="2">
        <f t="shared" si="211"/>
        <v>0.21505000000000002</v>
      </c>
      <c r="AP275" s="2">
        <f t="shared" si="212"/>
        <v>0.45386549999999998</v>
      </c>
      <c r="AQ275" s="2">
        <f t="shared" si="231"/>
        <v>40.453865499999999</v>
      </c>
      <c r="AR275" s="2">
        <f t="shared" si="232"/>
        <v>6.0680798249999999</v>
      </c>
      <c r="AS275" s="2">
        <f t="shared" si="213"/>
        <v>1.7127000000000002E-3</v>
      </c>
      <c r="AT275" s="2">
        <f t="shared" si="214"/>
        <v>5.1381000000000003E-2</v>
      </c>
      <c r="AU275" s="2">
        <f t="shared" si="233"/>
        <v>46.790089024999993</v>
      </c>
      <c r="AV275" s="2">
        <f t="shared" si="215"/>
        <v>8.5635000000000003E-2</v>
      </c>
      <c r="AW275" s="2">
        <f t="shared" si="216"/>
        <v>4.3010000000000007E-2</v>
      </c>
      <c r="AX275" s="2">
        <f t="shared" si="217"/>
        <v>1.7983349999999999E-2</v>
      </c>
      <c r="AY275" s="2">
        <f t="shared" si="234"/>
        <v>0.10361835</v>
      </c>
      <c r="AZ275" s="2">
        <f t="shared" si="235"/>
        <v>1.55427525E-2</v>
      </c>
      <c r="BA275" s="2">
        <f t="shared" si="218"/>
        <v>1.7127000000000002E-3</v>
      </c>
      <c r="BB275" s="2">
        <f t="shared" si="219"/>
        <v>5.1381000000000003E-2</v>
      </c>
      <c r="BC275" s="2">
        <f t="shared" si="236"/>
        <v>0.21526480250000005</v>
      </c>
      <c r="BD275" s="2">
        <v>0</v>
      </c>
      <c r="BE275" s="2">
        <f t="shared" si="220"/>
        <v>0.85635000000000006</v>
      </c>
      <c r="BF275" s="2">
        <f t="shared" si="221"/>
        <v>2.7831374999999998E-2</v>
      </c>
      <c r="BG275" s="2">
        <f t="shared" si="237"/>
        <v>2.7831374999999998E-2</v>
      </c>
      <c r="BH275" s="2">
        <f t="shared" si="238"/>
        <v>4.1747062499999993E-3</v>
      </c>
      <c r="BI275" s="2">
        <f t="shared" si="222"/>
        <v>1.7127000000000002E-3</v>
      </c>
      <c r="BJ275" s="2">
        <f t="shared" si="223"/>
        <v>5.1381000000000003E-2</v>
      </c>
      <c r="BK275" s="2">
        <f t="shared" si="239"/>
        <v>0.94144978125000012</v>
      </c>
      <c r="BL275" s="2">
        <f t="shared" si="224"/>
        <v>426.25</v>
      </c>
      <c r="BM275" s="2">
        <f t="shared" si="225"/>
        <v>430.1</v>
      </c>
      <c r="BN275" s="2">
        <f t="shared" si="240"/>
        <v>856.35</v>
      </c>
    </row>
    <row r="276" spans="1:66" x14ac:dyDescent="0.25">
      <c r="A276" s="42">
        <v>273</v>
      </c>
      <c r="B276" s="43">
        <v>42859</v>
      </c>
      <c r="C276" s="42" t="s">
        <v>50</v>
      </c>
      <c r="D276" s="42" t="s">
        <v>121</v>
      </c>
      <c r="E276" s="6">
        <f t="shared" si="226"/>
        <v>-1.7955438749999999</v>
      </c>
      <c r="F276" s="5" t="str">
        <f t="shared" si="241"/>
        <v>Loss</v>
      </c>
      <c r="G276" s="4">
        <f t="shared" si="242"/>
        <v>-1.5</v>
      </c>
      <c r="H276" s="46">
        <v>1</v>
      </c>
      <c r="I276" s="42">
        <v>436.45</v>
      </c>
      <c r="N276" s="5">
        <f t="shared" si="243"/>
        <v>1</v>
      </c>
      <c r="O276" s="4">
        <f t="shared" si="244"/>
        <v>436.45</v>
      </c>
      <c r="P276" s="5">
        <f t="shared" si="199"/>
        <v>1</v>
      </c>
      <c r="Q276" s="42">
        <v>434.95</v>
      </c>
      <c r="R276" s="2">
        <f t="shared" si="198"/>
        <v>0</v>
      </c>
      <c r="T276" s="2">
        <f t="shared" si="227"/>
        <v>0</v>
      </c>
      <c r="V276" s="5">
        <f t="shared" si="245"/>
        <v>1</v>
      </c>
      <c r="W276" s="4">
        <f t="shared" si="246"/>
        <v>434.95</v>
      </c>
      <c r="X276" s="14">
        <f t="shared" si="200"/>
        <v>-1.5</v>
      </c>
      <c r="Y276" s="5">
        <f t="shared" si="201"/>
        <v>-1.5</v>
      </c>
      <c r="Z276" s="2">
        <f t="shared" si="202"/>
        <v>0</v>
      </c>
      <c r="AA276" s="4">
        <f t="shared" si="203"/>
        <v>0</v>
      </c>
      <c r="AB276" s="13">
        <f t="shared" si="204"/>
        <v>0.29554387499999996</v>
      </c>
      <c r="AC276" s="10">
        <f>SUM($E$4:E276)</f>
        <v>-12037.836746360239</v>
      </c>
      <c r="AD276" s="20">
        <f>SUM($AB$4:AB276)</f>
        <v>10887.170446360211</v>
      </c>
      <c r="AF276" s="28">
        <f t="shared" si="205"/>
        <v>8.7139999999999995E-2</v>
      </c>
      <c r="AG276" s="2">
        <f t="shared" si="206"/>
        <v>0.1087375</v>
      </c>
      <c r="AH276" s="2">
        <f t="shared" si="207"/>
        <v>2.8320499999999998E-2</v>
      </c>
      <c r="AI276" s="2">
        <f t="shared" si="228"/>
        <v>0.11546049999999999</v>
      </c>
      <c r="AJ276" s="2">
        <f t="shared" si="229"/>
        <v>1.7319075E-2</v>
      </c>
      <c r="AK276" s="2">
        <f t="shared" si="208"/>
        <v>1.7427999999999999E-3</v>
      </c>
      <c r="AL276" s="2">
        <f t="shared" si="209"/>
        <v>5.2283999999999997E-2</v>
      </c>
      <c r="AM276" s="2">
        <f t="shared" si="230"/>
        <v>0.29554387499999996</v>
      </c>
      <c r="AN276" s="2">
        <f t="shared" si="210"/>
        <v>40</v>
      </c>
      <c r="AO276" s="2">
        <f t="shared" si="211"/>
        <v>0.217475</v>
      </c>
      <c r="AP276" s="2">
        <f t="shared" si="212"/>
        <v>0.46184199999999997</v>
      </c>
      <c r="AQ276" s="2">
        <f t="shared" si="231"/>
        <v>40.461841999999997</v>
      </c>
      <c r="AR276" s="2">
        <f t="shared" si="232"/>
        <v>6.0692762999999994</v>
      </c>
      <c r="AS276" s="2">
        <f t="shared" si="213"/>
        <v>1.7427999999999999E-3</v>
      </c>
      <c r="AT276" s="2">
        <f t="shared" si="214"/>
        <v>5.2283999999999997E-2</v>
      </c>
      <c r="AU276" s="2">
        <f t="shared" si="233"/>
        <v>46.802620099999999</v>
      </c>
      <c r="AV276" s="2">
        <f t="shared" si="215"/>
        <v>8.7139999999999995E-2</v>
      </c>
      <c r="AW276" s="2">
        <f t="shared" si="216"/>
        <v>4.3494999999999999E-2</v>
      </c>
      <c r="AX276" s="2">
        <f t="shared" si="217"/>
        <v>1.8299399999999997E-2</v>
      </c>
      <c r="AY276" s="2">
        <f t="shared" si="234"/>
        <v>0.10543939999999999</v>
      </c>
      <c r="AZ276" s="2">
        <f t="shared" si="235"/>
        <v>1.5815909999999999E-2</v>
      </c>
      <c r="BA276" s="2">
        <f t="shared" si="218"/>
        <v>1.7427999999999999E-3</v>
      </c>
      <c r="BB276" s="2">
        <f t="shared" si="219"/>
        <v>5.2283999999999997E-2</v>
      </c>
      <c r="BC276" s="2">
        <f t="shared" si="236"/>
        <v>0.21877710999999997</v>
      </c>
      <c r="BD276" s="2">
        <v>0</v>
      </c>
      <c r="BE276" s="2">
        <f t="shared" si="220"/>
        <v>0.87139999999999995</v>
      </c>
      <c r="BF276" s="2">
        <f t="shared" si="221"/>
        <v>2.8320499999999998E-2</v>
      </c>
      <c r="BG276" s="2">
        <f t="shared" si="237"/>
        <v>2.8320499999999998E-2</v>
      </c>
      <c r="BH276" s="2">
        <f t="shared" si="238"/>
        <v>4.2480749999999996E-3</v>
      </c>
      <c r="BI276" s="2">
        <f t="shared" si="222"/>
        <v>1.7427999999999999E-3</v>
      </c>
      <c r="BJ276" s="2">
        <f t="shared" si="223"/>
        <v>5.2283999999999997E-2</v>
      </c>
      <c r="BK276" s="2">
        <f t="shared" si="239"/>
        <v>0.95799537499999998</v>
      </c>
      <c r="BL276" s="2">
        <f t="shared" si="224"/>
        <v>436.45</v>
      </c>
      <c r="BM276" s="2">
        <f t="shared" si="225"/>
        <v>434.95</v>
      </c>
      <c r="BN276" s="2">
        <f t="shared" si="240"/>
        <v>871.4</v>
      </c>
    </row>
    <row r="277" spans="1:66" x14ac:dyDescent="0.25">
      <c r="A277" s="42">
        <v>274</v>
      </c>
      <c r="B277" s="43">
        <v>42859</v>
      </c>
      <c r="C277" s="42" t="s">
        <v>50</v>
      </c>
      <c r="D277" s="42" t="s">
        <v>229</v>
      </c>
      <c r="E277" s="6">
        <f t="shared" si="226"/>
        <v>1.9702319999999942</v>
      </c>
      <c r="F277" s="5" t="str">
        <f t="shared" si="241"/>
        <v>Win</v>
      </c>
      <c r="G277" s="4">
        <f t="shared" si="242"/>
        <v>2.0999999999999943</v>
      </c>
      <c r="H277" s="46">
        <v>1</v>
      </c>
      <c r="I277" s="42">
        <v>189.75</v>
      </c>
      <c r="N277" s="5">
        <f t="shared" si="243"/>
        <v>1</v>
      </c>
      <c r="O277" s="4">
        <f t="shared" si="244"/>
        <v>189.75</v>
      </c>
      <c r="P277" s="5">
        <f t="shared" si="199"/>
        <v>1</v>
      </c>
      <c r="Q277" s="42">
        <v>191.85</v>
      </c>
      <c r="R277" s="2">
        <f t="shared" si="198"/>
        <v>0</v>
      </c>
      <c r="T277" s="2">
        <f t="shared" si="227"/>
        <v>0</v>
      </c>
      <c r="V277" s="5">
        <f t="shared" si="245"/>
        <v>1</v>
      </c>
      <c r="W277" s="4">
        <f t="shared" si="246"/>
        <v>191.85</v>
      </c>
      <c r="X277" s="14">
        <f t="shared" si="200"/>
        <v>2.0999999999999943</v>
      </c>
      <c r="Y277" s="5">
        <f t="shared" si="201"/>
        <v>2.0999999999999943</v>
      </c>
      <c r="Z277" s="2">
        <f t="shared" si="202"/>
        <v>0</v>
      </c>
      <c r="AA277" s="4">
        <f t="shared" si="203"/>
        <v>0</v>
      </c>
      <c r="AB277" s="13">
        <f t="shared" si="204"/>
        <v>0.12976800000000002</v>
      </c>
      <c r="AC277" s="10">
        <f>SUM($E$4:E277)</f>
        <v>-12035.866514360239</v>
      </c>
      <c r="AD277" s="20">
        <f>SUM($AB$4:AB277)</f>
        <v>10887.300214360212</v>
      </c>
      <c r="AF277" s="28">
        <f t="shared" si="205"/>
        <v>3.8160000000000006E-2</v>
      </c>
      <c r="AG277" s="2">
        <f t="shared" si="206"/>
        <v>4.7962499999999998E-2</v>
      </c>
      <c r="AH277" s="2">
        <f t="shared" si="207"/>
        <v>1.2402E-2</v>
      </c>
      <c r="AI277" s="2">
        <f t="shared" si="228"/>
        <v>5.056200000000001E-2</v>
      </c>
      <c r="AJ277" s="2">
        <f t="shared" si="229"/>
        <v>7.5843000000000013E-3</v>
      </c>
      <c r="AK277" s="2">
        <f t="shared" si="208"/>
        <v>7.6320000000000001E-4</v>
      </c>
      <c r="AL277" s="2">
        <f t="shared" si="209"/>
        <v>2.2896000000000003E-2</v>
      </c>
      <c r="AM277" s="2">
        <f t="shared" si="230"/>
        <v>0.12976800000000002</v>
      </c>
      <c r="AN277" s="2">
        <f t="shared" si="210"/>
        <v>40</v>
      </c>
      <c r="AO277" s="2">
        <f t="shared" si="211"/>
        <v>9.5924999999999996E-2</v>
      </c>
      <c r="AP277" s="2">
        <f t="shared" si="212"/>
        <v>0.20224800000000001</v>
      </c>
      <c r="AQ277" s="2">
        <f t="shared" si="231"/>
        <v>40.202247999999997</v>
      </c>
      <c r="AR277" s="2">
        <f t="shared" si="232"/>
        <v>6.0303371999999991</v>
      </c>
      <c r="AS277" s="2">
        <f t="shared" si="213"/>
        <v>7.6320000000000001E-4</v>
      </c>
      <c r="AT277" s="2">
        <f t="shared" si="214"/>
        <v>2.2896000000000003E-2</v>
      </c>
      <c r="AU277" s="2">
        <f t="shared" si="233"/>
        <v>46.352169400000001</v>
      </c>
      <c r="AV277" s="2">
        <f t="shared" si="215"/>
        <v>3.8160000000000006E-2</v>
      </c>
      <c r="AW277" s="2">
        <f t="shared" si="216"/>
        <v>1.9185000000000001E-2</v>
      </c>
      <c r="AX277" s="2">
        <f t="shared" si="217"/>
        <v>8.0135999999999992E-3</v>
      </c>
      <c r="AY277" s="2">
        <f t="shared" si="234"/>
        <v>4.6173600000000009E-2</v>
      </c>
      <c r="AZ277" s="2">
        <f t="shared" si="235"/>
        <v>6.9260400000000014E-3</v>
      </c>
      <c r="BA277" s="2">
        <f t="shared" si="218"/>
        <v>7.6320000000000001E-4</v>
      </c>
      <c r="BB277" s="2">
        <f t="shared" si="219"/>
        <v>2.2896000000000003E-2</v>
      </c>
      <c r="BC277" s="2">
        <f t="shared" si="236"/>
        <v>9.5943840000000016E-2</v>
      </c>
      <c r="BD277" s="2">
        <v>0</v>
      </c>
      <c r="BE277" s="2">
        <f t="shared" si="220"/>
        <v>0.38160000000000005</v>
      </c>
      <c r="BF277" s="2">
        <f t="shared" si="221"/>
        <v>1.2402E-2</v>
      </c>
      <c r="BG277" s="2">
        <f t="shared" si="237"/>
        <v>1.2402E-2</v>
      </c>
      <c r="BH277" s="2">
        <f t="shared" si="238"/>
        <v>1.8602999999999998E-3</v>
      </c>
      <c r="BI277" s="2">
        <f t="shared" si="222"/>
        <v>7.6320000000000001E-4</v>
      </c>
      <c r="BJ277" s="2">
        <f t="shared" si="223"/>
        <v>2.2896000000000003E-2</v>
      </c>
      <c r="BK277" s="2">
        <f t="shared" si="239"/>
        <v>0.4195215000000001</v>
      </c>
      <c r="BL277" s="2">
        <f t="shared" si="224"/>
        <v>189.75</v>
      </c>
      <c r="BM277" s="2">
        <f t="shared" si="225"/>
        <v>191.85</v>
      </c>
      <c r="BN277" s="2">
        <f t="shared" si="240"/>
        <v>381.6</v>
      </c>
    </row>
    <row r="278" spans="1:66" x14ac:dyDescent="0.25">
      <c r="A278" s="42">
        <v>275</v>
      </c>
      <c r="B278" s="43">
        <v>42860</v>
      </c>
      <c r="C278" s="42" t="s">
        <v>50</v>
      </c>
      <c r="D278" s="42" t="s">
        <v>178</v>
      </c>
      <c r="E278" s="6">
        <f t="shared" si="226"/>
        <v>2.8990799999999091</v>
      </c>
      <c r="F278" s="5" t="str">
        <f t="shared" si="241"/>
        <v>Win</v>
      </c>
      <c r="G278" s="4">
        <f t="shared" si="242"/>
        <v>3.5999999999999091</v>
      </c>
      <c r="H278" s="46">
        <v>1</v>
      </c>
      <c r="I278" s="42">
        <v>1030.2</v>
      </c>
      <c r="N278" s="5">
        <f t="shared" si="243"/>
        <v>1</v>
      </c>
      <c r="O278" s="4">
        <f t="shared" si="244"/>
        <v>1030.2</v>
      </c>
      <c r="P278" s="5">
        <f t="shared" si="199"/>
        <v>1</v>
      </c>
      <c r="Q278" s="42">
        <v>1033.8</v>
      </c>
      <c r="R278" s="2">
        <f t="shared" si="198"/>
        <v>0</v>
      </c>
      <c r="T278" s="2">
        <f t="shared" si="227"/>
        <v>0</v>
      </c>
      <c r="V278" s="5">
        <f t="shared" si="245"/>
        <v>1</v>
      </c>
      <c r="W278" s="4">
        <f t="shared" si="246"/>
        <v>1033.8</v>
      </c>
      <c r="X278" s="14">
        <f t="shared" si="200"/>
        <v>3.5999999999999091</v>
      </c>
      <c r="Y278" s="5">
        <f t="shared" si="201"/>
        <v>3.5999999999999091</v>
      </c>
      <c r="Z278" s="2">
        <f t="shared" si="202"/>
        <v>0</v>
      </c>
      <c r="AA278" s="4">
        <f t="shared" si="203"/>
        <v>0</v>
      </c>
      <c r="AB278" s="13">
        <f t="shared" si="204"/>
        <v>0.70091999999999999</v>
      </c>
      <c r="AC278" s="10">
        <f>SUM($E$4:E278)</f>
        <v>-12032.96743436024</v>
      </c>
      <c r="AD278" s="20">
        <f>SUM($AB$4:AB278)</f>
        <v>10888.001134360211</v>
      </c>
      <c r="AF278" s="28">
        <f t="shared" si="205"/>
        <v>0.2064</v>
      </c>
      <c r="AG278" s="2">
        <f t="shared" si="206"/>
        <v>0.25845000000000001</v>
      </c>
      <c r="AH278" s="2">
        <f t="shared" si="207"/>
        <v>6.7080000000000001E-2</v>
      </c>
      <c r="AI278" s="2">
        <f t="shared" si="228"/>
        <v>0.27348</v>
      </c>
      <c r="AJ278" s="2">
        <f t="shared" si="229"/>
        <v>4.1021999999999996E-2</v>
      </c>
      <c r="AK278" s="2">
        <f t="shared" si="208"/>
        <v>4.1279999999999997E-3</v>
      </c>
      <c r="AL278" s="2">
        <f t="shared" si="209"/>
        <v>0.12384000000000001</v>
      </c>
      <c r="AM278" s="2">
        <f t="shared" si="230"/>
        <v>0.70091999999999999</v>
      </c>
      <c r="AN278" s="2">
        <f t="shared" si="210"/>
        <v>40</v>
      </c>
      <c r="AO278" s="2">
        <f t="shared" si="211"/>
        <v>0.51690000000000003</v>
      </c>
      <c r="AP278" s="2">
        <f t="shared" si="212"/>
        <v>1.09392</v>
      </c>
      <c r="AQ278" s="2">
        <f t="shared" si="231"/>
        <v>41.093919999999997</v>
      </c>
      <c r="AR278" s="2">
        <f t="shared" si="232"/>
        <v>6.1640879999999996</v>
      </c>
      <c r="AS278" s="2">
        <f t="shared" si="213"/>
        <v>4.1279999999999997E-3</v>
      </c>
      <c r="AT278" s="2">
        <f t="shared" si="214"/>
        <v>0.12384000000000001</v>
      </c>
      <c r="AU278" s="2">
        <f t="shared" si="233"/>
        <v>47.902875999999999</v>
      </c>
      <c r="AV278" s="2">
        <f t="shared" si="215"/>
        <v>0.2064</v>
      </c>
      <c r="AW278" s="2">
        <f t="shared" si="216"/>
        <v>0.10338</v>
      </c>
      <c r="AX278" s="2">
        <f t="shared" si="217"/>
        <v>4.3344000000000001E-2</v>
      </c>
      <c r="AY278" s="2">
        <f t="shared" si="234"/>
        <v>0.24974399999999999</v>
      </c>
      <c r="AZ278" s="2">
        <f t="shared" si="235"/>
        <v>3.7461599999999998E-2</v>
      </c>
      <c r="BA278" s="2">
        <f t="shared" si="218"/>
        <v>4.1279999999999997E-3</v>
      </c>
      <c r="BB278" s="2">
        <f t="shared" si="219"/>
        <v>0.12384000000000001</v>
      </c>
      <c r="BC278" s="2">
        <f t="shared" si="236"/>
        <v>0.51855359999999995</v>
      </c>
      <c r="BD278" s="2">
        <v>0</v>
      </c>
      <c r="BE278" s="2">
        <f t="shared" si="220"/>
        <v>2.0640000000000001</v>
      </c>
      <c r="BF278" s="2">
        <f t="shared" si="221"/>
        <v>6.7080000000000001E-2</v>
      </c>
      <c r="BG278" s="2">
        <f t="shared" si="237"/>
        <v>6.7080000000000001E-2</v>
      </c>
      <c r="BH278" s="2">
        <f t="shared" si="238"/>
        <v>1.0062E-2</v>
      </c>
      <c r="BI278" s="2">
        <f t="shared" si="222"/>
        <v>4.1279999999999997E-3</v>
      </c>
      <c r="BJ278" s="2">
        <f t="shared" si="223"/>
        <v>0.12384000000000001</v>
      </c>
      <c r="BK278" s="2">
        <f t="shared" si="239"/>
        <v>2.26911</v>
      </c>
      <c r="BL278" s="2">
        <f t="shared" si="224"/>
        <v>1030.2</v>
      </c>
      <c r="BM278" s="2">
        <f t="shared" si="225"/>
        <v>1033.8</v>
      </c>
      <c r="BN278" s="2">
        <f t="shared" si="240"/>
        <v>2064</v>
      </c>
    </row>
    <row r="279" spans="1:66" x14ac:dyDescent="0.25">
      <c r="A279" s="42">
        <v>276</v>
      </c>
      <c r="B279" s="43">
        <v>42860</v>
      </c>
      <c r="C279" s="42" t="s">
        <v>50</v>
      </c>
      <c r="D279" s="42" t="s">
        <v>230</v>
      </c>
      <c r="E279" s="6">
        <f t="shared" si="226"/>
        <v>-5.2606895624999996</v>
      </c>
      <c r="F279" s="5" t="str">
        <f t="shared" si="241"/>
        <v>Loss</v>
      </c>
      <c r="G279" s="4">
        <f t="shared" si="242"/>
        <v>-4.5</v>
      </c>
      <c r="H279" s="46">
        <v>1</v>
      </c>
      <c r="I279" s="42">
        <v>1123.8</v>
      </c>
      <c r="N279" s="5">
        <f t="shared" si="243"/>
        <v>1</v>
      </c>
      <c r="O279" s="4">
        <f t="shared" si="244"/>
        <v>1123.8</v>
      </c>
      <c r="P279" s="5">
        <f t="shared" si="199"/>
        <v>1</v>
      </c>
      <c r="Q279" s="42">
        <v>1119.3</v>
      </c>
      <c r="R279" s="2">
        <f t="shared" si="198"/>
        <v>0</v>
      </c>
      <c r="T279" s="2">
        <f t="shared" si="227"/>
        <v>0</v>
      </c>
      <c r="V279" s="5">
        <f t="shared" si="245"/>
        <v>1</v>
      </c>
      <c r="W279" s="4">
        <f t="shared" si="246"/>
        <v>1119.3</v>
      </c>
      <c r="X279" s="14">
        <f t="shared" si="200"/>
        <v>-4.5</v>
      </c>
      <c r="Y279" s="5">
        <f t="shared" si="201"/>
        <v>-4.5</v>
      </c>
      <c r="Z279" s="2">
        <f t="shared" si="202"/>
        <v>0</v>
      </c>
      <c r="AA279" s="4">
        <f t="shared" si="203"/>
        <v>0</v>
      </c>
      <c r="AB279" s="13">
        <f t="shared" si="204"/>
        <v>0.76068956249999997</v>
      </c>
      <c r="AC279" s="10">
        <f>SUM($E$4:E279)</f>
        <v>-12038.22812392274</v>
      </c>
      <c r="AD279" s="20">
        <f>SUM($AB$4:AB279)</f>
        <v>10888.76182392271</v>
      </c>
      <c r="AF279" s="28">
        <f t="shared" si="205"/>
        <v>0.22431000000000001</v>
      </c>
      <c r="AG279" s="2">
        <f t="shared" si="206"/>
        <v>0.27982499999999999</v>
      </c>
      <c r="AH279" s="2">
        <f t="shared" si="207"/>
        <v>7.2900749999999986E-2</v>
      </c>
      <c r="AI279" s="2">
        <f t="shared" si="228"/>
        <v>0.29721074999999997</v>
      </c>
      <c r="AJ279" s="2">
        <f t="shared" si="229"/>
        <v>4.4581612499999992E-2</v>
      </c>
      <c r="AK279" s="2">
        <f t="shared" si="208"/>
        <v>4.4862000000000001E-3</v>
      </c>
      <c r="AL279" s="2">
        <f t="shared" si="209"/>
        <v>0.13458600000000001</v>
      </c>
      <c r="AM279" s="2">
        <f t="shared" si="230"/>
        <v>0.76068956249999997</v>
      </c>
      <c r="AN279" s="2">
        <f t="shared" si="210"/>
        <v>40</v>
      </c>
      <c r="AO279" s="2">
        <f t="shared" si="211"/>
        <v>0.55964999999999998</v>
      </c>
      <c r="AP279" s="2">
        <f t="shared" si="212"/>
        <v>1.1888429999999999</v>
      </c>
      <c r="AQ279" s="2">
        <f t="shared" si="231"/>
        <v>41.188842999999999</v>
      </c>
      <c r="AR279" s="2">
        <f t="shared" si="232"/>
        <v>6.1783264499999992</v>
      </c>
      <c r="AS279" s="2">
        <f t="shared" si="213"/>
        <v>4.4862000000000001E-3</v>
      </c>
      <c r="AT279" s="2">
        <f t="shared" si="214"/>
        <v>0.13458600000000001</v>
      </c>
      <c r="AU279" s="2">
        <f t="shared" si="233"/>
        <v>48.065891649999998</v>
      </c>
      <c r="AV279" s="2">
        <f t="shared" si="215"/>
        <v>0.22431000000000001</v>
      </c>
      <c r="AW279" s="2">
        <f t="shared" si="216"/>
        <v>0.11193</v>
      </c>
      <c r="AX279" s="2">
        <f t="shared" si="217"/>
        <v>4.7105099999999997E-2</v>
      </c>
      <c r="AY279" s="2">
        <f t="shared" si="234"/>
        <v>0.27141510000000002</v>
      </c>
      <c r="AZ279" s="2">
        <f t="shared" si="235"/>
        <v>4.0712265000000004E-2</v>
      </c>
      <c r="BA279" s="2">
        <f t="shared" si="218"/>
        <v>4.4862000000000001E-3</v>
      </c>
      <c r="BB279" s="2">
        <f t="shared" si="219"/>
        <v>0.13458600000000001</v>
      </c>
      <c r="BC279" s="2">
        <f t="shared" si="236"/>
        <v>0.563129565</v>
      </c>
      <c r="BD279" s="2">
        <v>0</v>
      </c>
      <c r="BE279" s="2">
        <f t="shared" si="220"/>
        <v>2.2431000000000001</v>
      </c>
      <c r="BF279" s="2">
        <f t="shared" si="221"/>
        <v>7.2900749999999986E-2</v>
      </c>
      <c r="BG279" s="2">
        <f t="shared" si="237"/>
        <v>7.2900749999999986E-2</v>
      </c>
      <c r="BH279" s="2">
        <f t="shared" si="238"/>
        <v>1.0935112499999998E-2</v>
      </c>
      <c r="BI279" s="2">
        <f t="shared" si="222"/>
        <v>4.4862000000000001E-3</v>
      </c>
      <c r="BJ279" s="2">
        <f t="shared" si="223"/>
        <v>0.13458600000000001</v>
      </c>
      <c r="BK279" s="2">
        <f t="shared" si="239"/>
        <v>2.4660080625000003</v>
      </c>
      <c r="BL279" s="2">
        <f t="shared" si="224"/>
        <v>1123.8</v>
      </c>
      <c r="BM279" s="2">
        <f t="shared" si="225"/>
        <v>1119.3</v>
      </c>
      <c r="BN279" s="2">
        <f t="shared" si="240"/>
        <v>2243.1</v>
      </c>
    </row>
    <row r="280" spans="1:66" x14ac:dyDescent="0.25">
      <c r="A280" s="42">
        <v>277</v>
      </c>
      <c r="B280" s="43">
        <v>42860</v>
      </c>
      <c r="C280" s="42" t="s">
        <v>50</v>
      </c>
      <c r="D280" s="42" t="s">
        <v>230</v>
      </c>
      <c r="E280" s="6">
        <f t="shared" si="226"/>
        <v>-0.26755906250000006</v>
      </c>
      <c r="F280" s="5" t="str">
        <f t="shared" si="241"/>
        <v>Win</v>
      </c>
      <c r="G280" s="4">
        <f t="shared" si="242"/>
        <v>0.5</v>
      </c>
      <c r="H280" s="46">
        <v>1</v>
      </c>
      <c r="I280" s="42">
        <v>1130.5</v>
      </c>
      <c r="N280" s="5">
        <f t="shared" si="243"/>
        <v>1</v>
      </c>
      <c r="O280" s="4">
        <f t="shared" si="244"/>
        <v>1130.5</v>
      </c>
      <c r="P280" s="5">
        <f t="shared" si="199"/>
        <v>1</v>
      </c>
      <c r="Q280" s="42">
        <v>1131</v>
      </c>
      <c r="R280" s="2">
        <f t="shared" si="198"/>
        <v>0</v>
      </c>
      <c r="T280" s="2">
        <f t="shared" si="227"/>
        <v>0</v>
      </c>
      <c r="V280" s="5">
        <f t="shared" si="245"/>
        <v>1</v>
      </c>
      <c r="W280" s="4">
        <f t="shared" si="246"/>
        <v>1131</v>
      </c>
      <c r="X280" s="14">
        <f t="shared" si="200"/>
        <v>0.5</v>
      </c>
      <c r="Y280" s="5">
        <f t="shared" si="201"/>
        <v>0.5</v>
      </c>
      <c r="Z280" s="2">
        <f t="shared" si="202"/>
        <v>0</v>
      </c>
      <c r="AA280" s="4">
        <f t="shared" si="203"/>
        <v>0</v>
      </c>
      <c r="AB280" s="13">
        <f t="shared" si="204"/>
        <v>0.76755906250000006</v>
      </c>
      <c r="AC280" s="10">
        <f>SUM($E$4:E280)</f>
        <v>-12038.49568298524</v>
      </c>
      <c r="AD280" s="20">
        <f>SUM($AB$4:AB280)</f>
        <v>10889.529382985211</v>
      </c>
      <c r="AF280" s="28">
        <f t="shared" si="205"/>
        <v>0.22615000000000002</v>
      </c>
      <c r="AG280" s="2">
        <f t="shared" si="206"/>
        <v>0.28275</v>
      </c>
      <c r="AH280" s="2">
        <f t="shared" si="207"/>
        <v>7.3498749999999988E-2</v>
      </c>
      <c r="AI280" s="2">
        <f t="shared" si="228"/>
        <v>0.29964875000000002</v>
      </c>
      <c r="AJ280" s="2">
        <f t="shared" si="229"/>
        <v>4.4947312500000003E-2</v>
      </c>
      <c r="AK280" s="2">
        <f t="shared" si="208"/>
        <v>4.5230000000000001E-3</v>
      </c>
      <c r="AL280" s="2">
        <f t="shared" si="209"/>
        <v>0.13569000000000001</v>
      </c>
      <c r="AM280" s="2">
        <f t="shared" si="230"/>
        <v>0.76755906250000006</v>
      </c>
      <c r="AN280" s="2">
        <f t="shared" si="210"/>
        <v>40</v>
      </c>
      <c r="AO280" s="2">
        <f t="shared" si="211"/>
        <v>0.5655</v>
      </c>
      <c r="AP280" s="2">
        <f t="shared" si="212"/>
        <v>1.1985949999999999</v>
      </c>
      <c r="AQ280" s="2">
        <f t="shared" si="231"/>
        <v>41.198594999999997</v>
      </c>
      <c r="AR280" s="2">
        <f t="shared" si="232"/>
        <v>6.1797892499999998</v>
      </c>
      <c r="AS280" s="2">
        <f t="shared" si="213"/>
        <v>4.5230000000000001E-3</v>
      </c>
      <c r="AT280" s="2">
        <f t="shared" si="214"/>
        <v>0.13569000000000001</v>
      </c>
      <c r="AU280" s="2">
        <f t="shared" si="233"/>
        <v>48.084097249999992</v>
      </c>
      <c r="AV280" s="2">
        <f t="shared" si="215"/>
        <v>0.22615000000000002</v>
      </c>
      <c r="AW280" s="2">
        <f t="shared" si="216"/>
        <v>0.11310000000000001</v>
      </c>
      <c r="AX280" s="2">
        <f t="shared" si="217"/>
        <v>4.7491499999999999E-2</v>
      </c>
      <c r="AY280" s="2">
        <f t="shared" si="234"/>
        <v>0.27364150000000004</v>
      </c>
      <c r="AZ280" s="2">
        <f t="shared" si="235"/>
        <v>4.1046225000000006E-2</v>
      </c>
      <c r="BA280" s="2">
        <f t="shared" si="218"/>
        <v>4.5230000000000001E-3</v>
      </c>
      <c r="BB280" s="2">
        <f t="shared" si="219"/>
        <v>0.13569000000000001</v>
      </c>
      <c r="BC280" s="2">
        <f t="shared" si="236"/>
        <v>0.5680007250000001</v>
      </c>
      <c r="BD280" s="2">
        <v>0</v>
      </c>
      <c r="BE280" s="2">
        <f t="shared" si="220"/>
        <v>2.2614999999999998</v>
      </c>
      <c r="BF280" s="2">
        <f t="shared" si="221"/>
        <v>7.3498749999999988E-2</v>
      </c>
      <c r="BG280" s="2">
        <f t="shared" si="237"/>
        <v>7.3498749999999988E-2</v>
      </c>
      <c r="BH280" s="2">
        <f t="shared" si="238"/>
        <v>1.1024812499999998E-2</v>
      </c>
      <c r="BI280" s="2">
        <f t="shared" si="222"/>
        <v>4.5230000000000001E-3</v>
      </c>
      <c r="BJ280" s="2">
        <f t="shared" si="223"/>
        <v>0.13569000000000001</v>
      </c>
      <c r="BK280" s="2">
        <f t="shared" si="239"/>
        <v>2.4862365624999998</v>
      </c>
      <c r="BL280" s="2">
        <f t="shared" si="224"/>
        <v>1130.5</v>
      </c>
      <c r="BM280" s="2">
        <f t="shared" si="225"/>
        <v>1131</v>
      </c>
      <c r="BN280" s="2">
        <f t="shared" si="240"/>
        <v>2261.5</v>
      </c>
    </row>
    <row r="281" spans="1:66" x14ac:dyDescent="0.25">
      <c r="A281" s="42">
        <v>278</v>
      </c>
      <c r="B281" s="43">
        <v>42860</v>
      </c>
      <c r="C281" s="42" t="s">
        <v>50</v>
      </c>
      <c r="D281" s="42" t="s">
        <v>178</v>
      </c>
      <c r="E281" s="6">
        <f t="shared" si="226"/>
        <v>10.498435437500046</v>
      </c>
      <c r="F281" s="5" t="str">
        <f t="shared" si="241"/>
        <v>Win</v>
      </c>
      <c r="G281" s="4">
        <f t="shared" si="242"/>
        <v>11.200000000000045</v>
      </c>
      <c r="H281" s="46">
        <v>1</v>
      </c>
      <c r="I281" s="42">
        <v>1025.95</v>
      </c>
      <c r="N281" s="5">
        <f t="shared" si="243"/>
        <v>1</v>
      </c>
      <c r="O281" s="4">
        <f t="shared" si="244"/>
        <v>1025.95</v>
      </c>
      <c r="P281" s="5">
        <f t="shared" si="199"/>
        <v>1</v>
      </c>
      <c r="Q281" s="42">
        <v>1037.1500000000001</v>
      </c>
      <c r="R281" s="2">
        <f t="shared" si="198"/>
        <v>0</v>
      </c>
      <c r="T281" s="2">
        <f t="shared" si="227"/>
        <v>0</v>
      </c>
      <c r="V281" s="5">
        <f t="shared" si="245"/>
        <v>1</v>
      </c>
      <c r="W281" s="4">
        <f t="shared" si="246"/>
        <v>1037.1500000000001</v>
      </c>
      <c r="X281" s="14">
        <f t="shared" si="200"/>
        <v>11.200000000000045</v>
      </c>
      <c r="Y281" s="5">
        <f t="shared" si="201"/>
        <v>11.200000000000045</v>
      </c>
      <c r="Z281" s="2">
        <f t="shared" si="202"/>
        <v>0</v>
      </c>
      <c r="AA281" s="4">
        <f t="shared" si="203"/>
        <v>0</v>
      </c>
      <c r="AB281" s="13">
        <f t="shared" si="204"/>
        <v>0.7015645625000001</v>
      </c>
      <c r="AC281" s="10">
        <f>SUM($E$4:E281)</f>
        <v>-12027.997247547741</v>
      </c>
      <c r="AD281" s="20">
        <f>SUM($AB$4:AB281)</f>
        <v>10890.23094754771</v>
      </c>
      <c r="AF281" s="28">
        <f t="shared" si="205"/>
        <v>0.20631000000000005</v>
      </c>
      <c r="AG281" s="2">
        <f t="shared" si="206"/>
        <v>0.2592875</v>
      </c>
      <c r="AH281" s="2">
        <f t="shared" si="207"/>
        <v>6.7050750000000006E-2</v>
      </c>
      <c r="AI281" s="2">
        <f t="shared" si="228"/>
        <v>0.27336075000000004</v>
      </c>
      <c r="AJ281" s="2">
        <f t="shared" si="229"/>
        <v>4.1004112500000002E-2</v>
      </c>
      <c r="AK281" s="2">
        <f t="shared" si="208"/>
        <v>4.1262000000000009E-3</v>
      </c>
      <c r="AL281" s="2">
        <f t="shared" si="209"/>
        <v>0.12378600000000002</v>
      </c>
      <c r="AM281" s="2">
        <f t="shared" si="230"/>
        <v>0.7015645625000001</v>
      </c>
      <c r="AN281" s="2">
        <f t="shared" si="210"/>
        <v>40</v>
      </c>
      <c r="AO281" s="2">
        <f t="shared" si="211"/>
        <v>0.51857500000000001</v>
      </c>
      <c r="AP281" s="2">
        <f t="shared" si="212"/>
        <v>1.0934430000000002</v>
      </c>
      <c r="AQ281" s="2">
        <f t="shared" si="231"/>
        <v>41.093443000000001</v>
      </c>
      <c r="AR281" s="2">
        <f t="shared" si="232"/>
        <v>6.1640164500000001</v>
      </c>
      <c r="AS281" s="2">
        <f t="shared" si="213"/>
        <v>4.1262000000000009E-3</v>
      </c>
      <c r="AT281" s="2">
        <f t="shared" si="214"/>
        <v>0.12378600000000002</v>
      </c>
      <c r="AU281" s="2">
        <f t="shared" si="233"/>
        <v>47.903946650000002</v>
      </c>
      <c r="AV281" s="2">
        <f t="shared" si="215"/>
        <v>0.20631000000000005</v>
      </c>
      <c r="AW281" s="2">
        <f t="shared" si="216"/>
        <v>0.10371500000000002</v>
      </c>
      <c r="AX281" s="2">
        <f t="shared" si="217"/>
        <v>4.3325100000000005E-2</v>
      </c>
      <c r="AY281" s="2">
        <f t="shared" si="234"/>
        <v>0.24963510000000005</v>
      </c>
      <c r="AZ281" s="2">
        <f t="shared" si="235"/>
        <v>3.7445265000000005E-2</v>
      </c>
      <c r="BA281" s="2">
        <f t="shared" si="218"/>
        <v>4.1262000000000009E-3</v>
      </c>
      <c r="BB281" s="2">
        <f t="shared" si="219"/>
        <v>0.12378600000000002</v>
      </c>
      <c r="BC281" s="2">
        <f t="shared" si="236"/>
        <v>0.51870756500000015</v>
      </c>
      <c r="BD281" s="2">
        <v>0</v>
      </c>
      <c r="BE281" s="2">
        <f t="shared" si="220"/>
        <v>2.0631000000000004</v>
      </c>
      <c r="BF281" s="2">
        <f t="shared" si="221"/>
        <v>6.7050750000000006E-2</v>
      </c>
      <c r="BG281" s="2">
        <f t="shared" si="237"/>
        <v>6.7050750000000006E-2</v>
      </c>
      <c r="BH281" s="2">
        <f t="shared" si="238"/>
        <v>1.00576125E-2</v>
      </c>
      <c r="BI281" s="2">
        <f t="shared" si="222"/>
        <v>4.1262000000000009E-3</v>
      </c>
      <c r="BJ281" s="2">
        <f t="shared" si="223"/>
        <v>0.12378600000000002</v>
      </c>
      <c r="BK281" s="2">
        <f t="shared" si="239"/>
        <v>2.2681205625</v>
      </c>
      <c r="BL281" s="2">
        <f t="shared" si="224"/>
        <v>1025.95</v>
      </c>
      <c r="BM281" s="2">
        <f t="shared" si="225"/>
        <v>1037.1500000000001</v>
      </c>
      <c r="BN281" s="2">
        <f t="shared" si="240"/>
        <v>2063.1000000000004</v>
      </c>
    </row>
    <row r="282" spans="1:66" x14ac:dyDescent="0.25">
      <c r="A282" s="42">
        <v>279</v>
      </c>
      <c r="B282" s="43">
        <v>42860</v>
      </c>
      <c r="C282" s="42" t="s">
        <v>50</v>
      </c>
      <c r="D282" s="42" t="s">
        <v>231</v>
      </c>
      <c r="E282" s="6">
        <f t="shared" si="226"/>
        <v>5.114250000045617E-3</v>
      </c>
      <c r="F282" s="5" t="str">
        <f t="shared" si="241"/>
        <v>Win</v>
      </c>
      <c r="G282" s="4">
        <f t="shared" si="242"/>
        <v>1.2000000000000455</v>
      </c>
      <c r="H282" s="46">
        <v>2</v>
      </c>
      <c r="I282" s="42">
        <v>879.8</v>
      </c>
      <c r="N282" s="5">
        <f t="shared" si="243"/>
        <v>2</v>
      </c>
      <c r="O282" s="4">
        <f t="shared" si="244"/>
        <v>879.8</v>
      </c>
      <c r="P282" s="5">
        <f t="shared" si="199"/>
        <v>2</v>
      </c>
      <c r="Q282" s="42">
        <v>880.4</v>
      </c>
      <c r="R282" s="2">
        <f t="shared" si="198"/>
        <v>0</v>
      </c>
      <c r="T282" s="2">
        <f t="shared" si="227"/>
        <v>0</v>
      </c>
      <c r="V282" s="5">
        <f t="shared" si="245"/>
        <v>2</v>
      </c>
      <c r="W282" s="4">
        <f t="shared" si="246"/>
        <v>880.4</v>
      </c>
      <c r="X282" s="14">
        <f t="shared" si="200"/>
        <v>0.60000000000002274</v>
      </c>
      <c r="Y282" s="5">
        <f t="shared" si="201"/>
        <v>1.2000000000000455</v>
      </c>
      <c r="Z282" s="2">
        <f t="shared" si="202"/>
        <v>0</v>
      </c>
      <c r="AA282" s="4">
        <f t="shared" si="203"/>
        <v>0</v>
      </c>
      <c r="AB282" s="13">
        <f t="shared" si="204"/>
        <v>1.1948857499999999</v>
      </c>
      <c r="AC282" s="10">
        <f>SUM($E$4:E282)</f>
        <v>-12027.992133297741</v>
      </c>
      <c r="AD282" s="20">
        <f>SUM($AB$4:AB282)</f>
        <v>10891.42583329771</v>
      </c>
      <c r="AF282" s="28">
        <f t="shared" si="205"/>
        <v>0.35203999999999996</v>
      </c>
      <c r="AG282" s="2">
        <f t="shared" si="206"/>
        <v>0.44019999999999998</v>
      </c>
      <c r="AH282" s="2">
        <f t="shared" si="207"/>
        <v>0.11441299999999997</v>
      </c>
      <c r="AI282" s="2">
        <f t="shared" si="228"/>
        <v>0.46645299999999995</v>
      </c>
      <c r="AJ282" s="2">
        <f t="shared" si="229"/>
        <v>6.9967949999999987E-2</v>
      </c>
      <c r="AK282" s="2">
        <f t="shared" si="208"/>
        <v>7.0407999999999998E-3</v>
      </c>
      <c r="AL282" s="2">
        <f t="shared" si="209"/>
        <v>0.211224</v>
      </c>
      <c r="AM282" s="2">
        <f t="shared" si="230"/>
        <v>1.1948857499999999</v>
      </c>
      <c r="AN282" s="2">
        <f t="shared" si="210"/>
        <v>40</v>
      </c>
      <c r="AO282" s="2">
        <f t="shared" si="211"/>
        <v>0.88039999999999996</v>
      </c>
      <c r="AP282" s="2">
        <f t="shared" si="212"/>
        <v>1.8658119999999998</v>
      </c>
      <c r="AQ282" s="2">
        <f t="shared" si="231"/>
        <v>41.865811999999998</v>
      </c>
      <c r="AR282" s="2">
        <f t="shared" si="232"/>
        <v>6.2798717999999996</v>
      </c>
      <c r="AS282" s="2">
        <f t="shared" si="213"/>
        <v>7.0407999999999998E-3</v>
      </c>
      <c r="AT282" s="2">
        <f t="shared" si="214"/>
        <v>0.211224</v>
      </c>
      <c r="AU282" s="2">
        <f t="shared" si="233"/>
        <v>49.244348600000002</v>
      </c>
      <c r="AV282" s="2">
        <f t="shared" si="215"/>
        <v>0.35203999999999996</v>
      </c>
      <c r="AW282" s="2">
        <f t="shared" si="216"/>
        <v>0.17608000000000001</v>
      </c>
      <c r="AX282" s="2">
        <f t="shared" si="217"/>
        <v>7.3928399999999991E-2</v>
      </c>
      <c r="AY282" s="2">
        <f t="shared" si="234"/>
        <v>0.42596839999999997</v>
      </c>
      <c r="AZ282" s="2">
        <f t="shared" si="235"/>
        <v>6.3895259999999995E-2</v>
      </c>
      <c r="BA282" s="2">
        <f t="shared" si="218"/>
        <v>7.0407999999999998E-3</v>
      </c>
      <c r="BB282" s="2">
        <f t="shared" si="219"/>
        <v>0.211224</v>
      </c>
      <c r="BC282" s="2">
        <f t="shared" si="236"/>
        <v>0.88420845999999986</v>
      </c>
      <c r="BD282" s="2">
        <v>0</v>
      </c>
      <c r="BE282" s="2">
        <f t="shared" si="220"/>
        <v>3.5203999999999995</v>
      </c>
      <c r="BF282" s="2">
        <f t="shared" si="221"/>
        <v>0.11441299999999997</v>
      </c>
      <c r="BG282" s="2">
        <f t="shared" si="237"/>
        <v>0.11441299999999997</v>
      </c>
      <c r="BH282" s="2">
        <f t="shared" si="238"/>
        <v>1.7161949999999995E-2</v>
      </c>
      <c r="BI282" s="2">
        <f t="shared" si="222"/>
        <v>7.0407999999999998E-3</v>
      </c>
      <c r="BJ282" s="2">
        <f t="shared" si="223"/>
        <v>0.211224</v>
      </c>
      <c r="BK282" s="2">
        <f t="shared" si="239"/>
        <v>3.8702397499999996</v>
      </c>
      <c r="BL282" s="2">
        <f t="shared" si="224"/>
        <v>1759.6</v>
      </c>
      <c r="BM282" s="2">
        <f t="shared" si="225"/>
        <v>1760.8</v>
      </c>
      <c r="BN282" s="2">
        <f t="shared" si="240"/>
        <v>3520.3999999999996</v>
      </c>
    </row>
    <row r="283" spans="1:66" x14ac:dyDescent="0.25">
      <c r="A283" s="42">
        <v>280</v>
      </c>
      <c r="B283" s="43">
        <v>42860</v>
      </c>
      <c r="C283" s="42" t="s">
        <v>50</v>
      </c>
      <c r="D283" s="42" t="s">
        <v>232</v>
      </c>
      <c r="E283" s="6">
        <f t="shared" si="226"/>
        <v>-0.24789609375018185</v>
      </c>
      <c r="F283" s="5" t="str">
        <f t="shared" si="241"/>
        <v>Win</v>
      </c>
      <c r="G283" s="4">
        <f t="shared" si="242"/>
        <v>0.4499999999998181</v>
      </c>
      <c r="H283" s="46">
        <v>1</v>
      </c>
      <c r="I283" s="42">
        <v>1027.9000000000001</v>
      </c>
      <c r="N283" s="5">
        <f t="shared" si="243"/>
        <v>1</v>
      </c>
      <c r="O283" s="4">
        <f t="shared" si="244"/>
        <v>1027.9000000000001</v>
      </c>
      <c r="P283" s="5">
        <f t="shared" si="199"/>
        <v>1</v>
      </c>
      <c r="Q283" s="42">
        <v>1028.3499999999999</v>
      </c>
      <c r="R283" s="2">
        <f t="shared" si="198"/>
        <v>0</v>
      </c>
      <c r="T283" s="2">
        <f t="shared" si="227"/>
        <v>0</v>
      </c>
      <c r="V283" s="5">
        <f t="shared" si="245"/>
        <v>1</v>
      </c>
      <c r="W283" s="4">
        <f t="shared" si="246"/>
        <v>1028.3499999999999</v>
      </c>
      <c r="X283" s="14">
        <f t="shared" si="200"/>
        <v>0.4499999999998181</v>
      </c>
      <c r="Y283" s="5">
        <f t="shared" si="201"/>
        <v>0.4499999999998181</v>
      </c>
      <c r="Z283" s="2">
        <f t="shared" si="202"/>
        <v>0</v>
      </c>
      <c r="AA283" s="4">
        <f t="shared" si="203"/>
        <v>0</v>
      </c>
      <c r="AB283" s="13">
        <f t="shared" si="204"/>
        <v>0.69789609374999995</v>
      </c>
      <c r="AC283" s="10">
        <f>SUM($E$4:E283)</f>
        <v>-12028.240029391491</v>
      </c>
      <c r="AD283" s="20">
        <f>SUM($AB$4:AB283)</f>
        <v>10892.12372939146</v>
      </c>
      <c r="AF283" s="28">
        <f t="shared" si="205"/>
        <v>0.205625</v>
      </c>
      <c r="AG283" s="2">
        <f t="shared" si="206"/>
        <v>0.25708749999999997</v>
      </c>
      <c r="AH283" s="2">
        <f t="shared" si="207"/>
        <v>6.6828124999999988E-2</v>
      </c>
      <c r="AI283" s="2">
        <f t="shared" si="228"/>
        <v>0.27245312499999996</v>
      </c>
      <c r="AJ283" s="2">
        <f t="shared" si="229"/>
        <v>4.086796874999999E-2</v>
      </c>
      <c r="AK283" s="2">
        <f t="shared" si="208"/>
        <v>4.1124999999999998E-3</v>
      </c>
      <c r="AL283" s="2">
        <f t="shared" si="209"/>
        <v>0.123375</v>
      </c>
      <c r="AM283" s="2">
        <f t="shared" si="230"/>
        <v>0.69789609374999995</v>
      </c>
      <c r="AN283" s="2">
        <f t="shared" si="210"/>
        <v>40</v>
      </c>
      <c r="AO283" s="2">
        <f t="shared" si="211"/>
        <v>0.51417499999999994</v>
      </c>
      <c r="AP283" s="2">
        <f t="shared" si="212"/>
        <v>1.0898124999999999</v>
      </c>
      <c r="AQ283" s="2">
        <f t="shared" si="231"/>
        <v>41.089812500000001</v>
      </c>
      <c r="AR283" s="2">
        <f t="shared" si="232"/>
        <v>6.1634718749999999</v>
      </c>
      <c r="AS283" s="2">
        <f t="shared" si="213"/>
        <v>4.1124999999999998E-3</v>
      </c>
      <c r="AT283" s="2">
        <f t="shared" si="214"/>
        <v>0.123375</v>
      </c>
      <c r="AU283" s="2">
        <f t="shared" si="233"/>
        <v>47.894946875000002</v>
      </c>
      <c r="AV283" s="2">
        <f t="shared" si="215"/>
        <v>0.205625</v>
      </c>
      <c r="AW283" s="2">
        <f t="shared" si="216"/>
        <v>0.102835</v>
      </c>
      <c r="AX283" s="2">
        <f t="shared" si="217"/>
        <v>4.3181249999999997E-2</v>
      </c>
      <c r="AY283" s="2">
        <f t="shared" si="234"/>
        <v>0.24880625000000001</v>
      </c>
      <c r="AZ283" s="2">
        <f t="shared" si="235"/>
        <v>3.7320937499999998E-2</v>
      </c>
      <c r="BA283" s="2">
        <f t="shared" si="218"/>
        <v>4.1124999999999998E-3</v>
      </c>
      <c r="BB283" s="2">
        <f t="shared" si="219"/>
        <v>0.123375</v>
      </c>
      <c r="BC283" s="2">
        <f t="shared" si="236"/>
        <v>0.51644968749999998</v>
      </c>
      <c r="BD283" s="2">
        <v>0</v>
      </c>
      <c r="BE283" s="2">
        <f t="shared" si="220"/>
        <v>2.0562499999999999</v>
      </c>
      <c r="BF283" s="2">
        <f t="shared" si="221"/>
        <v>6.6828124999999988E-2</v>
      </c>
      <c r="BG283" s="2">
        <f t="shared" si="237"/>
        <v>6.6828124999999988E-2</v>
      </c>
      <c r="BH283" s="2">
        <f t="shared" si="238"/>
        <v>1.0024218749999998E-2</v>
      </c>
      <c r="BI283" s="2">
        <f t="shared" si="222"/>
        <v>4.1124999999999998E-3</v>
      </c>
      <c r="BJ283" s="2">
        <f t="shared" si="223"/>
        <v>0.123375</v>
      </c>
      <c r="BK283" s="2">
        <f t="shared" si="239"/>
        <v>2.2605898437499996</v>
      </c>
      <c r="BL283" s="2">
        <f t="shared" si="224"/>
        <v>1027.9000000000001</v>
      </c>
      <c r="BM283" s="2">
        <f t="shared" si="225"/>
        <v>1028.3499999999999</v>
      </c>
      <c r="BN283" s="2">
        <f t="shared" si="240"/>
        <v>2056.25</v>
      </c>
    </row>
    <row r="284" spans="1:66" x14ac:dyDescent="0.25">
      <c r="A284" s="42">
        <v>281</v>
      </c>
      <c r="B284" s="43">
        <v>42860</v>
      </c>
      <c r="C284" s="42" t="s">
        <v>50</v>
      </c>
      <c r="D284" s="42" t="s">
        <v>179</v>
      </c>
      <c r="E284" s="6">
        <f t="shared" si="226"/>
        <v>-9.649371656250068</v>
      </c>
      <c r="F284" s="5" t="str">
        <f t="shared" si="241"/>
        <v>Loss</v>
      </c>
      <c r="G284" s="4">
        <f t="shared" si="242"/>
        <v>-8.5500000000000682</v>
      </c>
      <c r="H284" s="46">
        <v>3</v>
      </c>
      <c r="I284" s="42">
        <v>541.85</v>
      </c>
      <c r="N284" s="5">
        <f t="shared" si="243"/>
        <v>3</v>
      </c>
      <c r="O284" s="4">
        <f t="shared" si="244"/>
        <v>541.85</v>
      </c>
      <c r="P284" s="5">
        <f t="shared" si="199"/>
        <v>3</v>
      </c>
      <c r="Q284" s="42">
        <v>539</v>
      </c>
      <c r="R284" s="2">
        <f t="shared" si="198"/>
        <v>0</v>
      </c>
      <c r="T284" s="2">
        <f t="shared" si="227"/>
        <v>0</v>
      </c>
      <c r="V284" s="5">
        <f t="shared" si="245"/>
        <v>3</v>
      </c>
      <c r="W284" s="4">
        <f t="shared" si="246"/>
        <v>539</v>
      </c>
      <c r="X284" s="14">
        <f t="shared" si="200"/>
        <v>-2.8500000000000227</v>
      </c>
      <c r="Y284" s="5">
        <f t="shared" si="201"/>
        <v>-8.5500000000000682</v>
      </c>
      <c r="Z284" s="2">
        <f t="shared" si="202"/>
        <v>0</v>
      </c>
      <c r="AA284" s="4">
        <f t="shared" si="203"/>
        <v>0</v>
      </c>
      <c r="AB284" s="13">
        <f t="shared" si="204"/>
        <v>1.09937165625</v>
      </c>
      <c r="AC284" s="10">
        <f>SUM($E$4:E284)</f>
        <v>-12037.889401047742</v>
      </c>
      <c r="AD284" s="20">
        <f>SUM($AB$4:AB284)</f>
        <v>10893.22310104771</v>
      </c>
      <c r="AF284" s="28">
        <f t="shared" si="205"/>
        <v>0.32425500000000002</v>
      </c>
      <c r="AG284" s="2">
        <f t="shared" si="206"/>
        <v>0.40425</v>
      </c>
      <c r="AH284" s="2">
        <f t="shared" si="207"/>
        <v>0.105382875</v>
      </c>
      <c r="AI284" s="2">
        <f t="shared" si="228"/>
        <v>0.429637875</v>
      </c>
      <c r="AJ284" s="2">
        <f t="shared" si="229"/>
        <v>6.4445681249999998E-2</v>
      </c>
      <c r="AK284" s="2">
        <f t="shared" si="208"/>
        <v>6.4851000000000006E-3</v>
      </c>
      <c r="AL284" s="2">
        <f t="shared" si="209"/>
        <v>0.194553</v>
      </c>
      <c r="AM284" s="2">
        <f t="shared" si="230"/>
        <v>1.09937165625</v>
      </c>
      <c r="AN284" s="2">
        <f t="shared" si="210"/>
        <v>40</v>
      </c>
      <c r="AO284" s="2">
        <f t="shared" si="211"/>
        <v>0.8085</v>
      </c>
      <c r="AP284" s="2">
        <f t="shared" si="212"/>
        <v>1.7185515</v>
      </c>
      <c r="AQ284" s="2">
        <f t="shared" si="231"/>
        <v>41.718551499999997</v>
      </c>
      <c r="AR284" s="2">
        <f t="shared" si="232"/>
        <v>6.2577827249999993</v>
      </c>
      <c r="AS284" s="2">
        <f t="shared" si="213"/>
        <v>6.4851000000000006E-3</v>
      </c>
      <c r="AT284" s="2">
        <f t="shared" si="214"/>
        <v>0.194553</v>
      </c>
      <c r="AU284" s="2">
        <f t="shared" si="233"/>
        <v>48.985872324999995</v>
      </c>
      <c r="AV284" s="2">
        <f t="shared" si="215"/>
        <v>0.32425500000000002</v>
      </c>
      <c r="AW284" s="2">
        <f t="shared" si="216"/>
        <v>0.16170000000000001</v>
      </c>
      <c r="AX284" s="2">
        <f t="shared" si="217"/>
        <v>6.8093550000000003E-2</v>
      </c>
      <c r="AY284" s="2">
        <f t="shared" si="234"/>
        <v>0.39234855000000002</v>
      </c>
      <c r="AZ284" s="2">
        <f t="shared" si="235"/>
        <v>5.8852282499999999E-2</v>
      </c>
      <c r="BA284" s="2">
        <f t="shared" si="218"/>
        <v>6.4851000000000006E-3</v>
      </c>
      <c r="BB284" s="2">
        <f t="shared" si="219"/>
        <v>0.194553</v>
      </c>
      <c r="BC284" s="2">
        <f t="shared" si="236"/>
        <v>0.81393893250000005</v>
      </c>
      <c r="BD284" s="2">
        <v>0</v>
      </c>
      <c r="BE284" s="2">
        <f t="shared" si="220"/>
        <v>3.24255</v>
      </c>
      <c r="BF284" s="2">
        <f t="shared" si="221"/>
        <v>0.105382875</v>
      </c>
      <c r="BG284" s="2">
        <f t="shared" si="237"/>
        <v>0.105382875</v>
      </c>
      <c r="BH284" s="2">
        <f t="shared" si="238"/>
        <v>1.580743125E-2</v>
      </c>
      <c r="BI284" s="2">
        <f t="shared" si="222"/>
        <v>6.4851000000000006E-3</v>
      </c>
      <c r="BJ284" s="2">
        <f t="shared" si="223"/>
        <v>0.194553</v>
      </c>
      <c r="BK284" s="2">
        <f t="shared" si="239"/>
        <v>3.5647784062499999</v>
      </c>
      <c r="BL284" s="2">
        <f t="shared" si="224"/>
        <v>1625.5500000000002</v>
      </c>
      <c r="BM284" s="2">
        <f t="shared" si="225"/>
        <v>1617</v>
      </c>
      <c r="BN284" s="2">
        <f t="shared" si="240"/>
        <v>3242.55</v>
      </c>
    </row>
    <row r="285" spans="1:66" x14ac:dyDescent="0.25">
      <c r="A285" s="42">
        <v>282</v>
      </c>
      <c r="B285" s="43">
        <v>42860</v>
      </c>
      <c r="C285" s="42" t="s">
        <v>50</v>
      </c>
      <c r="D285" s="42" t="s">
        <v>133</v>
      </c>
      <c r="E285" s="6">
        <f t="shared" si="226"/>
        <v>0.10148359374999982</v>
      </c>
      <c r="F285" s="5" t="str">
        <f t="shared" si="241"/>
        <v>Win</v>
      </c>
      <c r="G285" s="4">
        <f t="shared" si="242"/>
        <v>1.25</v>
      </c>
      <c r="H285" s="46">
        <v>5</v>
      </c>
      <c r="I285" s="42">
        <v>338.25</v>
      </c>
      <c r="N285" s="5">
        <f t="shared" si="243"/>
        <v>5</v>
      </c>
      <c r="O285" s="4">
        <f t="shared" si="244"/>
        <v>338.25</v>
      </c>
      <c r="P285" s="5">
        <f t="shared" si="199"/>
        <v>5</v>
      </c>
      <c r="Q285" s="42">
        <v>338.5</v>
      </c>
      <c r="R285" s="2">
        <f t="shared" si="198"/>
        <v>0</v>
      </c>
      <c r="T285" s="2">
        <f t="shared" si="227"/>
        <v>0</v>
      </c>
      <c r="V285" s="5">
        <f t="shared" si="245"/>
        <v>5</v>
      </c>
      <c r="W285" s="4">
        <f t="shared" si="246"/>
        <v>338.5</v>
      </c>
      <c r="X285" s="14">
        <f t="shared" si="200"/>
        <v>0.25</v>
      </c>
      <c r="Y285" s="5">
        <f t="shared" si="201"/>
        <v>1.25</v>
      </c>
      <c r="Z285" s="2">
        <f t="shared" si="202"/>
        <v>0</v>
      </c>
      <c r="AA285" s="4">
        <f t="shared" si="203"/>
        <v>0</v>
      </c>
      <c r="AB285" s="13">
        <f t="shared" si="204"/>
        <v>1.1485164062500002</v>
      </c>
      <c r="AC285" s="10">
        <f>SUM($E$4:E285)</f>
        <v>-12037.787917453992</v>
      </c>
      <c r="AD285" s="20">
        <f>SUM($AB$4:AB285)</f>
        <v>10894.37161745396</v>
      </c>
      <c r="AF285" s="28">
        <f t="shared" si="205"/>
        <v>0.33837500000000004</v>
      </c>
      <c r="AG285" s="2">
        <f t="shared" si="206"/>
        <v>0.42312500000000003</v>
      </c>
      <c r="AH285" s="2">
        <f t="shared" si="207"/>
        <v>0.109971875</v>
      </c>
      <c r="AI285" s="2">
        <f t="shared" si="228"/>
        <v>0.44834687500000003</v>
      </c>
      <c r="AJ285" s="2">
        <f t="shared" si="229"/>
        <v>6.7252031249999997E-2</v>
      </c>
      <c r="AK285" s="2">
        <f t="shared" si="208"/>
        <v>6.7675000000000009E-3</v>
      </c>
      <c r="AL285" s="2">
        <f t="shared" si="209"/>
        <v>0.20302500000000001</v>
      </c>
      <c r="AM285" s="2">
        <f t="shared" si="230"/>
        <v>1.1485164062500002</v>
      </c>
      <c r="AN285" s="2">
        <f t="shared" si="210"/>
        <v>40</v>
      </c>
      <c r="AO285" s="2">
        <f t="shared" si="211"/>
        <v>0.84625000000000006</v>
      </c>
      <c r="AP285" s="2">
        <f t="shared" si="212"/>
        <v>1.7933874999999999</v>
      </c>
      <c r="AQ285" s="2">
        <f t="shared" si="231"/>
        <v>41.793387500000001</v>
      </c>
      <c r="AR285" s="2">
        <f t="shared" si="232"/>
        <v>6.269008125</v>
      </c>
      <c r="AS285" s="2">
        <f t="shared" si="213"/>
        <v>6.7675000000000009E-3</v>
      </c>
      <c r="AT285" s="2">
        <f t="shared" si="214"/>
        <v>0.20302500000000001</v>
      </c>
      <c r="AU285" s="2">
        <f t="shared" si="233"/>
        <v>49.118438124999997</v>
      </c>
      <c r="AV285" s="2">
        <f t="shared" si="215"/>
        <v>0.33837500000000004</v>
      </c>
      <c r="AW285" s="2">
        <f t="shared" si="216"/>
        <v>0.16925000000000001</v>
      </c>
      <c r="AX285" s="2">
        <f t="shared" si="217"/>
        <v>7.105874999999999E-2</v>
      </c>
      <c r="AY285" s="2">
        <f t="shared" si="234"/>
        <v>0.40943375000000004</v>
      </c>
      <c r="AZ285" s="2">
        <f t="shared" si="235"/>
        <v>6.1415062500000006E-2</v>
      </c>
      <c r="BA285" s="2">
        <f t="shared" si="218"/>
        <v>6.7675000000000009E-3</v>
      </c>
      <c r="BB285" s="2">
        <f t="shared" si="219"/>
        <v>0.20302500000000001</v>
      </c>
      <c r="BC285" s="2">
        <f t="shared" si="236"/>
        <v>0.84989131250000005</v>
      </c>
      <c r="BD285" s="2">
        <v>0</v>
      </c>
      <c r="BE285" s="2">
        <f t="shared" si="220"/>
        <v>3.38375</v>
      </c>
      <c r="BF285" s="2">
        <f t="shared" si="221"/>
        <v>0.109971875</v>
      </c>
      <c r="BG285" s="2">
        <f t="shared" si="237"/>
        <v>0.109971875</v>
      </c>
      <c r="BH285" s="2">
        <f t="shared" si="238"/>
        <v>1.6495781249999997E-2</v>
      </c>
      <c r="BI285" s="2">
        <f t="shared" si="222"/>
        <v>6.7675000000000009E-3</v>
      </c>
      <c r="BJ285" s="2">
        <f t="shared" si="223"/>
        <v>0.20302500000000001</v>
      </c>
      <c r="BK285" s="2">
        <f t="shared" si="239"/>
        <v>3.7200101562499999</v>
      </c>
      <c r="BL285" s="2">
        <f t="shared" si="224"/>
        <v>1691.25</v>
      </c>
      <c r="BM285" s="2">
        <f t="shared" si="225"/>
        <v>1692.5</v>
      </c>
      <c r="BN285" s="2">
        <f t="shared" si="240"/>
        <v>3383.75</v>
      </c>
    </row>
    <row r="286" spans="1:66" x14ac:dyDescent="0.25">
      <c r="A286" s="42">
        <v>283</v>
      </c>
      <c r="B286" s="43">
        <v>42860</v>
      </c>
      <c r="C286" s="42" t="s">
        <v>50</v>
      </c>
      <c r="D286" s="42" t="s">
        <v>308</v>
      </c>
      <c r="E286" s="6">
        <f t="shared" si="226"/>
        <v>-4.4577538749999999</v>
      </c>
      <c r="F286" s="5" t="str">
        <f t="shared" si="241"/>
        <v>Loss</v>
      </c>
      <c r="G286" s="4">
        <f t="shared" si="242"/>
        <v>-3.5</v>
      </c>
      <c r="H286" s="46">
        <v>1</v>
      </c>
      <c r="I286" s="42">
        <v>1413.45</v>
      </c>
      <c r="N286" s="5">
        <f t="shared" si="243"/>
        <v>1</v>
      </c>
      <c r="O286" s="4">
        <f t="shared" si="244"/>
        <v>1413.45</v>
      </c>
      <c r="P286" s="5">
        <f t="shared" si="199"/>
        <v>1</v>
      </c>
      <c r="Q286" s="42">
        <v>1409.95</v>
      </c>
      <c r="R286" s="2">
        <f t="shared" si="198"/>
        <v>0</v>
      </c>
      <c r="T286" s="2">
        <f t="shared" si="227"/>
        <v>0</v>
      </c>
      <c r="V286" s="5">
        <f t="shared" si="245"/>
        <v>1</v>
      </c>
      <c r="W286" s="4">
        <f t="shared" si="246"/>
        <v>1409.95</v>
      </c>
      <c r="X286" s="14">
        <f t="shared" si="200"/>
        <v>-3.5</v>
      </c>
      <c r="Y286" s="5">
        <f t="shared" si="201"/>
        <v>-3.5</v>
      </c>
      <c r="Z286" s="2">
        <f t="shared" si="202"/>
        <v>0</v>
      </c>
      <c r="AA286" s="4">
        <f t="shared" si="203"/>
        <v>0</v>
      </c>
      <c r="AB286" s="13">
        <f t="shared" si="204"/>
        <v>0.95775387500000009</v>
      </c>
      <c r="AC286" s="10">
        <f>SUM($E$4:E286)</f>
        <v>-12042.245671328992</v>
      </c>
      <c r="AD286" s="20">
        <f>SUM($AB$4:AB286)</f>
        <v>10895.32937132896</v>
      </c>
      <c r="AF286" s="28">
        <f t="shared" si="205"/>
        <v>0.28234000000000004</v>
      </c>
      <c r="AG286" s="2">
        <f t="shared" si="206"/>
        <v>0.35248750000000001</v>
      </c>
      <c r="AH286" s="2">
        <f t="shared" si="207"/>
        <v>9.1760499999999995E-2</v>
      </c>
      <c r="AI286" s="2">
        <f t="shared" si="228"/>
        <v>0.37410050000000006</v>
      </c>
      <c r="AJ286" s="2">
        <f t="shared" si="229"/>
        <v>5.6115075000000007E-2</v>
      </c>
      <c r="AK286" s="2">
        <f t="shared" si="208"/>
        <v>5.6468000000000004E-3</v>
      </c>
      <c r="AL286" s="2">
        <f t="shared" si="209"/>
        <v>0.169404</v>
      </c>
      <c r="AM286" s="2">
        <f t="shared" si="230"/>
        <v>0.95775387500000009</v>
      </c>
      <c r="AN286" s="2">
        <f t="shared" si="210"/>
        <v>40</v>
      </c>
      <c r="AO286" s="2">
        <f t="shared" si="211"/>
        <v>0.70497500000000002</v>
      </c>
      <c r="AP286" s="2">
        <f t="shared" si="212"/>
        <v>1.496402</v>
      </c>
      <c r="AQ286" s="2">
        <f t="shared" si="231"/>
        <v>41.496402000000003</v>
      </c>
      <c r="AR286" s="2">
        <f t="shared" si="232"/>
        <v>6.2244603000000005</v>
      </c>
      <c r="AS286" s="2">
        <f t="shared" si="213"/>
        <v>5.6468000000000004E-3</v>
      </c>
      <c r="AT286" s="2">
        <f t="shared" si="214"/>
        <v>0.169404</v>
      </c>
      <c r="AU286" s="2">
        <f t="shared" si="233"/>
        <v>48.600888099999999</v>
      </c>
      <c r="AV286" s="2">
        <f t="shared" si="215"/>
        <v>0.28234000000000004</v>
      </c>
      <c r="AW286" s="2">
        <f t="shared" si="216"/>
        <v>0.14099500000000001</v>
      </c>
      <c r="AX286" s="2">
        <f t="shared" si="217"/>
        <v>5.9291400000000001E-2</v>
      </c>
      <c r="AY286" s="2">
        <f t="shared" si="234"/>
        <v>0.34163140000000003</v>
      </c>
      <c r="AZ286" s="2">
        <f t="shared" si="235"/>
        <v>5.1244710000000006E-2</v>
      </c>
      <c r="BA286" s="2">
        <f t="shared" si="218"/>
        <v>5.6468000000000004E-3</v>
      </c>
      <c r="BB286" s="2">
        <f t="shared" si="219"/>
        <v>0.169404</v>
      </c>
      <c r="BC286" s="2">
        <f t="shared" si="236"/>
        <v>0.70892190999999993</v>
      </c>
      <c r="BD286" s="2">
        <v>0</v>
      </c>
      <c r="BE286" s="2">
        <f t="shared" si="220"/>
        <v>2.8234000000000004</v>
      </c>
      <c r="BF286" s="2">
        <f t="shared" si="221"/>
        <v>9.1760499999999995E-2</v>
      </c>
      <c r="BG286" s="2">
        <f t="shared" si="237"/>
        <v>9.1760499999999995E-2</v>
      </c>
      <c r="BH286" s="2">
        <f t="shared" si="238"/>
        <v>1.3764074999999999E-2</v>
      </c>
      <c r="BI286" s="2">
        <f t="shared" si="222"/>
        <v>5.6468000000000004E-3</v>
      </c>
      <c r="BJ286" s="2">
        <f t="shared" si="223"/>
        <v>0.169404</v>
      </c>
      <c r="BK286" s="2">
        <f t="shared" si="239"/>
        <v>3.1039753750000005</v>
      </c>
      <c r="BL286" s="2">
        <f t="shared" si="224"/>
        <v>1413.45</v>
      </c>
      <c r="BM286" s="2">
        <f t="shared" si="225"/>
        <v>1409.95</v>
      </c>
      <c r="BN286" s="2">
        <f t="shared" si="240"/>
        <v>2823.4</v>
      </c>
    </row>
    <row r="287" spans="1:66" x14ac:dyDescent="0.25">
      <c r="A287" s="42">
        <v>284</v>
      </c>
      <c r="B287" s="43">
        <v>42860</v>
      </c>
      <c r="C287" s="42" t="s">
        <v>50</v>
      </c>
      <c r="D287" s="42" t="s">
        <v>120</v>
      </c>
      <c r="E287" s="6">
        <f t="shared" si="226"/>
        <v>-5.8349578124999519</v>
      </c>
      <c r="F287" s="5" t="str">
        <f t="shared" si="241"/>
        <v>Loss</v>
      </c>
      <c r="G287" s="4">
        <f t="shared" si="242"/>
        <v>-5.0999999999999517</v>
      </c>
      <c r="H287" s="46">
        <v>17</v>
      </c>
      <c r="I287" s="42">
        <v>63.9</v>
      </c>
      <c r="N287" s="5">
        <f t="shared" si="243"/>
        <v>17</v>
      </c>
      <c r="O287" s="4">
        <f t="shared" si="244"/>
        <v>63.9</v>
      </c>
      <c r="P287" s="5">
        <f t="shared" si="199"/>
        <v>17</v>
      </c>
      <c r="Q287" s="42">
        <v>63.6</v>
      </c>
      <c r="R287" s="2">
        <f t="shared" si="198"/>
        <v>0</v>
      </c>
      <c r="T287" s="2">
        <f t="shared" si="227"/>
        <v>0</v>
      </c>
      <c r="V287" s="5">
        <f t="shared" si="245"/>
        <v>17</v>
      </c>
      <c r="W287" s="4">
        <f t="shared" si="246"/>
        <v>63.6</v>
      </c>
      <c r="X287" s="14">
        <f t="shared" si="200"/>
        <v>-0.29999999999999716</v>
      </c>
      <c r="Y287" s="5">
        <f t="shared" si="201"/>
        <v>-5.0999999999999517</v>
      </c>
      <c r="Z287" s="2">
        <f t="shared" si="202"/>
        <v>0</v>
      </c>
      <c r="AA287" s="4">
        <f t="shared" si="203"/>
        <v>0</v>
      </c>
      <c r="AB287" s="13">
        <f t="shared" si="204"/>
        <v>0.73495781250000003</v>
      </c>
      <c r="AC287" s="10">
        <f>SUM($E$4:E287)</f>
        <v>-12048.080629141492</v>
      </c>
      <c r="AD287" s="20">
        <f>SUM($AB$4:AB287)</f>
        <v>10896.06432914146</v>
      </c>
      <c r="AF287" s="28">
        <f t="shared" si="205"/>
        <v>0.21675</v>
      </c>
      <c r="AG287" s="2">
        <f t="shared" si="206"/>
        <v>0.27030000000000004</v>
      </c>
      <c r="AH287" s="2">
        <f t="shared" si="207"/>
        <v>7.0443749999999999E-2</v>
      </c>
      <c r="AI287" s="2">
        <f t="shared" si="228"/>
        <v>0.28719375000000003</v>
      </c>
      <c r="AJ287" s="2">
        <f t="shared" si="229"/>
        <v>4.3079062500000001E-2</v>
      </c>
      <c r="AK287" s="2">
        <f t="shared" si="208"/>
        <v>4.3350000000000003E-3</v>
      </c>
      <c r="AL287" s="2">
        <f t="shared" si="209"/>
        <v>0.13005</v>
      </c>
      <c r="AM287" s="2">
        <f t="shared" si="230"/>
        <v>0.73495781250000003</v>
      </c>
      <c r="AN287" s="2">
        <f t="shared" si="210"/>
        <v>40</v>
      </c>
      <c r="AO287" s="2">
        <f t="shared" si="211"/>
        <v>0.54060000000000008</v>
      </c>
      <c r="AP287" s="2">
        <f t="shared" si="212"/>
        <v>1.1487749999999999</v>
      </c>
      <c r="AQ287" s="2">
        <f t="shared" si="231"/>
        <v>41.148775000000001</v>
      </c>
      <c r="AR287" s="2">
        <f t="shared" si="232"/>
        <v>6.1723162499999997</v>
      </c>
      <c r="AS287" s="2">
        <f t="shared" si="213"/>
        <v>4.3350000000000003E-3</v>
      </c>
      <c r="AT287" s="2">
        <f t="shared" si="214"/>
        <v>0.13005</v>
      </c>
      <c r="AU287" s="2">
        <f t="shared" si="233"/>
        <v>47.996076249999994</v>
      </c>
      <c r="AV287" s="2">
        <f t="shared" si="215"/>
        <v>0.21675</v>
      </c>
      <c r="AW287" s="2">
        <f t="shared" si="216"/>
        <v>0.10812000000000001</v>
      </c>
      <c r="AX287" s="2">
        <f t="shared" si="217"/>
        <v>4.5517499999999995E-2</v>
      </c>
      <c r="AY287" s="2">
        <f t="shared" si="234"/>
        <v>0.26226749999999999</v>
      </c>
      <c r="AZ287" s="2">
        <f t="shared" si="235"/>
        <v>3.9340124999999997E-2</v>
      </c>
      <c r="BA287" s="2">
        <f t="shared" si="218"/>
        <v>4.3350000000000003E-3</v>
      </c>
      <c r="BB287" s="2">
        <f t="shared" si="219"/>
        <v>0.13005</v>
      </c>
      <c r="BC287" s="2">
        <f t="shared" si="236"/>
        <v>0.54411262499999991</v>
      </c>
      <c r="BD287" s="2">
        <v>0</v>
      </c>
      <c r="BE287" s="2">
        <f t="shared" si="220"/>
        <v>2.1675</v>
      </c>
      <c r="BF287" s="2">
        <f t="shared" si="221"/>
        <v>7.0443749999999999E-2</v>
      </c>
      <c r="BG287" s="2">
        <f t="shared" si="237"/>
        <v>7.0443749999999999E-2</v>
      </c>
      <c r="BH287" s="2">
        <f t="shared" si="238"/>
        <v>1.05665625E-2</v>
      </c>
      <c r="BI287" s="2">
        <f t="shared" si="222"/>
        <v>4.3350000000000003E-3</v>
      </c>
      <c r="BJ287" s="2">
        <f t="shared" si="223"/>
        <v>0.13005</v>
      </c>
      <c r="BK287" s="2">
        <f t="shared" si="239"/>
        <v>2.3828953125000005</v>
      </c>
      <c r="BL287" s="2">
        <f t="shared" si="224"/>
        <v>1086.3</v>
      </c>
      <c r="BM287" s="2">
        <f t="shared" si="225"/>
        <v>1081.2</v>
      </c>
      <c r="BN287" s="2">
        <f t="shared" si="240"/>
        <v>2167.5</v>
      </c>
    </row>
    <row r="288" spans="1:66" x14ac:dyDescent="0.25">
      <c r="A288" s="42">
        <v>285</v>
      </c>
      <c r="B288" s="43">
        <v>42860</v>
      </c>
      <c r="C288" s="42" t="s">
        <v>50</v>
      </c>
      <c r="D288" s="42" t="s">
        <v>233</v>
      </c>
      <c r="E288" s="6">
        <f t="shared" si="226"/>
        <v>2.8435887500000567</v>
      </c>
      <c r="F288" s="5" t="str">
        <f t="shared" si="241"/>
        <v>Win</v>
      </c>
      <c r="G288" s="4">
        <f t="shared" si="242"/>
        <v>4.0000000000000568</v>
      </c>
      <c r="H288" s="46">
        <v>5</v>
      </c>
      <c r="I288" s="42">
        <v>340.2</v>
      </c>
      <c r="N288" s="5">
        <f t="shared" si="243"/>
        <v>5</v>
      </c>
      <c r="O288" s="4">
        <f t="shared" si="244"/>
        <v>340.2</v>
      </c>
      <c r="P288" s="5">
        <f t="shared" si="199"/>
        <v>5</v>
      </c>
      <c r="Q288" s="42">
        <v>341</v>
      </c>
      <c r="R288" s="2">
        <f t="shared" si="198"/>
        <v>0</v>
      </c>
      <c r="T288" s="2">
        <f t="shared" si="227"/>
        <v>0</v>
      </c>
      <c r="V288" s="5">
        <f t="shared" si="245"/>
        <v>5</v>
      </c>
      <c r="W288" s="4">
        <f t="shared" si="246"/>
        <v>341</v>
      </c>
      <c r="X288" s="14">
        <f t="shared" si="200"/>
        <v>0.80000000000001137</v>
      </c>
      <c r="Y288" s="5">
        <f t="shared" si="201"/>
        <v>4.0000000000000568</v>
      </c>
      <c r="Z288" s="2">
        <f t="shared" si="202"/>
        <v>0</v>
      </c>
      <c r="AA288" s="4">
        <f t="shared" si="203"/>
        <v>0</v>
      </c>
      <c r="AB288" s="13">
        <f t="shared" si="204"/>
        <v>1.1564112500000001</v>
      </c>
      <c r="AC288" s="10">
        <f>SUM($E$4:E288)</f>
        <v>-12045.237040391492</v>
      </c>
      <c r="AD288" s="20">
        <f>SUM($AB$4:AB288)</f>
        <v>10897.22074039146</v>
      </c>
      <c r="AF288" s="28">
        <f t="shared" si="205"/>
        <v>0.34060000000000001</v>
      </c>
      <c r="AG288" s="2">
        <f t="shared" si="206"/>
        <v>0.42625000000000002</v>
      </c>
      <c r="AH288" s="2">
        <f t="shared" si="207"/>
        <v>0.11069499999999999</v>
      </c>
      <c r="AI288" s="2">
        <f t="shared" si="228"/>
        <v>0.451295</v>
      </c>
      <c r="AJ288" s="2">
        <f t="shared" si="229"/>
        <v>6.7694249999999997E-2</v>
      </c>
      <c r="AK288" s="2">
        <f t="shared" si="208"/>
        <v>6.8119999999999995E-3</v>
      </c>
      <c r="AL288" s="2">
        <f t="shared" si="209"/>
        <v>0.20436000000000001</v>
      </c>
      <c r="AM288" s="2">
        <f t="shared" si="230"/>
        <v>1.1564112500000001</v>
      </c>
      <c r="AN288" s="2">
        <f t="shared" si="210"/>
        <v>40</v>
      </c>
      <c r="AO288" s="2">
        <f t="shared" si="211"/>
        <v>0.85250000000000004</v>
      </c>
      <c r="AP288" s="2">
        <f t="shared" si="212"/>
        <v>1.80518</v>
      </c>
      <c r="AQ288" s="2">
        <f t="shared" si="231"/>
        <v>41.80518</v>
      </c>
      <c r="AR288" s="2">
        <f t="shared" si="232"/>
        <v>6.2707769999999998</v>
      </c>
      <c r="AS288" s="2">
        <f t="shared" si="213"/>
        <v>6.8119999999999995E-3</v>
      </c>
      <c r="AT288" s="2">
        <f t="shared" si="214"/>
        <v>0.20436000000000001</v>
      </c>
      <c r="AU288" s="2">
        <f t="shared" si="233"/>
        <v>49.139628999999999</v>
      </c>
      <c r="AV288" s="2">
        <f t="shared" si="215"/>
        <v>0.34060000000000001</v>
      </c>
      <c r="AW288" s="2">
        <f t="shared" si="216"/>
        <v>0.17050000000000001</v>
      </c>
      <c r="AX288" s="2">
        <f t="shared" si="217"/>
        <v>7.1525999999999992E-2</v>
      </c>
      <c r="AY288" s="2">
        <f t="shared" si="234"/>
        <v>0.41212599999999999</v>
      </c>
      <c r="AZ288" s="2">
        <f t="shared" si="235"/>
        <v>6.1818899999999996E-2</v>
      </c>
      <c r="BA288" s="2">
        <f t="shared" si="218"/>
        <v>6.8119999999999995E-3</v>
      </c>
      <c r="BB288" s="2">
        <f t="shared" si="219"/>
        <v>0.20436000000000001</v>
      </c>
      <c r="BC288" s="2">
        <f t="shared" si="236"/>
        <v>0.85561690000000001</v>
      </c>
      <c r="BD288" s="2">
        <v>0</v>
      </c>
      <c r="BE288" s="2">
        <f t="shared" si="220"/>
        <v>3.4060000000000001</v>
      </c>
      <c r="BF288" s="2">
        <f t="shared" si="221"/>
        <v>0.11069499999999999</v>
      </c>
      <c r="BG288" s="2">
        <f t="shared" si="237"/>
        <v>0.11069499999999999</v>
      </c>
      <c r="BH288" s="2">
        <f t="shared" si="238"/>
        <v>1.6604249999999997E-2</v>
      </c>
      <c r="BI288" s="2">
        <f t="shared" si="222"/>
        <v>6.8119999999999995E-3</v>
      </c>
      <c r="BJ288" s="2">
        <f t="shared" si="223"/>
        <v>0.20436000000000001</v>
      </c>
      <c r="BK288" s="2">
        <f t="shared" si="239"/>
        <v>3.7444712500000001</v>
      </c>
      <c r="BL288" s="2">
        <f t="shared" si="224"/>
        <v>1701</v>
      </c>
      <c r="BM288" s="2">
        <f t="shared" si="225"/>
        <v>1705</v>
      </c>
      <c r="BN288" s="2">
        <f t="shared" si="240"/>
        <v>3406</v>
      </c>
    </row>
    <row r="289" spans="1:66" x14ac:dyDescent="0.25">
      <c r="A289" s="42">
        <v>286</v>
      </c>
      <c r="B289" s="43">
        <v>42860</v>
      </c>
      <c r="C289" s="42" t="s">
        <v>50</v>
      </c>
      <c r="D289" s="42" t="s">
        <v>234</v>
      </c>
      <c r="E289" s="6">
        <f t="shared" si="226"/>
        <v>27.214261406250095</v>
      </c>
      <c r="F289" s="5" t="str">
        <f t="shared" si="241"/>
        <v>Win</v>
      </c>
      <c r="G289" s="4">
        <f t="shared" si="242"/>
        <v>28.050000000000097</v>
      </c>
      <c r="H289" s="46">
        <v>17</v>
      </c>
      <c r="I289" s="42">
        <v>71.3</v>
      </c>
      <c r="N289" s="5">
        <f t="shared" si="243"/>
        <v>17</v>
      </c>
      <c r="O289" s="4">
        <f t="shared" si="244"/>
        <v>71.3</v>
      </c>
      <c r="P289" s="5">
        <f t="shared" si="199"/>
        <v>17</v>
      </c>
      <c r="Q289" s="42">
        <v>72.95</v>
      </c>
      <c r="R289" s="2">
        <f t="shared" si="198"/>
        <v>0</v>
      </c>
      <c r="T289" s="2">
        <f t="shared" si="227"/>
        <v>0</v>
      </c>
      <c r="V289" s="5">
        <f t="shared" si="245"/>
        <v>17</v>
      </c>
      <c r="W289" s="4">
        <f t="shared" si="246"/>
        <v>72.95</v>
      </c>
      <c r="X289" s="14">
        <f t="shared" si="200"/>
        <v>1.6500000000000057</v>
      </c>
      <c r="Y289" s="5">
        <f t="shared" si="201"/>
        <v>28.050000000000097</v>
      </c>
      <c r="Z289" s="2">
        <f t="shared" si="202"/>
        <v>0</v>
      </c>
      <c r="AA289" s="4">
        <f t="shared" si="203"/>
        <v>0</v>
      </c>
      <c r="AB289" s="13">
        <f t="shared" si="204"/>
        <v>0.83573859374999993</v>
      </c>
      <c r="AC289" s="10">
        <f>SUM($E$4:E289)</f>
        <v>-12018.022778985242</v>
      </c>
      <c r="AD289" s="20">
        <f>SUM($AB$4:AB289)</f>
        <v>10898.056478985211</v>
      </c>
      <c r="AF289" s="28">
        <f t="shared" si="205"/>
        <v>0.245225</v>
      </c>
      <c r="AG289" s="2">
        <f t="shared" si="206"/>
        <v>0.31003750000000002</v>
      </c>
      <c r="AH289" s="2">
        <f t="shared" si="207"/>
        <v>7.9698124999999995E-2</v>
      </c>
      <c r="AI289" s="2">
        <f t="shared" si="228"/>
        <v>0.32492312499999998</v>
      </c>
      <c r="AJ289" s="2">
        <f t="shared" si="229"/>
        <v>4.8738468749999993E-2</v>
      </c>
      <c r="AK289" s="2">
        <f t="shared" si="208"/>
        <v>4.9045E-3</v>
      </c>
      <c r="AL289" s="2">
        <f t="shared" si="209"/>
        <v>0.14713500000000002</v>
      </c>
      <c r="AM289" s="2">
        <f t="shared" si="230"/>
        <v>0.83573859374999993</v>
      </c>
      <c r="AN289" s="2">
        <f t="shared" si="210"/>
        <v>40</v>
      </c>
      <c r="AO289" s="2">
        <f t="shared" si="211"/>
        <v>0.62007500000000004</v>
      </c>
      <c r="AP289" s="2">
        <f t="shared" si="212"/>
        <v>1.2996924999999999</v>
      </c>
      <c r="AQ289" s="2">
        <f t="shared" si="231"/>
        <v>41.299692499999999</v>
      </c>
      <c r="AR289" s="2">
        <f t="shared" si="232"/>
        <v>6.1949538749999995</v>
      </c>
      <c r="AS289" s="2">
        <f t="shared" si="213"/>
        <v>4.9045E-3</v>
      </c>
      <c r="AT289" s="2">
        <f t="shared" si="214"/>
        <v>0.14713500000000002</v>
      </c>
      <c r="AU289" s="2">
        <f t="shared" si="233"/>
        <v>48.266760875000003</v>
      </c>
      <c r="AV289" s="2">
        <f t="shared" si="215"/>
        <v>0.245225</v>
      </c>
      <c r="AW289" s="2">
        <f t="shared" si="216"/>
        <v>0.12401500000000001</v>
      </c>
      <c r="AX289" s="2">
        <f t="shared" si="217"/>
        <v>5.1497249999999994E-2</v>
      </c>
      <c r="AY289" s="2">
        <f t="shared" si="234"/>
        <v>0.29672224999999997</v>
      </c>
      <c r="AZ289" s="2">
        <f t="shared" si="235"/>
        <v>4.4508337499999995E-2</v>
      </c>
      <c r="BA289" s="2">
        <f t="shared" si="218"/>
        <v>4.9045E-3</v>
      </c>
      <c r="BB289" s="2">
        <f t="shared" si="219"/>
        <v>0.14713500000000002</v>
      </c>
      <c r="BC289" s="2">
        <f t="shared" si="236"/>
        <v>0.6172850875</v>
      </c>
      <c r="BD289" s="2">
        <v>0</v>
      </c>
      <c r="BE289" s="2">
        <f t="shared" si="220"/>
        <v>2.4522500000000003</v>
      </c>
      <c r="BF289" s="2">
        <f t="shared" si="221"/>
        <v>7.9698124999999995E-2</v>
      </c>
      <c r="BG289" s="2">
        <f t="shared" si="237"/>
        <v>7.9698124999999995E-2</v>
      </c>
      <c r="BH289" s="2">
        <f t="shared" si="238"/>
        <v>1.1954718749999999E-2</v>
      </c>
      <c r="BI289" s="2">
        <f t="shared" si="222"/>
        <v>4.9045E-3</v>
      </c>
      <c r="BJ289" s="2">
        <f t="shared" si="223"/>
        <v>0.14713500000000002</v>
      </c>
      <c r="BK289" s="2">
        <f t="shared" si="239"/>
        <v>2.6959423437500005</v>
      </c>
      <c r="BL289" s="2">
        <f t="shared" si="224"/>
        <v>1212.0999999999999</v>
      </c>
      <c r="BM289" s="2">
        <f t="shared" si="225"/>
        <v>1240.1500000000001</v>
      </c>
      <c r="BN289" s="2">
        <f t="shared" si="240"/>
        <v>2452.25</v>
      </c>
    </row>
    <row r="290" spans="1:66" x14ac:dyDescent="0.25">
      <c r="A290" s="42">
        <v>287</v>
      </c>
      <c r="B290" s="43">
        <v>42860</v>
      </c>
      <c r="C290" s="42" t="s">
        <v>50</v>
      </c>
      <c r="D290" s="42" t="s">
        <v>197</v>
      </c>
      <c r="E290" s="6">
        <f t="shared" si="226"/>
        <v>16.789235625</v>
      </c>
      <c r="F290" s="5" t="str">
        <f t="shared" si="241"/>
        <v>Win</v>
      </c>
      <c r="G290" s="4">
        <f t="shared" si="242"/>
        <v>18</v>
      </c>
      <c r="H290" s="46">
        <v>6</v>
      </c>
      <c r="I290" s="42">
        <v>295.25</v>
      </c>
      <c r="N290" s="5">
        <f t="shared" si="243"/>
        <v>6</v>
      </c>
      <c r="O290" s="4">
        <f t="shared" si="244"/>
        <v>295.25</v>
      </c>
      <c r="P290" s="5">
        <f t="shared" si="199"/>
        <v>6</v>
      </c>
      <c r="Q290" s="42">
        <v>298.25</v>
      </c>
      <c r="R290" s="2">
        <f t="shared" si="198"/>
        <v>0</v>
      </c>
      <c r="T290" s="2">
        <f t="shared" si="227"/>
        <v>0</v>
      </c>
      <c r="V290" s="5">
        <f t="shared" si="245"/>
        <v>6</v>
      </c>
      <c r="W290" s="4">
        <f t="shared" si="246"/>
        <v>298.25</v>
      </c>
      <c r="X290" s="14">
        <f t="shared" si="200"/>
        <v>3</v>
      </c>
      <c r="Y290" s="5">
        <f t="shared" si="201"/>
        <v>18</v>
      </c>
      <c r="Z290" s="2">
        <f t="shared" si="202"/>
        <v>0</v>
      </c>
      <c r="AA290" s="4">
        <f t="shared" si="203"/>
        <v>0</v>
      </c>
      <c r="AB290" s="13">
        <f t="shared" si="204"/>
        <v>1.2107643750000001</v>
      </c>
      <c r="AC290" s="10">
        <f>SUM($E$4:E290)</f>
        <v>-12001.233543360242</v>
      </c>
      <c r="AD290" s="20">
        <f>SUM($AB$4:AB290)</f>
        <v>10899.267243360211</v>
      </c>
      <c r="AF290" s="28">
        <f t="shared" si="205"/>
        <v>0.35610000000000003</v>
      </c>
      <c r="AG290" s="2">
        <f t="shared" si="206"/>
        <v>0.44737500000000002</v>
      </c>
      <c r="AH290" s="2">
        <f t="shared" si="207"/>
        <v>0.11573249999999999</v>
      </c>
      <c r="AI290" s="2">
        <f t="shared" si="228"/>
        <v>0.47183249999999999</v>
      </c>
      <c r="AJ290" s="2">
        <f t="shared" si="229"/>
        <v>7.0774875000000001E-2</v>
      </c>
      <c r="AK290" s="2">
        <f t="shared" si="208"/>
        <v>7.1219999999999999E-3</v>
      </c>
      <c r="AL290" s="2">
        <f t="shared" si="209"/>
        <v>0.21366000000000002</v>
      </c>
      <c r="AM290" s="2">
        <f t="shared" si="230"/>
        <v>1.2107643750000001</v>
      </c>
      <c r="AN290" s="2">
        <f t="shared" si="210"/>
        <v>40</v>
      </c>
      <c r="AO290" s="2">
        <f t="shared" si="211"/>
        <v>0.89475000000000005</v>
      </c>
      <c r="AP290" s="2">
        <f t="shared" si="212"/>
        <v>1.88733</v>
      </c>
      <c r="AQ290" s="2">
        <f t="shared" si="231"/>
        <v>41.887329999999999</v>
      </c>
      <c r="AR290" s="2">
        <f t="shared" si="232"/>
        <v>6.2830994999999996</v>
      </c>
      <c r="AS290" s="2">
        <f t="shared" si="213"/>
        <v>7.1219999999999999E-3</v>
      </c>
      <c r="AT290" s="2">
        <f t="shared" si="214"/>
        <v>0.21366000000000002</v>
      </c>
      <c r="AU290" s="2">
        <f t="shared" si="233"/>
        <v>49.285961499999999</v>
      </c>
      <c r="AV290" s="2">
        <f t="shared" si="215"/>
        <v>0.35610000000000003</v>
      </c>
      <c r="AW290" s="2">
        <f t="shared" si="216"/>
        <v>0.17895000000000003</v>
      </c>
      <c r="AX290" s="2">
        <f t="shared" si="217"/>
        <v>7.4781E-2</v>
      </c>
      <c r="AY290" s="2">
        <f t="shared" si="234"/>
        <v>0.43088100000000001</v>
      </c>
      <c r="AZ290" s="2">
        <f t="shared" si="235"/>
        <v>6.4632149999999999E-2</v>
      </c>
      <c r="BA290" s="2">
        <f t="shared" si="218"/>
        <v>7.1219999999999999E-3</v>
      </c>
      <c r="BB290" s="2">
        <f t="shared" si="219"/>
        <v>0.21366000000000002</v>
      </c>
      <c r="BC290" s="2">
        <f t="shared" si="236"/>
        <v>0.89524515000000005</v>
      </c>
      <c r="BD290" s="2">
        <v>0</v>
      </c>
      <c r="BE290" s="2">
        <f t="shared" si="220"/>
        <v>3.5609999999999999</v>
      </c>
      <c r="BF290" s="2">
        <f t="shared" si="221"/>
        <v>0.11573249999999999</v>
      </c>
      <c r="BG290" s="2">
        <f t="shared" si="237"/>
        <v>0.11573249999999999</v>
      </c>
      <c r="BH290" s="2">
        <f t="shared" si="238"/>
        <v>1.7359874999999997E-2</v>
      </c>
      <c r="BI290" s="2">
        <f t="shared" si="222"/>
        <v>7.1219999999999999E-3</v>
      </c>
      <c r="BJ290" s="2">
        <f t="shared" si="223"/>
        <v>0.21366000000000002</v>
      </c>
      <c r="BK290" s="2">
        <f t="shared" si="239"/>
        <v>3.9148743749999997</v>
      </c>
      <c r="BL290" s="2">
        <f t="shared" si="224"/>
        <v>1771.5</v>
      </c>
      <c r="BM290" s="2">
        <f t="shared" si="225"/>
        <v>1789.5</v>
      </c>
      <c r="BN290" s="2">
        <f t="shared" si="240"/>
        <v>3561</v>
      </c>
    </row>
    <row r="291" spans="1:66" x14ac:dyDescent="0.25">
      <c r="A291" s="42">
        <v>288</v>
      </c>
      <c r="B291" s="43">
        <v>42860</v>
      </c>
      <c r="C291" s="42" t="s">
        <v>50</v>
      </c>
      <c r="D291" s="42" t="s">
        <v>235</v>
      </c>
      <c r="E291" s="6">
        <f t="shared" si="226"/>
        <v>26.187536312499905</v>
      </c>
      <c r="F291" s="5" t="str">
        <f t="shared" si="241"/>
        <v>Win</v>
      </c>
      <c r="G291" s="4">
        <f t="shared" si="242"/>
        <v>27.199999999999903</v>
      </c>
      <c r="H291" s="46">
        <v>17</v>
      </c>
      <c r="I291" s="42">
        <v>86.65</v>
      </c>
      <c r="N291" s="5">
        <f t="shared" si="243"/>
        <v>17</v>
      </c>
      <c r="O291" s="4">
        <f t="shared" si="244"/>
        <v>86.65</v>
      </c>
      <c r="P291" s="5">
        <f t="shared" si="199"/>
        <v>17</v>
      </c>
      <c r="Q291" s="42">
        <v>88.25</v>
      </c>
      <c r="R291" s="2">
        <f t="shared" si="198"/>
        <v>0</v>
      </c>
      <c r="T291" s="2">
        <f t="shared" si="227"/>
        <v>0</v>
      </c>
      <c r="V291" s="5">
        <f t="shared" si="245"/>
        <v>17</v>
      </c>
      <c r="W291" s="4">
        <f t="shared" si="246"/>
        <v>88.25</v>
      </c>
      <c r="X291" s="14">
        <f t="shared" si="200"/>
        <v>1.5999999999999943</v>
      </c>
      <c r="Y291" s="5">
        <f t="shared" si="201"/>
        <v>27.199999999999903</v>
      </c>
      <c r="Z291" s="2">
        <f t="shared" si="202"/>
        <v>0</v>
      </c>
      <c r="AA291" s="4">
        <f t="shared" si="203"/>
        <v>0</v>
      </c>
      <c r="AB291" s="13">
        <f t="shared" si="204"/>
        <v>1.0124636875000002</v>
      </c>
      <c r="AC291" s="10">
        <f>SUM($E$4:E291)</f>
        <v>-11975.046007047742</v>
      </c>
      <c r="AD291" s="20">
        <f>SUM($AB$4:AB291)</f>
        <v>10900.279707047712</v>
      </c>
      <c r="AF291" s="28">
        <f t="shared" si="205"/>
        <v>0.29733000000000004</v>
      </c>
      <c r="AG291" s="2">
        <f t="shared" si="206"/>
        <v>0.37506250000000002</v>
      </c>
      <c r="AH291" s="2">
        <f t="shared" si="207"/>
        <v>9.6632250000000003E-2</v>
      </c>
      <c r="AI291" s="2">
        <f t="shared" si="228"/>
        <v>0.39396225000000007</v>
      </c>
      <c r="AJ291" s="2">
        <f t="shared" si="229"/>
        <v>5.909433750000001E-2</v>
      </c>
      <c r="AK291" s="2">
        <f t="shared" si="208"/>
        <v>5.9465999999999998E-3</v>
      </c>
      <c r="AL291" s="2">
        <f t="shared" si="209"/>
        <v>0.17839800000000003</v>
      </c>
      <c r="AM291" s="2">
        <f t="shared" si="230"/>
        <v>1.0124636875000002</v>
      </c>
      <c r="AN291" s="2">
        <f t="shared" si="210"/>
        <v>40</v>
      </c>
      <c r="AO291" s="2">
        <f t="shared" si="211"/>
        <v>0.75012500000000004</v>
      </c>
      <c r="AP291" s="2">
        <f t="shared" si="212"/>
        <v>1.5758490000000001</v>
      </c>
      <c r="AQ291" s="2">
        <f t="shared" si="231"/>
        <v>41.575848999999998</v>
      </c>
      <c r="AR291" s="2">
        <f t="shared" si="232"/>
        <v>6.2363773499999997</v>
      </c>
      <c r="AS291" s="2">
        <f t="shared" si="213"/>
        <v>5.9465999999999998E-3</v>
      </c>
      <c r="AT291" s="2">
        <f t="shared" si="214"/>
        <v>0.17839800000000003</v>
      </c>
      <c r="AU291" s="2">
        <f t="shared" si="233"/>
        <v>48.746695949999996</v>
      </c>
      <c r="AV291" s="2">
        <f t="shared" si="215"/>
        <v>0.29733000000000004</v>
      </c>
      <c r="AW291" s="2">
        <f t="shared" si="216"/>
        <v>0.15002500000000002</v>
      </c>
      <c r="AX291" s="2">
        <f t="shared" si="217"/>
        <v>6.2439300000000003E-2</v>
      </c>
      <c r="AY291" s="2">
        <f t="shared" si="234"/>
        <v>0.35976930000000007</v>
      </c>
      <c r="AZ291" s="2">
        <f t="shared" si="235"/>
        <v>5.3965395000000006E-2</v>
      </c>
      <c r="BA291" s="2">
        <f t="shared" si="218"/>
        <v>5.9465999999999998E-3</v>
      </c>
      <c r="BB291" s="2">
        <f t="shared" si="219"/>
        <v>0.17839800000000003</v>
      </c>
      <c r="BC291" s="2">
        <f t="shared" si="236"/>
        <v>0.74810429500000009</v>
      </c>
      <c r="BD291" s="2">
        <v>0</v>
      </c>
      <c r="BE291" s="2">
        <f t="shared" si="220"/>
        <v>2.9733000000000001</v>
      </c>
      <c r="BF291" s="2">
        <f t="shared" si="221"/>
        <v>9.6632250000000003E-2</v>
      </c>
      <c r="BG291" s="2">
        <f t="shared" si="237"/>
        <v>9.6632250000000003E-2</v>
      </c>
      <c r="BH291" s="2">
        <f t="shared" si="238"/>
        <v>1.44948375E-2</v>
      </c>
      <c r="BI291" s="2">
        <f t="shared" si="222"/>
        <v>5.9465999999999998E-3</v>
      </c>
      <c r="BJ291" s="2">
        <f t="shared" si="223"/>
        <v>0.17839800000000003</v>
      </c>
      <c r="BK291" s="2">
        <f t="shared" si="239"/>
        <v>3.2687716875000001</v>
      </c>
      <c r="BL291" s="2">
        <f t="shared" si="224"/>
        <v>1473.0500000000002</v>
      </c>
      <c r="BM291" s="2">
        <f t="shared" si="225"/>
        <v>1500.25</v>
      </c>
      <c r="BN291" s="2">
        <f t="shared" si="240"/>
        <v>2973.3</v>
      </c>
    </row>
    <row r="292" spans="1:66" x14ac:dyDescent="0.25">
      <c r="A292" s="42">
        <v>289</v>
      </c>
      <c r="B292" s="43">
        <v>42860</v>
      </c>
      <c r="C292" s="42" t="s">
        <v>50</v>
      </c>
      <c r="D292" s="42" t="s">
        <v>236</v>
      </c>
      <c r="E292" s="6">
        <f t="shared" si="226"/>
        <v>10.301773156249855</v>
      </c>
      <c r="F292" s="5" t="str">
        <f t="shared" si="241"/>
        <v>Win</v>
      </c>
      <c r="G292" s="4">
        <f t="shared" si="242"/>
        <v>11.049999999999855</v>
      </c>
      <c r="H292" s="46">
        <v>17</v>
      </c>
      <c r="I292" s="42">
        <v>64.400000000000006</v>
      </c>
      <c r="N292" s="5">
        <f t="shared" si="243"/>
        <v>17</v>
      </c>
      <c r="O292" s="4">
        <f t="shared" si="244"/>
        <v>64.400000000000006</v>
      </c>
      <c r="P292" s="5">
        <f t="shared" si="199"/>
        <v>17</v>
      </c>
      <c r="Q292" s="42">
        <v>65.05</v>
      </c>
      <c r="R292" s="2">
        <f t="shared" si="198"/>
        <v>0</v>
      </c>
      <c r="T292" s="2">
        <f t="shared" si="227"/>
        <v>0</v>
      </c>
      <c r="V292" s="5">
        <f t="shared" si="245"/>
        <v>17</v>
      </c>
      <c r="W292" s="4">
        <f t="shared" si="246"/>
        <v>65.05</v>
      </c>
      <c r="X292" s="14">
        <f t="shared" si="200"/>
        <v>0.64999999999999147</v>
      </c>
      <c r="Y292" s="5">
        <f t="shared" si="201"/>
        <v>11.049999999999855</v>
      </c>
      <c r="Z292" s="2">
        <f t="shared" si="202"/>
        <v>0</v>
      </c>
      <c r="AA292" s="4">
        <f t="shared" si="203"/>
        <v>0</v>
      </c>
      <c r="AB292" s="13">
        <f t="shared" si="204"/>
        <v>0.74822684375000004</v>
      </c>
      <c r="AC292" s="10">
        <f>SUM($E$4:E292)</f>
        <v>-11964.744233891492</v>
      </c>
      <c r="AD292" s="20">
        <f>SUM($AB$4:AB292)</f>
        <v>10901.027933891462</v>
      </c>
      <c r="AF292" s="28">
        <f t="shared" si="205"/>
        <v>0.22006500000000001</v>
      </c>
      <c r="AG292" s="2">
        <f t="shared" si="206"/>
        <v>0.2764625</v>
      </c>
      <c r="AH292" s="2">
        <f t="shared" si="207"/>
        <v>7.1521124999999991E-2</v>
      </c>
      <c r="AI292" s="2">
        <f t="shared" si="228"/>
        <v>0.29158612500000003</v>
      </c>
      <c r="AJ292" s="2">
        <f t="shared" si="229"/>
        <v>4.373791875E-2</v>
      </c>
      <c r="AK292" s="2">
        <f t="shared" si="208"/>
        <v>4.4013000000000004E-3</v>
      </c>
      <c r="AL292" s="2">
        <f t="shared" si="209"/>
        <v>0.13203900000000002</v>
      </c>
      <c r="AM292" s="2">
        <f t="shared" si="230"/>
        <v>0.74822684375000004</v>
      </c>
      <c r="AN292" s="2">
        <f t="shared" si="210"/>
        <v>40</v>
      </c>
      <c r="AO292" s="2">
        <f t="shared" si="211"/>
        <v>0.552925</v>
      </c>
      <c r="AP292" s="2">
        <f t="shared" si="212"/>
        <v>1.1663444999999999</v>
      </c>
      <c r="AQ292" s="2">
        <f t="shared" si="231"/>
        <v>41.166344500000001</v>
      </c>
      <c r="AR292" s="2">
        <f t="shared" si="232"/>
        <v>6.174951675</v>
      </c>
      <c r="AS292" s="2">
        <f t="shared" si="213"/>
        <v>4.4013000000000004E-3</v>
      </c>
      <c r="AT292" s="2">
        <f t="shared" si="214"/>
        <v>0.13203900000000002</v>
      </c>
      <c r="AU292" s="2">
        <f t="shared" si="233"/>
        <v>48.030661475000002</v>
      </c>
      <c r="AV292" s="2">
        <f t="shared" si="215"/>
        <v>0.22006500000000001</v>
      </c>
      <c r="AW292" s="2">
        <f t="shared" si="216"/>
        <v>0.110585</v>
      </c>
      <c r="AX292" s="2">
        <f t="shared" si="217"/>
        <v>4.6213650000000002E-2</v>
      </c>
      <c r="AY292" s="2">
        <f t="shared" si="234"/>
        <v>0.26627865000000001</v>
      </c>
      <c r="AZ292" s="2">
        <f t="shared" si="235"/>
        <v>3.9941797500000001E-2</v>
      </c>
      <c r="BA292" s="2">
        <f t="shared" si="218"/>
        <v>4.4013000000000004E-3</v>
      </c>
      <c r="BB292" s="2">
        <f t="shared" si="219"/>
        <v>0.13203900000000002</v>
      </c>
      <c r="BC292" s="2">
        <f t="shared" si="236"/>
        <v>0.5532457475</v>
      </c>
      <c r="BD292" s="2">
        <v>0</v>
      </c>
      <c r="BE292" s="2">
        <f t="shared" si="220"/>
        <v>2.20065</v>
      </c>
      <c r="BF292" s="2">
        <f t="shared" si="221"/>
        <v>7.1521124999999991E-2</v>
      </c>
      <c r="BG292" s="2">
        <f t="shared" si="237"/>
        <v>7.1521124999999991E-2</v>
      </c>
      <c r="BH292" s="2">
        <f t="shared" si="238"/>
        <v>1.0728168749999998E-2</v>
      </c>
      <c r="BI292" s="2">
        <f t="shared" si="222"/>
        <v>4.4013000000000004E-3</v>
      </c>
      <c r="BJ292" s="2">
        <f t="shared" si="223"/>
        <v>0.13203900000000002</v>
      </c>
      <c r="BK292" s="2">
        <f t="shared" si="239"/>
        <v>2.4193395937500002</v>
      </c>
      <c r="BL292" s="2">
        <f t="shared" si="224"/>
        <v>1094.8000000000002</v>
      </c>
      <c r="BM292" s="2">
        <f t="shared" si="225"/>
        <v>1105.8499999999999</v>
      </c>
      <c r="BN292" s="2">
        <f t="shared" si="240"/>
        <v>2200.65</v>
      </c>
    </row>
    <row r="293" spans="1:66" x14ac:dyDescent="0.25">
      <c r="A293" s="42">
        <v>290</v>
      </c>
      <c r="B293" s="43">
        <v>42860</v>
      </c>
      <c r="C293" s="42" t="s">
        <v>50</v>
      </c>
      <c r="D293" s="42" t="s">
        <v>207</v>
      </c>
      <c r="E293" s="6">
        <f t="shared" si="226"/>
        <v>0.233988749999818</v>
      </c>
      <c r="F293" s="5" t="str">
        <f t="shared" si="241"/>
        <v>Win</v>
      </c>
      <c r="G293" s="4">
        <f t="shared" si="242"/>
        <v>1.1999999999998181</v>
      </c>
      <c r="H293" s="46">
        <v>8</v>
      </c>
      <c r="I293" s="42">
        <v>177.8</v>
      </c>
      <c r="N293" s="5">
        <f t="shared" si="243"/>
        <v>8</v>
      </c>
      <c r="O293" s="4">
        <f t="shared" si="244"/>
        <v>177.8</v>
      </c>
      <c r="P293" s="5">
        <f t="shared" si="199"/>
        <v>8</v>
      </c>
      <c r="Q293" s="42">
        <v>177.95</v>
      </c>
      <c r="R293" s="2">
        <f t="shared" si="198"/>
        <v>0</v>
      </c>
      <c r="T293" s="2">
        <f t="shared" si="227"/>
        <v>0</v>
      </c>
      <c r="V293" s="5">
        <f t="shared" si="245"/>
        <v>8</v>
      </c>
      <c r="W293" s="4">
        <f t="shared" si="246"/>
        <v>177.95</v>
      </c>
      <c r="X293" s="14">
        <f t="shared" si="200"/>
        <v>0.14999999999997726</v>
      </c>
      <c r="Y293" s="5">
        <f t="shared" si="201"/>
        <v>1.1999999999998181</v>
      </c>
      <c r="Z293" s="2">
        <f t="shared" si="202"/>
        <v>0</v>
      </c>
      <c r="AA293" s="4">
        <f t="shared" si="203"/>
        <v>0</v>
      </c>
      <c r="AB293" s="13">
        <f t="shared" si="204"/>
        <v>0.9660112500000001</v>
      </c>
      <c r="AC293" s="10">
        <f>SUM($E$4:E293)</f>
        <v>-11964.510245141491</v>
      </c>
      <c r="AD293" s="20">
        <f>SUM($AB$4:AB293)</f>
        <v>10901.993945141463</v>
      </c>
      <c r="AF293" s="28">
        <f t="shared" si="205"/>
        <v>0.28460000000000002</v>
      </c>
      <c r="AG293" s="2">
        <f t="shared" si="206"/>
        <v>0.35589999999999999</v>
      </c>
      <c r="AH293" s="2">
        <f t="shared" si="207"/>
        <v>9.2494999999999994E-2</v>
      </c>
      <c r="AI293" s="2">
        <f t="shared" si="228"/>
        <v>0.37709500000000001</v>
      </c>
      <c r="AJ293" s="2">
        <f t="shared" si="229"/>
        <v>5.6564249999999996E-2</v>
      </c>
      <c r="AK293" s="2">
        <f t="shared" si="208"/>
        <v>5.6919999999999991E-3</v>
      </c>
      <c r="AL293" s="2">
        <f t="shared" si="209"/>
        <v>0.17076</v>
      </c>
      <c r="AM293" s="2">
        <f t="shared" si="230"/>
        <v>0.9660112500000001</v>
      </c>
      <c r="AN293" s="2">
        <f t="shared" si="210"/>
        <v>40</v>
      </c>
      <c r="AO293" s="2">
        <f t="shared" si="211"/>
        <v>0.71179999999999999</v>
      </c>
      <c r="AP293" s="2">
        <f t="shared" si="212"/>
        <v>1.5083800000000001</v>
      </c>
      <c r="AQ293" s="2">
        <f t="shared" si="231"/>
        <v>41.508380000000002</v>
      </c>
      <c r="AR293" s="2">
        <f t="shared" si="232"/>
        <v>6.2262570000000004</v>
      </c>
      <c r="AS293" s="2">
        <f t="shared" si="213"/>
        <v>5.6919999999999991E-3</v>
      </c>
      <c r="AT293" s="2">
        <f t="shared" si="214"/>
        <v>0.17076</v>
      </c>
      <c r="AU293" s="2">
        <f t="shared" si="233"/>
        <v>48.622889000000008</v>
      </c>
      <c r="AV293" s="2">
        <f t="shared" si="215"/>
        <v>0.28460000000000002</v>
      </c>
      <c r="AW293" s="2">
        <f t="shared" si="216"/>
        <v>0.14235999999999999</v>
      </c>
      <c r="AX293" s="2">
        <f t="shared" si="217"/>
        <v>5.9766E-2</v>
      </c>
      <c r="AY293" s="2">
        <f t="shared" si="234"/>
        <v>0.34436600000000001</v>
      </c>
      <c r="AZ293" s="2">
        <f t="shared" si="235"/>
        <v>5.1654899999999997E-2</v>
      </c>
      <c r="BA293" s="2">
        <f t="shared" si="218"/>
        <v>5.6919999999999991E-3</v>
      </c>
      <c r="BB293" s="2">
        <f t="shared" si="219"/>
        <v>0.17076</v>
      </c>
      <c r="BC293" s="2">
        <f t="shared" si="236"/>
        <v>0.71483289999999999</v>
      </c>
      <c r="BD293" s="2">
        <v>0</v>
      </c>
      <c r="BE293" s="2">
        <f t="shared" si="220"/>
        <v>2.8460000000000001</v>
      </c>
      <c r="BF293" s="2">
        <f t="shared" si="221"/>
        <v>9.2494999999999994E-2</v>
      </c>
      <c r="BG293" s="2">
        <f t="shared" si="237"/>
        <v>9.2494999999999994E-2</v>
      </c>
      <c r="BH293" s="2">
        <f t="shared" si="238"/>
        <v>1.3874249999999999E-2</v>
      </c>
      <c r="BI293" s="2">
        <f t="shared" si="222"/>
        <v>5.6919999999999991E-3</v>
      </c>
      <c r="BJ293" s="2">
        <f t="shared" si="223"/>
        <v>0.17076</v>
      </c>
      <c r="BK293" s="2">
        <f t="shared" si="239"/>
        <v>3.1288212500000001</v>
      </c>
      <c r="BL293" s="2">
        <f t="shared" si="224"/>
        <v>1422.4</v>
      </c>
      <c r="BM293" s="2">
        <f t="shared" si="225"/>
        <v>1423.6</v>
      </c>
      <c r="BN293" s="2">
        <f t="shared" si="240"/>
        <v>2846</v>
      </c>
    </row>
    <row r="294" spans="1:66" x14ac:dyDescent="0.25">
      <c r="A294" s="42">
        <v>291</v>
      </c>
      <c r="B294" s="43">
        <v>42860</v>
      </c>
      <c r="C294" s="42" t="s">
        <v>50</v>
      </c>
      <c r="D294" s="42" t="s">
        <v>229</v>
      </c>
      <c r="E294" s="6">
        <f t="shared" si="226"/>
        <v>-9.0217404999999999</v>
      </c>
      <c r="F294" s="5" t="str">
        <f t="shared" si="241"/>
        <v>Loss</v>
      </c>
      <c r="G294" s="4">
        <f t="shared" si="242"/>
        <v>-8</v>
      </c>
      <c r="H294" s="46">
        <v>8</v>
      </c>
      <c r="I294" s="42">
        <v>188.85</v>
      </c>
      <c r="N294" s="5">
        <f t="shared" si="243"/>
        <v>8</v>
      </c>
      <c r="O294" s="4">
        <f t="shared" si="244"/>
        <v>188.85</v>
      </c>
      <c r="P294" s="5">
        <f t="shared" si="199"/>
        <v>8</v>
      </c>
      <c r="Q294" s="42">
        <v>187.85</v>
      </c>
      <c r="R294" s="2">
        <f t="shared" si="198"/>
        <v>0</v>
      </c>
      <c r="T294" s="2">
        <f t="shared" si="227"/>
        <v>0</v>
      </c>
      <c r="V294" s="5">
        <f t="shared" si="245"/>
        <v>8</v>
      </c>
      <c r="W294" s="4">
        <f t="shared" si="246"/>
        <v>187.85</v>
      </c>
      <c r="X294" s="14">
        <f t="shared" si="200"/>
        <v>-1</v>
      </c>
      <c r="Y294" s="5">
        <f t="shared" si="201"/>
        <v>-8</v>
      </c>
      <c r="Z294" s="2">
        <f t="shared" si="202"/>
        <v>0</v>
      </c>
      <c r="AA294" s="4">
        <f t="shared" si="203"/>
        <v>0</v>
      </c>
      <c r="AB294" s="13">
        <f t="shared" si="204"/>
        <v>1.0217404999999999</v>
      </c>
      <c r="AC294" s="10">
        <f>SUM($E$4:E294)</f>
        <v>-11973.531985641492</v>
      </c>
      <c r="AD294" s="20">
        <f>SUM($AB$4:AB294)</f>
        <v>10903.015685641463</v>
      </c>
      <c r="AF294" s="28">
        <f t="shared" si="205"/>
        <v>0.30136000000000002</v>
      </c>
      <c r="AG294" s="2">
        <f t="shared" si="206"/>
        <v>0.37569999999999998</v>
      </c>
      <c r="AH294" s="2">
        <f t="shared" si="207"/>
        <v>9.7941999999999987E-2</v>
      </c>
      <c r="AI294" s="2">
        <f t="shared" si="228"/>
        <v>0.39930199999999999</v>
      </c>
      <c r="AJ294" s="2">
        <f t="shared" si="229"/>
        <v>5.9895299999999999E-2</v>
      </c>
      <c r="AK294" s="2">
        <f t="shared" si="208"/>
        <v>6.0271999999999999E-3</v>
      </c>
      <c r="AL294" s="2">
        <f t="shared" si="209"/>
        <v>0.180816</v>
      </c>
      <c r="AM294" s="2">
        <f t="shared" si="230"/>
        <v>1.0217404999999999</v>
      </c>
      <c r="AN294" s="2">
        <f t="shared" si="210"/>
        <v>40</v>
      </c>
      <c r="AO294" s="2">
        <f t="shared" si="211"/>
        <v>0.75139999999999996</v>
      </c>
      <c r="AP294" s="2">
        <f t="shared" si="212"/>
        <v>1.597208</v>
      </c>
      <c r="AQ294" s="2">
        <f t="shared" si="231"/>
        <v>41.597208000000002</v>
      </c>
      <c r="AR294" s="2">
        <f t="shared" si="232"/>
        <v>6.2395811999999999</v>
      </c>
      <c r="AS294" s="2">
        <f t="shared" si="213"/>
        <v>6.0271999999999999E-3</v>
      </c>
      <c r="AT294" s="2">
        <f t="shared" si="214"/>
        <v>0.180816</v>
      </c>
      <c r="AU294" s="2">
        <f t="shared" si="233"/>
        <v>48.775032400000001</v>
      </c>
      <c r="AV294" s="2">
        <f t="shared" si="215"/>
        <v>0.30136000000000002</v>
      </c>
      <c r="AW294" s="2">
        <f t="shared" si="216"/>
        <v>0.15028</v>
      </c>
      <c r="AX294" s="2">
        <f t="shared" si="217"/>
        <v>6.3285599999999997E-2</v>
      </c>
      <c r="AY294" s="2">
        <f t="shared" si="234"/>
        <v>0.36464560000000001</v>
      </c>
      <c r="AZ294" s="2">
        <f t="shared" si="235"/>
        <v>5.4696840000000004E-2</v>
      </c>
      <c r="BA294" s="2">
        <f t="shared" si="218"/>
        <v>6.0271999999999999E-3</v>
      </c>
      <c r="BB294" s="2">
        <f t="shared" si="219"/>
        <v>0.180816</v>
      </c>
      <c r="BC294" s="2">
        <f t="shared" si="236"/>
        <v>0.75646563999999994</v>
      </c>
      <c r="BD294" s="2">
        <v>0</v>
      </c>
      <c r="BE294" s="2">
        <f t="shared" si="220"/>
        <v>3.0135999999999998</v>
      </c>
      <c r="BF294" s="2">
        <f t="shared" si="221"/>
        <v>9.7941999999999987E-2</v>
      </c>
      <c r="BG294" s="2">
        <f t="shared" si="237"/>
        <v>9.7941999999999987E-2</v>
      </c>
      <c r="BH294" s="2">
        <f t="shared" si="238"/>
        <v>1.4691299999999997E-2</v>
      </c>
      <c r="BI294" s="2">
        <f t="shared" si="222"/>
        <v>6.0271999999999999E-3</v>
      </c>
      <c r="BJ294" s="2">
        <f t="shared" si="223"/>
        <v>0.180816</v>
      </c>
      <c r="BK294" s="2">
        <f t="shared" si="239"/>
        <v>3.3130765000000002</v>
      </c>
      <c r="BL294" s="2">
        <f t="shared" si="224"/>
        <v>1510.8</v>
      </c>
      <c r="BM294" s="2">
        <f t="shared" si="225"/>
        <v>1502.8</v>
      </c>
      <c r="BN294" s="2">
        <f t="shared" si="240"/>
        <v>3013.6</v>
      </c>
    </row>
    <row r="295" spans="1:66" x14ac:dyDescent="0.25">
      <c r="A295" s="42">
        <v>292</v>
      </c>
      <c r="B295" s="43">
        <v>42860</v>
      </c>
      <c r="C295" s="42" t="s">
        <v>50</v>
      </c>
      <c r="D295" s="42" t="s">
        <v>192</v>
      </c>
      <c r="E295" s="6">
        <f t="shared" si="226"/>
        <v>-9.4087679375000004</v>
      </c>
      <c r="F295" s="5" t="str">
        <f t="shared" si="241"/>
        <v>Loss</v>
      </c>
      <c r="G295" s="4">
        <f t="shared" si="242"/>
        <v>-8.5</v>
      </c>
      <c r="H295" s="46">
        <v>17</v>
      </c>
      <c r="I295" s="42">
        <v>79.099999999999994</v>
      </c>
      <c r="N295" s="5">
        <f t="shared" si="243"/>
        <v>17</v>
      </c>
      <c r="O295" s="4">
        <f t="shared" si="244"/>
        <v>79.099999999999994</v>
      </c>
      <c r="P295" s="5">
        <f t="shared" si="199"/>
        <v>17</v>
      </c>
      <c r="Q295" s="42">
        <v>78.599999999999994</v>
      </c>
      <c r="R295" s="2">
        <f t="shared" si="198"/>
        <v>0</v>
      </c>
      <c r="T295" s="2">
        <f t="shared" si="227"/>
        <v>0</v>
      </c>
      <c r="V295" s="5">
        <f t="shared" si="245"/>
        <v>17</v>
      </c>
      <c r="W295" s="4">
        <f t="shared" si="246"/>
        <v>78.599999999999994</v>
      </c>
      <c r="X295" s="14">
        <f t="shared" si="200"/>
        <v>-0.5</v>
      </c>
      <c r="Y295" s="5">
        <f t="shared" si="201"/>
        <v>-8.5</v>
      </c>
      <c r="Z295" s="2">
        <f t="shared" si="202"/>
        <v>0</v>
      </c>
      <c r="AA295" s="4">
        <f t="shared" si="203"/>
        <v>0</v>
      </c>
      <c r="AB295" s="13">
        <f t="shared" si="204"/>
        <v>0.90876793749999984</v>
      </c>
      <c r="AC295" s="10">
        <f>SUM($E$4:E295)</f>
        <v>-11982.940753578992</v>
      </c>
      <c r="AD295" s="20">
        <f>SUM($AB$4:AB295)</f>
        <v>10903.924453578964</v>
      </c>
      <c r="AF295" s="28">
        <f t="shared" si="205"/>
        <v>0.26808999999999999</v>
      </c>
      <c r="AG295" s="2">
        <f t="shared" si="206"/>
        <v>0.33405000000000001</v>
      </c>
      <c r="AH295" s="2">
        <f t="shared" si="207"/>
        <v>8.7129249999999978E-2</v>
      </c>
      <c r="AI295" s="2">
        <f t="shared" si="228"/>
        <v>0.35521924999999999</v>
      </c>
      <c r="AJ295" s="2">
        <f t="shared" si="229"/>
        <v>5.3282887499999994E-2</v>
      </c>
      <c r="AK295" s="2">
        <f t="shared" si="208"/>
        <v>5.361799999999999E-3</v>
      </c>
      <c r="AL295" s="2">
        <f t="shared" si="209"/>
        <v>0.16085399999999997</v>
      </c>
      <c r="AM295" s="2">
        <f t="shared" si="230"/>
        <v>0.90876793749999984</v>
      </c>
      <c r="AN295" s="2">
        <f t="shared" si="210"/>
        <v>40</v>
      </c>
      <c r="AO295" s="2">
        <f t="shared" si="211"/>
        <v>0.66810000000000003</v>
      </c>
      <c r="AP295" s="2">
        <f t="shared" si="212"/>
        <v>1.4208769999999997</v>
      </c>
      <c r="AQ295" s="2">
        <f t="shared" si="231"/>
        <v>41.420876999999997</v>
      </c>
      <c r="AR295" s="2">
        <f t="shared" si="232"/>
        <v>6.2131315499999991</v>
      </c>
      <c r="AS295" s="2">
        <f t="shared" si="213"/>
        <v>5.361799999999999E-3</v>
      </c>
      <c r="AT295" s="2">
        <f t="shared" si="214"/>
        <v>0.16085399999999997</v>
      </c>
      <c r="AU295" s="2">
        <f t="shared" si="233"/>
        <v>48.468324350000003</v>
      </c>
      <c r="AV295" s="2">
        <f t="shared" si="215"/>
        <v>0.26808999999999999</v>
      </c>
      <c r="AW295" s="2">
        <f t="shared" si="216"/>
        <v>0.13361999999999999</v>
      </c>
      <c r="AX295" s="2">
        <f t="shared" si="217"/>
        <v>5.6298899999999992E-2</v>
      </c>
      <c r="AY295" s="2">
        <f t="shared" si="234"/>
        <v>0.32438889999999998</v>
      </c>
      <c r="AZ295" s="2">
        <f t="shared" si="235"/>
        <v>4.8658334999999997E-2</v>
      </c>
      <c r="BA295" s="2">
        <f t="shared" si="218"/>
        <v>5.361799999999999E-3</v>
      </c>
      <c r="BB295" s="2">
        <f t="shared" si="219"/>
        <v>0.16085399999999997</v>
      </c>
      <c r="BC295" s="2">
        <f t="shared" si="236"/>
        <v>0.67288303499999991</v>
      </c>
      <c r="BD295" s="2">
        <v>0</v>
      </c>
      <c r="BE295" s="2">
        <f t="shared" si="220"/>
        <v>2.6808999999999998</v>
      </c>
      <c r="BF295" s="2">
        <f t="shared" si="221"/>
        <v>8.7129249999999978E-2</v>
      </c>
      <c r="BG295" s="2">
        <f t="shared" si="237"/>
        <v>8.7129249999999978E-2</v>
      </c>
      <c r="BH295" s="2">
        <f t="shared" si="238"/>
        <v>1.3069387499999996E-2</v>
      </c>
      <c r="BI295" s="2">
        <f t="shared" si="222"/>
        <v>5.361799999999999E-3</v>
      </c>
      <c r="BJ295" s="2">
        <f t="shared" si="223"/>
        <v>0.16085399999999997</v>
      </c>
      <c r="BK295" s="2">
        <f t="shared" si="239"/>
        <v>2.9473144374999998</v>
      </c>
      <c r="BL295" s="2">
        <f t="shared" si="224"/>
        <v>1344.6999999999998</v>
      </c>
      <c r="BM295" s="2">
        <f t="shared" si="225"/>
        <v>1336.1999999999998</v>
      </c>
      <c r="BN295" s="2">
        <f t="shared" si="240"/>
        <v>2680.8999999999996</v>
      </c>
    </row>
    <row r="296" spans="1:66" x14ac:dyDescent="0.25">
      <c r="A296" s="42">
        <v>293</v>
      </c>
      <c r="B296" s="43">
        <v>42860</v>
      </c>
      <c r="C296" s="42" t="s">
        <v>50</v>
      </c>
      <c r="D296" s="42" t="s">
        <v>237</v>
      </c>
      <c r="E296" s="6">
        <f t="shared" si="226"/>
        <v>-6.7594500000000002</v>
      </c>
      <c r="F296" s="5" t="str">
        <f t="shared" si="241"/>
        <v>Loss</v>
      </c>
      <c r="G296" s="4">
        <f t="shared" si="242"/>
        <v>-6</v>
      </c>
      <c r="H296" s="46">
        <v>1</v>
      </c>
      <c r="I296" s="42">
        <v>1123</v>
      </c>
      <c r="N296" s="5">
        <f t="shared" si="243"/>
        <v>1</v>
      </c>
      <c r="O296" s="4">
        <f t="shared" si="244"/>
        <v>1123</v>
      </c>
      <c r="P296" s="5">
        <f t="shared" si="199"/>
        <v>1</v>
      </c>
      <c r="Q296" s="42">
        <v>1117</v>
      </c>
      <c r="R296" s="2">
        <f t="shared" ref="R296:R359" si="247">J296</f>
        <v>0</v>
      </c>
      <c r="T296" s="2">
        <f t="shared" si="227"/>
        <v>0</v>
      </c>
      <c r="V296" s="5">
        <f t="shared" si="245"/>
        <v>1</v>
      </c>
      <c r="W296" s="4">
        <f t="shared" si="246"/>
        <v>1117</v>
      </c>
      <c r="X296" s="14">
        <f t="shared" si="200"/>
        <v>-6</v>
      </c>
      <c r="Y296" s="5">
        <f t="shared" si="201"/>
        <v>-6</v>
      </c>
      <c r="Z296" s="2">
        <f t="shared" si="202"/>
        <v>0</v>
      </c>
      <c r="AA296" s="4">
        <f t="shared" si="203"/>
        <v>0</v>
      </c>
      <c r="AB296" s="13">
        <f t="shared" si="204"/>
        <v>0.75944999999999996</v>
      </c>
      <c r="AC296" s="10">
        <f>SUM($E$4:E296)</f>
        <v>-11989.700203578992</v>
      </c>
      <c r="AD296" s="20">
        <f>SUM($AB$4:AB296)</f>
        <v>10904.683903578964</v>
      </c>
      <c r="AF296" s="28">
        <f t="shared" si="205"/>
        <v>0.224</v>
      </c>
      <c r="AG296" s="2">
        <f t="shared" si="206"/>
        <v>0.27925</v>
      </c>
      <c r="AH296" s="2">
        <f t="shared" si="207"/>
        <v>7.279999999999999E-2</v>
      </c>
      <c r="AI296" s="2">
        <f t="shared" si="228"/>
        <v>0.29680000000000001</v>
      </c>
      <c r="AJ296" s="2">
        <f t="shared" si="229"/>
        <v>4.4519999999999997E-2</v>
      </c>
      <c r="AK296" s="2">
        <f t="shared" si="208"/>
        <v>4.4799999999999996E-3</v>
      </c>
      <c r="AL296" s="2">
        <f t="shared" si="209"/>
        <v>0.13439999999999999</v>
      </c>
      <c r="AM296" s="2">
        <f t="shared" si="230"/>
        <v>0.75944999999999996</v>
      </c>
      <c r="AN296" s="2">
        <f t="shared" si="210"/>
        <v>40</v>
      </c>
      <c r="AO296" s="2">
        <f t="shared" si="211"/>
        <v>0.5585</v>
      </c>
      <c r="AP296" s="2">
        <f t="shared" si="212"/>
        <v>1.1872</v>
      </c>
      <c r="AQ296" s="2">
        <f t="shared" si="231"/>
        <v>41.187199999999997</v>
      </c>
      <c r="AR296" s="2">
        <f t="shared" si="232"/>
        <v>6.1780799999999996</v>
      </c>
      <c r="AS296" s="2">
        <f t="shared" si="213"/>
        <v>4.4799999999999996E-3</v>
      </c>
      <c r="AT296" s="2">
        <f t="shared" si="214"/>
        <v>0.13439999999999999</v>
      </c>
      <c r="AU296" s="2">
        <f t="shared" si="233"/>
        <v>48.062660000000001</v>
      </c>
      <c r="AV296" s="2">
        <f t="shared" si="215"/>
        <v>0.224</v>
      </c>
      <c r="AW296" s="2">
        <f t="shared" si="216"/>
        <v>0.11170000000000001</v>
      </c>
      <c r="AX296" s="2">
        <f t="shared" si="217"/>
        <v>4.7039999999999998E-2</v>
      </c>
      <c r="AY296" s="2">
        <f t="shared" si="234"/>
        <v>0.27104</v>
      </c>
      <c r="AZ296" s="2">
        <f t="shared" si="235"/>
        <v>4.0655999999999998E-2</v>
      </c>
      <c r="BA296" s="2">
        <f t="shared" si="218"/>
        <v>4.4799999999999996E-3</v>
      </c>
      <c r="BB296" s="2">
        <f t="shared" si="219"/>
        <v>0.13439999999999999</v>
      </c>
      <c r="BC296" s="2">
        <f t="shared" si="236"/>
        <v>0.562276</v>
      </c>
      <c r="BD296" s="2">
        <v>0</v>
      </c>
      <c r="BE296" s="2">
        <f t="shared" si="220"/>
        <v>2.2400000000000002</v>
      </c>
      <c r="BF296" s="2">
        <f t="shared" si="221"/>
        <v>7.279999999999999E-2</v>
      </c>
      <c r="BG296" s="2">
        <f t="shared" si="237"/>
        <v>7.279999999999999E-2</v>
      </c>
      <c r="BH296" s="2">
        <f t="shared" si="238"/>
        <v>1.0919999999999997E-2</v>
      </c>
      <c r="BI296" s="2">
        <f t="shared" si="222"/>
        <v>4.4799999999999996E-3</v>
      </c>
      <c r="BJ296" s="2">
        <f t="shared" si="223"/>
        <v>0.13439999999999999</v>
      </c>
      <c r="BK296" s="2">
        <f t="shared" si="239"/>
        <v>2.4626000000000001</v>
      </c>
      <c r="BL296" s="2">
        <f t="shared" si="224"/>
        <v>1123</v>
      </c>
      <c r="BM296" s="2">
        <f t="shared" si="225"/>
        <v>1117</v>
      </c>
      <c r="BN296" s="2">
        <f t="shared" si="240"/>
        <v>2240</v>
      </c>
    </row>
    <row r="297" spans="1:66" x14ac:dyDescent="0.25">
      <c r="A297" s="42">
        <v>294</v>
      </c>
      <c r="B297" s="43">
        <v>42860</v>
      </c>
      <c r="C297" s="42" t="s">
        <v>50</v>
      </c>
      <c r="D297" s="42" t="s">
        <v>227</v>
      </c>
      <c r="E297" s="6">
        <f t="shared" si="226"/>
        <v>-4.8577641249999548</v>
      </c>
      <c r="F297" s="5" t="str">
        <f t="shared" si="241"/>
        <v>Loss</v>
      </c>
      <c r="G297" s="4">
        <f t="shared" si="242"/>
        <v>-3.7999999999999545</v>
      </c>
      <c r="H297" s="46">
        <v>4</v>
      </c>
      <c r="I297" s="42">
        <v>390.25</v>
      </c>
      <c r="N297" s="5">
        <f t="shared" si="243"/>
        <v>4</v>
      </c>
      <c r="O297" s="4">
        <f t="shared" si="244"/>
        <v>390.25</v>
      </c>
      <c r="P297" s="5">
        <f t="shared" si="199"/>
        <v>4</v>
      </c>
      <c r="Q297" s="42">
        <v>389.3</v>
      </c>
      <c r="R297" s="2">
        <f t="shared" si="247"/>
        <v>0</v>
      </c>
      <c r="T297" s="2">
        <f t="shared" si="227"/>
        <v>0</v>
      </c>
      <c r="V297" s="5">
        <f t="shared" si="245"/>
        <v>4</v>
      </c>
      <c r="W297" s="4">
        <f t="shared" si="246"/>
        <v>389.3</v>
      </c>
      <c r="X297" s="14">
        <f t="shared" si="200"/>
        <v>-0.94999999999998863</v>
      </c>
      <c r="Y297" s="5">
        <f t="shared" si="201"/>
        <v>-3.7999999999999545</v>
      </c>
      <c r="Z297" s="2">
        <f t="shared" si="202"/>
        <v>0</v>
      </c>
      <c r="AA297" s="4">
        <f t="shared" si="203"/>
        <v>0</v>
      </c>
      <c r="AB297" s="13">
        <f t="shared" si="204"/>
        <v>1.0577641249999998</v>
      </c>
      <c r="AC297" s="10">
        <f>SUM($E$4:E297)</f>
        <v>-11994.557967703991</v>
      </c>
      <c r="AD297" s="20">
        <f>SUM($AB$4:AB297)</f>
        <v>10905.741667703964</v>
      </c>
      <c r="AF297" s="28">
        <f t="shared" si="205"/>
        <v>0.31181999999999999</v>
      </c>
      <c r="AG297" s="2">
        <f t="shared" si="206"/>
        <v>0.38930000000000003</v>
      </c>
      <c r="AH297" s="2">
        <f t="shared" si="207"/>
        <v>0.10134149999999999</v>
      </c>
      <c r="AI297" s="2">
        <f t="shared" si="228"/>
        <v>0.41316149999999996</v>
      </c>
      <c r="AJ297" s="2">
        <f t="shared" si="229"/>
        <v>6.1974224999999994E-2</v>
      </c>
      <c r="AK297" s="2">
        <f t="shared" si="208"/>
        <v>6.2363999999999996E-3</v>
      </c>
      <c r="AL297" s="2">
        <f t="shared" si="209"/>
        <v>0.18709199999999998</v>
      </c>
      <c r="AM297" s="2">
        <f t="shared" si="230"/>
        <v>1.0577641249999998</v>
      </c>
      <c r="AN297" s="2">
        <f t="shared" si="210"/>
        <v>40</v>
      </c>
      <c r="AO297" s="2">
        <f t="shared" si="211"/>
        <v>0.77860000000000007</v>
      </c>
      <c r="AP297" s="2">
        <f t="shared" si="212"/>
        <v>1.6526459999999998</v>
      </c>
      <c r="AQ297" s="2">
        <f t="shared" si="231"/>
        <v>41.652645999999997</v>
      </c>
      <c r="AR297" s="2">
        <f t="shared" si="232"/>
        <v>6.2478968999999998</v>
      </c>
      <c r="AS297" s="2">
        <f t="shared" si="213"/>
        <v>6.2363999999999996E-3</v>
      </c>
      <c r="AT297" s="2">
        <f t="shared" si="214"/>
        <v>0.18709199999999998</v>
      </c>
      <c r="AU297" s="2">
        <f t="shared" si="233"/>
        <v>48.872471299999994</v>
      </c>
      <c r="AV297" s="2">
        <f t="shared" si="215"/>
        <v>0.31181999999999999</v>
      </c>
      <c r="AW297" s="2">
        <f t="shared" si="216"/>
        <v>0.15572000000000003</v>
      </c>
      <c r="AX297" s="2">
        <f t="shared" si="217"/>
        <v>6.548219999999999E-2</v>
      </c>
      <c r="AY297" s="2">
        <f t="shared" si="234"/>
        <v>0.37730219999999998</v>
      </c>
      <c r="AZ297" s="2">
        <f t="shared" si="235"/>
        <v>5.6595329999999992E-2</v>
      </c>
      <c r="BA297" s="2">
        <f t="shared" si="218"/>
        <v>6.2363999999999996E-3</v>
      </c>
      <c r="BB297" s="2">
        <f t="shared" si="219"/>
        <v>0.18709199999999998</v>
      </c>
      <c r="BC297" s="2">
        <f t="shared" si="236"/>
        <v>0.7829459299999999</v>
      </c>
      <c r="BD297" s="2">
        <v>0</v>
      </c>
      <c r="BE297" s="2">
        <f t="shared" si="220"/>
        <v>3.1181999999999999</v>
      </c>
      <c r="BF297" s="2">
        <f t="shared" si="221"/>
        <v>0.10134149999999999</v>
      </c>
      <c r="BG297" s="2">
        <f t="shared" si="237"/>
        <v>0.10134149999999999</v>
      </c>
      <c r="BH297" s="2">
        <f t="shared" si="238"/>
        <v>1.5201224999999997E-2</v>
      </c>
      <c r="BI297" s="2">
        <f t="shared" si="222"/>
        <v>6.2363999999999996E-3</v>
      </c>
      <c r="BJ297" s="2">
        <f t="shared" si="223"/>
        <v>0.18709199999999998</v>
      </c>
      <c r="BK297" s="2">
        <f t="shared" si="239"/>
        <v>3.4280711250000002</v>
      </c>
      <c r="BL297" s="2">
        <f t="shared" si="224"/>
        <v>1561</v>
      </c>
      <c r="BM297" s="2">
        <f t="shared" si="225"/>
        <v>1557.2</v>
      </c>
      <c r="BN297" s="2">
        <f t="shared" si="240"/>
        <v>3118.2</v>
      </c>
    </row>
    <row r="298" spans="1:66" x14ac:dyDescent="0.25">
      <c r="A298" s="42">
        <v>295</v>
      </c>
      <c r="B298" s="43">
        <v>42860</v>
      </c>
      <c r="C298" s="42" t="s">
        <v>50</v>
      </c>
      <c r="D298" s="42" t="s">
        <v>189</v>
      </c>
      <c r="E298" s="6">
        <f t="shared" si="226"/>
        <v>-10.153579750000045</v>
      </c>
      <c r="F298" s="5" t="str">
        <f t="shared" si="241"/>
        <v>Loss</v>
      </c>
      <c r="G298" s="4">
        <f t="shared" si="242"/>
        <v>-9.2000000000000455</v>
      </c>
      <c r="H298" s="46">
        <v>8</v>
      </c>
      <c r="I298" s="42">
        <v>176.4</v>
      </c>
      <c r="N298" s="5">
        <f t="shared" si="243"/>
        <v>8</v>
      </c>
      <c r="O298" s="4">
        <f t="shared" si="244"/>
        <v>176.4</v>
      </c>
      <c r="P298" s="5">
        <f t="shared" si="199"/>
        <v>8</v>
      </c>
      <c r="Q298" s="42">
        <v>175.25</v>
      </c>
      <c r="R298" s="2">
        <f t="shared" si="247"/>
        <v>0</v>
      </c>
      <c r="T298" s="2">
        <f t="shared" si="227"/>
        <v>0</v>
      </c>
      <c r="V298" s="5">
        <f t="shared" si="245"/>
        <v>8</v>
      </c>
      <c r="W298" s="4">
        <f t="shared" si="246"/>
        <v>175.25</v>
      </c>
      <c r="X298" s="14">
        <f t="shared" si="200"/>
        <v>-1.1500000000000057</v>
      </c>
      <c r="Y298" s="5">
        <f t="shared" si="201"/>
        <v>-9.2000000000000455</v>
      </c>
      <c r="Z298" s="2">
        <f t="shared" si="202"/>
        <v>0</v>
      </c>
      <c r="AA298" s="4">
        <f t="shared" si="203"/>
        <v>0</v>
      </c>
      <c r="AB298" s="13">
        <f t="shared" si="204"/>
        <v>0.95357975000000006</v>
      </c>
      <c r="AC298" s="10">
        <f>SUM($E$4:E298)</f>
        <v>-12004.711547453991</v>
      </c>
      <c r="AD298" s="20">
        <f>SUM($AB$4:AB298)</f>
        <v>10906.695247453963</v>
      </c>
      <c r="AF298" s="28">
        <f t="shared" si="205"/>
        <v>0.28132000000000001</v>
      </c>
      <c r="AG298" s="2">
        <f t="shared" si="206"/>
        <v>0.35050000000000003</v>
      </c>
      <c r="AH298" s="2">
        <f t="shared" si="207"/>
        <v>9.1428999999999983E-2</v>
      </c>
      <c r="AI298" s="2">
        <f t="shared" si="228"/>
        <v>0.372749</v>
      </c>
      <c r="AJ298" s="2">
        <f t="shared" si="229"/>
        <v>5.591235E-2</v>
      </c>
      <c r="AK298" s="2">
        <f t="shared" si="208"/>
        <v>5.6264000000000002E-3</v>
      </c>
      <c r="AL298" s="2">
        <f t="shared" si="209"/>
        <v>0.168792</v>
      </c>
      <c r="AM298" s="2">
        <f t="shared" si="230"/>
        <v>0.95357975000000006</v>
      </c>
      <c r="AN298" s="2">
        <f t="shared" si="210"/>
        <v>40</v>
      </c>
      <c r="AO298" s="2">
        <f t="shared" si="211"/>
        <v>0.70100000000000007</v>
      </c>
      <c r="AP298" s="2">
        <f t="shared" si="212"/>
        <v>1.4909959999999998</v>
      </c>
      <c r="AQ298" s="2">
        <f t="shared" si="231"/>
        <v>41.490996000000003</v>
      </c>
      <c r="AR298" s="2">
        <f t="shared" si="232"/>
        <v>6.2236494000000002</v>
      </c>
      <c r="AS298" s="2">
        <f t="shared" si="213"/>
        <v>5.6264000000000002E-3</v>
      </c>
      <c r="AT298" s="2">
        <f t="shared" si="214"/>
        <v>0.168792</v>
      </c>
      <c r="AU298" s="2">
        <f t="shared" si="233"/>
        <v>48.590063800000003</v>
      </c>
      <c r="AV298" s="2">
        <f t="shared" si="215"/>
        <v>0.28132000000000001</v>
      </c>
      <c r="AW298" s="2">
        <f t="shared" si="216"/>
        <v>0.14020000000000002</v>
      </c>
      <c r="AX298" s="2">
        <f t="shared" si="217"/>
        <v>5.9077199999999989E-2</v>
      </c>
      <c r="AY298" s="2">
        <f t="shared" si="234"/>
        <v>0.34039720000000001</v>
      </c>
      <c r="AZ298" s="2">
        <f t="shared" si="235"/>
        <v>5.105958E-2</v>
      </c>
      <c r="BA298" s="2">
        <f t="shared" si="218"/>
        <v>5.6264000000000002E-3</v>
      </c>
      <c r="BB298" s="2">
        <f t="shared" si="219"/>
        <v>0.168792</v>
      </c>
      <c r="BC298" s="2">
        <f t="shared" si="236"/>
        <v>0.70607518000000002</v>
      </c>
      <c r="BD298" s="2">
        <v>0</v>
      </c>
      <c r="BE298" s="2">
        <f t="shared" si="220"/>
        <v>2.8131999999999997</v>
      </c>
      <c r="BF298" s="2">
        <f t="shared" si="221"/>
        <v>9.1428999999999983E-2</v>
      </c>
      <c r="BG298" s="2">
        <f t="shared" si="237"/>
        <v>9.1428999999999983E-2</v>
      </c>
      <c r="BH298" s="2">
        <f t="shared" si="238"/>
        <v>1.3714349999999997E-2</v>
      </c>
      <c r="BI298" s="2">
        <f t="shared" si="222"/>
        <v>5.6264000000000002E-3</v>
      </c>
      <c r="BJ298" s="2">
        <f t="shared" si="223"/>
        <v>0.168792</v>
      </c>
      <c r="BK298" s="2">
        <f t="shared" si="239"/>
        <v>3.0927617499999998</v>
      </c>
      <c r="BL298" s="2">
        <f t="shared" si="224"/>
        <v>1411.2</v>
      </c>
      <c r="BM298" s="2">
        <f t="shared" si="225"/>
        <v>1402</v>
      </c>
      <c r="BN298" s="2">
        <f t="shared" si="240"/>
        <v>2813.2</v>
      </c>
    </row>
    <row r="299" spans="1:66" x14ac:dyDescent="0.25">
      <c r="A299" s="42">
        <v>296</v>
      </c>
      <c r="B299" s="43">
        <v>42860</v>
      </c>
      <c r="C299" s="42" t="s">
        <v>50</v>
      </c>
      <c r="D299" s="42" t="s">
        <v>238</v>
      </c>
      <c r="E299" s="6">
        <f t="shared" si="226"/>
        <v>-3.2338532500000001</v>
      </c>
      <c r="F299" s="5" t="str">
        <f t="shared" si="241"/>
        <v>Loss</v>
      </c>
      <c r="G299" s="4">
        <f t="shared" si="242"/>
        <v>-2</v>
      </c>
      <c r="H299" s="46">
        <v>2</v>
      </c>
      <c r="I299" s="42">
        <v>909.6</v>
      </c>
      <c r="N299" s="5">
        <f t="shared" si="243"/>
        <v>2</v>
      </c>
      <c r="O299" s="4">
        <f t="shared" si="244"/>
        <v>909.6</v>
      </c>
      <c r="P299" s="5">
        <f t="shared" si="199"/>
        <v>2</v>
      </c>
      <c r="Q299" s="42">
        <v>908.6</v>
      </c>
      <c r="R299" s="2">
        <f t="shared" si="247"/>
        <v>0</v>
      </c>
      <c r="T299" s="2">
        <f t="shared" si="227"/>
        <v>0</v>
      </c>
      <c r="V299" s="5">
        <f t="shared" si="245"/>
        <v>2</v>
      </c>
      <c r="W299" s="4">
        <f t="shared" si="246"/>
        <v>908.6</v>
      </c>
      <c r="X299" s="14">
        <f t="shared" si="200"/>
        <v>-1</v>
      </c>
      <c r="Y299" s="5">
        <f t="shared" si="201"/>
        <v>-2</v>
      </c>
      <c r="Z299" s="2">
        <f t="shared" si="202"/>
        <v>0</v>
      </c>
      <c r="AA299" s="4">
        <f t="shared" si="203"/>
        <v>0</v>
      </c>
      <c r="AB299" s="13">
        <f t="shared" si="204"/>
        <v>1.2338532500000001</v>
      </c>
      <c r="AC299" s="10">
        <f>SUM($E$4:E299)</f>
        <v>-12007.945400703991</v>
      </c>
      <c r="AD299" s="20">
        <f>SUM($AB$4:AB299)</f>
        <v>10907.929100703963</v>
      </c>
      <c r="AF299" s="28">
        <f t="shared" si="205"/>
        <v>0.36364000000000002</v>
      </c>
      <c r="AG299" s="2">
        <f t="shared" si="206"/>
        <v>0.45430000000000004</v>
      </c>
      <c r="AH299" s="2">
        <f t="shared" si="207"/>
        <v>0.118183</v>
      </c>
      <c r="AI299" s="2">
        <f t="shared" si="228"/>
        <v>0.481823</v>
      </c>
      <c r="AJ299" s="2">
        <f t="shared" si="229"/>
        <v>7.2273450000000003E-2</v>
      </c>
      <c r="AK299" s="2">
        <f t="shared" si="208"/>
        <v>7.2728000000000011E-3</v>
      </c>
      <c r="AL299" s="2">
        <f t="shared" si="209"/>
        <v>0.21818400000000002</v>
      </c>
      <c r="AM299" s="2">
        <f t="shared" si="230"/>
        <v>1.2338532500000001</v>
      </c>
      <c r="AN299" s="2">
        <f t="shared" si="210"/>
        <v>40</v>
      </c>
      <c r="AO299" s="2">
        <f t="shared" si="211"/>
        <v>0.90860000000000007</v>
      </c>
      <c r="AP299" s="2">
        <f t="shared" si="212"/>
        <v>1.927292</v>
      </c>
      <c r="AQ299" s="2">
        <f t="shared" si="231"/>
        <v>41.927292000000001</v>
      </c>
      <c r="AR299" s="2">
        <f t="shared" si="232"/>
        <v>6.2890937999999998</v>
      </c>
      <c r="AS299" s="2">
        <f t="shared" si="213"/>
        <v>7.2728000000000011E-3</v>
      </c>
      <c r="AT299" s="2">
        <f t="shared" si="214"/>
        <v>0.21818400000000002</v>
      </c>
      <c r="AU299" s="2">
        <f t="shared" si="233"/>
        <v>49.350442600000008</v>
      </c>
      <c r="AV299" s="2">
        <f t="shared" si="215"/>
        <v>0.36364000000000002</v>
      </c>
      <c r="AW299" s="2">
        <f t="shared" si="216"/>
        <v>0.18172000000000002</v>
      </c>
      <c r="AX299" s="2">
        <f t="shared" si="217"/>
        <v>7.6364399999999999E-2</v>
      </c>
      <c r="AY299" s="2">
        <f t="shared" si="234"/>
        <v>0.44000440000000002</v>
      </c>
      <c r="AZ299" s="2">
        <f t="shared" si="235"/>
        <v>6.6000660000000003E-2</v>
      </c>
      <c r="BA299" s="2">
        <f t="shared" si="218"/>
        <v>7.2728000000000011E-3</v>
      </c>
      <c r="BB299" s="2">
        <f t="shared" si="219"/>
        <v>0.21818400000000002</v>
      </c>
      <c r="BC299" s="2">
        <f t="shared" si="236"/>
        <v>0.91318186000000012</v>
      </c>
      <c r="BD299" s="2">
        <v>0</v>
      </c>
      <c r="BE299" s="2">
        <f t="shared" si="220"/>
        <v>3.6364000000000001</v>
      </c>
      <c r="BF299" s="2">
        <f t="shared" si="221"/>
        <v>0.118183</v>
      </c>
      <c r="BG299" s="2">
        <f t="shared" si="237"/>
        <v>0.118183</v>
      </c>
      <c r="BH299" s="2">
        <f t="shared" si="238"/>
        <v>1.7727449999999999E-2</v>
      </c>
      <c r="BI299" s="2">
        <f t="shared" si="222"/>
        <v>7.2728000000000011E-3</v>
      </c>
      <c r="BJ299" s="2">
        <f t="shared" si="223"/>
        <v>0.21818400000000002</v>
      </c>
      <c r="BK299" s="2">
        <f t="shared" si="239"/>
        <v>3.9977672500000003</v>
      </c>
      <c r="BL299" s="2">
        <f t="shared" si="224"/>
        <v>1819.2</v>
      </c>
      <c r="BM299" s="2">
        <f t="shared" si="225"/>
        <v>1817.2</v>
      </c>
      <c r="BN299" s="2">
        <f t="shared" si="240"/>
        <v>3636.4</v>
      </c>
    </row>
    <row r="300" spans="1:66" x14ac:dyDescent="0.25">
      <c r="A300" s="42">
        <v>297</v>
      </c>
      <c r="B300" s="43">
        <v>42860</v>
      </c>
      <c r="C300" s="42" t="s">
        <v>50</v>
      </c>
      <c r="D300" s="42" t="s">
        <v>206</v>
      </c>
      <c r="E300" s="6">
        <f t="shared" si="226"/>
        <v>-6.8198587499999999</v>
      </c>
      <c r="F300" s="5" t="str">
        <f t="shared" si="241"/>
        <v>Loss</v>
      </c>
      <c r="G300" s="4">
        <f t="shared" si="242"/>
        <v>-6</v>
      </c>
      <c r="H300" s="46">
        <v>8</v>
      </c>
      <c r="I300" s="42">
        <v>151.5</v>
      </c>
      <c r="N300" s="5">
        <f t="shared" si="243"/>
        <v>8</v>
      </c>
      <c r="O300" s="4">
        <f t="shared" si="244"/>
        <v>151.5</v>
      </c>
      <c r="P300" s="5">
        <f t="shared" si="199"/>
        <v>8</v>
      </c>
      <c r="Q300" s="42">
        <v>150.75</v>
      </c>
      <c r="R300" s="2">
        <f t="shared" si="247"/>
        <v>0</v>
      </c>
      <c r="T300" s="2">
        <f t="shared" si="227"/>
        <v>0</v>
      </c>
      <c r="V300" s="5">
        <f t="shared" si="245"/>
        <v>8</v>
      </c>
      <c r="W300" s="4">
        <f t="shared" si="246"/>
        <v>150.75</v>
      </c>
      <c r="X300" s="14">
        <f t="shared" si="200"/>
        <v>-0.75</v>
      </c>
      <c r="Y300" s="5">
        <f t="shared" si="201"/>
        <v>-6</v>
      </c>
      <c r="Z300" s="2">
        <f t="shared" si="202"/>
        <v>0</v>
      </c>
      <c r="AA300" s="4">
        <f t="shared" si="203"/>
        <v>0</v>
      </c>
      <c r="AB300" s="13">
        <f t="shared" si="204"/>
        <v>0.81985874999999997</v>
      </c>
      <c r="AC300" s="10">
        <f>SUM($E$4:E300)</f>
        <v>-12014.76525945399</v>
      </c>
      <c r="AD300" s="20">
        <f>SUM($AB$4:AB300)</f>
        <v>10908.748959453962</v>
      </c>
      <c r="AF300" s="28">
        <f t="shared" si="205"/>
        <v>0.24180000000000001</v>
      </c>
      <c r="AG300" s="2">
        <f t="shared" si="206"/>
        <v>0.30149999999999999</v>
      </c>
      <c r="AH300" s="2">
        <f t="shared" si="207"/>
        <v>7.8584999999999988E-2</v>
      </c>
      <c r="AI300" s="2">
        <f t="shared" si="228"/>
        <v>0.32038500000000003</v>
      </c>
      <c r="AJ300" s="2">
        <f t="shared" si="229"/>
        <v>4.8057750000000003E-2</v>
      </c>
      <c r="AK300" s="2">
        <f t="shared" si="208"/>
        <v>4.836E-3</v>
      </c>
      <c r="AL300" s="2">
        <f t="shared" si="209"/>
        <v>0.14508000000000001</v>
      </c>
      <c r="AM300" s="2">
        <f t="shared" si="230"/>
        <v>0.81985874999999997</v>
      </c>
      <c r="AN300" s="2">
        <f t="shared" si="210"/>
        <v>40</v>
      </c>
      <c r="AO300" s="2">
        <f t="shared" si="211"/>
        <v>0.60299999999999998</v>
      </c>
      <c r="AP300" s="2">
        <f t="shared" si="212"/>
        <v>1.2815399999999999</v>
      </c>
      <c r="AQ300" s="2">
        <f t="shared" si="231"/>
        <v>41.28154</v>
      </c>
      <c r="AR300" s="2">
        <f t="shared" si="232"/>
        <v>6.1922309999999996</v>
      </c>
      <c r="AS300" s="2">
        <f t="shared" si="213"/>
        <v>4.836E-3</v>
      </c>
      <c r="AT300" s="2">
        <f t="shared" si="214"/>
        <v>0.14508000000000001</v>
      </c>
      <c r="AU300" s="2">
        <f t="shared" si="233"/>
        <v>48.226686999999998</v>
      </c>
      <c r="AV300" s="2">
        <f t="shared" si="215"/>
        <v>0.24180000000000001</v>
      </c>
      <c r="AW300" s="2">
        <f t="shared" si="216"/>
        <v>0.1206</v>
      </c>
      <c r="AX300" s="2">
        <f t="shared" si="217"/>
        <v>5.0777999999999997E-2</v>
      </c>
      <c r="AY300" s="2">
        <f t="shared" si="234"/>
        <v>0.292578</v>
      </c>
      <c r="AZ300" s="2">
        <f t="shared" si="235"/>
        <v>4.3886700000000001E-2</v>
      </c>
      <c r="BA300" s="2">
        <f t="shared" si="218"/>
        <v>4.836E-3</v>
      </c>
      <c r="BB300" s="2">
        <f t="shared" si="219"/>
        <v>0.14508000000000001</v>
      </c>
      <c r="BC300" s="2">
        <f t="shared" si="236"/>
        <v>0.60698070000000004</v>
      </c>
      <c r="BD300" s="2">
        <v>0</v>
      </c>
      <c r="BE300" s="2">
        <f t="shared" si="220"/>
        <v>2.4180000000000001</v>
      </c>
      <c r="BF300" s="2">
        <f t="shared" si="221"/>
        <v>7.8584999999999988E-2</v>
      </c>
      <c r="BG300" s="2">
        <f t="shared" si="237"/>
        <v>7.8584999999999988E-2</v>
      </c>
      <c r="BH300" s="2">
        <f t="shared" si="238"/>
        <v>1.1787749999999998E-2</v>
      </c>
      <c r="BI300" s="2">
        <f t="shared" si="222"/>
        <v>4.836E-3</v>
      </c>
      <c r="BJ300" s="2">
        <f t="shared" si="223"/>
        <v>0.14508000000000001</v>
      </c>
      <c r="BK300" s="2">
        <f t="shared" si="239"/>
        <v>2.6582887500000001</v>
      </c>
      <c r="BL300" s="2">
        <f t="shared" si="224"/>
        <v>1212</v>
      </c>
      <c r="BM300" s="2">
        <f t="shared" si="225"/>
        <v>1206</v>
      </c>
      <c r="BN300" s="2">
        <f t="shared" si="240"/>
        <v>2418</v>
      </c>
    </row>
    <row r="301" spans="1:66" x14ac:dyDescent="0.25">
      <c r="A301" s="42">
        <v>298</v>
      </c>
      <c r="B301" s="43">
        <v>42860</v>
      </c>
      <c r="C301" s="42" t="s">
        <v>50</v>
      </c>
      <c r="D301" s="42" t="s">
        <v>226</v>
      </c>
      <c r="E301" s="6">
        <f t="shared" si="226"/>
        <v>9.1843462812499208</v>
      </c>
      <c r="F301" s="5" t="str">
        <f t="shared" si="241"/>
        <v>Win</v>
      </c>
      <c r="G301" s="4">
        <f t="shared" si="242"/>
        <v>10.14999999999992</v>
      </c>
      <c r="H301" s="46">
        <v>7</v>
      </c>
      <c r="I301" s="42">
        <v>202.25</v>
      </c>
      <c r="N301" s="5">
        <f t="shared" si="243"/>
        <v>7</v>
      </c>
      <c r="O301" s="4">
        <f t="shared" si="244"/>
        <v>202.25</v>
      </c>
      <c r="P301" s="5">
        <f t="shared" si="199"/>
        <v>7</v>
      </c>
      <c r="Q301" s="42">
        <v>203.7</v>
      </c>
      <c r="R301" s="2">
        <f t="shared" si="247"/>
        <v>0</v>
      </c>
      <c r="T301" s="2">
        <f t="shared" si="227"/>
        <v>0</v>
      </c>
      <c r="V301" s="5">
        <f t="shared" si="245"/>
        <v>7</v>
      </c>
      <c r="W301" s="4">
        <f t="shared" si="246"/>
        <v>203.7</v>
      </c>
      <c r="X301" s="14">
        <f t="shared" si="200"/>
        <v>1.4499999999999886</v>
      </c>
      <c r="Y301" s="5">
        <f t="shared" si="201"/>
        <v>10.14999999999992</v>
      </c>
      <c r="Z301" s="2">
        <f t="shared" si="202"/>
        <v>0</v>
      </c>
      <c r="AA301" s="4">
        <f t="shared" si="203"/>
        <v>0</v>
      </c>
      <c r="AB301" s="13">
        <f t="shared" si="204"/>
        <v>0.96565371874999983</v>
      </c>
      <c r="AC301" s="10">
        <f>SUM($E$4:E301)</f>
        <v>-12005.58091317274</v>
      </c>
      <c r="AD301" s="20">
        <f>SUM($AB$4:AB301)</f>
        <v>10909.714613172711</v>
      </c>
      <c r="AF301" s="28">
        <f t="shared" si="205"/>
        <v>0.284165</v>
      </c>
      <c r="AG301" s="2">
        <f t="shared" si="206"/>
        <v>0.35647499999999999</v>
      </c>
      <c r="AH301" s="2">
        <f t="shared" si="207"/>
        <v>9.2353624999999981E-2</v>
      </c>
      <c r="AI301" s="2">
        <f t="shared" si="228"/>
        <v>0.376518625</v>
      </c>
      <c r="AJ301" s="2">
        <f t="shared" si="229"/>
        <v>5.6477793749999998E-2</v>
      </c>
      <c r="AK301" s="2">
        <f t="shared" si="208"/>
        <v>5.6832999999999988E-3</v>
      </c>
      <c r="AL301" s="2">
        <f t="shared" si="209"/>
        <v>0.17049899999999998</v>
      </c>
      <c r="AM301" s="2">
        <f t="shared" si="230"/>
        <v>0.96565371874999983</v>
      </c>
      <c r="AN301" s="2">
        <f t="shared" si="210"/>
        <v>40</v>
      </c>
      <c r="AO301" s="2">
        <f t="shared" si="211"/>
        <v>0.71294999999999997</v>
      </c>
      <c r="AP301" s="2">
        <f t="shared" si="212"/>
        <v>1.5060744999999998</v>
      </c>
      <c r="AQ301" s="2">
        <f t="shared" si="231"/>
        <v>41.506074499999997</v>
      </c>
      <c r="AR301" s="2">
        <f t="shared" si="232"/>
        <v>6.2259111749999994</v>
      </c>
      <c r="AS301" s="2">
        <f t="shared" si="213"/>
        <v>5.6832999999999988E-3</v>
      </c>
      <c r="AT301" s="2">
        <f t="shared" si="214"/>
        <v>0.17049899999999998</v>
      </c>
      <c r="AU301" s="2">
        <f t="shared" si="233"/>
        <v>48.621117974999997</v>
      </c>
      <c r="AV301" s="2">
        <f t="shared" si="215"/>
        <v>0.284165</v>
      </c>
      <c r="AW301" s="2">
        <f t="shared" si="216"/>
        <v>0.14258999999999999</v>
      </c>
      <c r="AX301" s="2">
        <f t="shared" si="217"/>
        <v>5.9674649999999989E-2</v>
      </c>
      <c r="AY301" s="2">
        <f t="shared" si="234"/>
        <v>0.34383965</v>
      </c>
      <c r="AZ301" s="2">
        <f t="shared" si="235"/>
        <v>5.1575947499999997E-2</v>
      </c>
      <c r="BA301" s="2">
        <f t="shared" si="218"/>
        <v>5.6832999999999988E-3</v>
      </c>
      <c r="BB301" s="2">
        <f t="shared" si="219"/>
        <v>0.17049899999999998</v>
      </c>
      <c r="BC301" s="2">
        <f t="shared" si="236"/>
        <v>0.71418789749999989</v>
      </c>
      <c r="BD301" s="2">
        <v>0</v>
      </c>
      <c r="BE301" s="2">
        <f t="shared" si="220"/>
        <v>2.8416499999999996</v>
      </c>
      <c r="BF301" s="2">
        <f t="shared" si="221"/>
        <v>9.2353624999999981E-2</v>
      </c>
      <c r="BG301" s="2">
        <f t="shared" si="237"/>
        <v>9.2353624999999981E-2</v>
      </c>
      <c r="BH301" s="2">
        <f t="shared" si="238"/>
        <v>1.3853043749999997E-2</v>
      </c>
      <c r="BI301" s="2">
        <f t="shared" si="222"/>
        <v>5.6832999999999988E-3</v>
      </c>
      <c r="BJ301" s="2">
        <f t="shared" si="223"/>
        <v>0.17049899999999998</v>
      </c>
      <c r="BK301" s="2">
        <f t="shared" si="239"/>
        <v>3.1240389687499994</v>
      </c>
      <c r="BL301" s="2">
        <f t="shared" si="224"/>
        <v>1415.75</v>
      </c>
      <c r="BM301" s="2">
        <f t="shared" si="225"/>
        <v>1425.8999999999999</v>
      </c>
      <c r="BN301" s="2">
        <f t="shared" si="240"/>
        <v>2841.6499999999996</v>
      </c>
    </row>
    <row r="302" spans="1:66" x14ac:dyDescent="0.25">
      <c r="A302" s="42">
        <v>299</v>
      </c>
      <c r="B302" s="43">
        <v>42860</v>
      </c>
      <c r="C302" s="42" t="s">
        <v>50</v>
      </c>
      <c r="D302" s="42" t="s">
        <v>176</v>
      </c>
      <c r="E302" s="6">
        <f t="shared" si="226"/>
        <v>-9.0735969999999995</v>
      </c>
      <c r="F302" s="5" t="str">
        <f t="shared" si="241"/>
        <v>Loss</v>
      </c>
      <c r="G302" s="4">
        <f t="shared" si="242"/>
        <v>-8</v>
      </c>
      <c r="H302" s="46">
        <v>8</v>
      </c>
      <c r="I302" s="42">
        <v>198.4</v>
      </c>
      <c r="N302" s="5">
        <f t="shared" si="243"/>
        <v>8</v>
      </c>
      <c r="O302" s="4">
        <f t="shared" si="244"/>
        <v>198.4</v>
      </c>
      <c r="P302" s="5">
        <f t="shared" si="199"/>
        <v>8</v>
      </c>
      <c r="Q302" s="42">
        <v>197.4</v>
      </c>
      <c r="R302" s="2">
        <f t="shared" si="247"/>
        <v>0</v>
      </c>
      <c r="T302" s="2">
        <f t="shared" si="227"/>
        <v>0</v>
      </c>
      <c r="V302" s="5">
        <f t="shared" si="245"/>
        <v>8</v>
      </c>
      <c r="W302" s="4">
        <f t="shared" si="246"/>
        <v>197.4</v>
      </c>
      <c r="X302" s="14">
        <f t="shared" si="200"/>
        <v>-1</v>
      </c>
      <c r="Y302" s="5">
        <f t="shared" si="201"/>
        <v>-8</v>
      </c>
      <c r="Z302" s="2">
        <f t="shared" si="202"/>
        <v>0</v>
      </c>
      <c r="AA302" s="4">
        <f t="shared" si="203"/>
        <v>0</v>
      </c>
      <c r="AB302" s="13">
        <f t="shared" si="204"/>
        <v>1.0735970000000001</v>
      </c>
      <c r="AC302" s="10">
        <f>SUM($E$4:E302)</f>
        <v>-12014.654510172741</v>
      </c>
      <c r="AD302" s="20">
        <f>SUM($AB$4:AB302)</f>
        <v>10910.788210172712</v>
      </c>
      <c r="AF302" s="28">
        <f t="shared" si="205"/>
        <v>0.31664000000000003</v>
      </c>
      <c r="AG302" s="2">
        <f t="shared" si="206"/>
        <v>0.39480000000000004</v>
      </c>
      <c r="AH302" s="2">
        <f t="shared" si="207"/>
        <v>0.102908</v>
      </c>
      <c r="AI302" s="2">
        <f t="shared" si="228"/>
        <v>0.41954800000000003</v>
      </c>
      <c r="AJ302" s="2">
        <f t="shared" si="229"/>
        <v>6.2932200000000008E-2</v>
      </c>
      <c r="AK302" s="2">
        <f t="shared" si="208"/>
        <v>6.3328000000000004E-3</v>
      </c>
      <c r="AL302" s="2">
        <f t="shared" si="209"/>
        <v>0.18998400000000001</v>
      </c>
      <c r="AM302" s="2">
        <f t="shared" si="230"/>
        <v>1.0735970000000001</v>
      </c>
      <c r="AN302" s="2">
        <f t="shared" si="210"/>
        <v>40</v>
      </c>
      <c r="AO302" s="2">
        <f t="shared" si="211"/>
        <v>0.78960000000000008</v>
      </c>
      <c r="AP302" s="2">
        <f t="shared" si="212"/>
        <v>1.6781919999999999</v>
      </c>
      <c r="AQ302" s="2">
        <f t="shared" si="231"/>
        <v>41.678192000000003</v>
      </c>
      <c r="AR302" s="2">
        <f t="shared" si="232"/>
        <v>6.2517288000000004</v>
      </c>
      <c r="AS302" s="2">
        <f t="shared" si="213"/>
        <v>6.3328000000000004E-3</v>
      </c>
      <c r="AT302" s="2">
        <f t="shared" si="214"/>
        <v>0.18998400000000001</v>
      </c>
      <c r="AU302" s="2">
        <f t="shared" si="233"/>
        <v>48.91583760000001</v>
      </c>
      <c r="AV302" s="2">
        <f t="shared" si="215"/>
        <v>0.31664000000000003</v>
      </c>
      <c r="AW302" s="2">
        <f t="shared" si="216"/>
        <v>0.15792</v>
      </c>
      <c r="AX302" s="2">
        <f t="shared" si="217"/>
        <v>6.6494399999999995E-2</v>
      </c>
      <c r="AY302" s="2">
        <f t="shared" si="234"/>
        <v>0.38313440000000004</v>
      </c>
      <c r="AZ302" s="2">
        <f t="shared" si="235"/>
        <v>5.7470160000000006E-2</v>
      </c>
      <c r="BA302" s="2">
        <f t="shared" si="218"/>
        <v>6.3328000000000004E-3</v>
      </c>
      <c r="BB302" s="2">
        <f t="shared" si="219"/>
        <v>0.18998400000000001</v>
      </c>
      <c r="BC302" s="2">
        <f t="shared" si="236"/>
        <v>0.79484136000000016</v>
      </c>
      <c r="BD302" s="2">
        <v>0</v>
      </c>
      <c r="BE302" s="2">
        <f t="shared" si="220"/>
        <v>3.1664000000000003</v>
      </c>
      <c r="BF302" s="2">
        <f t="shared" si="221"/>
        <v>0.102908</v>
      </c>
      <c r="BG302" s="2">
        <f t="shared" si="237"/>
        <v>0.102908</v>
      </c>
      <c r="BH302" s="2">
        <f t="shared" si="238"/>
        <v>1.5436199999999999E-2</v>
      </c>
      <c r="BI302" s="2">
        <f t="shared" si="222"/>
        <v>6.3328000000000004E-3</v>
      </c>
      <c r="BJ302" s="2">
        <f t="shared" si="223"/>
        <v>0.18998400000000001</v>
      </c>
      <c r="BK302" s="2">
        <f t="shared" si="239"/>
        <v>3.4810610000000004</v>
      </c>
      <c r="BL302" s="2">
        <f t="shared" si="224"/>
        <v>1587.2</v>
      </c>
      <c r="BM302" s="2">
        <f t="shared" si="225"/>
        <v>1579.2</v>
      </c>
      <c r="BN302" s="2">
        <f t="shared" si="240"/>
        <v>3166.4</v>
      </c>
    </row>
    <row r="303" spans="1:66" x14ac:dyDescent="0.25">
      <c r="A303" s="42">
        <v>300</v>
      </c>
      <c r="B303" s="43">
        <v>42863</v>
      </c>
      <c r="C303" s="42" t="s">
        <v>50</v>
      </c>
      <c r="D303" s="42" t="s">
        <v>239</v>
      </c>
      <c r="E303" s="6">
        <f t="shared" si="226"/>
        <v>-13.1291575625</v>
      </c>
      <c r="F303" s="5" t="str">
        <f t="shared" si="241"/>
        <v>Loss</v>
      </c>
      <c r="G303" s="4">
        <f t="shared" si="242"/>
        <v>-11.5</v>
      </c>
      <c r="H303" s="46">
        <v>23</v>
      </c>
      <c r="I303" s="42">
        <v>104.7</v>
      </c>
      <c r="N303" s="5">
        <f t="shared" si="243"/>
        <v>23</v>
      </c>
      <c r="O303" s="4">
        <f t="shared" si="244"/>
        <v>104.7</v>
      </c>
      <c r="P303" s="5">
        <f t="shared" si="199"/>
        <v>23</v>
      </c>
      <c r="Q303" s="42">
        <v>104.2</v>
      </c>
      <c r="R303" s="2">
        <f t="shared" si="247"/>
        <v>0</v>
      </c>
      <c r="T303" s="2">
        <f t="shared" si="227"/>
        <v>0</v>
      </c>
      <c r="V303" s="5">
        <f t="shared" si="245"/>
        <v>23</v>
      </c>
      <c r="W303" s="4">
        <f t="shared" si="246"/>
        <v>104.2</v>
      </c>
      <c r="X303" s="14">
        <f t="shared" si="200"/>
        <v>-0.5</v>
      </c>
      <c r="Y303" s="5">
        <f t="shared" si="201"/>
        <v>-11.5</v>
      </c>
      <c r="Z303" s="2">
        <f t="shared" si="202"/>
        <v>0</v>
      </c>
      <c r="AA303" s="4">
        <f t="shared" si="203"/>
        <v>0</v>
      </c>
      <c r="AB303" s="13">
        <f t="shared" si="204"/>
        <v>1.6291575624999999</v>
      </c>
      <c r="AC303" s="10">
        <f>SUM($E$4:E303)</f>
        <v>-12027.783667735241</v>
      </c>
      <c r="AD303" s="20">
        <f>SUM($AB$4:AB303)</f>
        <v>10912.417367735212</v>
      </c>
      <c r="AF303" s="28">
        <f t="shared" si="205"/>
        <v>0.48047000000000001</v>
      </c>
      <c r="AG303" s="2">
        <f t="shared" si="206"/>
        <v>0.59914999999999996</v>
      </c>
      <c r="AH303" s="2">
        <f t="shared" si="207"/>
        <v>0.15615274999999998</v>
      </c>
      <c r="AI303" s="2">
        <f t="shared" si="228"/>
        <v>0.63662275000000002</v>
      </c>
      <c r="AJ303" s="2">
        <f t="shared" si="229"/>
        <v>9.5493412499999999E-2</v>
      </c>
      <c r="AK303" s="2">
        <f t="shared" si="208"/>
        <v>9.6094000000000006E-3</v>
      </c>
      <c r="AL303" s="2">
        <f t="shared" si="209"/>
        <v>0.28828199999999998</v>
      </c>
      <c r="AM303" s="2">
        <f t="shared" si="230"/>
        <v>1.6291575624999999</v>
      </c>
      <c r="AN303" s="2">
        <f t="shared" si="210"/>
        <v>40</v>
      </c>
      <c r="AO303" s="2">
        <f t="shared" si="211"/>
        <v>1.1982999999999999</v>
      </c>
      <c r="AP303" s="2">
        <f t="shared" si="212"/>
        <v>2.5464909999999996</v>
      </c>
      <c r="AQ303" s="2">
        <f t="shared" si="231"/>
        <v>42.546491000000003</v>
      </c>
      <c r="AR303" s="2">
        <f t="shared" si="232"/>
        <v>6.3819736499999999</v>
      </c>
      <c r="AS303" s="2">
        <f t="shared" si="213"/>
        <v>9.6094000000000006E-3</v>
      </c>
      <c r="AT303" s="2">
        <f t="shared" si="214"/>
        <v>0.28828199999999998</v>
      </c>
      <c r="AU303" s="2">
        <f t="shared" si="233"/>
        <v>50.42465605000001</v>
      </c>
      <c r="AV303" s="2">
        <f t="shared" si="215"/>
        <v>0.48047000000000001</v>
      </c>
      <c r="AW303" s="2">
        <f t="shared" si="216"/>
        <v>0.23966000000000001</v>
      </c>
      <c r="AX303" s="2">
        <f t="shared" si="217"/>
        <v>0.10089869999999999</v>
      </c>
      <c r="AY303" s="2">
        <f t="shared" si="234"/>
        <v>0.58136869999999996</v>
      </c>
      <c r="AZ303" s="2">
        <f t="shared" si="235"/>
        <v>8.7205304999999997E-2</v>
      </c>
      <c r="BA303" s="2">
        <f t="shared" si="218"/>
        <v>9.6094000000000006E-3</v>
      </c>
      <c r="BB303" s="2">
        <f t="shared" si="219"/>
        <v>0.28828199999999998</v>
      </c>
      <c r="BC303" s="2">
        <f t="shared" si="236"/>
        <v>1.2061254050000001</v>
      </c>
      <c r="BD303" s="2">
        <v>0</v>
      </c>
      <c r="BE303" s="2">
        <f t="shared" si="220"/>
        <v>4.8046999999999995</v>
      </c>
      <c r="BF303" s="2">
        <f t="shared" si="221"/>
        <v>0.15615274999999998</v>
      </c>
      <c r="BG303" s="2">
        <f t="shared" si="237"/>
        <v>0.15615274999999998</v>
      </c>
      <c r="BH303" s="2">
        <f t="shared" si="238"/>
        <v>2.3422912499999997E-2</v>
      </c>
      <c r="BI303" s="2">
        <f t="shared" si="222"/>
        <v>9.6094000000000006E-3</v>
      </c>
      <c r="BJ303" s="2">
        <f t="shared" si="223"/>
        <v>0.28828199999999998</v>
      </c>
      <c r="BK303" s="2">
        <f t="shared" si="239"/>
        <v>5.2821670625000001</v>
      </c>
      <c r="BL303" s="2">
        <f t="shared" si="224"/>
        <v>2408.1</v>
      </c>
      <c r="BM303" s="2">
        <f t="shared" si="225"/>
        <v>2396.6</v>
      </c>
      <c r="BN303" s="2">
        <f t="shared" si="240"/>
        <v>4804.7</v>
      </c>
    </row>
    <row r="304" spans="1:66" x14ac:dyDescent="0.25">
      <c r="A304" s="42">
        <v>301</v>
      </c>
      <c r="B304" s="43">
        <v>42863</v>
      </c>
      <c r="C304" s="42" t="s">
        <v>50</v>
      </c>
      <c r="D304" s="42" t="s">
        <v>224</v>
      </c>
      <c r="E304" s="6">
        <f t="shared" si="226"/>
        <v>-4.739875562500222</v>
      </c>
      <c r="F304" s="5" t="str">
        <f t="shared" si="241"/>
        <v>Loss</v>
      </c>
      <c r="G304" s="4">
        <f t="shared" si="242"/>
        <v>-2.6000000000002217</v>
      </c>
      <c r="H304" s="46">
        <v>13</v>
      </c>
      <c r="I304" s="42">
        <v>242.65</v>
      </c>
      <c r="N304" s="5">
        <f t="shared" si="243"/>
        <v>13</v>
      </c>
      <c r="O304" s="4">
        <f t="shared" si="244"/>
        <v>242.65</v>
      </c>
      <c r="P304" s="5">
        <f t="shared" si="199"/>
        <v>13</v>
      </c>
      <c r="Q304" s="42">
        <v>242.45</v>
      </c>
      <c r="R304" s="2">
        <f t="shared" si="247"/>
        <v>0</v>
      </c>
      <c r="T304" s="2">
        <f t="shared" si="227"/>
        <v>0</v>
      </c>
      <c r="V304" s="5">
        <f t="shared" si="245"/>
        <v>13</v>
      </c>
      <c r="W304" s="4">
        <f t="shared" si="246"/>
        <v>242.45</v>
      </c>
      <c r="X304" s="14">
        <f t="shared" si="200"/>
        <v>-0.20000000000001705</v>
      </c>
      <c r="Y304" s="5">
        <f t="shared" si="201"/>
        <v>-2.6000000000002217</v>
      </c>
      <c r="Z304" s="2">
        <f t="shared" si="202"/>
        <v>0</v>
      </c>
      <c r="AA304" s="4">
        <f t="shared" si="203"/>
        <v>0</v>
      </c>
      <c r="AB304" s="13">
        <f t="shared" si="204"/>
        <v>2.1398755624999999</v>
      </c>
      <c r="AC304" s="10">
        <f>SUM($E$4:E304)</f>
        <v>-12032.523543297741</v>
      </c>
      <c r="AD304" s="20">
        <f>SUM($AB$4:AB304)</f>
        <v>10914.557243297711</v>
      </c>
      <c r="AF304" s="28">
        <f t="shared" si="205"/>
        <v>0.63063000000000002</v>
      </c>
      <c r="AG304" s="2">
        <f t="shared" si="206"/>
        <v>0.78796250000000001</v>
      </c>
      <c r="AH304" s="2">
        <f t="shared" si="207"/>
        <v>0.20495474999999999</v>
      </c>
      <c r="AI304" s="2">
        <f t="shared" si="228"/>
        <v>0.83558474999999999</v>
      </c>
      <c r="AJ304" s="2">
        <f t="shared" si="229"/>
        <v>0.1253377125</v>
      </c>
      <c r="AK304" s="2">
        <f t="shared" si="208"/>
        <v>1.26126E-2</v>
      </c>
      <c r="AL304" s="2">
        <f t="shared" si="209"/>
        <v>0.37837800000000005</v>
      </c>
      <c r="AM304" s="2">
        <f t="shared" si="230"/>
        <v>2.1398755624999999</v>
      </c>
      <c r="AN304" s="2">
        <f t="shared" si="210"/>
        <v>40</v>
      </c>
      <c r="AO304" s="2">
        <f t="shared" si="211"/>
        <v>1.575925</v>
      </c>
      <c r="AP304" s="2">
        <f t="shared" si="212"/>
        <v>3.3423389999999999</v>
      </c>
      <c r="AQ304" s="2">
        <f t="shared" si="231"/>
        <v>43.342339000000003</v>
      </c>
      <c r="AR304" s="2">
        <f t="shared" si="232"/>
        <v>6.5013508500000006</v>
      </c>
      <c r="AS304" s="2">
        <f t="shared" si="213"/>
        <v>1.26126E-2</v>
      </c>
      <c r="AT304" s="2">
        <f t="shared" si="214"/>
        <v>0.37837800000000005</v>
      </c>
      <c r="AU304" s="2">
        <f t="shared" si="233"/>
        <v>51.810605449999997</v>
      </c>
      <c r="AV304" s="2">
        <f t="shared" si="215"/>
        <v>0.63063000000000002</v>
      </c>
      <c r="AW304" s="2">
        <f t="shared" si="216"/>
        <v>0.31518500000000005</v>
      </c>
      <c r="AX304" s="2">
        <f t="shared" si="217"/>
        <v>0.1324323</v>
      </c>
      <c r="AY304" s="2">
        <f t="shared" si="234"/>
        <v>0.76306230000000008</v>
      </c>
      <c r="AZ304" s="2">
        <f t="shared" si="235"/>
        <v>0.114459345</v>
      </c>
      <c r="BA304" s="2">
        <f t="shared" si="218"/>
        <v>1.26126E-2</v>
      </c>
      <c r="BB304" s="2">
        <f t="shared" si="219"/>
        <v>0.37837800000000005</v>
      </c>
      <c r="BC304" s="2">
        <f t="shared" si="236"/>
        <v>1.5836972450000002</v>
      </c>
      <c r="BD304" s="2">
        <v>0</v>
      </c>
      <c r="BE304" s="2">
        <f t="shared" si="220"/>
        <v>6.3063000000000002</v>
      </c>
      <c r="BF304" s="2">
        <f t="shared" si="221"/>
        <v>0.20495474999999999</v>
      </c>
      <c r="BG304" s="2">
        <f t="shared" si="237"/>
        <v>0.20495474999999999</v>
      </c>
      <c r="BH304" s="2">
        <f t="shared" si="238"/>
        <v>3.0743212499999999E-2</v>
      </c>
      <c r="BI304" s="2">
        <f t="shared" si="222"/>
        <v>1.26126E-2</v>
      </c>
      <c r="BJ304" s="2">
        <f t="shared" si="223"/>
        <v>0.37837800000000005</v>
      </c>
      <c r="BK304" s="2">
        <f t="shared" si="239"/>
        <v>6.9329885624999994</v>
      </c>
      <c r="BL304" s="2">
        <f t="shared" si="224"/>
        <v>3154.4500000000003</v>
      </c>
      <c r="BM304" s="2">
        <f t="shared" si="225"/>
        <v>3151.85</v>
      </c>
      <c r="BN304" s="2">
        <f t="shared" si="240"/>
        <v>6306.3</v>
      </c>
    </row>
    <row r="305" spans="1:66" x14ac:dyDescent="0.25">
      <c r="A305" s="42">
        <v>302</v>
      </c>
      <c r="B305" s="43">
        <v>42863</v>
      </c>
      <c r="C305" s="42" t="s">
        <v>50</v>
      </c>
      <c r="D305" s="42" t="s">
        <v>224</v>
      </c>
      <c r="E305" s="6">
        <f t="shared" si="226"/>
        <v>-7.9883663437502221</v>
      </c>
      <c r="F305" s="5" t="str">
        <f t="shared" si="241"/>
        <v>Loss</v>
      </c>
      <c r="G305" s="4">
        <f t="shared" si="242"/>
        <v>-5.8500000000002217</v>
      </c>
      <c r="H305" s="46">
        <v>13</v>
      </c>
      <c r="I305" s="42">
        <v>242.65</v>
      </c>
      <c r="N305" s="5">
        <f t="shared" si="243"/>
        <v>13</v>
      </c>
      <c r="O305" s="4">
        <f t="shared" si="244"/>
        <v>242.65</v>
      </c>
      <c r="P305" s="5">
        <f t="shared" si="199"/>
        <v>13</v>
      </c>
      <c r="Q305" s="42">
        <v>242.2</v>
      </c>
      <c r="R305" s="2">
        <f t="shared" si="247"/>
        <v>0</v>
      </c>
      <c r="T305" s="2">
        <f t="shared" si="227"/>
        <v>0</v>
      </c>
      <c r="V305" s="5">
        <f t="shared" si="245"/>
        <v>13</v>
      </c>
      <c r="W305" s="4">
        <f t="shared" si="246"/>
        <v>242.2</v>
      </c>
      <c r="X305" s="14">
        <f t="shared" si="200"/>
        <v>-0.45000000000001705</v>
      </c>
      <c r="Y305" s="5">
        <f t="shared" si="201"/>
        <v>-5.8500000000002217</v>
      </c>
      <c r="Z305" s="2">
        <f t="shared" si="202"/>
        <v>0</v>
      </c>
      <c r="AA305" s="4">
        <f t="shared" si="203"/>
        <v>0</v>
      </c>
      <c r="AB305" s="13">
        <f t="shared" si="204"/>
        <v>2.13836634375</v>
      </c>
      <c r="AC305" s="10">
        <f>SUM($E$4:E305)</f>
        <v>-12040.511909641491</v>
      </c>
      <c r="AD305" s="20">
        <f>SUM($AB$4:AB305)</f>
        <v>10916.695609641461</v>
      </c>
      <c r="AF305" s="28">
        <f t="shared" si="205"/>
        <v>0.630305</v>
      </c>
      <c r="AG305" s="2">
        <f t="shared" si="206"/>
        <v>0.78715000000000002</v>
      </c>
      <c r="AH305" s="2">
        <f t="shared" si="207"/>
        <v>0.20484912499999999</v>
      </c>
      <c r="AI305" s="2">
        <f t="shared" si="228"/>
        <v>0.83515412499999997</v>
      </c>
      <c r="AJ305" s="2">
        <f t="shared" si="229"/>
        <v>0.12527311875</v>
      </c>
      <c r="AK305" s="2">
        <f t="shared" si="208"/>
        <v>1.2606100000000002E-2</v>
      </c>
      <c r="AL305" s="2">
        <f t="shared" si="209"/>
        <v>0.37818300000000005</v>
      </c>
      <c r="AM305" s="2">
        <f t="shared" si="230"/>
        <v>2.13836634375</v>
      </c>
      <c r="AN305" s="2">
        <f t="shared" si="210"/>
        <v>40</v>
      </c>
      <c r="AO305" s="2">
        <f t="shared" si="211"/>
        <v>1.5743</v>
      </c>
      <c r="AP305" s="2">
        <f t="shared" si="212"/>
        <v>3.3406164999999999</v>
      </c>
      <c r="AQ305" s="2">
        <f t="shared" si="231"/>
        <v>43.340616500000003</v>
      </c>
      <c r="AR305" s="2">
        <f t="shared" si="232"/>
        <v>6.5010924750000001</v>
      </c>
      <c r="AS305" s="2">
        <f t="shared" si="213"/>
        <v>1.2606100000000002E-2</v>
      </c>
      <c r="AT305" s="2">
        <f t="shared" si="214"/>
        <v>0.37818300000000005</v>
      </c>
      <c r="AU305" s="2">
        <f t="shared" si="233"/>
        <v>51.806798075000003</v>
      </c>
      <c r="AV305" s="2">
        <f t="shared" si="215"/>
        <v>0.630305</v>
      </c>
      <c r="AW305" s="2">
        <f t="shared" si="216"/>
        <v>0.31486000000000003</v>
      </c>
      <c r="AX305" s="2">
        <f t="shared" si="217"/>
        <v>0.13236404999999998</v>
      </c>
      <c r="AY305" s="2">
        <f t="shared" si="234"/>
        <v>0.76266904999999996</v>
      </c>
      <c r="AZ305" s="2">
        <f t="shared" si="235"/>
        <v>0.11440035749999999</v>
      </c>
      <c r="BA305" s="2">
        <f t="shared" si="218"/>
        <v>1.2606100000000002E-2</v>
      </c>
      <c r="BB305" s="2">
        <f t="shared" si="219"/>
        <v>0.37818300000000005</v>
      </c>
      <c r="BC305" s="2">
        <f t="shared" si="236"/>
        <v>1.5827185075000001</v>
      </c>
      <c r="BD305" s="2">
        <v>0</v>
      </c>
      <c r="BE305" s="2">
        <f t="shared" si="220"/>
        <v>6.3030500000000007</v>
      </c>
      <c r="BF305" s="2">
        <f t="shared" si="221"/>
        <v>0.20484912499999999</v>
      </c>
      <c r="BG305" s="2">
        <f t="shared" si="237"/>
        <v>0.20484912499999999</v>
      </c>
      <c r="BH305" s="2">
        <f t="shared" si="238"/>
        <v>3.0727368749999998E-2</v>
      </c>
      <c r="BI305" s="2">
        <f t="shared" si="222"/>
        <v>1.2606100000000002E-2</v>
      </c>
      <c r="BJ305" s="2">
        <f t="shared" si="223"/>
        <v>0.37818300000000005</v>
      </c>
      <c r="BK305" s="2">
        <f t="shared" si="239"/>
        <v>6.9294155937500008</v>
      </c>
      <c r="BL305" s="2">
        <f t="shared" si="224"/>
        <v>3154.4500000000003</v>
      </c>
      <c r="BM305" s="2">
        <f t="shared" si="225"/>
        <v>3148.6</v>
      </c>
      <c r="BN305" s="2">
        <f t="shared" si="240"/>
        <v>6303.05</v>
      </c>
    </row>
    <row r="306" spans="1:66" x14ac:dyDescent="0.25">
      <c r="A306" s="42">
        <v>303</v>
      </c>
      <c r="B306" s="43">
        <v>42863</v>
      </c>
      <c r="C306" s="42" t="s">
        <v>50</v>
      </c>
      <c r="D306" s="42" t="s">
        <v>224</v>
      </c>
      <c r="E306" s="6">
        <f t="shared" si="226"/>
        <v>-7.9879251562498528</v>
      </c>
      <c r="F306" s="5" t="str">
        <f t="shared" si="241"/>
        <v>Loss</v>
      </c>
      <c r="G306" s="4">
        <f t="shared" si="242"/>
        <v>-5.8499999999998522</v>
      </c>
      <c r="H306" s="46">
        <v>13</v>
      </c>
      <c r="I306" s="42">
        <v>242.6</v>
      </c>
      <c r="N306" s="5">
        <f t="shared" si="243"/>
        <v>13</v>
      </c>
      <c r="O306" s="4">
        <f t="shared" si="244"/>
        <v>242.6</v>
      </c>
      <c r="P306" s="5">
        <f t="shared" si="199"/>
        <v>13</v>
      </c>
      <c r="Q306" s="42">
        <v>242.15</v>
      </c>
      <c r="R306" s="2">
        <f t="shared" si="247"/>
        <v>0</v>
      </c>
      <c r="T306" s="2">
        <f t="shared" si="227"/>
        <v>0</v>
      </c>
      <c r="V306" s="5">
        <f t="shared" si="245"/>
        <v>13</v>
      </c>
      <c r="W306" s="4">
        <f t="shared" si="246"/>
        <v>242.15</v>
      </c>
      <c r="X306" s="14">
        <f t="shared" si="200"/>
        <v>-0.44999999999998863</v>
      </c>
      <c r="Y306" s="5">
        <f t="shared" si="201"/>
        <v>-5.8499999999998522</v>
      </c>
      <c r="Z306" s="2">
        <f t="shared" si="202"/>
        <v>0</v>
      </c>
      <c r="AA306" s="4">
        <f t="shared" si="203"/>
        <v>0</v>
      </c>
      <c r="AB306" s="13">
        <f t="shared" si="204"/>
        <v>2.1379251562500001</v>
      </c>
      <c r="AC306" s="10">
        <f>SUM($E$4:E306)</f>
        <v>-12048.499834797742</v>
      </c>
      <c r="AD306" s="20">
        <f>SUM($AB$4:AB306)</f>
        <v>10918.833534797712</v>
      </c>
      <c r="AF306" s="28">
        <f t="shared" si="205"/>
        <v>0.63017500000000004</v>
      </c>
      <c r="AG306" s="2">
        <f t="shared" si="206"/>
        <v>0.78698750000000006</v>
      </c>
      <c r="AH306" s="2">
        <f t="shared" si="207"/>
        <v>0.20480687499999997</v>
      </c>
      <c r="AI306" s="2">
        <f t="shared" si="228"/>
        <v>0.83498187499999998</v>
      </c>
      <c r="AJ306" s="2">
        <f t="shared" si="229"/>
        <v>0.12524728124999998</v>
      </c>
      <c r="AK306" s="2">
        <f t="shared" si="208"/>
        <v>1.26035E-2</v>
      </c>
      <c r="AL306" s="2">
        <f t="shared" si="209"/>
        <v>0.37810500000000002</v>
      </c>
      <c r="AM306" s="2">
        <f t="shared" si="230"/>
        <v>2.1379251562500001</v>
      </c>
      <c r="AN306" s="2">
        <f t="shared" si="210"/>
        <v>40</v>
      </c>
      <c r="AO306" s="2">
        <f t="shared" si="211"/>
        <v>1.5739750000000001</v>
      </c>
      <c r="AP306" s="2">
        <f t="shared" si="212"/>
        <v>3.3399274999999999</v>
      </c>
      <c r="AQ306" s="2">
        <f t="shared" si="231"/>
        <v>43.339927500000002</v>
      </c>
      <c r="AR306" s="2">
        <f t="shared" si="232"/>
        <v>6.5009891250000003</v>
      </c>
      <c r="AS306" s="2">
        <f t="shared" si="213"/>
        <v>1.26035E-2</v>
      </c>
      <c r="AT306" s="2">
        <f t="shared" si="214"/>
        <v>0.37810500000000002</v>
      </c>
      <c r="AU306" s="2">
        <f t="shared" si="233"/>
        <v>51.805600124999991</v>
      </c>
      <c r="AV306" s="2">
        <f t="shared" si="215"/>
        <v>0.63017500000000004</v>
      </c>
      <c r="AW306" s="2">
        <f t="shared" si="216"/>
        <v>0.31479500000000005</v>
      </c>
      <c r="AX306" s="2">
        <f t="shared" si="217"/>
        <v>0.13233675</v>
      </c>
      <c r="AY306" s="2">
        <f t="shared" si="234"/>
        <v>0.76251175000000004</v>
      </c>
      <c r="AZ306" s="2">
        <f t="shared" si="235"/>
        <v>0.11437676250000001</v>
      </c>
      <c r="BA306" s="2">
        <f t="shared" si="218"/>
        <v>1.26035E-2</v>
      </c>
      <c r="BB306" s="2">
        <f t="shared" si="219"/>
        <v>0.37810500000000002</v>
      </c>
      <c r="BC306" s="2">
        <f t="shared" si="236"/>
        <v>1.5823920125000002</v>
      </c>
      <c r="BD306" s="2">
        <v>0</v>
      </c>
      <c r="BE306" s="2">
        <f t="shared" si="220"/>
        <v>6.3017500000000002</v>
      </c>
      <c r="BF306" s="2">
        <f t="shared" si="221"/>
        <v>0.20480687499999997</v>
      </c>
      <c r="BG306" s="2">
        <f t="shared" si="237"/>
        <v>0.20480687499999997</v>
      </c>
      <c r="BH306" s="2">
        <f t="shared" si="238"/>
        <v>3.0721031249999996E-2</v>
      </c>
      <c r="BI306" s="2">
        <f t="shared" si="222"/>
        <v>1.26035E-2</v>
      </c>
      <c r="BJ306" s="2">
        <f t="shared" si="223"/>
        <v>0.37810500000000002</v>
      </c>
      <c r="BK306" s="2">
        <f t="shared" si="239"/>
        <v>6.9279864062499996</v>
      </c>
      <c r="BL306" s="2">
        <f t="shared" si="224"/>
        <v>3153.7999999999997</v>
      </c>
      <c r="BM306" s="2">
        <f t="shared" si="225"/>
        <v>3147.9500000000003</v>
      </c>
      <c r="BN306" s="2">
        <f t="shared" si="240"/>
        <v>6301.75</v>
      </c>
    </row>
    <row r="307" spans="1:66" x14ac:dyDescent="0.25">
      <c r="A307" s="42">
        <v>304</v>
      </c>
      <c r="B307" s="43">
        <v>42863</v>
      </c>
      <c r="C307" s="42" t="s">
        <v>50</v>
      </c>
      <c r="D307" s="42" t="s">
        <v>224</v>
      </c>
      <c r="E307" s="6">
        <f t="shared" si="226"/>
        <v>-8.6376233125000006</v>
      </c>
      <c r="F307" s="5" t="str">
        <f t="shared" si="241"/>
        <v>Loss</v>
      </c>
      <c r="G307" s="4">
        <f t="shared" si="242"/>
        <v>-6.5</v>
      </c>
      <c r="H307" s="46">
        <v>13</v>
      </c>
      <c r="I307" s="42">
        <v>242.6</v>
      </c>
      <c r="N307" s="5">
        <f t="shared" si="243"/>
        <v>13</v>
      </c>
      <c r="O307" s="4">
        <f t="shared" si="244"/>
        <v>242.6</v>
      </c>
      <c r="P307" s="5">
        <f t="shared" si="199"/>
        <v>13</v>
      </c>
      <c r="Q307" s="42">
        <v>242.1</v>
      </c>
      <c r="R307" s="2">
        <f t="shared" si="247"/>
        <v>0</v>
      </c>
      <c r="T307" s="2">
        <f t="shared" si="227"/>
        <v>0</v>
      </c>
      <c r="V307" s="5">
        <f t="shared" si="245"/>
        <v>13</v>
      </c>
      <c r="W307" s="4">
        <f t="shared" si="246"/>
        <v>242.1</v>
      </c>
      <c r="X307" s="14">
        <f t="shared" si="200"/>
        <v>-0.5</v>
      </c>
      <c r="Y307" s="5">
        <f t="shared" si="201"/>
        <v>-6.5</v>
      </c>
      <c r="Z307" s="2">
        <f t="shared" si="202"/>
        <v>0</v>
      </c>
      <c r="AA307" s="4">
        <f t="shared" si="203"/>
        <v>0</v>
      </c>
      <c r="AB307" s="13">
        <f t="shared" si="204"/>
        <v>2.1376233124999997</v>
      </c>
      <c r="AC307" s="10">
        <f>SUM($E$4:E307)</f>
        <v>-12057.137458110241</v>
      </c>
      <c r="AD307" s="20">
        <f>SUM($AB$4:AB307)</f>
        <v>10920.971158110211</v>
      </c>
      <c r="AF307" s="28">
        <f t="shared" si="205"/>
        <v>0.63010999999999995</v>
      </c>
      <c r="AG307" s="2">
        <f t="shared" si="206"/>
        <v>0.786825</v>
      </c>
      <c r="AH307" s="2">
        <f t="shared" si="207"/>
        <v>0.20478574999999996</v>
      </c>
      <c r="AI307" s="2">
        <f t="shared" si="228"/>
        <v>0.83489574999999994</v>
      </c>
      <c r="AJ307" s="2">
        <f t="shared" si="229"/>
        <v>0.12523436249999997</v>
      </c>
      <c r="AK307" s="2">
        <f t="shared" si="208"/>
        <v>1.2602199999999997E-2</v>
      </c>
      <c r="AL307" s="2">
        <f t="shared" si="209"/>
        <v>0.37806599999999996</v>
      </c>
      <c r="AM307" s="2">
        <f t="shared" si="230"/>
        <v>2.1376233124999997</v>
      </c>
      <c r="AN307" s="2">
        <f t="shared" si="210"/>
        <v>40</v>
      </c>
      <c r="AO307" s="2">
        <f t="shared" si="211"/>
        <v>1.57365</v>
      </c>
      <c r="AP307" s="2">
        <f t="shared" si="212"/>
        <v>3.3395829999999997</v>
      </c>
      <c r="AQ307" s="2">
        <f t="shared" si="231"/>
        <v>43.339582999999998</v>
      </c>
      <c r="AR307" s="2">
        <f t="shared" si="232"/>
        <v>6.5009374499999995</v>
      </c>
      <c r="AS307" s="2">
        <f t="shared" si="213"/>
        <v>1.2602199999999997E-2</v>
      </c>
      <c r="AT307" s="2">
        <f t="shared" si="214"/>
        <v>0.37806599999999996</v>
      </c>
      <c r="AU307" s="2">
        <f t="shared" si="233"/>
        <v>51.804838650000001</v>
      </c>
      <c r="AV307" s="2">
        <f t="shared" si="215"/>
        <v>0.63010999999999995</v>
      </c>
      <c r="AW307" s="2">
        <f t="shared" si="216"/>
        <v>0.31473000000000001</v>
      </c>
      <c r="AX307" s="2">
        <f t="shared" si="217"/>
        <v>0.13232309999999997</v>
      </c>
      <c r="AY307" s="2">
        <f t="shared" si="234"/>
        <v>0.76243309999999997</v>
      </c>
      <c r="AZ307" s="2">
        <f t="shared" si="235"/>
        <v>0.11436496499999999</v>
      </c>
      <c r="BA307" s="2">
        <f t="shared" si="218"/>
        <v>1.2602199999999997E-2</v>
      </c>
      <c r="BB307" s="2">
        <f t="shared" si="219"/>
        <v>0.37806599999999996</v>
      </c>
      <c r="BC307" s="2">
        <f t="shared" si="236"/>
        <v>1.5821962649999999</v>
      </c>
      <c r="BD307" s="2">
        <v>0</v>
      </c>
      <c r="BE307" s="2">
        <f t="shared" si="220"/>
        <v>6.3010999999999999</v>
      </c>
      <c r="BF307" s="2">
        <f t="shared" si="221"/>
        <v>0.20478574999999996</v>
      </c>
      <c r="BG307" s="2">
        <f t="shared" si="237"/>
        <v>0.20478574999999996</v>
      </c>
      <c r="BH307" s="2">
        <f t="shared" si="238"/>
        <v>3.0717862499999991E-2</v>
      </c>
      <c r="BI307" s="2">
        <f t="shared" si="222"/>
        <v>1.2602199999999997E-2</v>
      </c>
      <c r="BJ307" s="2">
        <f t="shared" si="223"/>
        <v>0.37806599999999996</v>
      </c>
      <c r="BK307" s="2">
        <f t="shared" si="239"/>
        <v>6.9272718124999999</v>
      </c>
      <c r="BL307" s="2">
        <f t="shared" si="224"/>
        <v>3153.7999999999997</v>
      </c>
      <c r="BM307" s="2">
        <f t="shared" si="225"/>
        <v>3147.2999999999997</v>
      </c>
      <c r="BN307" s="2">
        <f t="shared" si="240"/>
        <v>6301.0999999999995</v>
      </c>
    </row>
    <row r="308" spans="1:66" x14ac:dyDescent="0.25">
      <c r="A308" s="42">
        <v>305</v>
      </c>
      <c r="B308" s="43">
        <v>42863</v>
      </c>
      <c r="C308" s="42" t="s">
        <v>50</v>
      </c>
      <c r="D308" s="42" t="s">
        <v>224</v>
      </c>
      <c r="E308" s="6">
        <f t="shared" si="226"/>
        <v>-7.9879251562498528</v>
      </c>
      <c r="F308" s="5" t="str">
        <f t="shared" si="241"/>
        <v>Loss</v>
      </c>
      <c r="G308" s="4">
        <f t="shared" si="242"/>
        <v>-5.8499999999998522</v>
      </c>
      <c r="H308" s="46">
        <v>13</v>
      </c>
      <c r="I308" s="42">
        <v>242.6</v>
      </c>
      <c r="N308" s="5">
        <f t="shared" si="243"/>
        <v>13</v>
      </c>
      <c r="O308" s="4">
        <f t="shared" si="244"/>
        <v>242.6</v>
      </c>
      <c r="P308" s="5">
        <f t="shared" si="199"/>
        <v>13</v>
      </c>
      <c r="Q308" s="42">
        <v>242.15</v>
      </c>
      <c r="R308" s="2">
        <f t="shared" si="247"/>
        <v>0</v>
      </c>
      <c r="T308" s="2">
        <f t="shared" si="227"/>
        <v>0</v>
      </c>
      <c r="V308" s="5">
        <f t="shared" si="245"/>
        <v>13</v>
      </c>
      <c r="W308" s="4">
        <f t="shared" si="246"/>
        <v>242.15</v>
      </c>
      <c r="X308" s="14">
        <f t="shared" si="200"/>
        <v>-0.44999999999998863</v>
      </c>
      <c r="Y308" s="5">
        <f t="shared" si="201"/>
        <v>-5.8499999999998522</v>
      </c>
      <c r="Z308" s="2">
        <f t="shared" si="202"/>
        <v>0</v>
      </c>
      <c r="AA308" s="4">
        <f t="shared" si="203"/>
        <v>0</v>
      </c>
      <c r="AB308" s="13">
        <f t="shared" si="204"/>
        <v>2.1379251562500001</v>
      </c>
      <c r="AC308" s="10">
        <f>SUM($E$4:E308)</f>
        <v>-12065.125383266492</v>
      </c>
      <c r="AD308" s="20">
        <f>SUM($AB$4:AB308)</f>
        <v>10923.109083266461</v>
      </c>
      <c r="AF308" s="28">
        <f t="shared" si="205"/>
        <v>0.63017500000000004</v>
      </c>
      <c r="AG308" s="2">
        <f t="shared" si="206"/>
        <v>0.78698750000000006</v>
      </c>
      <c r="AH308" s="2">
        <f t="shared" si="207"/>
        <v>0.20480687499999997</v>
      </c>
      <c r="AI308" s="2">
        <f t="shared" si="228"/>
        <v>0.83498187499999998</v>
      </c>
      <c r="AJ308" s="2">
        <f t="shared" si="229"/>
        <v>0.12524728124999998</v>
      </c>
      <c r="AK308" s="2">
        <f t="shared" si="208"/>
        <v>1.26035E-2</v>
      </c>
      <c r="AL308" s="2">
        <f t="shared" si="209"/>
        <v>0.37810500000000002</v>
      </c>
      <c r="AM308" s="2">
        <f t="shared" si="230"/>
        <v>2.1379251562500001</v>
      </c>
      <c r="AN308" s="2">
        <f t="shared" si="210"/>
        <v>40</v>
      </c>
      <c r="AO308" s="2">
        <f t="shared" si="211"/>
        <v>1.5739750000000001</v>
      </c>
      <c r="AP308" s="2">
        <f t="shared" si="212"/>
        <v>3.3399274999999999</v>
      </c>
      <c r="AQ308" s="2">
        <f t="shared" si="231"/>
        <v>43.339927500000002</v>
      </c>
      <c r="AR308" s="2">
        <f t="shared" si="232"/>
        <v>6.5009891250000003</v>
      </c>
      <c r="AS308" s="2">
        <f t="shared" si="213"/>
        <v>1.26035E-2</v>
      </c>
      <c r="AT308" s="2">
        <f t="shared" si="214"/>
        <v>0.37810500000000002</v>
      </c>
      <c r="AU308" s="2">
        <f t="shared" si="233"/>
        <v>51.805600124999991</v>
      </c>
      <c r="AV308" s="2">
        <f t="shared" si="215"/>
        <v>0.63017500000000004</v>
      </c>
      <c r="AW308" s="2">
        <f t="shared" si="216"/>
        <v>0.31479500000000005</v>
      </c>
      <c r="AX308" s="2">
        <f t="shared" si="217"/>
        <v>0.13233675</v>
      </c>
      <c r="AY308" s="2">
        <f t="shared" si="234"/>
        <v>0.76251175000000004</v>
      </c>
      <c r="AZ308" s="2">
        <f t="shared" si="235"/>
        <v>0.11437676250000001</v>
      </c>
      <c r="BA308" s="2">
        <f t="shared" si="218"/>
        <v>1.26035E-2</v>
      </c>
      <c r="BB308" s="2">
        <f t="shared" si="219"/>
        <v>0.37810500000000002</v>
      </c>
      <c r="BC308" s="2">
        <f t="shared" si="236"/>
        <v>1.5823920125000002</v>
      </c>
      <c r="BD308" s="2">
        <v>0</v>
      </c>
      <c r="BE308" s="2">
        <f t="shared" si="220"/>
        <v>6.3017500000000002</v>
      </c>
      <c r="BF308" s="2">
        <f t="shared" si="221"/>
        <v>0.20480687499999997</v>
      </c>
      <c r="BG308" s="2">
        <f t="shared" si="237"/>
        <v>0.20480687499999997</v>
      </c>
      <c r="BH308" s="2">
        <f t="shared" si="238"/>
        <v>3.0721031249999996E-2</v>
      </c>
      <c r="BI308" s="2">
        <f t="shared" si="222"/>
        <v>1.26035E-2</v>
      </c>
      <c r="BJ308" s="2">
        <f t="shared" si="223"/>
        <v>0.37810500000000002</v>
      </c>
      <c r="BK308" s="2">
        <f t="shared" si="239"/>
        <v>6.9279864062499996</v>
      </c>
      <c r="BL308" s="2">
        <f t="shared" si="224"/>
        <v>3153.7999999999997</v>
      </c>
      <c r="BM308" s="2">
        <f t="shared" si="225"/>
        <v>3147.9500000000003</v>
      </c>
      <c r="BN308" s="2">
        <f t="shared" si="240"/>
        <v>6301.75</v>
      </c>
    </row>
    <row r="309" spans="1:66" x14ac:dyDescent="0.25">
      <c r="A309" s="42">
        <v>306</v>
      </c>
      <c r="B309" s="43">
        <v>42863</v>
      </c>
      <c r="C309" s="42" t="s">
        <v>50</v>
      </c>
      <c r="D309" s="42" t="s">
        <v>224</v>
      </c>
      <c r="E309" s="6">
        <f t="shared" si="226"/>
        <v>-8.6376233125000006</v>
      </c>
      <c r="F309" s="5" t="str">
        <f t="shared" si="241"/>
        <v>Loss</v>
      </c>
      <c r="G309" s="4">
        <f t="shared" si="242"/>
        <v>-6.5</v>
      </c>
      <c r="H309" s="46">
        <v>13</v>
      </c>
      <c r="I309" s="42">
        <v>242.6</v>
      </c>
      <c r="N309" s="5">
        <f t="shared" si="243"/>
        <v>13</v>
      </c>
      <c r="O309" s="4">
        <f t="shared" si="244"/>
        <v>242.6</v>
      </c>
      <c r="P309" s="5">
        <f t="shared" si="199"/>
        <v>13</v>
      </c>
      <c r="Q309" s="42">
        <v>242.1</v>
      </c>
      <c r="R309" s="2">
        <f t="shared" si="247"/>
        <v>0</v>
      </c>
      <c r="T309" s="2">
        <f t="shared" si="227"/>
        <v>0</v>
      </c>
      <c r="V309" s="5">
        <f t="shared" si="245"/>
        <v>13</v>
      </c>
      <c r="W309" s="4">
        <f t="shared" si="246"/>
        <v>242.1</v>
      </c>
      <c r="X309" s="14">
        <f t="shared" si="200"/>
        <v>-0.5</v>
      </c>
      <c r="Y309" s="5">
        <f t="shared" si="201"/>
        <v>-6.5</v>
      </c>
      <c r="Z309" s="2">
        <f t="shared" si="202"/>
        <v>0</v>
      </c>
      <c r="AA309" s="4">
        <f t="shared" si="203"/>
        <v>0</v>
      </c>
      <c r="AB309" s="13">
        <f t="shared" si="204"/>
        <v>2.1376233124999997</v>
      </c>
      <c r="AC309" s="10">
        <f>SUM($E$4:E309)</f>
        <v>-12073.763006578991</v>
      </c>
      <c r="AD309" s="20">
        <f>SUM($AB$4:AB309)</f>
        <v>10925.246706578961</v>
      </c>
      <c r="AF309" s="28">
        <f t="shared" si="205"/>
        <v>0.63010999999999995</v>
      </c>
      <c r="AG309" s="2">
        <f t="shared" si="206"/>
        <v>0.786825</v>
      </c>
      <c r="AH309" s="2">
        <f t="shared" si="207"/>
        <v>0.20478574999999996</v>
      </c>
      <c r="AI309" s="2">
        <f t="shared" si="228"/>
        <v>0.83489574999999994</v>
      </c>
      <c r="AJ309" s="2">
        <f t="shared" si="229"/>
        <v>0.12523436249999997</v>
      </c>
      <c r="AK309" s="2">
        <f t="shared" si="208"/>
        <v>1.2602199999999997E-2</v>
      </c>
      <c r="AL309" s="2">
        <f t="shared" si="209"/>
        <v>0.37806599999999996</v>
      </c>
      <c r="AM309" s="2">
        <f t="shared" si="230"/>
        <v>2.1376233124999997</v>
      </c>
      <c r="AN309" s="2">
        <f t="shared" si="210"/>
        <v>40</v>
      </c>
      <c r="AO309" s="2">
        <f t="shared" si="211"/>
        <v>1.57365</v>
      </c>
      <c r="AP309" s="2">
        <f t="shared" si="212"/>
        <v>3.3395829999999997</v>
      </c>
      <c r="AQ309" s="2">
        <f t="shared" si="231"/>
        <v>43.339582999999998</v>
      </c>
      <c r="AR309" s="2">
        <f t="shared" si="232"/>
        <v>6.5009374499999995</v>
      </c>
      <c r="AS309" s="2">
        <f t="shared" si="213"/>
        <v>1.2602199999999997E-2</v>
      </c>
      <c r="AT309" s="2">
        <f t="shared" si="214"/>
        <v>0.37806599999999996</v>
      </c>
      <c r="AU309" s="2">
        <f t="shared" si="233"/>
        <v>51.804838650000001</v>
      </c>
      <c r="AV309" s="2">
        <f t="shared" si="215"/>
        <v>0.63010999999999995</v>
      </c>
      <c r="AW309" s="2">
        <f t="shared" si="216"/>
        <v>0.31473000000000001</v>
      </c>
      <c r="AX309" s="2">
        <f t="shared" si="217"/>
        <v>0.13232309999999997</v>
      </c>
      <c r="AY309" s="2">
        <f t="shared" si="234"/>
        <v>0.76243309999999997</v>
      </c>
      <c r="AZ309" s="2">
        <f t="shared" si="235"/>
        <v>0.11436496499999999</v>
      </c>
      <c r="BA309" s="2">
        <f t="shared" si="218"/>
        <v>1.2602199999999997E-2</v>
      </c>
      <c r="BB309" s="2">
        <f t="shared" si="219"/>
        <v>0.37806599999999996</v>
      </c>
      <c r="BC309" s="2">
        <f t="shared" si="236"/>
        <v>1.5821962649999999</v>
      </c>
      <c r="BD309" s="2">
        <v>0</v>
      </c>
      <c r="BE309" s="2">
        <f t="shared" si="220"/>
        <v>6.3010999999999999</v>
      </c>
      <c r="BF309" s="2">
        <f t="shared" si="221"/>
        <v>0.20478574999999996</v>
      </c>
      <c r="BG309" s="2">
        <f t="shared" si="237"/>
        <v>0.20478574999999996</v>
      </c>
      <c r="BH309" s="2">
        <f t="shared" si="238"/>
        <v>3.0717862499999991E-2</v>
      </c>
      <c r="BI309" s="2">
        <f t="shared" si="222"/>
        <v>1.2602199999999997E-2</v>
      </c>
      <c r="BJ309" s="2">
        <f t="shared" si="223"/>
        <v>0.37806599999999996</v>
      </c>
      <c r="BK309" s="2">
        <f t="shared" si="239"/>
        <v>6.9272718124999999</v>
      </c>
      <c r="BL309" s="2">
        <f t="shared" si="224"/>
        <v>3153.7999999999997</v>
      </c>
      <c r="BM309" s="2">
        <f t="shared" si="225"/>
        <v>3147.2999999999997</v>
      </c>
      <c r="BN309" s="2">
        <f t="shared" si="240"/>
        <v>6301.0999999999995</v>
      </c>
    </row>
    <row r="310" spans="1:66" x14ac:dyDescent="0.25">
      <c r="A310" s="42">
        <v>307</v>
      </c>
      <c r="B310" s="43">
        <v>42863</v>
      </c>
      <c r="C310" s="42" t="s">
        <v>50</v>
      </c>
      <c r="D310" s="42" t="s">
        <v>224</v>
      </c>
      <c r="E310" s="6">
        <f t="shared" si="226"/>
        <v>-7.9874839687502215</v>
      </c>
      <c r="F310" s="5" t="str">
        <f t="shared" si="241"/>
        <v>Loss</v>
      </c>
      <c r="G310" s="4">
        <f t="shared" si="242"/>
        <v>-5.8500000000002217</v>
      </c>
      <c r="H310" s="46">
        <v>13</v>
      </c>
      <c r="I310" s="42">
        <v>242.55</v>
      </c>
      <c r="N310" s="5">
        <f t="shared" si="243"/>
        <v>13</v>
      </c>
      <c r="O310" s="4">
        <f t="shared" si="244"/>
        <v>242.55</v>
      </c>
      <c r="P310" s="5">
        <f t="shared" si="199"/>
        <v>13</v>
      </c>
      <c r="Q310" s="42">
        <v>242.1</v>
      </c>
      <c r="R310" s="2">
        <f t="shared" si="247"/>
        <v>0</v>
      </c>
      <c r="T310" s="2">
        <f t="shared" si="227"/>
        <v>0</v>
      </c>
      <c r="V310" s="5">
        <f t="shared" si="245"/>
        <v>13</v>
      </c>
      <c r="W310" s="4">
        <f t="shared" si="246"/>
        <v>242.1</v>
      </c>
      <c r="X310" s="14">
        <f t="shared" si="200"/>
        <v>-0.45000000000001705</v>
      </c>
      <c r="Y310" s="5">
        <f t="shared" si="201"/>
        <v>-5.8500000000002217</v>
      </c>
      <c r="Z310" s="2">
        <f t="shared" si="202"/>
        <v>0</v>
      </c>
      <c r="AA310" s="4">
        <f t="shared" si="203"/>
        <v>0</v>
      </c>
      <c r="AB310" s="13">
        <f t="shared" si="204"/>
        <v>2.1374839687499998</v>
      </c>
      <c r="AC310" s="10">
        <f>SUM($E$4:E310)</f>
        <v>-12081.750490547742</v>
      </c>
      <c r="AD310" s="20">
        <f>SUM($AB$4:AB310)</f>
        <v>10927.384190547711</v>
      </c>
      <c r="AF310" s="28">
        <f t="shared" si="205"/>
        <v>0.63004499999999997</v>
      </c>
      <c r="AG310" s="2">
        <f t="shared" si="206"/>
        <v>0.786825</v>
      </c>
      <c r="AH310" s="2">
        <f t="shared" si="207"/>
        <v>0.20476462499999998</v>
      </c>
      <c r="AI310" s="2">
        <f t="shared" si="228"/>
        <v>0.83480962499999989</v>
      </c>
      <c r="AJ310" s="2">
        <f t="shared" si="229"/>
        <v>0.12522144374999997</v>
      </c>
      <c r="AK310" s="2">
        <f t="shared" si="208"/>
        <v>1.26009E-2</v>
      </c>
      <c r="AL310" s="2">
        <f t="shared" si="209"/>
        <v>0.378027</v>
      </c>
      <c r="AM310" s="2">
        <f t="shared" si="230"/>
        <v>2.1374839687499998</v>
      </c>
      <c r="AN310" s="2">
        <f t="shared" si="210"/>
        <v>40</v>
      </c>
      <c r="AO310" s="2">
        <f t="shared" si="211"/>
        <v>1.57365</v>
      </c>
      <c r="AP310" s="2">
        <f t="shared" si="212"/>
        <v>3.3392385</v>
      </c>
      <c r="AQ310" s="2">
        <f t="shared" si="231"/>
        <v>43.3392385</v>
      </c>
      <c r="AR310" s="2">
        <f t="shared" si="232"/>
        <v>6.5008857749999995</v>
      </c>
      <c r="AS310" s="2">
        <f t="shared" si="213"/>
        <v>1.26009E-2</v>
      </c>
      <c r="AT310" s="2">
        <f t="shared" si="214"/>
        <v>0.378027</v>
      </c>
      <c r="AU310" s="2">
        <f t="shared" si="233"/>
        <v>51.804402175000007</v>
      </c>
      <c r="AV310" s="2">
        <f t="shared" si="215"/>
        <v>0.63004499999999997</v>
      </c>
      <c r="AW310" s="2">
        <f t="shared" si="216"/>
        <v>0.31473000000000001</v>
      </c>
      <c r="AX310" s="2">
        <f t="shared" si="217"/>
        <v>0.13230945</v>
      </c>
      <c r="AY310" s="2">
        <f t="shared" si="234"/>
        <v>0.76235444999999991</v>
      </c>
      <c r="AZ310" s="2">
        <f t="shared" si="235"/>
        <v>0.11435316749999998</v>
      </c>
      <c r="BA310" s="2">
        <f t="shared" si="218"/>
        <v>1.26009E-2</v>
      </c>
      <c r="BB310" s="2">
        <f t="shared" si="219"/>
        <v>0.378027</v>
      </c>
      <c r="BC310" s="2">
        <f t="shared" si="236"/>
        <v>1.5820655174999998</v>
      </c>
      <c r="BD310" s="2">
        <v>0</v>
      </c>
      <c r="BE310" s="2">
        <f t="shared" si="220"/>
        <v>6.3004499999999997</v>
      </c>
      <c r="BF310" s="2">
        <f t="shared" si="221"/>
        <v>0.20476462499999998</v>
      </c>
      <c r="BG310" s="2">
        <f t="shared" si="237"/>
        <v>0.20476462499999998</v>
      </c>
      <c r="BH310" s="2">
        <f t="shared" si="238"/>
        <v>3.0714693749999994E-2</v>
      </c>
      <c r="BI310" s="2">
        <f t="shared" si="222"/>
        <v>1.26009E-2</v>
      </c>
      <c r="BJ310" s="2">
        <f t="shared" si="223"/>
        <v>0.378027</v>
      </c>
      <c r="BK310" s="2">
        <f t="shared" si="239"/>
        <v>6.9265572187500002</v>
      </c>
      <c r="BL310" s="2">
        <f t="shared" si="224"/>
        <v>3153.15</v>
      </c>
      <c r="BM310" s="2">
        <f t="shared" si="225"/>
        <v>3147.2999999999997</v>
      </c>
      <c r="BN310" s="2">
        <f t="shared" si="240"/>
        <v>6300.45</v>
      </c>
    </row>
    <row r="311" spans="1:66" x14ac:dyDescent="0.25">
      <c r="A311" s="42">
        <v>308</v>
      </c>
      <c r="B311" s="43">
        <v>42863</v>
      </c>
      <c r="C311" s="42" t="s">
        <v>50</v>
      </c>
      <c r="D311" s="42" t="s">
        <v>224</v>
      </c>
      <c r="E311" s="6">
        <f t="shared" si="226"/>
        <v>-6.6880876562502962</v>
      </c>
      <c r="F311" s="5" t="str">
        <f t="shared" si="241"/>
        <v>Loss</v>
      </c>
      <c r="G311" s="4">
        <f t="shared" si="242"/>
        <v>-4.5500000000002956</v>
      </c>
      <c r="H311" s="46">
        <v>13</v>
      </c>
      <c r="I311" s="42">
        <v>242.55</v>
      </c>
      <c r="N311" s="5">
        <f t="shared" si="243"/>
        <v>13</v>
      </c>
      <c r="O311" s="4">
        <f t="shared" si="244"/>
        <v>242.55</v>
      </c>
      <c r="P311" s="5">
        <f t="shared" si="199"/>
        <v>13</v>
      </c>
      <c r="Q311" s="42">
        <v>242.2</v>
      </c>
      <c r="R311" s="2">
        <f t="shared" si="247"/>
        <v>0</v>
      </c>
      <c r="T311" s="2">
        <f t="shared" si="227"/>
        <v>0</v>
      </c>
      <c r="V311" s="5">
        <f t="shared" si="245"/>
        <v>13</v>
      </c>
      <c r="W311" s="4">
        <f t="shared" si="246"/>
        <v>242.2</v>
      </c>
      <c r="X311" s="14">
        <f t="shared" si="200"/>
        <v>-0.35000000000002274</v>
      </c>
      <c r="Y311" s="5">
        <f t="shared" si="201"/>
        <v>-4.5500000000002956</v>
      </c>
      <c r="Z311" s="2">
        <f t="shared" si="202"/>
        <v>0</v>
      </c>
      <c r="AA311" s="4">
        <f t="shared" si="203"/>
        <v>0</v>
      </c>
      <c r="AB311" s="13">
        <f t="shared" si="204"/>
        <v>2.1380876562500002</v>
      </c>
      <c r="AC311" s="10">
        <f>SUM($E$4:E311)</f>
        <v>-12088.438578203992</v>
      </c>
      <c r="AD311" s="20">
        <f>SUM($AB$4:AB311)</f>
        <v>10929.522278203962</v>
      </c>
      <c r="AF311" s="28">
        <f t="shared" si="205"/>
        <v>0.63017500000000004</v>
      </c>
      <c r="AG311" s="2">
        <f t="shared" si="206"/>
        <v>0.78715000000000002</v>
      </c>
      <c r="AH311" s="2">
        <f t="shared" si="207"/>
        <v>0.20480687499999997</v>
      </c>
      <c r="AI311" s="2">
        <f t="shared" si="228"/>
        <v>0.83498187499999998</v>
      </c>
      <c r="AJ311" s="2">
        <f t="shared" si="229"/>
        <v>0.12524728124999998</v>
      </c>
      <c r="AK311" s="2">
        <f t="shared" si="208"/>
        <v>1.26035E-2</v>
      </c>
      <c r="AL311" s="2">
        <f t="shared" si="209"/>
        <v>0.37810500000000002</v>
      </c>
      <c r="AM311" s="2">
        <f t="shared" si="230"/>
        <v>2.1380876562500002</v>
      </c>
      <c r="AN311" s="2">
        <f t="shared" si="210"/>
        <v>40</v>
      </c>
      <c r="AO311" s="2">
        <f t="shared" si="211"/>
        <v>1.5743</v>
      </c>
      <c r="AP311" s="2">
        <f t="shared" si="212"/>
        <v>3.3399274999999999</v>
      </c>
      <c r="AQ311" s="2">
        <f t="shared" si="231"/>
        <v>43.339927500000002</v>
      </c>
      <c r="AR311" s="2">
        <f t="shared" si="232"/>
        <v>6.5009891250000003</v>
      </c>
      <c r="AS311" s="2">
        <f t="shared" si="213"/>
        <v>1.26035E-2</v>
      </c>
      <c r="AT311" s="2">
        <f t="shared" si="214"/>
        <v>0.37810500000000002</v>
      </c>
      <c r="AU311" s="2">
        <f t="shared" si="233"/>
        <v>51.805925124999995</v>
      </c>
      <c r="AV311" s="2">
        <f t="shared" si="215"/>
        <v>0.63017500000000004</v>
      </c>
      <c r="AW311" s="2">
        <f t="shared" si="216"/>
        <v>0.31486000000000003</v>
      </c>
      <c r="AX311" s="2">
        <f t="shared" si="217"/>
        <v>0.13233675</v>
      </c>
      <c r="AY311" s="2">
        <f t="shared" si="234"/>
        <v>0.76251175000000004</v>
      </c>
      <c r="AZ311" s="2">
        <f t="shared" si="235"/>
        <v>0.11437676250000001</v>
      </c>
      <c r="BA311" s="2">
        <f t="shared" si="218"/>
        <v>1.26035E-2</v>
      </c>
      <c r="BB311" s="2">
        <f t="shared" si="219"/>
        <v>0.37810500000000002</v>
      </c>
      <c r="BC311" s="2">
        <f t="shared" si="236"/>
        <v>1.5824570125000004</v>
      </c>
      <c r="BD311" s="2">
        <v>0</v>
      </c>
      <c r="BE311" s="2">
        <f t="shared" si="220"/>
        <v>6.3017500000000002</v>
      </c>
      <c r="BF311" s="2">
        <f t="shared" si="221"/>
        <v>0.20480687499999997</v>
      </c>
      <c r="BG311" s="2">
        <f t="shared" si="237"/>
        <v>0.20480687499999997</v>
      </c>
      <c r="BH311" s="2">
        <f t="shared" si="238"/>
        <v>3.0721031249999996E-2</v>
      </c>
      <c r="BI311" s="2">
        <f t="shared" si="222"/>
        <v>1.26035E-2</v>
      </c>
      <c r="BJ311" s="2">
        <f t="shared" si="223"/>
        <v>0.37810500000000002</v>
      </c>
      <c r="BK311" s="2">
        <f t="shared" si="239"/>
        <v>6.9279864062499996</v>
      </c>
      <c r="BL311" s="2">
        <f t="shared" si="224"/>
        <v>3153.15</v>
      </c>
      <c r="BM311" s="2">
        <f t="shared" si="225"/>
        <v>3148.6</v>
      </c>
      <c r="BN311" s="2">
        <f t="shared" si="240"/>
        <v>6301.75</v>
      </c>
    </row>
    <row r="312" spans="1:66" x14ac:dyDescent="0.25">
      <c r="A312" s="42">
        <v>309</v>
      </c>
      <c r="B312" s="43">
        <v>42863</v>
      </c>
      <c r="C312" s="42" t="s">
        <v>50</v>
      </c>
      <c r="D312" s="42" t="s">
        <v>224</v>
      </c>
      <c r="E312" s="6">
        <f t="shared" si="226"/>
        <v>-6.0379483125001485</v>
      </c>
      <c r="F312" s="5" t="str">
        <f t="shared" si="241"/>
        <v>Loss</v>
      </c>
      <c r="G312" s="4">
        <f t="shared" si="242"/>
        <v>-3.9000000000001478</v>
      </c>
      <c r="H312" s="46">
        <v>13</v>
      </c>
      <c r="I312" s="42">
        <v>242.5</v>
      </c>
      <c r="N312" s="5">
        <f t="shared" si="243"/>
        <v>13</v>
      </c>
      <c r="O312" s="4">
        <f t="shared" si="244"/>
        <v>242.5</v>
      </c>
      <c r="P312" s="5">
        <f t="shared" si="199"/>
        <v>13</v>
      </c>
      <c r="Q312" s="42">
        <v>242.2</v>
      </c>
      <c r="R312" s="2">
        <f t="shared" si="247"/>
        <v>0</v>
      </c>
      <c r="T312" s="2">
        <f t="shared" si="227"/>
        <v>0</v>
      </c>
      <c r="V312" s="5">
        <f t="shared" si="245"/>
        <v>13</v>
      </c>
      <c r="W312" s="4">
        <f t="shared" si="246"/>
        <v>242.2</v>
      </c>
      <c r="X312" s="14">
        <f t="shared" si="200"/>
        <v>-0.30000000000001137</v>
      </c>
      <c r="Y312" s="5">
        <f t="shared" si="201"/>
        <v>-3.9000000000001478</v>
      </c>
      <c r="Z312" s="2">
        <f t="shared" si="202"/>
        <v>0</v>
      </c>
      <c r="AA312" s="4">
        <f t="shared" si="203"/>
        <v>0</v>
      </c>
      <c r="AB312" s="13">
        <f t="shared" si="204"/>
        <v>2.1379483125000003</v>
      </c>
      <c r="AC312" s="10">
        <f>SUM($E$4:E312)</f>
        <v>-12094.476526516492</v>
      </c>
      <c r="AD312" s="20">
        <f>SUM($AB$4:AB312)</f>
        <v>10931.660226516462</v>
      </c>
      <c r="AF312" s="28">
        <f t="shared" si="205"/>
        <v>0.63011000000000006</v>
      </c>
      <c r="AG312" s="2">
        <f t="shared" si="206"/>
        <v>0.78715000000000002</v>
      </c>
      <c r="AH312" s="2">
        <f t="shared" si="207"/>
        <v>0.20478574999999999</v>
      </c>
      <c r="AI312" s="2">
        <f t="shared" si="228"/>
        <v>0.83489575000000005</v>
      </c>
      <c r="AJ312" s="2">
        <f t="shared" si="229"/>
        <v>0.1252343625</v>
      </c>
      <c r="AK312" s="2">
        <f t="shared" si="208"/>
        <v>1.2602200000000001E-2</v>
      </c>
      <c r="AL312" s="2">
        <f t="shared" si="209"/>
        <v>0.37806600000000001</v>
      </c>
      <c r="AM312" s="2">
        <f t="shared" si="230"/>
        <v>2.1379483125000003</v>
      </c>
      <c r="AN312" s="2">
        <f t="shared" si="210"/>
        <v>40</v>
      </c>
      <c r="AO312" s="2">
        <f t="shared" si="211"/>
        <v>1.5743</v>
      </c>
      <c r="AP312" s="2">
        <f t="shared" si="212"/>
        <v>3.3395830000000002</v>
      </c>
      <c r="AQ312" s="2">
        <f t="shared" si="231"/>
        <v>43.339582999999998</v>
      </c>
      <c r="AR312" s="2">
        <f t="shared" si="232"/>
        <v>6.5009374499999995</v>
      </c>
      <c r="AS312" s="2">
        <f t="shared" si="213"/>
        <v>1.2602200000000001E-2</v>
      </c>
      <c r="AT312" s="2">
        <f t="shared" si="214"/>
        <v>0.37806600000000001</v>
      </c>
      <c r="AU312" s="2">
        <f t="shared" si="233"/>
        <v>51.805488650000001</v>
      </c>
      <c r="AV312" s="2">
        <f t="shared" si="215"/>
        <v>0.63011000000000006</v>
      </c>
      <c r="AW312" s="2">
        <f t="shared" si="216"/>
        <v>0.31486000000000003</v>
      </c>
      <c r="AX312" s="2">
        <f t="shared" si="217"/>
        <v>0.1323231</v>
      </c>
      <c r="AY312" s="2">
        <f t="shared" si="234"/>
        <v>0.76243310000000009</v>
      </c>
      <c r="AZ312" s="2">
        <f t="shared" si="235"/>
        <v>0.11436496500000001</v>
      </c>
      <c r="BA312" s="2">
        <f t="shared" si="218"/>
        <v>1.2602200000000001E-2</v>
      </c>
      <c r="BB312" s="2">
        <f t="shared" si="219"/>
        <v>0.37806600000000001</v>
      </c>
      <c r="BC312" s="2">
        <f t="shared" si="236"/>
        <v>1.5823262650000001</v>
      </c>
      <c r="BD312" s="2">
        <v>0</v>
      </c>
      <c r="BE312" s="2">
        <f t="shared" si="220"/>
        <v>6.3011000000000008</v>
      </c>
      <c r="BF312" s="2">
        <f t="shared" si="221"/>
        <v>0.20478574999999999</v>
      </c>
      <c r="BG312" s="2">
        <f t="shared" si="237"/>
        <v>0.20478574999999999</v>
      </c>
      <c r="BH312" s="2">
        <f t="shared" si="238"/>
        <v>3.0717862499999998E-2</v>
      </c>
      <c r="BI312" s="2">
        <f t="shared" si="222"/>
        <v>1.2602200000000001E-2</v>
      </c>
      <c r="BJ312" s="2">
        <f t="shared" si="223"/>
        <v>0.37806600000000001</v>
      </c>
      <c r="BK312" s="2">
        <f t="shared" si="239"/>
        <v>6.9272718125000008</v>
      </c>
      <c r="BL312" s="2">
        <f t="shared" si="224"/>
        <v>3152.5</v>
      </c>
      <c r="BM312" s="2">
        <f t="shared" si="225"/>
        <v>3148.6</v>
      </c>
      <c r="BN312" s="2">
        <f t="shared" si="240"/>
        <v>6301.1</v>
      </c>
    </row>
    <row r="313" spans="1:66" x14ac:dyDescent="0.25">
      <c r="A313" s="42">
        <v>310</v>
      </c>
      <c r="B313" s="43">
        <v>42863</v>
      </c>
      <c r="C313" s="42" t="s">
        <v>50</v>
      </c>
      <c r="D313" s="42" t="s">
        <v>224</v>
      </c>
      <c r="E313" s="6">
        <f t="shared" si="226"/>
        <v>-7.3382270000000744</v>
      </c>
      <c r="F313" s="5" t="str">
        <f t="shared" si="241"/>
        <v>Loss</v>
      </c>
      <c r="G313" s="4">
        <f t="shared" si="242"/>
        <v>-5.2000000000000739</v>
      </c>
      <c r="H313" s="46">
        <v>13</v>
      </c>
      <c r="I313" s="42">
        <v>242.6</v>
      </c>
      <c r="N313" s="5">
        <f t="shared" si="243"/>
        <v>13</v>
      </c>
      <c r="O313" s="4">
        <f t="shared" si="244"/>
        <v>242.6</v>
      </c>
      <c r="P313" s="5">
        <f t="shared" si="199"/>
        <v>13</v>
      </c>
      <c r="Q313" s="42">
        <v>242.2</v>
      </c>
      <c r="R313" s="2">
        <f t="shared" si="247"/>
        <v>0</v>
      </c>
      <c r="T313" s="2">
        <f t="shared" si="227"/>
        <v>0</v>
      </c>
      <c r="V313" s="5">
        <f t="shared" si="245"/>
        <v>13</v>
      </c>
      <c r="W313" s="4">
        <f t="shared" si="246"/>
        <v>242.2</v>
      </c>
      <c r="X313" s="14">
        <f t="shared" si="200"/>
        <v>-0.40000000000000568</v>
      </c>
      <c r="Y313" s="5">
        <f t="shared" si="201"/>
        <v>-5.2000000000000739</v>
      </c>
      <c r="Z313" s="2">
        <f t="shared" si="202"/>
        <v>0</v>
      </c>
      <c r="AA313" s="4">
        <f t="shared" si="203"/>
        <v>0</v>
      </c>
      <c r="AB313" s="13">
        <f t="shared" si="204"/>
        <v>2.1382270000000001</v>
      </c>
      <c r="AC313" s="10">
        <f>SUM($E$4:E313)</f>
        <v>-12101.814753516492</v>
      </c>
      <c r="AD313" s="20">
        <f>SUM($AB$4:AB313)</f>
        <v>10933.798453516461</v>
      </c>
      <c r="AF313" s="28">
        <f t="shared" si="205"/>
        <v>0.63024000000000002</v>
      </c>
      <c r="AG313" s="2">
        <f t="shared" si="206"/>
        <v>0.78715000000000002</v>
      </c>
      <c r="AH313" s="2">
        <f t="shared" si="207"/>
        <v>0.20482799999999998</v>
      </c>
      <c r="AI313" s="2">
        <f t="shared" si="228"/>
        <v>0.83506800000000003</v>
      </c>
      <c r="AJ313" s="2">
        <f t="shared" si="229"/>
        <v>0.12526019999999999</v>
      </c>
      <c r="AK313" s="2">
        <f t="shared" si="208"/>
        <v>1.2604799999999999E-2</v>
      </c>
      <c r="AL313" s="2">
        <f t="shared" si="209"/>
        <v>0.37814399999999998</v>
      </c>
      <c r="AM313" s="2">
        <f t="shared" si="230"/>
        <v>2.1382270000000001</v>
      </c>
      <c r="AN313" s="2">
        <f t="shared" si="210"/>
        <v>40</v>
      </c>
      <c r="AO313" s="2">
        <f t="shared" si="211"/>
        <v>1.5743</v>
      </c>
      <c r="AP313" s="2">
        <f t="shared" si="212"/>
        <v>3.3402719999999997</v>
      </c>
      <c r="AQ313" s="2">
        <f t="shared" si="231"/>
        <v>43.340271999999999</v>
      </c>
      <c r="AR313" s="2">
        <f t="shared" si="232"/>
        <v>6.5010407999999993</v>
      </c>
      <c r="AS313" s="2">
        <f t="shared" si="213"/>
        <v>1.2604799999999999E-2</v>
      </c>
      <c r="AT313" s="2">
        <f t="shared" si="214"/>
        <v>0.37814399999999998</v>
      </c>
      <c r="AU313" s="2">
        <f t="shared" si="233"/>
        <v>51.806361599999995</v>
      </c>
      <c r="AV313" s="2">
        <f t="shared" si="215"/>
        <v>0.63024000000000002</v>
      </c>
      <c r="AW313" s="2">
        <f t="shared" si="216"/>
        <v>0.31486000000000003</v>
      </c>
      <c r="AX313" s="2">
        <f t="shared" si="217"/>
        <v>0.13235039999999998</v>
      </c>
      <c r="AY313" s="2">
        <f t="shared" si="234"/>
        <v>0.7625904</v>
      </c>
      <c r="AZ313" s="2">
        <f t="shared" si="235"/>
        <v>0.11438856</v>
      </c>
      <c r="BA313" s="2">
        <f t="shared" si="218"/>
        <v>1.2604799999999999E-2</v>
      </c>
      <c r="BB313" s="2">
        <f t="shared" si="219"/>
        <v>0.37814399999999998</v>
      </c>
      <c r="BC313" s="2">
        <f t="shared" si="236"/>
        <v>1.5825877600000002</v>
      </c>
      <c r="BD313" s="2">
        <v>0</v>
      </c>
      <c r="BE313" s="2">
        <f t="shared" si="220"/>
        <v>6.3023999999999996</v>
      </c>
      <c r="BF313" s="2">
        <f t="shared" si="221"/>
        <v>0.20482799999999998</v>
      </c>
      <c r="BG313" s="2">
        <f t="shared" si="237"/>
        <v>0.20482799999999998</v>
      </c>
      <c r="BH313" s="2">
        <f t="shared" si="238"/>
        <v>3.0724199999999997E-2</v>
      </c>
      <c r="BI313" s="2">
        <f t="shared" si="222"/>
        <v>1.2604799999999999E-2</v>
      </c>
      <c r="BJ313" s="2">
        <f t="shared" si="223"/>
        <v>0.37814399999999998</v>
      </c>
      <c r="BK313" s="2">
        <f t="shared" si="239"/>
        <v>6.9287009999999993</v>
      </c>
      <c r="BL313" s="2">
        <f t="shared" si="224"/>
        <v>3153.7999999999997</v>
      </c>
      <c r="BM313" s="2">
        <f t="shared" si="225"/>
        <v>3148.6</v>
      </c>
      <c r="BN313" s="2">
        <f t="shared" si="240"/>
        <v>6302.4</v>
      </c>
    </row>
    <row r="314" spans="1:66" x14ac:dyDescent="0.25">
      <c r="A314" s="42">
        <v>311</v>
      </c>
      <c r="B314" s="43">
        <v>42863</v>
      </c>
      <c r="C314" s="42" t="s">
        <v>50</v>
      </c>
      <c r="D314" s="42" t="s">
        <v>224</v>
      </c>
      <c r="E314" s="6">
        <f t="shared" si="226"/>
        <v>-6.6885288437499266</v>
      </c>
      <c r="F314" s="5" t="str">
        <f t="shared" si="241"/>
        <v>Loss</v>
      </c>
      <c r="G314" s="4">
        <f t="shared" si="242"/>
        <v>-4.5499999999999261</v>
      </c>
      <c r="H314" s="46">
        <v>13</v>
      </c>
      <c r="I314" s="42">
        <v>242.6</v>
      </c>
      <c r="N314" s="5">
        <f t="shared" si="243"/>
        <v>13</v>
      </c>
      <c r="O314" s="4">
        <f t="shared" si="244"/>
        <v>242.6</v>
      </c>
      <c r="P314" s="5">
        <f t="shared" si="199"/>
        <v>13</v>
      </c>
      <c r="Q314" s="42">
        <v>242.25</v>
      </c>
      <c r="R314" s="2">
        <f t="shared" si="247"/>
        <v>0</v>
      </c>
      <c r="T314" s="2">
        <f t="shared" si="227"/>
        <v>0</v>
      </c>
      <c r="V314" s="5">
        <f t="shared" si="245"/>
        <v>13</v>
      </c>
      <c r="W314" s="4">
        <f t="shared" si="246"/>
        <v>242.25</v>
      </c>
      <c r="X314" s="14">
        <f t="shared" si="200"/>
        <v>-0.34999999999999432</v>
      </c>
      <c r="Y314" s="5">
        <f t="shared" si="201"/>
        <v>-4.5499999999999261</v>
      </c>
      <c r="Z314" s="2">
        <f t="shared" si="202"/>
        <v>0</v>
      </c>
      <c r="AA314" s="4">
        <f t="shared" si="203"/>
        <v>0</v>
      </c>
      <c r="AB314" s="13">
        <f t="shared" si="204"/>
        <v>2.1385288437500001</v>
      </c>
      <c r="AC314" s="10">
        <f>SUM($E$4:E314)</f>
        <v>-12108.503282360241</v>
      </c>
      <c r="AD314" s="20">
        <f>SUM($AB$4:AB314)</f>
        <v>10935.936982360212</v>
      </c>
      <c r="AF314" s="28">
        <f t="shared" si="205"/>
        <v>0.630305</v>
      </c>
      <c r="AG314" s="2">
        <f t="shared" si="206"/>
        <v>0.78731250000000008</v>
      </c>
      <c r="AH314" s="2">
        <f t="shared" si="207"/>
        <v>0.20484912499999997</v>
      </c>
      <c r="AI314" s="2">
        <f t="shared" si="228"/>
        <v>0.83515412499999997</v>
      </c>
      <c r="AJ314" s="2">
        <f t="shared" si="229"/>
        <v>0.12527311875</v>
      </c>
      <c r="AK314" s="2">
        <f t="shared" si="208"/>
        <v>1.2606099999999999E-2</v>
      </c>
      <c r="AL314" s="2">
        <f t="shared" si="209"/>
        <v>0.37818299999999999</v>
      </c>
      <c r="AM314" s="2">
        <f t="shared" si="230"/>
        <v>2.1385288437500001</v>
      </c>
      <c r="AN314" s="2">
        <f t="shared" si="210"/>
        <v>40</v>
      </c>
      <c r="AO314" s="2">
        <f t="shared" si="211"/>
        <v>1.5746250000000002</v>
      </c>
      <c r="AP314" s="2">
        <f t="shared" si="212"/>
        <v>3.3406164999999994</v>
      </c>
      <c r="AQ314" s="2">
        <f t="shared" si="231"/>
        <v>43.340616499999996</v>
      </c>
      <c r="AR314" s="2">
        <f t="shared" si="232"/>
        <v>6.5010924749999992</v>
      </c>
      <c r="AS314" s="2">
        <f t="shared" si="213"/>
        <v>1.2606099999999999E-2</v>
      </c>
      <c r="AT314" s="2">
        <f t="shared" si="214"/>
        <v>0.37818299999999999</v>
      </c>
      <c r="AU314" s="2">
        <f t="shared" si="233"/>
        <v>51.807123074999993</v>
      </c>
      <c r="AV314" s="2">
        <f t="shared" si="215"/>
        <v>0.630305</v>
      </c>
      <c r="AW314" s="2">
        <f t="shared" si="216"/>
        <v>0.31492500000000001</v>
      </c>
      <c r="AX314" s="2">
        <f t="shared" si="217"/>
        <v>0.13236404999999998</v>
      </c>
      <c r="AY314" s="2">
        <f t="shared" si="234"/>
        <v>0.76266904999999996</v>
      </c>
      <c r="AZ314" s="2">
        <f t="shared" si="235"/>
        <v>0.11440035749999999</v>
      </c>
      <c r="BA314" s="2">
        <f t="shared" si="218"/>
        <v>1.2606099999999999E-2</v>
      </c>
      <c r="BB314" s="2">
        <f t="shared" si="219"/>
        <v>0.37818299999999999</v>
      </c>
      <c r="BC314" s="2">
        <f t="shared" si="236"/>
        <v>1.5827835075000001</v>
      </c>
      <c r="BD314" s="2">
        <v>0</v>
      </c>
      <c r="BE314" s="2">
        <f t="shared" si="220"/>
        <v>6.3030499999999998</v>
      </c>
      <c r="BF314" s="2">
        <f t="shared" si="221"/>
        <v>0.20484912499999997</v>
      </c>
      <c r="BG314" s="2">
        <f t="shared" si="237"/>
        <v>0.20484912499999997</v>
      </c>
      <c r="BH314" s="2">
        <f t="shared" si="238"/>
        <v>3.0727368749999994E-2</v>
      </c>
      <c r="BI314" s="2">
        <f t="shared" si="222"/>
        <v>1.2606099999999999E-2</v>
      </c>
      <c r="BJ314" s="2">
        <f t="shared" si="223"/>
        <v>0.37818299999999999</v>
      </c>
      <c r="BK314" s="2">
        <f t="shared" si="239"/>
        <v>6.9294155937499999</v>
      </c>
      <c r="BL314" s="2">
        <f t="shared" si="224"/>
        <v>3153.7999999999997</v>
      </c>
      <c r="BM314" s="2">
        <f t="shared" si="225"/>
        <v>3149.25</v>
      </c>
      <c r="BN314" s="2">
        <f t="shared" si="240"/>
        <v>6303.0499999999993</v>
      </c>
    </row>
    <row r="315" spans="1:66" x14ac:dyDescent="0.25">
      <c r="A315" s="42">
        <v>312</v>
      </c>
      <c r="B315" s="43">
        <v>42863</v>
      </c>
      <c r="C315" s="42" t="s">
        <v>50</v>
      </c>
      <c r="D315" s="42" t="s">
        <v>224</v>
      </c>
      <c r="E315" s="6">
        <f t="shared" si="226"/>
        <v>-5.3882501562500007</v>
      </c>
      <c r="F315" s="5" t="str">
        <f t="shared" si="241"/>
        <v>Loss</v>
      </c>
      <c r="G315" s="4">
        <f t="shared" si="242"/>
        <v>-3.25</v>
      </c>
      <c r="H315" s="46">
        <v>13</v>
      </c>
      <c r="I315" s="42">
        <v>242.5</v>
      </c>
      <c r="N315" s="5">
        <f t="shared" si="243"/>
        <v>13</v>
      </c>
      <c r="O315" s="4">
        <f t="shared" si="244"/>
        <v>242.5</v>
      </c>
      <c r="P315" s="5">
        <f t="shared" si="199"/>
        <v>13</v>
      </c>
      <c r="Q315" s="42">
        <v>242.25</v>
      </c>
      <c r="R315" s="2">
        <f t="shared" si="247"/>
        <v>0</v>
      </c>
      <c r="T315" s="2">
        <f t="shared" si="227"/>
        <v>0</v>
      </c>
      <c r="V315" s="5">
        <f t="shared" si="245"/>
        <v>13</v>
      </c>
      <c r="W315" s="4">
        <f t="shared" si="246"/>
        <v>242.25</v>
      </c>
      <c r="X315" s="14">
        <f t="shared" si="200"/>
        <v>-0.25</v>
      </c>
      <c r="Y315" s="5">
        <f t="shared" si="201"/>
        <v>-3.25</v>
      </c>
      <c r="Z315" s="2">
        <f t="shared" si="202"/>
        <v>0</v>
      </c>
      <c r="AA315" s="4">
        <f t="shared" si="203"/>
        <v>0</v>
      </c>
      <c r="AB315" s="13">
        <f t="shared" si="204"/>
        <v>2.1382501562500003</v>
      </c>
      <c r="AC315" s="10">
        <f>SUM($E$4:E315)</f>
        <v>-12113.891532516491</v>
      </c>
      <c r="AD315" s="20">
        <f>SUM($AB$4:AB315)</f>
        <v>10938.075232516461</v>
      </c>
      <c r="AF315" s="28">
        <f t="shared" si="205"/>
        <v>0.63017500000000004</v>
      </c>
      <c r="AG315" s="2">
        <f t="shared" si="206"/>
        <v>0.78731250000000008</v>
      </c>
      <c r="AH315" s="2">
        <f t="shared" si="207"/>
        <v>0.20480687499999997</v>
      </c>
      <c r="AI315" s="2">
        <f t="shared" si="228"/>
        <v>0.83498187499999998</v>
      </c>
      <c r="AJ315" s="2">
        <f t="shared" si="229"/>
        <v>0.12524728124999998</v>
      </c>
      <c r="AK315" s="2">
        <f t="shared" si="208"/>
        <v>1.26035E-2</v>
      </c>
      <c r="AL315" s="2">
        <f t="shared" si="209"/>
        <v>0.37810500000000002</v>
      </c>
      <c r="AM315" s="2">
        <f t="shared" si="230"/>
        <v>2.1382501562500003</v>
      </c>
      <c r="AN315" s="2">
        <f t="shared" si="210"/>
        <v>40</v>
      </c>
      <c r="AO315" s="2">
        <f t="shared" si="211"/>
        <v>1.5746250000000002</v>
      </c>
      <c r="AP315" s="2">
        <f t="shared" si="212"/>
        <v>3.3399274999999999</v>
      </c>
      <c r="AQ315" s="2">
        <f t="shared" si="231"/>
        <v>43.339927500000002</v>
      </c>
      <c r="AR315" s="2">
        <f t="shared" si="232"/>
        <v>6.5009891250000003</v>
      </c>
      <c r="AS315" s="2">
        <f t="shared" si="213"/>
        <v>1.26035E-2</v>
      </c>
      <c r="AT315" s="2">
        <f t="shared" si="214"/>
        <v>0.37810500000000002</v>
      </c>
      <c r="AU315" s="2">
        <f t="shared" si="233"/>
        <v>51.806250124999998</v>
      </c>
      <c r="AV315" s="2">
        <f t="shared" si="215"/>
        <v>0.63017500000000004</v>
      </c>
      <c r="AW315" s="2">
        <f t="shared" si="216"/>
        <v>0.31492500000000001</v>
      </c>
      <c r="AX315" s="2">
        <f t="shared" si="217"/>
        <v>0.13233675</v>
      </c>
      <c r="AY315" s="2">
        <f t="shared" si="234"/>
        <v>0.76251175000000004</v>
      </c>
      <c r="AZ315" s="2">
        <f t="shared" si="235"/>
        <v>0.11437676250000001</v>
      </c>
      <c r="BA315" s="2">
        <f t="shared" si="218"/>
        <v>1.26035E-2</v>
      </c>
      <c r="BB315" s="2">
        <f t="shared" si="219"/>
        <v>0.37810500000000002</v>
      </c>
      <c r="BC315" s="2">
        <f t="shared" si="236"/>
        <v>1.5825220125000001</v>
      </c>
      <c r="BD315" s="2">
        <v>0</v>
      </c>
      <c r="BE315" s="2">
        <f t="shared" si="220"/>
        <v>6.3017500000000002</v>
      </c>
      <c r="BF315" s="2">
        <f t="shared" si="221"/>
        <v>0.20480687499999997</v>
      </c>
      <c r="BG315" s="2">
        <f t="shared" si="237"/>
        <v>0.20480687499999997</v>
      </c>
      <c r="BH315" s="2">
        <f t="shared" si="238"/>
        <v>3.0721031249999996E-2</v>
      </c>
      <c r="BI315" s="2">
        <f t="shared" si="222"/>
        <v>1.26035E-2</v>
      </c>
      <c r="BJ315" s="2">
        <f t="shared" si="223"/>
        <v>0.37810500000000002</v>
      </c>
      <c r="BK315" s="2">
        <f t="shared" si="239"/>
        <v>6.9279864062499996</v>
      </c>
      <c r="BL315" s="2">
        <f t="shared" si="224"/>
        <v>3152.5</v>
      </c>
      <c r="BM315" s="2">
        <f t="shared" si="225"/>
        <v>3149.25</v>
      </c>
      <c r="BN315" s="2">
        <f t="shared" si="240"/>
        <v>6301.75</v>
      </c>
    </row>
    <row r="316" spans="1:66" x14ac:dyDescent="0.25">
      <c r="A316" s="42">
        <v>313</v>
      </c>
      <c r="B316" s="43">
        <v>42863</v>
      </c>
      <c r="C316" s="42" t="s">
        <v>50</v>
      </c>
      <c r="D316" s="42" t="s">
        <v>224</v>
      </c>
      <c r="E316" s="6">
        <f t="shared" si="226"/>
        <v>-9.2877626562501483</v>
      </c>
      <c r="F316" s="5" t="str">
        <f t="shared" si="241"/>
        <v>Loss</v>
      </c>
      <c r="G316" s="4">
        <f t="shared" si="242"/>
        <v>-7.1500000000001478</v>
      </c>
      <c r="H316" s="46">
        <v>13</v>
      </c>
      <c r="I316" s="42">
        <v>242.65</v>
      </c>
      <c r="N316" s="5">
        <f t="shared" si="243"/>
        <v>13</v>
      </c>
      <c r="O316" s="4">
        <f t="shared" si="244"/>
        <v>242.65</v>
      </c>
      <c r="P316" s="5">
        <f t="shared" si="199"/>
        <v>13</v>
      </c>
      <c r="Q316" s="42">
        <v>242.1</v>
      </c>
      <c r="R316" s="2">
        <f t="shared" si="247"/>
        <v>0</v>
      </c>
      <c r="T316" s="2">
        <f t="shared" si="227"/>
        <v>0</v>
      </c>
      <c r="V316" s="5">
        <f t="shared" si="245"/>
        <v>13</v>
      </c>
      <c r="W316" s="4">
        <f t="shared" si="246"/>
        <v>242.1</v>
      </c>
      <c r="X316" s="14">
        <f t="shared" si="200"/>
        <v>-0.55000000000001137</v>
      </c>
      <c r="Y316" s="5">
        <f t="shared" si="201"/>
        <v>-7.1500000000001478</v>
      </c>
      <c r="Z316" s="2">
        <f t="shared" si="202"/>
        <v>0</v>
      </c>
      <c r="AA316" s="4">
        <f t="shared" si="203"/>
        <v>0</v>
      </c>
      <c r="AB316" s="13">
        <f t="shared" si="204"/>
        <v>2.1377626562500001</v>
      </c>
      <c r="AC316" s="10">
        <f>SUM($E$4:E316)</f>
        <v>-12123.17929517274</v>
      </c>
      <c r="AD316" s="20">
        <f>SUM($AB$4:AB316)</f>
        <v>10940.212995172711</v>
      </c>
      <c r="AF316" s="28">
        <f t="shared" si="205"/>
        <v>0.63017500000000004</v>
      </c>
      <c r="AG316" s="2">
        <f t="shared" si="206"/>
        <v>0.786825</v>
      </c>
      <c r="AH316" s="2">
        <f t="shared" si="207"/>
        <v>0.20480687499999997</v>
      </c>
      <c r="AI316" s="2">
        <f t="shared" si="228"/>
        <v>0.83498187499999998</v>
      </c>
      <c r="AJ316" s="2">
        <f t="shared" si="229"/>
        <v>0.12524728124999998</v>
      </c>
      <c r="AK316" s="2">
        <f t="shared" si="208"/>
        <v>1.26035E-2</v>
      </c>
      <c r="AL316" s="2">
        <f t="shared" si="209"/>
        <v>0.37810500000000002</v>
      </c>
      <c r="AM316" s="2">
        <f t="shared" si="230"/>
        <v>2.1377626562500001</v>
      </c>
      <c r="AN316" s="2">
        <f t="shared" si="210"/>
        <v>40</v>
      </c>
      <c r="AO316" s="2">
        <f t="shared" si="211"/>
        <v>1.57365</v>
      </c>
      <c r="AP316" s="2">
        <f t="shared" si="212"/>
        <v>3.3399274999999999</v>
      </c>
      <c r="AQ316" s="2">
        <f t="shared" si="231"/>
        <v>43.339927500000002</v>
      </c>
      <c r="AR316" s="2">
        <f t="shared" si="232"/>
        <v>6.5009891250000003</v>
      </c>
      <c r="AS316" s="2">
        <f t="shared" si="213"/>
        <v>1.26035E-2</v>
      </c>
      <c r="AT316" s="2">
        <f t="shared" si="214"/>
        <v>0.37810500000000002</v>
      </c>
      <c r="AU316" s="2">
        <f t="shared" si="233"/>
        <v>51.805275125000001</v>
      </c>
      <c r="AV316" s="2">
        <f t="shared" si="215"/>
        <v>0.63017500000000004</v>
      </c>
      <c r="AW316" s="2">
        <f t="shared" si="216"/>
        <v>0.31473000000000001</v>
      </c>
      <c r="AX316" s="2">
        <f t="shared" si="217"/>
        <v>0.13233675</v>
      </c>
      <c r="AY316" s="2">
        <f t="shared" si="234"/>
        <v>0.76251175000000004</v>
      </c>
      <c r="AZ316" s="2">
        <f t="shared" si="235"/>
        <v>0.11437676250000001</v>
      </c>
      <c r="BA316" s="2">
        <f t="shared" si="218"/>
        <v>1.26035E-2</v>
      </c>
      <c r="BB316" s="2">
        <f t="shared" si="219"/>
        <v>0.37810500000000002</v>
      </c>
      <c r="BC316" s="2">
        <f t="shared" si="236"/>
        <v>1.5823270125000004</v>
      </c>
      <c r="BD316" s="2">
        <v>0</v>
      </c>
      <c r="BE316" s="2">
        <f t="shared" si="220"/>
        <v>6.3017500000000002</v>
      </c>
      <c r="BF316" s="2">
        <f t="shared" si="221"/>
        <v>0.20480687499999997</v>
      </c>
      <c r="BG316" s="2">
        <f t="shared" si="237"/>
        <v>0.20480687499999997</v>
      </c>
      <c r="BH316" s="2">
        <f t="shared" si="238"/>
        <v>3.0721031249999996E-2</v>
      </c>
      <c r="BI316" s="2">
        <f t="shared" si="222"/>
        <v>1.26035E-2</v>
      </c>
      <c r="BJ316" s="2">
        <f t="shared" si="223"/>
        <v>0.37810500000000002</v>
      </c>
      <c r="BK316" s="2">
        <f t="shared" si="239"/>
        <v>6.9279864062499996</v>
      </c>
      <c r="BL316" s="2">
        <f t="shared" si="224"/>
        <v>3154.4500000000003</v>
      </c>
      <c r="BM316" s="2">
        <f t="shared" si="225"/>
        <v>3147.2999999999997</v>
      </c>
      <c r="BN316" s="2">
        <f t="shared" si="240"/>
        <v>6301.75</v>
      </c>
    </row>
    <row r="317" spans="1:66" x14ac:dyDescent="0.25">
      <c r="A317" s="42">
        <v>314</v>
      </c>
      <c r="B317" s="43">
        <v>42863</v>
      </c>
      <c r="C317" s="42" t="s">
        <v>50</v>
      </c>
      <c r="D317" s="42" t="s">
        <v>193</v>
      </c>
      <c r="E317" s="6">
        <f t="shared" si="226"/>
        <v>6.7532922187499995</v>
      </c>
      <c r="F317" s="5" t="str">
        <f t="shared" si="241"/>
        <v>Win</v>
      </c>
      <c r="G317" s="4">
        <f t="shared" si="242"/>
        <v>8.25</v>
      </c>
      <c r="H317" s="46">
        <v>33</v>
      </c>
      <c r="I317" s="42">
        <v>66.650000000000006</v>
      </c>
      <c r="N317" s="5">
        <f t="shared" si="243"/>
        <v>33</v>
      </c>
      <c r="O317" s="4">
        <f t="shared" si="244"/>
        <v>66.650000000000006</v>
      </c>
      <c r="P317" s="5">
        <f t="shared" si="199"/>
        <v>33</v>
      </c>
      <c r="Q317" s="42">
        <v>66.900000000000006</v>
      </c>
      <c r="R317" s="2">
        <f t="shared" si="247"/>
        <v>0</v>
      </c>
      <c r="T317" s="2">
        <f t="shared" si="227"/>
        <v>0</v>
      </c>
      <c r="V317" s="5">
        <f t="shared" si="245"/>
        <v>33</v>
      </c>
      <c r="W317" s="4">
        <f t="shared" si="246"/>
        <v>66.900000000000006</v>
      </c>
      <c r="X317" s="14">
        <f t="shared" si="200"/>
        <v>0.25</v>
      </c>
      <c r="Y317" s="5">
        <f t="shared" si="201"/>
        <v>8.25</v>
      </c>
      <c r="Z317" s="2">
        <f t="shared" si="202"/>
        <v>0</v>
      </c>
      <c r="AA317" s="4">
        <f t="shared" si="203"/>
        <v>0</v>
      </c>
      <c r="AB317" s="13">
        <f t="shared" si="204"/>
        <v>1.4967077812500003</v>
      </c>
      <c r="AC317" s="10">
        <f>SUM($E$4:E317)</f>
        <v>-12116.426002953991</v>
      </c>
      <c r="AD317" s="20">
        <f>SUM($AB$4:AB317)</f>
        <v>10941.709702953962</v>
      </c>
      <c r="AF317" s="28">
        <f t="shared" si="205"/>
        <v>0.44071500000000008</v>
      </c>
      <c r="AG317" s="2">
        <f t="shared" si="206"/>
        <v>0.55192500000000011</v>
      </c>
      <c r="AH317" s="2">
        <f t="shared" si="207"/>
        <v>0.143232375</v>
      </c>
      <c r="AI317" s="2">
        <f t="shared" si="228"/>
        <v>0.58394737500000005</v>
      </c>
      <c r="AJ317" s="2">
        <f t="shared" si="229"/>
        <v>8.759210625000001E-2</v>
      </c>
      <c r="AK317" s="2">
        <f t="shared" si="208"/>
        <v>8.8143000000000006E-3</v>
      </c>
      <c r="AL317" s="2">
        <f t="shared" si="209"/>
        <v>0.26442900000000003</v>
      </c>
      <c r="AM317" s="2">
        <f t="shared" si="230"/>
        <v>1.4967077812500003</v>
      </c>
      <c r="AN317" s="2">
        <f t="shared" si="210"/>
        <v>40</v>
      </c>
      <c r="AO317" s="2">
        <f t="shared" si="211"/>
        <v>1.1038500000000002</v>
      </c>
      <c r="AP317" s="2">
        <f t="shared" si="212"/>
        <v>2.3357895000000002</v>
      </c>
      <c r="AQ317" s="2">
        <f t="shared" si="231"/>
        <v>42.335789499999997</v>
      </c>
      <c r="AR317" s="2">
        <f t="shared" si="232"/>
        <v>6.3503684249999992</v>
      </c>
      <c r="AS317" s="2">
        <f t="shared" si="213"/>
        <v>8.8143000000000006E-3</v>
      </c>
      <c r="AT317" s="2">
        <f t="shared" si="214"/>
        <v>0.26442900000000003</v>
      </c>
      <c r="AU317" s="2">
        <f t="shared" si="233"/>
        <v>50.063251224999995</v>
      </c>
      <c r="AV317" s="2">
        <f t="shared" si="215"/>
        <v>0.44071500000000008</v>
      </c>
      <c r="AW317" s="2">
        <f t="shared" si="216"/>
        <v>0.22077000000000002</v>
      </c>
      <c r="AX317" s="2">
        <f t="shared" si="217"/>
        <v>9.2550150000000012E-2</v>
      </c>
      <c r="AY317" s="2">
        <f t="shared" si="234"/>
        <v>0.53326515000000008</v>
      </c>
      <c r="AZ317" s="2">
        <f t="shared" si="235"/>
        <v>7.9989772500000014E-2</v>
      </c>
      <c r="BA317" s="2">
        <f t="shared" si="218"/>
        <v>8.8143000000000006E-3</v>
      </c>
      <c r="BB317" s="2">
        <f t="shared" si="219"/>
        <v>0.26442900000000003</v>
      </c>
      <c r="BC317" s="2">
        <f t="shared" si="236"/>
        <v>1.1072682225000001</v>
      </c>
      <c r="BD317" s="2">
        <v>0</v>
      </c>
      <c r="BE317" s="2">
        <f t="shared" si="220"/>
        <v>4.4071500000000006</v>
      </c>
      <c r="BF317" s="2">
        <f t="shared" si="221"/>
        <v>0.143232375</v>
      </c>
      <c r="BG317" s="2">
        <f t="shared" si="237"/>
        <v>0.143232375</v>
      </c>
      <c r="BH317" s="2">
        <f t="shared" si="238"/>
        <v>2.148485625E-2</v>
      </c>
      <c r="BI317" s="2">
        <f t="shared" si="222"/>
        <v>8.8143000000000006E-3</v>
      </c>
      <c r="BJ317" s="2">
        <f t="shared" si="223"/>
        <v>0.26442900000000003</v>
      </c>
      <c r="BK317" s="2">
        <f t="shared" si="239"/>
        <v>4.8451105312500005</v>
      </c>
      <c r="BL317" s="2">
        <f t="shared" si="224"/>
        <v>2199.4500000000003</v>
      </c>
      <c r="BM317" s="2">
        <f t="shared" si="225"/>
        <v>2207.7000000000003</v>
      </c>
      <c r="BN317" s="2">
        <f t="shared" si="240"/>
        <v>4407.1500000000005</v>
      </c>
    </row>
    <row r="318" spans="1:66" x14ac:dyDescent="0.25">
      <c r="A318" s="42">
        <v>315</v>
      </c>
      <c r="B318" s="43">
        <v>42863</v>
      </c>
      <c r="C318" s="42" t="s">
        <v>50</v>
      </c>
      <c r="D318" s="42" t="s">
        <v>176</v>
      </c>
      <c r="E318" s="6">
        <f t="shared" si="226"/>
        <v>-20.330479970500058</v>
      </c>
      <c r="F318" s="5" t="str">
        <f t="shared" si="241"/>
        <v>Loss</v>
      </c>
      <c r="G318" s="4">
        <f t="shared" si="242"/>
        <v>-13.450400000000059</v>
      </c>
      <c r="H318" s="46">
        <v>17</v>
      </c>
      <c r="I318" s="42">
        <v>199.5</v>
      </c>
      <c r="J318" s="42">
        <v>17</v>
      </c>
      <c r="K318" s="42">
        <v>198.65</v>
      </c>
      <c r="L318" s="42">
        <v>17</v>
      </c>
      <c r="M318" s="44">
        <v>198.65</v>
      </c>
      <c r="N318" s="5">
        <f t="shared" si="243"/>
        <v>51</v>
      </c>
      <c r="O318" s="4">
        <f t="shared" si="244"/>
        <v>198.93333333333331</v>
      </c>
      <c r="P318" s="5">
        <f t="shared" si="199"/>
        <v>17</v>
      </c>
      <c r="Q318" s="42">
        <v>198.5</v>
      </c>
      <c r="R318" s="2">
        <f t="shared" si="247"/>
        <v>17</v>
      </c>
      <c r="S318" s="42">
        <v>198.9588</v>
      </c>
      <c r="T318" s="2">
        <f t="shared" si="227"/>
        <v>17</v>
      </c>
      <c r="U318" s="44">
        <v>198.55</v>
      </c>
      <c r="V318" s="5">
        <f t="shared" si="245"/>
        <v>51</v>
      </c>
      <c r="W318" s="4">
        <f t="shared" si="246"/>
        <v>198.66960000000003</v>
      </c>
      <c r="X318" s="14">
        <f t="shared" si="200"/>
        <v>0.30879999999999086</v>
      </c>
      <c r="Y318" s="5">
        <f t="shared" si="201"/>
        <v>-17</v>
      </c>
      <c r="Z318" s="2">
        <f t="shared" si="202"/>
        <v>5.2495999999998446</v>
      </c>
      <c r="AA318" s="4">
        <f t="shared" si="203"/>
        <v>-1.6999999999999034</v>
      </c>
      <c r="AB318" s="13">
        <f t="shared" si="204"/>
        <v>6.8800799705000006</v>
      </c>
      <c r="AC318" s="10">
        <f>SUM($E$4:E318)</f>
        <v>-12136.756482924491</v>
      </c>
      <c r="AD318" s="20">
        <f>SUM($AB$4:AB318)</f>
        <v>10948.589782924462</v>
      </c>
      <c r="AF318" s="28">
        <f t="shared" si="205"/>
        <v>2.0277749600000003</v>
      </c>
      <c r="AG318" s="2">
        <f t="shared" si="206"/>
        <v>2.5330374000000004</v>
      </c>
      <c r="AH318" s="2">
        <f t="shared" si="207"/>
        <v>0.65902686200000005</v>
      </c>
      <c r="AI318" s="2">
        <f t="shared" si="228"/>
        <v>2.6868018220000005</v>
      </c>
      <c r="AJ318" s="2">
        <f t="shared" si="229"/>
        <v>0.40302027330000006</v>
      </c>
      <c r="AK318" s="2">
        <f t="shared" si="208"/>
        <v>4.0555499200000011E-2</v>
      </c>
      <c r="AL318" s="2">
        <f t="shared" si="209"/>
        <v>1.2166649760000001</v>
      </c>
      <c r="AM318" s="2">
        <f t="shared" si="230"/>
        <v>6.8800799705000006</v>
      </c>
      <c r="AN318" s="2">
        <f t="shared" si="210"/>
        <v>120</v>
      </c>
      <c r="AO318" s="2">
        <f t="shared" si="211"/>
        <v>5.0660748000000009</v>
      </c>
      <c r="AP318" s="2">
        <f t="shared" si="212"/>
        <v>10.747207288</v>
      </c>
      <c r="AQ318" s="2">
        <f t="shared" si="231"/>
        <v>130.747207288</v>
      </c>
      <c r="AR318" s="2">
        <f t="shared" si="232"/>
        <v>19.6120810932</v>
      </c>
      <c r="AS318" s="2">
        <f t="shared" si="213"/>
        <v>4.0555499200000011E-2</v>
      </c>
      <c r="AT318" s="2">
        <f t="shared" si="214"/>
        <v>1.2166649760000001</v>
      </c>
      <c r="AU318" s="2">
        <f t="shared" si="233"/>
        <v>156.6825836564</v>
      </c>
      <c r="AV318" s="2">
        <f t="shared" si="215"/>
        <v>2.0277749600000003</v>
      </c>
      <c r="AW318" s="2">
        <f t="shared" si="216"/>
        <v>1.0132149600000002</v>
      </c>
      <c r="AX318" s="2">
        <f t="shared" si="217"/>
        <v>0.42583274160000001</v>
      </c>
      <c r="AY318" s="2">
        <f t="shared" si="234"/>
        <v>2.4536077016000002</v>
      </c>
      <c r="AZ318" s="2">
        <f t="shared" si="235"/>
        <v>0.36804115524000003</v>
      </c>
      <c r="BA318" s="2">
        <f t="shared" si="218"/>
        <v>4.0555499200000011E-2</v>
      </c>
      <c r="BB318" s="2">
        <f t="shared" si="219"/>
        <v>1.2166649760000001</v>
      </c>
      <c r="BC318" s="2">
        <f t="shared" si="236"/>
        <v>5.0920842920400009</v>
      </c>
      <c r="BD318" s="2">
        <v>0</v>
      </c>
      <c r="BE318" s="2">
        <f t="shared" si="220"/>
        <v>20.277749600000003</v>
      </c>
      <c r="BF318" s="2">
        <f t="shared" si="221"/>
        <v>0.65902686200000005</v>
      </c>
      <c r="BG318" s="2">
        <f t="shared" si="237"/>
        <v>0.65902686200000005</v>
      </c>
      <c r="BH318" s="2">
        <f t="shared" si="238"/>
        <v>9.8854029300000007E-2</v>
      </c>
      <c r="BI318" s="2">
        <f t="shared" si="222"/>
        <v>4.0555499200000011E-2</v>
      </c>
      <c r="BJ318" s="2">
        <f t="shared" si="223"/>
        <v>1.2166649760000001</v>
      </c>
      <c r="BK318" s="2">
        <f t="shared" si="239"/>
        <v>22.292850966500005</v>
      </c>
      <c r="BL318" s="2">
        <f t="shared" si="224"/>
        <v>10145.599999999999</v>
      </c>
      <c r="BM318" s="2">
        <f t="shared" si="225"/>
        <v>10132.149600000002</v>
      </c>
      <c r="BN318" s="2">
        <f t="shared" si="240"/>
        <v>20277.749600000003</v>
      </c>
    </row>
    <row r="319" spans="1:66" x14ac:dyDescent="0.25">
      <c r="A319" s="42">
        <v>316</v>
      </c>
      <c r="B319" s="43">
        <v>42863</v>
      </c>
      <c r="C319" s="42" t="s">
        <v>50</v>
      </c>
      <c r="D319" s="42" t="s">
        <v>206</v>
      </c>
      <c r="E319" s="6">
        <f t="shared" si="226"/>
        <v>-8.91291937499971</v>
      </c>
      <c r="F319" s="5" t="str">
        <f t="shared" si="241"/>
        <v>Loss</v>
      </c>
      <c r="G319" s="4">
        <f t="shared" si="242"/>
        <v>-5.0999999999997101</v>
      </c>
      <c r="H319" s="46">
        <v>17</v>
      </c>
      <c r="I319" s="42">
        <v>164.7</v>
      </c>
      <c r="J319" s="42">
        <v>17</v>
      </c>
      <c r="K319" s="42">
        <v>165.95</v>
      </c>
      <c r="N319" s="5">
        <f t="shared" si="243"/>
        <v>34</v>
      </c>
      <c r="O319" s="4">
        <f t="shared" si="244"/>
        <v>165.32499999999999</v>
      </c>
      <c r="P319" s="5">
        <f t="shared" si="199"/>
        <v>17</v>
      </c>
      <c r="Q319" s="42">
        <v>165</v>
      </c>
      <c r="R319" s="2">
        <f t="shared" si="247"/>
        <v>17</v>
      </c>
      <c r="S319" s="42">
        <v>165.35</v>
      </c>
      <c r="T319" s="2">
        <f t="shared" si="227"/>
        <v>0</v>
      </c>
      <c r="V319" s="5">
        <f t="shared" si="245"/>
        <v>34</v>
      </c>
      <c r="W319" s="4">
        <f t="shared" si="246"/>
        <v>165.17500000000001</v>
      </c>
      <c r="X319" s="14">
        <f t="shared" si="200"/>
        <v>0.65000000000000568</v>
      </c>
      <c r="Y319" s="5">
        <f t="shared" si="201"/>
        <v>5.1000000000001933</v>
      </c>
      <c r="Z319" s="2">
        <f t="shared" si="202"/>
        <v>-10.199999999999903</v>
      </c>
      <c r="AA319" s="4">
        <f t="shared" si="203"/>
        <v>0</v>
      </c>
      <c r="AB319" s="13">
        <f t="shared" si="204"/>
        <v>3.8129193750000003</v>
      </c>
      <c r="AC319" s="10">
        <f>SUM($E$4:E319)</f>
        <v>-12145.669402299491</v>
      </c>
      <c r="AD319" s="20">
        <f>SUM($AB$4:AB319)</f>
        <v>10952.402702299461</v>
      </c>
      <c r="AF319" s="28">
        <f t="shared" si="205"/>
        <v>1.1237000000000001</v>
      </c>
      <c r="AG319" s="2">
        <f t="shared" si="206"/>
        <v>1.4039875000000002</v>
      </c>
      <c r="AH319" s="2">
        <f t="shared" si="207"/>
        <v>0.36520249999999999</v>
      </c>
      <c r="AI319" s="2">
        <f t="shared" si="228"/>
        <v>1.4889025</v>
      </c>
      <c r="AJ319" s="2">
        <f t="shared" si="229"/>
        <v>0.223335375</v>
      </c>
      <c r="AK319" s="2">
        <f t="shared" si="208"/>
        <v>2.2474000000000001E-2</v>
      </c>
      <c r="AL319" s="2">
        <f t="shared" si="209"/>
        <v>0.67422000000000004</v>
      </c>
      <c r="AM319" s="2">
        <f t="shared" si="230"/>
        <v>3.8129193750000003</v>
      </c>
      <c r="AN319" s="2">
        <f t="shared" si="210"/>
        <v>80</v>
      </c>
      <c r="AO319" s="2">
        <f t="shared" si="211"/>
        <v>2.8079750000000003</v>
      </c>
      <c r="AP319" s="2">
        <f t="shared" si="212"/>
        <v>5.9556100000000001</v>
      </c>
      <c r="AQ319" s="2">
        <f t="shared" si="231"/>
        <v>85.955610000000007</v>
      </c>
      <c r="AR319" s="2">
        <f t="shared" si="232"/>
        <v>12.8933415</v>
      </c>
      <c r="AS319" s="2">
        <f t="shared" si="213"/>
        <v>2.2474000000000001E-2</v>
      </c>
      <c r="AT319" s="2">
        <f t="shared" si="214"/>
        <v>0.67422000000000004</v>
      </c>
      <c r="AU319" s="2">
        <f t="shared" si="233"/>
        <v>102.35362050000002</v>
      </c>
      <c r="AV319" s="2">
        <f t="shared" si="215"/>
        <v>1.1237000000000001</v>
      </c>
      <c r="AW319" s="2">
        <f t="shared" si="216"/>
        <v>0.56159500000000007</v>
      </c>
      <c r="AX319" s="2">
        <f t="shared" si="217"/>
        <v>0.23597699999999999</v>
      </c>
      <c r="AY319" s="2">
        <f t="shared" si="234"/>
        <v>1.359677</v>
      </c>
      <c r="AZ319" s="2">
        <f t="shared" si="235"/>
        <v>0.20395155000000001</v>
      </c>
      <c r="BA319" s="2">
        <f t="shared" si="218"/>
        <v>2.2474000000000001E-2</v>
      </c>
      <c r="BB319" s="2">
        <f t="shared" si="219"/>
        <v>0.67422000000000004</v>
      </c>
      <c r="BC319" s="2">
        <f t="shared" si="236"/>
        <v>2.8219175500000002</v>
      </c>
      <c r="BD319" s="2">
        <v>0</v>
      </c>
      <c r="BE319" s="2">
        <f t="shared" si="220"/>
        <v>11.237</v>
      </c>
      <c r="BF319" s="2">
        <f t="shared" si="221"/>
        <v>0.36520249999999999</v>
      </c>
      <c r="BG319" s="2">
        <f t="shared" si="237"/>
        <v>0.36520249999999999</v>
      </c>
      <c r="BH319" s="2">
        <f t="shared" si="238"/>
        <v>5.4780374999999999E-2</v>
      </c>
      <c r="BI319" s="2">
        <f t="shared" si="222"/>
        <v>2.2474000000000001E-2</v>
      </c>
      <c r="BJ319" s="2">
        <f t="shared" si="223"/>
        <v>0.67422000000000004</v>
      </c>
      <c r="BK319" s="2">
        <f t="shared" si="239"/>
        <v>12.353676875000001</v>
      </c>
      <c r="BL319" s="2">
        <f t="shared" si="224"/>
        <v>5621.0499999999993</v>
      </c>
      <c r="BM319" s="2">
        <f t="shared" si="225"/>
        <v>5615.9500000000007</v>
      </c>
      <c r="BN319" s="2">
        <f t="shared" si="240"/>
        <v>11237</v>
      </c>
    </row>
    <row r="320" spans="1:66" x14ac:dyDescent="0.25">
      <c r="A320" s="42">
        <v>317</v>
      </c>
      <c r="B320" s="43">
        <v>42863</v>
      </c>
      <c r="C320" s="42" t="s">
        <v>50</v>
      </c>
      <c r="D320" s="42" t="s">
        <v>176</v>
      </c>
      <c r="E320" s="6">
        <f t="shared" si="226"/>
        <v>-4.8427193437500966</v>
      </c>
      <c r="F320" s="5" t="str">
        <f t="shared" si="241"/>
        <v>Loss</v>
      </c>
      <c r="G320" s="4">
        <f t="shared" si="242"/>
        <v>-2.5500000000000966</v>
      </c>
      <c r="H320" s="46">
        <v>17</v>
      </c>
      <c r="I320" s="42">
        <v>198.8</v>
      </c>
      <c r="N320" s="5">
        <f t="shared" si="243"/>
        <v>17</v>
      </c>
      <c r="O320" s="4">
        <f t="shared" si="244"/>
        <v>198.8</v>
      </c>
      <c r="P320" s="5">
        <f t="shared" si="199"/>
        <v>17</v>
      </c>
      <c r="Q320" s="42">
        <v>198.65</v>
      </c>
      <c r="R320" s="2">
        <f t="shared" si="247"/>
        <v>0</v>
      </c>
      <c r="T320" s="2">
        <f t="shared" si="227"/>
        <v>0</v>
      </c>
      <c r="V320" s="5">
        <f t="shared" si="245"/>
        <v>17</v>
      </c>
      <c r="W320" s="4">
        <f t="shared" si="246"/>
        <v>198.65</v>
      </c>
      <c r="X320" s="14">
        <f t="shared" si="200"/>
        <v>-0.15000000000000568</v>
      </c>
      <c r="Y320" s="5">
        <f t="shared" si="201"/>
        <v>-2.5500000000000966</v>
      </c>
      <c r="Z320" s="2">
        <f t="shared" si="202"/>
        <v>0</v>
      </c>
      <c r="AA320" s="4">
        <f t="shared" si="203"/>
        <v>0</v>
      </c>
      <c r="AB320" s="13">
        <f t="shared" si="204"/>
        <v>2.29271934375</v>
      </c>
      <c r="AC320" s="10">
        <f>SUM($E$4:E320)</f>
        <v>-12150.51212164324</v>
      </c>
      <c r="AD320" s="20">
        <f>SUM($AB$4:AB320)</f>
        <v>10954.695421643211</v>
      </c>
      <c r="AF320" s="28">
        <f t="shared" si="205"/>
        <v>0.67566500000000007</v>
      </c>
      <c r="AG320" s="2">
        <f t="shared" si="206"/>
        <v>0.84426250000000014</v>
      </c>
      <c r="AH320" s="2">
        <f t="shared" si="207"/>
        <v>0.219591125</v>
      </c>
      <c r="AI320" s="2">
        <f t="shared" si="228"/>
        <v>0.89525612500000007</v>
      </c>
      <c r="AJ320" s="2">
        <f t="shared" si="229"/>
        <v>0.13428841875</v>
      </c>
      <c r="AK320" s="2">
        <f t="shared" si="208"/>
        <v>1.3513300000000002E-2</v>
      </c>
      <c r="AL320" s="2">
        <f t="shared" si="209"/>
        <v>0.40539900000000006</v>
      </c>
      <c r="AM320" s="2">
        <f t="shared" si="230"/>
        <v>2.29271934375</v>
      </c>
      <c r="AN320" s="2">
        <f t="shared" si="210"/>
        <v>40</v>
      </c>
      <c r="AO320" s="2">
        <f t="shared" si="211"/>
        <v>1.6885250000000003</v>
      </c>
      <c r="AP320" s="2">
        <f t="shared" si="212"/>
        <v>3.5810245000000003</v>
      </c>
      <c r="AQ320" s="2">
        <f t="shared" si="231"/>
        <v>43.581024499999998</v>
      </c>
      <c r="AR320" s="2">
        <f t="shared" si="232"/>
        <v>6.5371536749999999</v>
      </c>
      <c r="AS320" s="2">
        <f t="shared" si="213"/>
        <v>1.3513300000000002E-2</v>
      </c>
      <c r="AT320" s="2">
        <f t="shared" si="214"/>
        <v>0.40539900000000006</v>
      </c>
      <c r="AU320" s="2">
        <f t="shared" si="233"/>
        <v>52.225615474999998</v>
      </c>
      <c r="AV320" s="2">
        <f t="shared" si="215"/>
        <v>0.67566500000000007</v>
      </c>
      <c r="AW320" s="2">
        <f t="shared" si="216"/>
        <v>0.33770500000000003</v>
      </c>
      <c r="AX320" s="2">
        <f t="shared" si="217"/>
        <v>0.14188965000000001</v>
      </c>
      <c r="AY320" s="2">
        <f t="shared" si="234"/>
        <v>0.81755465000000005</v>
      </c>
      <c r="AZ320" s="2">
        <f t="shared" si="235"/>
        <v>0.1226331975</v>
      </c>
      <c r="BA320" s="2">
        <f t="shared" si="218"/>
        <v>1.3513300000000002E-2</v>
      </c>
      <c r="BB320" s="2">
        <f t="shared" si="219"/>
        <v>0.40539900000000006</v>
      </c>
      <c r="BC320" s="2">
        <f t="shared" si="236"/>
        <v>1.6968051475000001</v>
      </c>
      <c r="BD320" s="2">
        <v>0</v>
      </c>
      <c r="BE320" s="2">
        <f t="shared" si="220"/>
        <v>6.7566500000000005</v>
      </c>
      <c r="BF320" s="2">
        <f t="shared" si="221"/>
        <v>0.219591125</v>
      </c>
      <c r="BG320" s="2">
        <f t="shared" si="237"/>
        <v>0.219591125</v>
      </c>
      <c r="BH320" s="2">
        <f t="shared" si="238"/>
        <v>3.2938668749999997E-2</v>
      </c>
      <c r="BI320" s="2">
        <f t="shared" si="222"/>
        <v>1.3513300000000002E-2</v>
      </c>
      <c r="BJ320" s="2">
        <f t="shared" si="223"/>
        <v>0.40539900000000006</v>
      </c>
      <c r="BK320" s="2">
        <f t="shared" si="239"/>
        <v>7.4280920937500001</v>
      </c>
      <c r="BL320" s="2">
        <f t="shared" si="224"/>
        <v>3379.6000000000004</v>
      </c>
      <c r="BM320" s="2">
        <f t="shared" si="225"/>
        <v>3377.05</v>
      </c>
      <c r="BN320" s="2">
        <f t="shared" si="240"/>
        <v>6756.6500000000005</v>
      </c>
    </row>
    <row r="321" spans="1:66" x14ac:dyDescent="0.25">
      <c r="A321" s="42">
        <v>318</v>
      </c>
      <c r="B321" s="43">
        <v>42863</v>
      </c>
      <c r="C321" s="42" t="s">
        <v>50</v>
      </c>
      <c r="D321" s="42" t="s">
        <v>178</v>
      </c>
      <c r="E321" s="6">
        <f t="shared" si="226"/>
        <v>-17.171273343750205</v>
      </c>
      <c r="F321" s="5" t="str">
        <f t="shared" si="241"/>
        <v>Loss</v>
      </c>
      <c r="G321" s="4">
        <f t="shared" si="242"/>
        <v>-15.150000000000205</v>
      </c>
      <c r="H321" s="46">
        <v>3</v>
      </c>
      <c r="I321" s="42">
        <v>996.1</v>
      </c>
      <c r="N321" s="5">
        <f t="shared" si="243"/>
        <v>3</v>
      </c>
      <c r="O321" s="4">
        <f t="shared" si="244"/>
        <v>996.1</v>
      </c>
      <c r="P321" s="5">
        <f t="shared" si="199"/>
        <v>3</v>
      </c>
      <c r="Q321" s="42">
        <v>991.05</v>
      </c>
      <c r="R321" s="2">
        <f t="shared" si="247"/>
        <v>0</v>
      </c>
      <c r="T321" s="2">
        <f t="shared" si="227"/>
        <v>0</v>
      </c>
      <c r="V321" s="5">
        <f t="shared" si="245"/>
        <v>3</v>
      </c>
      <c r="W321" s="4">
        <f t="shared" si="246"/>
        <v>991.05</v>
      </c>
      <c r="X321" s="14">
        <f t="shared" si="200"/>
        <v>-5.0500000000000682</v>
      </c>
      <c r="Y321" s="5">
        <f t="shared" si="201"/>
        <v>-15.150000000000205</v>
      </c>
      <c r="Z321" s="2">
        <f t="shared" si="202"/>
        <v>0</v>
      </c>
      <c r="AA321" s="4">
        <f t="shared" si="203"/>
        <v>0</v>
      </c>
      <c r="AB321" s="13">
        <f t="shared" si="204"/>
        <v>2.0212733437499999</v>
      </c>
      <c r="AC321" s="10">
        <f>SUM($E$4:E321)</f>
        <v>-12167.683394986991</v>
      </c>
      <c r="AD321" s="20">
        <f>SUM($AB$4:AB321)</f>
        <v>10956.716694986961</v>
      </c>
      <c r="AF321" s="28">
        <f t="shared" si="205"/>
        <v>0.59614500000000004</v>
      </c>
      <c r="AG321" s="2">
        <f t="shared" si="206"/>
        <v>0.74328749999999999</v>
      </c>
      <c r="AH321" s="2">
        <f t="shared" si="207"/>
        <v>0.19374712499999996</v>
      </c>
      <c r="AI321" s="2">
        <f t="shared" si="228"/>
        <v>0.78989212499999994</v>
      </c>
      <c r="AJ321" s="2">
        <f t="shared" si="229"/>
        <v>0.11848381874999998</v>
      </c>
      <c r="AK321" s="2">
        <f t="shared" si="208"/>
        <v>1.19229E-2</v>
      </c>
      <c r="AL321" s="2">
        <f t="shared" si="209"/>
        <v>0.35768699999999998</v>
      </c>
      <c r="AM321" s="2">
        <f t="shared" si="230"/>
        <v>2.0212733437499999</v>
      </c>
      <c r="AN321" s="2">
        <f t="shared" si="210"/>
        <v>40</v>
      </c>
      <c r="AO321" s="2">
        <f t="shared" si="211"/>
        <v>1.486575</v>
      </c>
      <c r="AP321" s="2">
        <f t="shared" si="212"/>
        <v>3.1595684999999998</v>
      </c>
      <c r="AQ321" s="2">
        <f t="shared" si="231"/>
        <v>43.159568499999999</v>
      </c>
      <c r="AR321" s="2">
        <f t="shared" si="232"/>
        <v>6.4739352749999997</v>
      </c>
      <c r="AS321" s="2">
        <f t="shared" si="213"/>
        <v>1.19229E-2</v>
      </c>
      <c r="AT321" s="2">
        <f t="shared" si="214"/>
        <v>0.35768699999999998</v>
      </c>
      <c r="AU321" s="2">
        <f t="shared" si="233"/>
        <v>51.489688675000004</v>
      </c>
      <c r="AV321" s="2">
        <f t="shared" si="215"/>
        <v>0.59614500000000004</v>
      </c>
      <c r="AW321" s="2">
        <f t="shared" si="216"/>
        <v>0.297315</v>
      </c>
      <c r="AX321" s="2">
        <f t="shared" si="217"/>
        <v>0.12519044999999998</v>
      </c>
      <c r="AY321" s="2">
        <f t="shared" si="234"/>
        <v>0.72133544999999999</v>
      </c>
      <c r="AZ321" s="2">
        <f t="shared" si="235"/>
        <v>0.10820031749999999</v>
      </c>
      <c r="BA321" s="2">
        <f t="shared" si="218"/>
        <v>1.19229E-2</v>
      </c>
      <c r="BB321" s="2">
        <f t="shared" si="219"/>
        <v>0.35768699999999998</v>
      </c>
      <c r="BC321" s="2">
        <f t="shared" si="236"/>
        <v>1.4964606675000001</v>
      </c>
      <c r="BD321" s="2">
        <v>0</v>
      </c>
      <c r="BE321" s="2">
        <f t="shared" si="220"/>
        <v>5.9614500000000001</v>
      </c>
      <c r="BF321" s="2">
        <f t="shared" si="221"/>
        <v>0.19374712499999996</v>
      </c>
      <c r="BG321" s="2">
        <f t="shared" si="237"/>
        <v>0.19374712499999996</v>
      </c>
      <c r="BH321" s="2">
        <f t="shared" si="238"/>
        <v>2.9062068749999993E-2</v>
      </c>
      <c r="BI321" s="2">
        <f t="shared" si="222"/>
        <v>1.19229E-2</v>
      </c>
      <c r="BJ321" s="2">
        <f t="shared" si="223"/>
        <v>0.35768699999999998</v>
      </c>
      <c r="BK321" s="2">
        <f t="shared" si="239"/>
        <v>6.5538690937500004</v>
      </c>
      <c r="BL321" s="2">
        <f t="shared" si="224"/>
        <v>2988.3</v>
      </c>
      <c r="BM321" s="2">
        <f t="shared" si="225"/>
        <v>2973.1499999999996</v>
      </c>
      <c r="BN321" s="2">
        <f t="shared" si="240"/>
        <v>5961.45</v>
      </c>
    </row>
    <row r="322" spans="1:66" x14ac:dyDescent="0.25">
      <c r="A322" s="42">
        <v>319</v>
      </c>
      <c r="B322" s="43">
        <v>42864</v>
      </c>
      <c r="C322" s="42" t="s">
        <v>50</v>
      </c>
      <c r="D322" s="42" t="s">
        <v>188</v>
      </c>
      <c r="E322" s="6">
        <f t="shared" si="226"/>
        <v>-18.515639468750084</v>
      </c>
      <c r="F322" s="5" t="str">
        <f t="shared" si="241"/>
        <v>Loss</v>
      </c>
      <c r="G322" s="4">
        <f t="shared" si="242"/>
        <v>-16.250000000000085</v>
      </c>
      <c r="H322" s="46">
        <v>1</v>
      </c>
      <c r="I322" s="42">
        <v>186.25</v>
      </c>
      <c r="J322" s="42">
        <v>17</v>
      </c>
      <c r="K322" s="42">
        <v>185.9</v>
      </c>
      <c r="N322" s="5">
        <f t="shared" si="243"/>
        <v>18</v>
      </c>
      <c r="O322" s="4">
        <f t="shared" si="244"/>
        <v>186.07499999999999</v>
      </c>
      <c r="P322" s="5">
        <f t="shared" si="199"/>
        <v>1</v>
      </c>
      <c r="Q322" s="42">
        <v>185.3</v>
      </c>
      <c r="R322" s="2">
        <f t="shared" si="247"/>
        <v>17</v>
      </c>
      <c r="S322" s="42">
        <v>185</v>
      </c>
      <c r="T322" s="2">
        <f t="shared" si="227"/>
        <v>0</v>
      </c>
      <c r="V322" s="5">
        <f t="shared" si="245"/>
        <v>18</v>
      </c>
      <c r="W322" s="4">
        <f t="shared" si="246"/>
        <v>185.15</v>
      </c>
      <c r="X322" s="14">
        <f t="shared" si="200"/>
        <v>-0.59999999999999432</v>
      </c>
      <c r="Y322" s="5">
        <f t="shared" si="201"/>
        <v>-0.94999999999998863</v>
      </c>
      <c r="Z322" s="2">
        <f t="shared" si="202"/>
        <v>-15.300000000000097</v>
      </c>
      <c r="AA322" s="4">
        <f t="shared" si="203"/>
        <v>0</v>
      </c>
      <c r="AB322" s="13">
        <f t="shared" si="204"/>
        <v>2.2656394687500003</v>
      </c>
      <c r="AC322" s="10">
        <f>SUM($E$4:E322)</f>
        <v>-12186.19903445574</v>
      </c>
      <c r="AD322" s="20">
        <f>SUM($AB$4:AB322)</f>
        <v>10958.98233445571</v>
      </c>
      <c r="AF322" s="28">
        <f t="shared" si="205"/>
        <v>0.66820500000000005</v>
      </c>
      <c r="AG322" s="2">
        <f t="shared" si="206"/>
        <v>0.83317500000000011</v>
      </c>
      <c r="AH322" s="2">
        <f t="shared" si="207"/>
        <v>0.21716662499999997</v>
      </c>
      <c r="AI322" s="2">
        <f t="shared" si="228"/>
        <v>0.885371625</v>
      </c>
      <c r="AJ322" s="2">
        <f t="shared" si="229"/>
        <v>0.13280574374999998</v>
      </c>
      <c r="AK322" s="2">
        <f t="shared" si="208"/>
        <v>1.33641E-2</v>
      </c>
      <c r="AL322" s="2">
        <f t="shared" si="209"/>
        <v>0.40092300000000003</v>
      </c>
      <c r="AM322" s="2">
        <f t="shared" si="230"/>
        <v>2.2656394687500003</v>
      </c>
      <c r="AN322" s="2">
        <f t="shared" si="210"/>
        <v>80</v>
      </c>
      <c r="AO322" s="2">
        <f t="shared" si="211"/>
        <v>1.6663500000000002</v>
      </c>
      <c r="AP322" s="2">
        <f t="shared" si="212"/>
        <v>3.5414865</v>
      </c>
      <c r="AQ322" s="2">
        <f t="shared" si="231"/>
        <v>83.541486500000005</v>
      </c>
      <c r="AR322" s="2">
        <f t="shared" si="232"/>
        <v>12.531222975</v>
      </c>
      <c r="AS322" s="2">
        <f t="shared" si="213"/>
        <v>1.33641E-2</v>
      </c>
      <c r="AT322" s="2">
        <f t="shared" si="214"/>
        <v>0.40092300000000003</v>
      </c>
      <c r="AU322" s="2">
        <f t="shared" si="233"/>
        <v>98.153346575000015</v>
      </c>
      <c r="AV322" s="2">
        <f t="shared" si="215"/>
        <v>0.66820500000000005</v>
      </c>
      <c r="AW322" s="2">
        <f t="shared" si="216"/>
        <v>0.33327000000000007</v>
      </c>
      <c r="AX322" s="2">
        <f t="shared" si="217"/>
        <v>0.14032305</v>
      </c>
      <c r="AY322" s="2">
        <f t="shared" si="234"/>
        <v>0.80852805000000005</v>
      </c>
      <c r="AZ322" s="2">
        <f t="shared" si="235"/>
        <v>0.1212792075</v>
      </c>
      <c r="BA322" s="2">
        <f t="shared" si="218"/>
        <v>1.33641E-2</v>
      </c>
      <c r="BB322" s="2">
        <f t="shared" si="219"/>
        <v>0.40092300000000003</v>
      </c>
      <c r="BC322" s="2">
        <f t="shared" si="236"/>
        <v>1.6773643575000001</v>
      </c>
      <c r="BD322" s="2">
        <v>0</v>
      </c>
      <c r="BE322" s="2">
        <f t="shared" si="220"/>
        <v>6.6820500000000003</v>
      </c>
      <c r="BF322" s="2">
        <f t="shared" si="221"/>
        <v>0.21716662499999997</v>
      </c>
      <c r="BG322" s="2">
        <f t="shared" si="237"/>
        <v>0.21716662499999997</v>
      </c>
      <c r="BH322" s="2">
        <f t="shared" si="238"/>
        <v>3.2574993749999996E-2</v>
      </c>
      <c r="BI322" s="2">
        <f t="shared" si="222"/>
        <v>1.33641E-2</v>
      </c>
      <c r="BJ322" s="2">
        <f t="shared" si="223"/>
        <v>0.40092300000000003</v>
      </c>
      <c r="BK322" s="2">
        <f t="shared" si="239"/>
        <v>7.3460787187500003</v>
      </c>
      <c r="BL322" s="2">
        <f t="shared" si="224"/>
        <v>3349.35</v>
      </c>
      <c r="BM322" s="2">
        <f t="shared" si="225"/>
        <v>3332.7000000000003</v>
      </c>
      <c r="BN322" s="2">
        <f t="shared" si="240"/>
        <v>6682.05</v>
      </c>
    </row>
    <row r="323" spans="1:66" x14ac:dyDescent="0.25">
      <c r="A323" s="42">
        <v>320</v>
      </c>
      <c r="B323" s="43">
        <v>42864</v>
      </c>
      <c r="C323" s="42" t="s">
        <v>50</v>
      </c>
      <c r="D323" s="42" t="s">
        <v>240</v>
      </c>
      <c r="E323" s="6">
        <f t="shared" si="226"/>
        <v>-7.4420307499999998</v>
      </c>
      <c r="F323" s="5" t="str">
        <f t="shared" si="241"/>
        <v>Loss</v>
      </c>
      <c r="G323" s="4">
        <f t="shared" si="242"/>
        <v>-5.5</v>
      </c>
      <c r="H323" s="46">
        <v>11</v>
      </c>
      <c r="I323" s="42">
        <v>260.45</v>
      </c>
      <c r="N323" s="5">
        <f t="shared" si="243"/>
        <v>11</v>
      </c>
      <c r="O323" s="4">
        <f t="shared" si="244"/>
        <v>260.45</v>
      </c>
      <c r="P323" s="5">
        <f t="shared" si="199"/>
        <v>11</v>
      </c>
      <c r="Q323" s="42">
        <v>259.95</v>
      </c>
      <c r="R323" s="2">
        <f t="shared" si="247"/>
        <v>0</v>
      </c>
      <c r="T323" s="2">
        <f t="shared" si="227"/>
        <v>0</v>
      </c>
      <c r="V323" s="5">
        <f t="shared" si="245"/>
        <v>11</v>
      </c>
      <c r="W323" s="4">
        <f t="shared" si="246"/>
        <v>259.95</v>
      </c>
      <c r="X323" s="14">
        <f t="shared" si="200"/>
        <v>-0.5</v>
      </c>
      <c r="Y323" s="5">
        <f t="shared" si="201"/>
        <v>-5.5</v>
      </c>
      <c r="Z323" s="2">
        <f t="shared" si="202"/>
        <v>0</v>
      </c>
      <c r="AA323" s="4">
        <f t="shared" si="203"/>
        <v>0</v>
      </c>
      <c r="AB323" s="13">
        <f t="shared" si="204"/>
        <v>1.9420307499999998</v>
      </c>
      <c r="AC323" s="10">
        <f>SUM($E$4:E323)</f>
        <v>-12193.64106520574</v>
      </c>
      <c r="AD323" s="20">
        <f>SUM($AB$4:AB323)</f>
        <v>10960.92436520571</v>
      </c>
      <c r="AF323" s="28">
        <f t="shared" si="205"/>
        <v>0.57243999999999995</v>
      </c>
      <c r="AG323" s="2">
        <f t="shared" si="206"/>
        <v>0.71486249999999996</v>
      </c>
      <c r="AH323" s="2">
        <f t="shared" si="207"/>
        <v>0.18604299999999996</v>
      </c>
      <c r="AI323" s="2">
        <f t="shared" si="228"/>
        <v>0.75848299999999991</v>
      </c>
      <c r="AJ323" s="2">
        <f t="shared" si="229"/>
        <v>0.11377244999999998</v>
      </c>
      <c r="AK323" s="2">
        <f t="shared" si="208"/>
        <v>1.14488E-2</v>
      </c>
      <c r="AL323" s="2">
        <f t="shared" si="209"/>
        <v>0.34346399999999999</v>
      </c>
      <c r="AM323" s="2">
        <f t="shared" si="230"/>
        <v>1.9420307499999998</v>
      </c>
      <c r="AN323" s="2">
        <f t="shared" si="210"/>
        <v>40</v>
      </c>
      <c r="AO323" s="2">
        <f t="shared" si="211"/>
        <v>1.4297249999999999</v>
      </c>
      <c r="AP323" s="2">
        <f t="shared" si="212"/>
        <v>3.0339319999999996</v>
      </c>
      <c r="AQ323" s="2">
        <f t="shared" si="231"/>
        <v>43.033932</v>
      </c>
      <c r="AR323" s="2">
        <f t="shared" si="232"/>
        <v>6.4550897999999997</v>
      </c>
      <c r="AS323" s="2">
        <f t="shared" si="213"/>
        <v>1.14488E-2</v>
      </c>
      <c r="AT323" s="2">
        <f t="shared" si="214"/>
        <v>0.34346399999999999</v>
      </c>
      <c r="AU323" s="2">
        <f t="shared" si="233"/>
        <v>51.273659599999988</v>
      </c>
      <c r="AV323" s="2">
        <f t="shared" si="215"/>
        <v>0.57243999999999995</v>
      </c>
      <c r="AW323" s="2">
        <f t="shared" si="216"/>
        <v>0.285945</v>
      </c>
      <c r="AX323" s="2">
        <f t="shared" si="217"/>
        <v>0.12021239999999998</v>
      </c>
      <c r="AY323" s="2">
        <f t="shared" si="234"/>
        <v>0.69265239999999995</v>
      </c>
      <c r="AZ323" s="2">
        <f t="shared" si="235"/>
        <v>0.10389785999999999</v>
      </c>
      <c r="BA323" s="2">
        <f t="shared" si="218"/>
        <v>1.14488E-2</v>
      </c>
      <c r="BB323" s="2">
        <f t="shared" si="219"/>
        <v>0.34346399999999999</v>
      </c>
      <c r="BC323" s="2">
        <f t="shared" si="236"/>
        <v>1.4374080599999999</v>
      </c>
      <c r="BD323" s="2">
        <v>0</v>
      </c>
      <c r="BE323" s="2">
        <f t="shared" si="220"/>
        <v>5.7244000000000002</v>
      </c>
      <c r="BF323" s="2">
        <f t="shared" si="221"/>
        <v>0.18604299999999996</v>
      </c>
      <c r="BG323" s="2">
        <f t="shared" si="237"/>
        <v>0.18604299999999996</v>
      </c>
      <c r="BH323" s="2">
        <f t="shared" si="238"/>
        <v>2.7906449999999992E-2</v>
      </c>
      <c r="BI323" s="2">
        <f t="shared" si="222"/>
        <v>1.14488E-2</v>
      </c>
      <c r="BJ323" s="2">
        <f t="shared" si="223"/>
        <v>0.34346399999999999</v>
      </c>
      <c r="BK323" s="2">
        <f t="shared" si="239"/>
        <v>6.2932622499999997</v>
      </c>
      <c r="BL323" s="2">
        <f t="shared" si="224"/>
        <v>2864.95</v>
      </c>
      <c r="BM323" s="2">
        <f t="shared" si="225"/>
        <v>2859.45</v>
      </c>
      <c r="BN323" s="2">
        <f t="shared" si="240"/>
        <v>5724.4</v>
      </c>
    </row>
    <row r="324" spans="1:66" x14ac:dyDescent="0.25">
      <c r="A324" s="42">
        <v>321</v>
      </c>
      <c r="B324" s="43">
        <v>42864</v>
      </c>
      <c r="C324" s="42" t="s">
        <v>50</v>
      </c>
      <c r="D324" s="42" t="s">
        <v>227</v>
      </c>
      <c r="E324" s="6">
        <f t="shared" si="226"/>
        <v>-10.444838250000091</v>
      </c>
      <c r="F324" s="5" t="str">
        <f t="shared" si="241"/>
        <v>Loss</v>
      </c>
      <c r="G324" s="4">
        <f t="shared" si="242"/>
        <v>-8.4000000000000909</v>
      </c>
      <c r="H324" s="46">
        <v>8</v>
      </c>
      <c r="I324" s="42">
        <v>377.3</v>
      </c>
      <c r="N324" s="5">
        <f t="shared" si="243"/>
        <v>8</v>
      </c>
      <c r="O324" s="4">
        <f t="shared" si="244"/>
        <v>377.3</v>
      </c>
      <c r="P324" s="5">
        <f t="shared" ref="P324:P387" si="248">H324</f>
        <v>8</v>
      </c>
      <c r="Q324" s="42">
        <v>376.25</v>
      </c>
      <c r="R324" s="2">
        <f t="shared" si="247"/>
        <v>0</v>
      </c>
      <c r="T324" s="2">
        <f t="shared" si="227"/>
        <v>0</v>
      </c>
      <c r="V324" s="5">
        <f t="shared" si="245"/>
        <v>8</v>
      </c>
      <c r="W324" s="4">
        <f t="shared" si="246"/>
        <v>376.25</v>
      </c>
      <c r="X324" s="14">
        <f t="shared" ref="X324:X387" si="249">MAX(Q324,S324,U324)-MIN(I324,K324,M324)</f>
        <v>-1.0500000000000114</v>
      </c>
      <c r="Y324" s="5">
        <f t="shared" ref="Y324:Y387" si="250">P324*(Q324-I324)</f>
        <v>-8.4000000000000909</v>
      </c>
      <c r="Z324" s="2">
        <f t="shared" ref="Z324:Z387" si="251">R324*(S324-K324)</f>
        <v>0</v>
      </c>
      <c r="AA324" s="4">
        <f t="shared" ref="AA324:AA387" si="252">T324*(U324-M324)</f>
        <v>0</v>
      </c>
      <c r="AB324" s="13">
        <f t="shared" ref="AB324:AB387" si="253">IF(C324="EQ Intraday",AM324,IF(C324="Index Option",AU324,IF(C324="Index Future",BC324,IF(C324="EQ Delivery",BK324,IF(C324="Stock Option",AU324,IF(C324="Stock Future",BC324,IF(C324="",0,"Error")))))))</f>
        <v>2.0448382500000002</v>
      </c>
      <c r="AC324" s="10">
        <f>SUM($E$4:E324)</f>
        <v>-12204.08590345574</v>
      </c>
      <c r="AD324" s="20">
        <f>SUM($AB$4:AB324)</f>
        <v>10962.96920345571</v>
      </c>
      <c r="AF324" s="28">
        <f t="shared" ref="AF324:AF387" si="254">MIN(IF(ISBLANK(U324)=FALSE,120,IF(ISBLANK(S324)=FALSE,80,40)),(((V324*W324)+(N324*O324))*0.0001))</f>
        <v>0.60284000000000004</v>
      </c>
      <c r="AG324" s="2">
        <f t="shared" ref="AG324:AG387" si="255">(0.00025*V324*W324)</f>
        <v>0.75250000000000006</v>
      </c>
      <c r="AH324" s="2">
        <f t="shared" ref="AH324:AH387" si="256">(0.0000325*((V324*W324)+(N324*O324)))</f>
        <v>0.19592299999999996</v>
      </c>
      <c r="AI324" s="2">
        <f t="shared" si="228"/>
        <v>0.798763</v>
      </c>
      <c r="AJ324" s="2">
        <f t="shared" si="229"/>
        <v>0.11981444999999999</v>
      </c>
      <c r="AK324" s="2">
        <f t="shared" ref="AK324:AK387" si="257">(((V324*W324)+(N324*O324))/10000000)*20</f>
        <v>1.2056799999999999E-2</v>
      </c>
      <c r="AL324" s="2">
        <f t="shared" ref="AL324:AL387" si="258">0.00006*((V324*W324)+(N324*O324))</f>
        <v>0.36170399999999997</v>
      </c>
      <c r="AM324" s="2">
        <f t="shared" si="230"/>
        <v>2.0448382500000002</v>
      </c>
      <c r="AN324" s="2">
        <f t="shared" ref="AN324:AN387" si="259">COUNT(H324,J324,L324)*40</f>
        <v>40</v>
      </c>
      <c r="AO324" s="2">
        <f t="shared" ref="AO324:AO387" si="260">0.0005*V324*W324</f>
        <v>1.5050000000000001</v>
      </c>
      <c r="AP324" s="2">
        <f t="shared" ref="AP324:AP387" si="261">0.00053*((N324*O324)+(V324*W324))</f>
        <v>3.1950519999999996</v>
      </c>
      <c r="AQ324" s="2">
        <f t="shared" si="231"/>
        <v>43.195051999999997</v>
      </c>
      <c r="AR324" s="2">
        <f t="shared" si="232"/>
        <v>6.4792577999999992</v>
      </c>
      <c r="AS324" s="2">
        <f t="shared" ref="AS324:AS387" si="262">(((V324*W324)+(N324*O324))/10000000)*20</f>
        <v>1.2056799999999999E-2</v>
      </c>
      <c r="AT324" s="2">
        <f t="shared" ref="AT324:AT387" si="263">0.00006*((V324*W324)+(N324*O324))</f>
        <v>0.36170399999999997</v>
      </c>
      <c r="AU324" s="2">
        <f t="shared" si="233"/>
        <v>51.553070600000005</v>
      </c>
      <c r="AV324" s="2">
        <f t="shared" ref="AV324:AV387" si="264">MIN(IF(ISBLANK(U324)=FALSE,120,IF(ISBLANK(S324)=FALSE,80,40)),(((V324*W324)+(N324*O324))*0.0001))</f>
        <v>0.60284000000000004</v>
      </c>
      <c r="AW324" s="2">
        <f t="shared" ref="AW324:AW387" si="265">0.0001*V324*W324</f>
        <v>0.30099999999999999</v>
      </c>
      <c r="AX324" s="2">
        <f t="shared" ref="AX324:AX387" si="266">0.000021*((N324*O324)+(V324*W324))</f>
        <v>0.1265964</v>
      </c>
      <c r="AY324" s="2">
        <f t="shared" si="234"/>
        <v>0.72943639999999998</v>
      </c>
      <c r="AZ324" s="2">
        <f t="shared" si="235"/>
        <v>0.10941545999999999</v>
      </c>
      <c r="BA324" s="2">
        <f t="shared" ref="BA324:BA387" si="267">(((V324*W324)+(N324*O324))/10000000)*20</f>
        <v>1.2056799999999999E-2</v>
      </c>
      <c r="BB324" s="2">
        <f t="shared" ref="BB324:BB387" si="268">0.00006*((V324*W324)+(N324*O324))</f>
        <v>0.36170399999999997</v>
      </c>
      <c r="BC324" s="2">
        <f t="shared" si="236"/>
        <v>1.5136126599999999</v>
      </c>
      <c r="BD324" s="2">
        <v>0</v>
      </c>
      <c r="BE324" s="2">
        <f t="shared" ref="BE324:BE387" si="269">0.001*((N324*O324)+(V324*W324))</f>
        <v>6.0283999999999995</v>
      </c>
      <c r="BF324" s="2">
        <f t="shared" ref="BF324:BF387" si="270">(0.0000325*((V324*W324)+(N324*O324)))</f>
        <v>0.19592299999999996</v>
      </c>
      <c r="BG324" s="2">
        <f t="shared" si="237"/>
        <v>0.19592299999999996</v>
      </c>
      <c r="BH324" s="2">
        <f t="shared" si="238"/>
        <v>2.9388449999999993E-2</v>
      </c>
      <c r="BI324" s="2">
        <f t="shared" ref="BI324:BI387" si="271">(((V324*W324)+(N324*O324))/10000000)*20</f>
        <v>1.2056799999999999E-2</v>
      </c>
      <c r="BJ324" s="2">
        <f t="shared" ref="BJ324:BJ387" si="272">0.00006*((V324*W324)+(N324*O324))</f>
        <v>0.36170399999999997</v>
      </c>
      <c r="BK324" s="2">
        <f t="shared" si="239"/>
        <v>6.6274722499999985</v>
      </c>
      <c r="BL324" s="2">
        <f t="shared" ref="BL324:BL387" si="273">N324*O324</f>
        <v>3018.4</v>
      </c>
      <c r="BM324" s="2">
        <f t="shared" ref="BM324:BM387" si="274">V324*W324</f>
        <v>3010</v>
      </c>
      <c r="BN324" s="2">
        <f t="shared" si="240"/>
        <v>6028.4</v>
      </c>
    </row>
    <row r="325" spans="1:66" x14ac:dyDescent="0.25">
      <c r="A325" s="42">
        <v>322</v>
      </c>
      <c r="B325" s="43">
        <v>42864</v>
      </c>
      <c r="C325" s="42" t="s">
        <v>50</v>
      </c>
      <c r="D325" s="42" t="s">
        <v>241</v>
      </c>
      <c r="E325" s="6">
        <f t="shared" ref="E325:E388" si="275">G325-AB325</f>
        <v>-14.521960937500001</v>
      </c>
      <c r="F325" s="5" t="str">
        <f t="shared" si="241"/>
        <v>Loss</v>
      </c>
      <c r="G325" s="4">
        <f t="shared" si="242"/>
        <v>-12.5</v>
      </c>
      <c r="H325" s="46">
        <v>5</v>
      </c>
      <c r="I325" s="42">
        <v>597.5</v>
      </c>
      <c r="N325" s="5">
        <f t="shared" si="243"/>
        <v>5</v>
      </c>
      <c r="O325" s="4">
        <f t="shared" si="244"/>
        <v>597.5</v>
      </c>
      <c r="P325" s="5">
        <f t="shared" si="248"/>
        <v>5</v>
      </c>
      <c r="Q325" s="42">
        <v>595</v>
      </c>
      <c r="R325" s="2">
        <f t="shared" si="247"/>
        <v>0</v>
      </c>
      <c r="T325" s="2">
        <f t="shared" ref="T325:T388" si="276">L325</f>
        <v>0</v>
      </c>
      <c r="V325" s="5">
        <f t="shared" si="245"/>
        <v>5</v>
      </c>
      <c r="W325" s="4">
        <f t="shared" si="246"/>
        <v>595</v>
      </c>
      <c r="X325" s="14">
        <f t="shared" si="249"/>
        <v>-2.5</v>
      </c>
      <c r="Y325" s="5">
        <f t="shared" si="250"/>
        <v>-12.5</v>
      </c>
      <c r="Z325" s="2">
        <f t="shared" si="251"/>
        <v>0</v>
      </c>
      <c r="AA325" s="4">
        <f t="shared" si="252"/>
        <v>0</v>
      </c>
      <c r="AB325" s="13">
        <f t="shared" si="253"/>
        <v>2.0219609375000003</v>
      </c>
      <c r="AC325" s="10">
        <f>SUM($E$4:E325)</f>
        <v>-12218.60786439324</v>
      </c>
      <c r="AD325" s="20">
        <f>SUM($AB$4:AB325)</f>
        <v>10964.99116439321</v>
      </c>
      <c r="AF325" s="28">
        <f t="shared" si="254"/>
        <v>0.59625000000000006</v>
      </c>
      <c r="AG325" s="2">
        <f t="shared" si="255"/>
        <v>0.74375000000000002</v>
      </c>
      <c r="AH325" s="2">
        <f t="shared" si="256"/>
        <v>0.19378124999999999</v>
      </c>
      <c r="AI325" s="2">
        <f t="shared" ref="AI325:AI388" si="277">AH325+AF325</f>
        <v>0.79003125000000007</v>
      </c>
      <c r="AJ325" s="2">
        <f t="shared" ref="AJ325:AJ388" si="278">0.15*AI325</f>
        <v>0.11850468750000001</v>
      </c>
      <c r="AK325" s="2">
        <f t="shared" si="257"/>
        <v>1.1925E-2</v>
      </c>
      <c r="AL325" s="2">
        <f t="shared" si="258"/>
        <v>0.35775000000000001</v>
      </c>
      <c r="AM325" s="2">
        <f t="shared" ref="AM325:AM388" si="279">SUM(AF325:AH325,AJ325:AL325)</f>
        <v>2.0219609375000003</v>
      </c>
      <c r="AN325" s="2">
        <f t="shared" si="259"/>
        <v>40</v>
      </c>
      <c r="AO325" s="2">
        <f t="shared" si="260"/>
        <v>1.4875</v>
      </c>
      <c r="AP325" s="2">
        <f t="shared" si="261"/>
        <v>3.1601249999999999</v>
      </c>
      <c r="AQ325" s="2">
        <f t="shared" ref="AQ325:AQ388" si="280">AN325+AP325</f>
        <v>43.160125000000001</v>
      </c>
      <c r="AR325" s="2">
        <f t="shared" ref="AR325:AR388" si="281">0.15*AQ325</f>
        <v>6.4740187499999999</v>
      </c>
      <c r="AS325" s="2">
        <f t="shared" si="262"/>
        <v>1.1925E-2</v>
      </c>
      <c r="AT325" s="2">
        <f t="shared" si="263"/>
        <v>0.35775000000000001</v>
      </c>
      <c r="AU325" s="2">
        <f t="shared" ref="AU325:AU388" si="282">SUM(AN325:AP325,AR325:AT325)</f>
        <v>51.491318749999998</v>
      </c>
      <c r="AV325" s="2">
        <f t="shared" si="264"/>
        <v>0.59625000000000006</v>
      </c>
      <c r="AW325" s="2">
        <f t="shared" si="265"/>
        <v>0.29749999999999999</v>
      </c>
      <c r="AX325" s="2">
        <f t="shared" si="266"/>
        <v>0.1252125</v>
      </c>
      <c r="AY325" s="2">
        <f t="shared" ref="AY325:AY388" si="283">AV325+AX325</f>
        <v>0.72146250000000012</v>
      </c>
      <c r="AZ325" s="2">
        <f t="shared" ref="AZ325:AZ388" si="284">0.15*AY325</f>
        <v>0.10821937500000002</v>
      </c>
      <c r="BA325" s="2">
        <f t="shared" si="267"/>
        <v>1.1925E-2</v>
      </c>
      <c r="BB325" s="2">
        <f t="shared" si="268"/>
        <v>0.35775000000000001</v>
      </c>
      <c r="BC325" s="2">
        <f t="shared" ref="BC325:BC388" si="285">SUM(AV325:AX325,AZ325:BB325)</f>
        <v>1.496856875</v>
      </c>
      <c r="BD325" s="2">
        <v>0</v>
      </c>
      <c r="BE325" s="2">
        <f t="shared" si="269"/>
        <v>5.9625000000000004</v>
      </c>
      <c r="BF325" s="2">
        <f t="shared" si="270"/>
        <v>0.19378124999999999</v>
      </c>
      <c r="BG325" s="2">
        <f t="shared" ref="BG325:BG388" si="286">BD325+BF325</f>
        <v>0.19378124999999999</v>
      </c>
      <c r="BH325" s="2">
        <f t="shared" ref="BH325:BH388" si="287">0.15*BG325</f>
        <v>2.9067187499999998E-2</v>
      </c>
      <c r="BI325" s="2">
        <f t="shared" si="271"/>
        <v>1.1925E-2</v>
      </c>
      <c r="BJ325" s="2">
        <f t="shared" si="272"/>
        <v>0.35775000000000001</v>
      </c>
      <c r="BK325" s="2">
        <f t="shared" ref="BK325:BK388" si="288">SUM(BD325:BF325,BH325:BJ325)</f>
        <v>6.5550234375</v>
      </c>
      <c r="BL325" s="2">
        <f t="shared" si="273"/>
        <v>2987.5</v>
      </c>
      <c r="BM325" s="2">
        <f t="shared" si="274"/>
        <v>2975</v>
      </c>
      <c r="BN325" s="2">
        <f t="shared" ref="BN325:BN388" si="289">BM325+BL325</f>
        <v>5962.5</v>
      </c>
    </row>
    <row r="326" spans="1:66" x14ac:dyDescent="0.25">
      <c r="A326" s="42">
        <v>323</v>
      </c>
      <c r="B326" s="43">
        <v>42864</v>
      </c>
      <c r="C326" s="42" t="s">
        <v>50</v>
      </c>
      <c r="D326" s="42" t="s">
        <v>206</v>
      </c>
      <c r="E326" s="6">
        <f t="shared" si="275"/>
        <v>-32.768792000000289</v>
      </c>
      <c r="F326" s="5" t="str">
        <f t="shared" ref="F326:F389" si="290">IF(G326&gt;0,"Win",IF(G326=0,"Break Even","Loss"))</f>
        <v>Loss</v>
      </c>
      <c r="G326" s="4">
        <f t="shared" ref="G326:G389" si="291">SUM(Y326,Z326,AA326)</f>
        <v>-28.90000000000029</v>
      </c>
      <c r="H326" s="46">
        <v>17</v>
      </c>
      <c r="I326" s="42">
        <v>168.15</v>
      </c>
      <c r="J326" s="42">
        <v>17</v>
      </c>
      <c r="K326" s="42">
        <v>168.3</v>
      </c>
      <c r="N326" s="5">
        <f t="shared" ref="N326:N389" si="292">SUM(H326,J326,L326)</f>
        <v>34</v>
      </c>
      <c r="O326" s="4">
        <f t="shared" ref="O326:O389" si="293">AVERAGE(M326,K326,I326)</f>
        <v>168.22500000000002</v>
      </c>
      <c r="P326" s="5">
        <f t="shared" si="248"/>
        <v>17</v>
      </c>
      <c r="Q326" s="42">
        <v>167.3</v>
      </c>
      <c r="R326" s="2">
        <f t="shared" si="247"/>
        <v>17</v>
      </c>
      <c r="S326" s="42">
        <v>167.45</v>
      </c>
      <c r="T326" s="2">
        <f t="shared" si="276"/>
        <v>0</v>
      </c>
      <c r="V326" s="5">
        <f t="shared" ref="V326:V389" si="294">SUM(P326,R326,T326)</f>
        <v>34</v>
      </c>
      <c r="W326" s="4">
        <f t="shared" ref="W326:W389" si="295">AVERAGE(Q326,S326,U326)</f>
        <v>167.375</v>
      </c>
      <c r="X326" s="14">
        <f t="shared" si="249"/>
        <v>-0.70000000000001705</v>
      </c>
      <c r="Y326" s="5">
        <f t="shared" si="250"/>
        <v>-14.449999999999903</v>
      </c>
      <c r="Z326" s="2">
        <f t="shared" si="251"/>
        <v>-14.450000000000387</v>
      </c>
      <c r="AA326" s="4">
        <f t="shared" si="252"/>
        <v>0</v>
      </c>
      <c r="AB326" s="13">
        <f t="shared" si="253"/>
        <v>3.8687920000000009</v>
      </c>
      <c r="AC326" s="10">
        <f>SUM($E$4:E326)</f>
        <v>-12251.37665639324</v>
      </c>
      <c r="AD326" s="20">
        <f>SUM($AB$4:AB326)</f>
        <v>10968.859956393209</v>
      </c>
      <c r="AF326" s="28">
        <f t="shared" si="254"/>
        <v>1.1410400000000003</v>
      </c>
      <c r="AG326" s="2">
        <f t="shared" si="255"/>
        <v>1.4226875000000001</v>
      </c>
      <c r="AH326" s="2">
        <f t="shared" si="256"/>
        <v>0.370838</v>
      </c>
      <c r="AI326" s="2">
        <f t="shared" si="277"/>
        <v>1.5118780000000003</v>
      </c>
      <c r="AJ326" s="2">
        <f t="shared" si="278"/>
        <v>0.22678170000000003</v>
      </c>
      <c r="AK326" s="2">
        <f t="shared" si="257"/>
        <v>2.2820800000000002E-2</v>
      </c>
      <c r="AL326" s="2">
        <f t="shared" si="258"/>
        <v>0.68462400000000012</v>
      </c>
      <c r="AM326" s="2">
        <f t="shared" si="279"/>
        <v>3.8687920000000009</v>
      </c>
      <c r="AN326" s="2">
        <f t="shared" si="259"/>
        <v>80</v>
      </c>
      <c r="AO326" s="2">
        <f t="shared" si="260"/>
        <v>2.8453750000000002</v>
      </c>
      <c r="AP326" s="2">
        <f t="shared" si="261"/>
        <v>6.0475120000000002</v>
      </c>
      <c r="AQ326" s="2">
        <f t="shared" si="280"/>
        <v>86.047511999999998</v>
      </c>
      <c r="AR326" s="2">
        <f t="shared" si="281"/>
        <v>12.907126799999999</v>
      </c>
      <c r="AS326" s="2">
        <f t="shared" si="262"/>
        <v>2.2820800000000002E-2</v>
      </c>
      <c r="AT326" s="2">
        <f t="shared" si="263"/>
        <v>0.68462400000000012</v>
      </c>
      <c r="AU326" s="2">
        <f t="shared" si="282"/>
        <v>102.50745860000001</v>
      </c>
      <c r="AV326" s="2">
        <f t="shared" si="264"/>
        <v>1.1410400000000003</v>
      </c>
      <c r="AW326" s="2">
        <f t="shared" si="265"/>
        <v>0.569075</v>
      </c>
      <c r="AX326" s="2">
        <f t="shared" si="266"/>
        <v>0.23961840000000001</v>
      </c>
      <c r="AY326" s="2">
        <f t="shared" si="283"/>
        <v>1.3806584000000002</v>
      </c>
      <c r="AZ326" s="2">
        <f t="shared" si="284"/>
        <v>0.20709876000000002</v>
      </c>
      <c r="BA326" s="2">
        <f t="shared" si="267"/>
        <v>2.2820800000000002E-2</v>
      </c>
      <c r="BB326" s="2">
        <f t="shared" si="268"/>
        <v>0.68462400000000012</v>
      </c>
      <c r="BC326" s="2">
        <f t="shared" si="285"/>
        <v>2.8642769600000006</v>
      </c>
      <c r="BD326" s="2">
        <v>0</v>
      </c>
      <c r="BE326" s="2">
        <f t="shared" si="269"/>
        <v>11.410400000000001</v>
      </c>
      <c r="BF326" s="2">
        <f t="shared" si="270"/>
        <v>0.370838</v>
      </c>
      <c r="BG326" s="2">
        <f t="shared" si="286"/>
        <v>0.370838</v>
      </c>
      <c r="BH326" s="2">
        <f t="shared" si="287"/>
        <v>5.56257E-2</v>
      </c>
      <c r="BI326" s="2">
        <f t="shared" si="271"/>
        <v>2.2820800000000002E-2</v>
      </c>
      <c r="BJ326" s="2">
        <f t="shared" si="272"/>
        <v>0.68462400000000012</v>
      </c>
      <c r="BK326" s="2">
        <f t="shared" si="288"/>
        <v>12.544308500000001</v>
      </c>
      <c r="BL326" s="2">
        <f t="shared" si="273"/>
        <v>5719.6500000000005</v>
      </c>
      <c r="BM326" s="2">
        <f t="shared" si="274"/>
        <v>5690.75</v>
      </c>
      <c r="BN326" s="2">
        <f t="shared" si="289"/>
        <v>11410.400000000001</v>
      </c>
    </row>
    <row r="327" spans="1:66" x14ac:dyDescent="0.25">
      <c r="A327" s="42">
        <v>324</v>
      </c>
      <c r="B327" s="43">
        <v>42864</v>
      </c>
      <c r="C327" s="42" t="s">
        <v>50</v>
      </c>
      <c r="D327" s="42" t="s">
        <v>242</v>
      </c>
      <c r="E327" s="6">
        <f t="shared" si="275"/>
        <v>-34.177816156250294</v>
      </c>
      <c r="F327" s="5" t="str">
        <f t="shared" si="290"/>
        <v>Loss</v>
      </c>
      <c r="G327" s="4">
        <f t="shared" si="291"/>
        <v>-30.550000000000296</v>
      </c>
      <c r="H327" s="46">
        <v>13</v>
      </c>
      <c r="I327" s="42">
        <v>206.75</v>
      </c>
      <c r="J327" s="42">
        <v>13</v>
      </c>
      <c r="K327" s="42">
        <v>206</v>
      </c>
      <c r="N327" s="5">
        <f t="shared" si="292"/>
        <v>26</v>
      </c>
      <c r="O327" s="4">
        <f t="shared" si="293"/>
        <v>206.375</v>
      </c>
      <c r="P327" s="5">
        <f t="shared" si="248"/>
        <v>13</v>
      </c>
      <c r="Q327" s="42">
        <v>205.45</v>
      </c>
      <c r="R327" s="2">
        <f t="shared" si="247"/>
        <v>13</v>
      </c>
      <c r="S327" s="42">
        <v>204.95</v>
      </c>
      <c r="T327" s="2">
        <f t="shared" si="276"/>
        <v>0</v>
      </c>
      <c r="V327" s="5">
        <f t="shared" si="294"/>
        <v>26</v>
      </c>
      <c r="W327" s="4">
        <f t="shared" si="295"/>
        <v>205.2</v>
      </c>
      <c r="X327" s="14">
        <f t="shared" si="249"/>
        <v>-0.55000000000001137</v>
      </c>
      <c r="Y327" s="5">
        <f t="shared" si="250"/>
        <v>-16.900000000000148</v>
      </c>
      <c r="Z327" s="2">
        <f t="shared" si="251"/>
        <v>-13.650000000000148</v>
      </c>
      <c r="AA327" s="4">
        <f t="shared" si="252"/>
        <v>0</v>
      </c>
      <c r="AB327" s="13">
        <f t="shared" si="253"/>
        <v>3.6278161562499998</v>
      </c>
      <c r="AC327" s="10">
        <f>SUM($E$4:E327)</f>
        <v>-12285.554472549491</v>
      </c>
      <c r="AD327" s="20">
        <f>SUM($AB$4:AB327)</f>
        <v>10972.487772549459</v>
      </c>
      <c r="AF327" s="28">
        <f t="shared" si="254"/>
        <v>1.070095</v>
      </c>
      <c r="AG327" s="2">
        <f t="shared" si="255"/>
        <v>1.3338000000000001</v>
      </c>
      <c r="AH327" s="2">
        <f t="shared" si="256"/>
        <v>0.34778087499999999</v>
      </c>
      <c r="AI327" s="2">
        <f t="shared" si="277"/>
        <v>1.417875875</v>
      </c>
      <c r="AJ327" s="2">
        <f t="shared" si="278"/>
        <v>0.21268138125</v>
      </c>
      <c r="AK327" s="2">
        <f t="shared" si="257"/>
        <v>2.1401900000000001E-2</v>
      </c>
      <c r="AL327" s="2">
        <f t="shared" si="258"/>
        <v>0.6420570000000001</v>
      </c>
      <c r="AM327" s="2">
        <f t="shared" si="279"/>
        <v>3.6278161562499998</v>
      </c>
      <c r="AN327" s="2">
        <f t="shared" si="259"/>
        <v>80</v>
      </c>
      <c r="AO327" s="2">
        <f t="shared" si="260"/>
        <v>2.6676000000000002</v>
      </c>
      <c r="AP327" s="2">
        <f t="shared" si="261"/>
        <v>5.6715035</v>
      </c>
      <c r="AQ327" s="2">
        <f t="shared" si="280"/>
        <v>85.6715035</v>
      </c>
      <c r="AR327" s="2">
        <f t="shared" si="281"/>
        <v>12.850725525</v>
      </c>
      <c r="AS327" s="2">
        <f t="shared" si="262"/>
        <v>2.1401900000000001E-2</v>
      </c>
      <c r="AT327" s="2">
        <f t="shared" si="263"/>
        <v>0.6420570000000001</v>
      </c>
      <c r="AU327" s="2">
        <f t="shared" si="282"/>
        <v>101.85328792499999</v>
      </c>
      <c r="AV327" s="2">
        <f t="shared" si="264"/>
        <v>1.070095</v>
      </c>
      <c r="AW327" s="2">
        <f t="shared" si="265"/>
        <v>0.53351999999999999</v>
      </c>
      <c r="AX327" s="2">
        <f t="shared" si="266"/>
        <v>0.22471995</v>
      </c>
      <c r="AY327" s="2">
        <f t="shared" si="283"/>
        <v>1.2948149500000001</v>
      </c>
      <c r="AZ327" s="2">
        <f t="shared" si="284"/>
        <v>0.1942222425</v>
      </c>
      <c r="BA327" s="2">
        <f t="shared" si="267"/>
        <v>2.1401900000000001E-2</v>
      </c>
      <c r="BB327" s="2">
        <f t="shared" si="268"/>
        <v>0.6420570000000001</v>
      </c>
      <c r="BC327" s="2">
        <f t="shared" si="285"/>
        <v>2.6860160925000001</v>
      </c>
      <c r="BD327" s="2">
        <v>0</v>
      </c>
      <c r="BE327" s="2">
        <f t="shared" si="269"/>
        <v>10.700950000000001</v>
      </c>
      <c r="BF327" s="2">
        <f t="shared" si="270"/>
        <v>0.34778087499999999</v>
      </c>
      <c r="BG327" s="2">
        <f t="shared" si="286"/>
        <v>0.34778087499999999</v>
      </c>
      <c r="BH327" s="2">
        <f t="shared" si="287"/>
        <v>5.2167131249999998E-2</v>
      </c>
      <c r="BI327" s="2">
        <f t="shared" si="271"/>
        <v>2.1401900000000001E-2</v>
      </c>
      <c r="BJ327" s="2">
        <f t="shared" si="272"/>
        <v>0.6420570000000001</v>
      </c>
      <c r="BK327" s="2">
        <f t="shared" si="288"/>
        <v>11.764356906250001</v>
      </c>
      <c r="BL327" s="2">
        <f t="shared" si="273"/>
        <v>5365.75</v>
      </c>
      <c r="BM327" s="2">
        <f t="shared" si="274"/>
        <v>5335.2</v>
      </c>
      <c r="BN327" s="2">
        <f t="shared" si="289"/>
        <v>10700.95</v>
      </c>
    </row>
    <row r="328" spans="1:66" x14ac:dyDescent="0.25">
      <c r="A328" s="42">
        <v>325</v>
      </c>
      <c r="B328" s="43">
        <v>42864</v>
      </c>
      <c r="C328" s="42" t="s">
        <v>50</v>
      </c>
      <c r="D328" s="42" t="s">
        <v>207</v>
      </c>
      <c r="E328" s="6">
        <f t="shared" si="275"/>
        <v>-14.186623984374876</v>
      </c>
      <c r="F328" s="5" t="str">
        <f t="shared" si="290"/>
        <v>Loss</v>
      </c>
      <c r="G328" s="4">
        <f t="shared" si="291"/>
        <v>-12.199999999999875</v>
      </c>
      <c r="H328" s="46">
        <v>2</v>
      </c>
      <c r="I328" s="42">
        <v>172.8</v>
      </c>
      <c r="J328" s="42">
        <v>15</v>
      </c>
      <c r="K328" s="42">
        <v>172.6</v>
      </c>
      <c r="N328" s="5">
        <f t="shared" si="292"/>
        <v>17</v>
      </c>
      <c r="O328" s="4">
        <f t="shared" si="293"/>
        <v>172.7</v>
      </c>
      <c r="P328" s="5">
        <f t="shared" si="248"/>
        <v>2</v>
      </c>
      <c r="Q328" s="42">
        <v>171.95</v>
      </c>
      <c r="R328" s="2">
        <f t="shared" si="247"/>
        <v>15</v>
      </c>
      <c r="S328" s="42">
        <v>171.9</v>
      </c>
      <c r="T328" s="2">
        <f t="shared" si="276"/>
        <v>0</v>
      </c>
      <c r="V328" s="5">
        <f t="shared" si="294"/>
        <v>17</v>
      </c>
      <c r="W328" s="4">
        <f t="shared" si="295"/>
        <v>171.92500000000001</v>
      </c>
      <c r="X328" s="14">
        <f t="shared" si="249"/>
        <v>-0.65000000000000568</v>
      </c>
      <c r="Y328" s="5">
        <f t="shared" si="250"/>
        <v>-1.7000000000000455</v>
      </c>
      <c r="Z328" s="2">
        <f t="shared" si="251"/>
        <v>-10.499999999999829</v>
      </c>
      <c r="AA328" s="4">
        <f t="shared" si="252"/>
        <v>0</v>
      </c>
      <c r="AB328" s="13">
        <f t="shared" si="253"/>
        <v>1.9866239843750002</v>
      </c>
      <c r="AC328" s="10">
        <f>SUM($E$4:E328)</f>
        <v>-12299.741096533866</v>
      </c>
      <c r="AD328" s="20">
        <f>SUM($AB$4:AB328)</f>
        <v>10974.474396533833</v>
      </c>
      <c r="AF328" s="28">
        <f t="shared" si="254"/>
        <v>0.58586250000000006</v>
      </c>
      <c r="AG328" s="2">
        <f t="shared" si="255"/>
        <v>0.73068125000000006</v>
      </c>
      <c r="AH328" s="2">
        <f t="shared" si="256"/>
        <v>0.19040531249999998</v>
      </c>
      <c r="AI328" s="2">
        <f t="shared" si="277"/>
        <v>0.77626781249999999</v>
      </c>
      <c r="AJ328" s="2">
        <f t="shared" si="278"/>
        <v>0.116440171875</v>
      </c>
      <c r="AK328" s="2">
        <f t="shared" si="257"/>
        <v>1.171725E-2</v>
      </c>
      <c r="AL328" s="2">
        <f t="shared" si="258"/>
        <v>0.35151749999999998</v>
      </c>
      <c r="AM328" s="2">
        <f t="shared" si="279"/>
        <v>1.9866239843750002</v>
      </c>
      <c r="AN328" s="2">
        <f t="shared" si="259"/>
        <v>80</v>
      </c>
      <c r="AO328" s="2">
        <f t="shared" si="260"/>
        <v>1.4613625000000001</v>
      </c>
      <c r="AP328" s="2">
        <f t="shared" si="261"/>
        <v>3.1050712499999999</v>
      </c>
      <c r="AQ328" s="2">
        <f t="shared" si="280"/>
        <v>83.105071249999995</v>
      </c>
      <c r="AR328" s="2">
        <f t="shared" si="281"/>
        <v>12.4657606875</v>
      </c>
      <c r="AS328" s="2">
        <f t="shared" si="262"/>
        <v>1.171725E-2</v>
      </c>
      <c r="AT328" s="2">
        <f t="shared" si="263"/>
        <v>0.35151749999999998</v>
      </c>
      <c r="AU328" s="2">
        <f t="shared" si="282"/>
        <v>97.3954291875</v>
      </c>
      <c r="AV328" s="2">
        <f t="shared" si="264"/>
        <v>0.58586250000000006</v>
      </c>
      <c r="AW328" s="2">
        <f t="shared" si="265"/>
        <v>0.29227250000000005</v>
      </c>
      <c r="AX328" s="2">
        <f t="shared" si="266"/>
        <v>0.12303112499999999</v>
      </c>
      <c r="AY328" s="2">
        <f t="shared" si="283"/>
        <v>0.70889362500000008</v>
      </c>
      <c r="AZ328" s="2">
        <f t="shared" si="284"/>
        <v>0.10633404375000001</v>
      </c>
      <c r="BA328" s="2">
        <f t="shared" si="267"/>
        <v>1.171725E-2</v>
      </c>
      <c r="BB328" s="2">
        <f t="shared" si="268"/>
        <v>0.35151749999999998</v>
      </c>
      <c r="BC328" s="2">
        <f t="shared" si="285"/>
        <v>1.4707349187500001</v>
      </c>
      <c r="BD328" s="2">
        <v>0</v>
      </c>
      <c r="BE328" s="2">
        <f t="shared" si="269"/>
        <v>5.858625</v>
      </c>
      <c r="BF328" s="2">
        <f t="shared" si="270"/>
        <v>0.19040531249999998</v>
      </c>
      <c r="BG328" s="2">
        <f t="shared" si="286"/>
        <v>0.19040531249999998</v>
      </c>
      <c r="BH328" s="2">
        <f t="shared" si="287"/>
        <v>2.8560796874999995E-2</v>
      </c>
      <c r="BI328" s="2">
        <f t="shared" si="271"/>
        <v>1.171725E-2</v>
      </c>
      <c r="BJ328" s="2">
        <f t="shared" si="272"/>
        <v>0.35151749999999998</v>
      </c>
      <c r="BK328" s="2">
        <f t="shared" si="288"/>
        <v>6.4408258593750007</v>
      </c>
      <c r="BL328" s="2">
        <f t="shared" si="273"/>
        <v>2935.8999999999996</v>
      </c>
      <c r="BM328" s="2">
        <f t="shared" si="274"/>
        <v>2922.7250000000004</v>
      </c>
      <c r="BN328" s="2">
        <f t="shared" si="289"/>
        <v>5858.625</v>
      </c>
    </row>
    <row r="329" spans="1:66" x14ac:dyDescent="0.25">
      <c r="A329" s="42">
        <v>326</v>
      </c>
      <c r="B329" s="43">
        <v>42864</v>
      </c>
      <c r="C329" s="42" t="s">
        <v>50</v>
      </c>
      <c r="D329" s="42" t="s">
        <v>243</v>
      </c>
      <c r="E329" s="6">
        <f t="shared" si="275"/>
        <v>9.4716311500001638</v>
      </c>
      <c r="F329" s="5" t="str">
        <f t="shared" si="290"/>
        <v>Win</v>
      </c>
      <c r="G329" s="4">
        <f t="shared" si="291"/>
        <v>15.320000000000164</v>
      </c>
      <c r="H329" s="46">
        <v>2</v>
      </c>
      <c r="I329" s="42">
        <v>1434</v>
      </c>
      <c r="J329" s="42">
        <v>2</v>
      </c>
      <c r="K329" s="42">
        <v>1434.95</v>
      </c>
      <c r="L329" s="42">
        <v>2</v>
      </c>
      <c r="M329" s="44">
        <v>1434</v>
      </c>
      <c r="N329" s="5">
        <f t="shared" si="292"/>
        <v>6</v>
      </c>
      <c r="O329" s="4">
        <f t="shared" si="293"/>
        <v>1434.3166666666666</v>
      </c>
      <c r="P329" s="5">
        <f t="shared" si="248"/>
        <v>2</v>
      </c>
      <c r="Q329" s="42">
        <v>1433.66</v>
      </c>
      <c r="R329" s="2">
        <f t="shared" si="247"/>
        <v>2</v>
      </c>
      <c r="S329" s="42">
        <v>1436.4</v>
      </c>
      <c r="T329" s="2">
        <f t="shared" si="276"/>
        <v>2</v>
      </c>
      <c r="U329" s="44">
        <v>1440.55</v>
      </c>
      <c r="V329" s="5">
        <f t="shared" si="294"/>
        <v>6</v>
      </c>
      <c r="W329" s="4">
        <f t="shared" si="295"/>
        <v>1436.8700000000001</v>
      </c>
      <c r="X329" s="14">
        <f t="shared" si="249"/>
        <v>6.5499999999999545</v>
      </c>
      <c r="Y329" s="5">
        <f t="shared" si="250"/>
        <v>-0.67999999999983629</v>
      </c>
      <c r="Z329" s="2">
        <f t="shared" si="251"/>
        <v>2.9000000000000909</v>
      </c>
      <c r="AA329" s="4">
        <f t="shared" si="252"/>
        <v>13.099999999999909</v>
      </c>
      <c r="AB329" s="13">
        <f t="shared" si="253"/>
        <v>5.84836885</v>
      </c>
      <c r="AC329" s="10">
        <f>SUM($E$4:E329)</f>
        <v>-12290.269465383866</v>
      </c>
      <c r="AD329" s="20">
        <f>SUM($AB$4:AB329)</f>
        <v>10980.322765383833</v>
      </c>
      <c r="AF329" s="28">
        <f t="shared" si="254"/>
        <v>1.7227120000000002</v>
      </c>
      <c r="AG329" s="2">
        <f t="shared" si="255"/>
        <v>2.1553050000000002</v>
      </c>
      <c r="AH329" s="2">
        <f t="shared" si="256"/>
        <v>0.55988140000000008</v>
      </c>
      <c r="AI329" s="2">
        <f t="shared" si="277"/>
        <v>2.2825934000000005</v>
      </c>
      <c r="AJ329" s="2">
        <f t="shared" si="278"/>
        <v>0.34238901000000005</v>
      </c>
      <c r="AK329" s="2">
        <f t="shared" si="257"/>
        <v>3.4454240000000004E-2</v>
      </c>
      <c r="AL329" s="2">
        <f t="shared" si="258"/>
        <v>1.0336272000000002</v>
      </c>
      <c r="AM329" s="2">
        <f t="shared" si="279"/>
        <v>5.84836885</v>
      </c>
      <c r="AN329" s="2">
        <f t="shared" si="259"/>
        <v>120</v>
      </c>
      <c r="AO329" s="2">
        <f t="shared" si="260"/>
        <v>4.3106100000000005</v>
      </c>
      <c r="AP329" s="2">
        <f t="shared" si="261"/>
        <v>9.1303736000000004</v>
      </c>
      <c r="AQ329" s="2">
        <f t="shared" si="280"/>
        <v>129.13037360000001</v>
      </c>
      <c r="AR329" s="2">
        <f t="shared" si="281"/>
        <v>19.369556040000003</v>
      </c>
      <c r="AS329" s="2">
        <f t="shared" si="262"/>
        <v>3.4454240000000004E-2</v>
      </c>
      <c r="AT329" s="2">
        <f t="shared" si="263"/>
        <v>1.0336272000000002</v>
      </c>
      <c r="AU329" s="2">
        <f t="shared" si="282"/>
        <v>153.87862108000002</v>
      </c>
      <c r="AV329" s="2">
        <f t="shared" si="264"/>
        <v>1.7227120000000002</v>
      </c>
      <c r="AW329" s="2">
        <f t="shared" si="265"/>
        <v>0.86212200000000017</v>
      </c>
      <c r="AX329" s="2">
        <f t="shared" si="266"/>
        <v>0.36176952000000001</v>
      </c>
      <c r="AY329" s="2">
        <f t="shared" si="283"/>
        <v>2.0844815200000002</v>
      </c>
      <c r="AZ329" s="2">
        <f t="shared" si="284"/>
        <v>0.312672228</v>
      </c>
      <c r="BA329" s="2">
        <f t="shared" si="267"/>
        <v>3.4454240000000004E-2</v>
      </c>
      <c r="BB329" s="2">
        <f t="shared" si="268"/>
        <v>1.0336272000000002</v>
      </c>
      <c r="BC329" s="2">
        <f t="shared" si="285"/>
        <v>4.3273571880000006</v>
      </c>
      <c r="BD329" s="2">
        <v>0</v>
      </c>
      <c r="BE329" s="2">
        <f t="shared" si="269"/>
        <v>17.227120000000003</v>
      </c>
      <c r="BF329" s="2">
        <f t="shared" si="270"/>
        <v>0.55988140000000008</v>
      </c>
      <c r="BG329" s="2">
        <f t="shared" si="286"/>
        <v>0.55988140000000008</v>
      </c>
      <c r="BH329" s="2">
        <f t="shared" si="287"/>
        <v>8.3982210000000015E-2</v>
      </c>
      <c r="BI329" s="2">
        <f t="shared" si="271"/>
        <v>3.4454240000000004E-2</v>
      </c>
      <c r="BJ329" s="2">
        <f t="shared" si="272"/>
        <v>1.0336272000000002</v>
      </c>
      <c r="BK329" s="2">
        <f t="shared" si="288"/>
        <v>18.93906505</v>
      </c>
      <c r="BL329" s="2">
        <f t="shared" si="273"/>
        <v>8605.9</v>
      </c>
      <c r="BM329" s="2">
        <f t="shared" si="274"/>
        <v>8621.2200000000012</v>
      </c>
      <c r="BN329" s="2">
        <f t="shared" si="289"/>
        <v>17227.120000000003</v>
      </c>
    </row>
    <row r="330" spans="1:66" x14ac:dyDescent="0.25">
      <c r="A330" s="42">
        <v>327</v>
      </c>
      <c r="B330" s="43">
        <v>42864</v>
      </c>
      <c r="C330" s="42" t="s">
        <v>50</v>
      </c>
      <c r="D330" s="42" t="s">
        <v>235</v>
      </c>
      <c r="E330" s="6">
        <f t="shared" si="275"/>
        <v>-47.424098906250471</v>
      </c>
      <c r="F330" s="5" t="str">
        <f t="shared" si="290"/>
        <v>Loss</v>
      </c>
      <c r="G330" s="4">
        <f t="shared" si="291"/>
        <v>-41.250000000000469</v>
      </c>
      <c r="H330" s="46">
        <v>33</v>
      </c>
      <c r="I330" s="42">
        <v>92.5</v>
      </c>
      <c r="J330" s="42">
        <v>33</v>
      </c>
      <c r="K330" s="42">
        <v>91.8</v>
      </c>
      <c r="L330" s="42">
        <v>33</v>
      </c>
      <c r="M330" s="44">
        <v>92.2</v>
      </c>
      <c r="N330" s="5">
        <f t="shared" si="292"/>
        <v>99</v>
      </c>
      <c r="O330" s="4">
        <f t="shared" si="293"/>
        <v>92.166666666666671</v>
      </c>
      <c r="P330" s="5">
        <f t="shared" si="248"/>
        <v>33</v>
      </c>
      <c r="Q330" s="42">
        <v>92.05</v>
      </c>
      <c r="R330" s="2">
        <f t="shared" si="247"/>
        <v>33</v>
      </c>
      <c r="S330" s="42">
        <v>91.35</v>
      </c>
      <c r="T330" s="2">
        <f t="shared" si="276"/>
        <v>33</v>
      </c>
      <c r="U330" s="44">
        <v>91.85</v>
      </c>
      <c r="V330" s="5">
        <f t="shared" si="294"/>
        <v>99</v>
      </c>
      <c r="W330" s="4">
        <f t="shared" si="295"/>
        <v>91.75</v>
      </c>
      <c r="X330" s="14">
        <f t="shared" si="249"/>
        <v>0.25</v>
      </c>
      <c r="Y330" s="5">
        <f t="shared" si="250"/>
        <v>-14.850000000000094</v>
      </c>
      <c r="Z330" s="2">
        <f t="shared" si="251"/>
        <v>-14.850000000000094</v>
      </c>
      <c r="AA330" s="4">
        <f t="shared" si="252"/>
        <v>-11.550000000000281</v>
      </c>
      <c r="AB330" s="13">
        <f t="shared" si="253"/>
        <v>6.1740989062500002</v>
      </c>
      <c r="AC330" s="10">
        <f>SUM($E$4:E330)</f>
        <v>-12337.693564290117</v>
      </c>
      <c r="AD330" s="20">
        <f>SUM($AB$4:AB330)</f>
        <v>10986.496864290082</v>
      </c>
      <c r="AF330" s="28">
        <f t="shared" si="254"/>
        <v>1.820775</v>
      </c>
      <c r="AG330" s="2">
        <f t="shared" si="255"/>
        <v>2.2708124999999999</v>
      </c>
      <c r="AH330" s="2">
        <f t="shared" si="256"/>
        <v>0.59175187499999993</v>
      </c>
      <c r="AI330" s="2">
        <f t="shared" si="277"/>
        <v>2.4125268750000002</v>
      </c>
      <c r="AJ330" s="2">
        <f t="shared" si="278"/>
        <v>0.36187903125000004</v>
      </c>
      <c r="AK330" s="2">
        <f t="shared" si="257"/>
        <v>3.6415499999999996E-2</v>
      </c>
      <c r="AL330" s="2">
        <f t="shared" si="258"/>
        <v>1.092465</v>
      </c>
      <c r="AM330" s="2">
        <f t="shared" si="279"/>
        <v>6.1740989062500002</v>
      </c>
      <c r="AN330" s="2">
        <f t="shared" si="259"/>
        <v>120</v>
      </c>
      <c r="AO330" s="2">
        <f t="shared" si="260"/>
        <v>4.5416249999999998</v>
      </c>
      <c r="AP330" s="2">
        <f t="shared" si="261"/>
        <v>9.650107499999999</v>
      </c>
      <c r="AQ330" s="2">
        <f t="shared" si="280"/>
        <v>129.65010749999999</v>
      </c>
      <c r="AR330" s="2">
        <f t="shared" si="281"/>
        <v>19.447516124999996</v>
      </c>
      <c r="AS330" s="2">
        <f t="shared" si="262"/>
        <v>3.6415499999999996E-2</v>
      </c>
      <c r="AT330" s="2">
        <f t="shared" si="263"/>
        <v>1.092465</v>
      </c>
      <c r="AU330" s="2">
        <f t="shared" si="282"/>
        <v>154.768129125</v>
      </c>
      <c r="AV330" s="2">
        <f t="shared" si="264"/>
        <v>1.820775</v>
      </c>
      <c r="AW330" s="2">
        <f t="shared" si="265"/>
        <v>0.90832500000000005</v>
      </c>
      <c r="AX330" s="2">
        <f t="shared" si="266"/>
        <v>0.38236274999999997</v>
      </c>
      <c r="AY330" s="2">
        <f t="shared" si="283"/>
        <v>2.2031377499999998</v>
      </c>
      <c r="AZ330" s="2">
        <f t="shared" si="284"/>
        <v>0.33047066249999996</v>
      </c>
      <c r="BA330" s="2">
        <f t="shared" si="267"/>
        <v>3.6415499999999996E-2</v>
      </c>
      <c r="BB330" s="2">
        <f t="shared" si="268"/>
        <v>1.092465</v>
      </c>
      <c r="BC330" s="2">
        <f t="shared" si="285"/>
        <v>4.5708139124999994</v>
      </c>
      <c r="BD330" s="2">
        <v>0</v>
      </c>
      <c r="BE330" s="2">
        <f t="shared" si="269"/>
        <v>18.207750000000001</v>
      </c>
      <c r="BF330" s="2">
        <f t="shared" si="270"/>
        <v>0.59175187499999993</v>
      </c>
      <c r="BG330" s="2">
        <f t="shared" si="286"/>
        <v>0.59175187499999993</v>
      </c>
      <c r="BH330" s="2">
        <f t="shared" si="287"/>
        <v>8.8762781249999992E-2</v>
      </c>
      <c r="BI330" s="2">
        <f t="shared" si="271"/>
        <v>3.6415499999999996E-2</v>
      </c>
      <c r="BJ330" s="2">
        <f t="shared" si="272"/>
        <v>1.092465</v>
      </c>
      <c r="BK330" s="2">
        <f t="shared" si="288"/>
        <v>20.017145156250002</v>
      </c>
      <c r="BL330" s="2">
        <f t="shared" si="273"/>
        <v>9124.5</v>
      </c>
      <c r="BM330" s="2">
        <f t="shared" si="274"/>
        <v>9083.25</v>
      </c>
      <c r="BN330" s="2">
        <f t="shared" si="289"/>
        <v>18207.75</v>
      </c>
    </row>
    <row r="331" spans="1:66" x14ac:dyDescent="0.25">
      <c r="A331" s="42">
        <v>328</v>
      </c>
      <c r="B331" s="43">
        <v>42864</v>
      </c>
      <c r="C331" s="42" t="s">
        <v>50</v>
      </c>
      <c r="D331" s="42" t="s">
        <v>235</v>
      </c>
      <c r="E331" s="6">
        <f t="shared" si="275"/>
        <v>12.792498468750093</v>
      </c>
      <c r="F331" s="5" t="str">
        <f t="shared" si="290"/>
        <v>Win</v>
      </c>
      <c r="G331" s="4">
        <f t="shared" si="291"/>
        <v>14.850000000000094</v>
      </c>
      <c r="H331" s="46">
        <v>33</v>
      </c>
      <c r="I331" s="42">
        <v>91.55</v>
      </c>
      <c r="N331" s="5">
        <f t="shared" si="292"/>
        <v>33</v>
      </c>
      <c r="O331" s="4">
        <f t="shared" si="293"/>
        <v>91.55</v>
      </c>
      <c r="P331" s="5">
        <f t="shared" si="248"/>
        <v>33</v>
      </c>
      <c r="Q331" s="42">
        <v>92</v>
      </c>
      <c r="R331" s="2">
        <f t="shared" si="247"/>
        <v>0</v>
      </c>
      <c r="T331" s="2">
        <f t="shared" si="276"/>
        <v>0</v>
      </c>
      <c r="V331" s="5">
        <f t="shared" si="294"/>
        <v>33</v>
      </c>
      <c r="W331" s="4">
        <f t="shared" si="295"/>
        <v>92</v>
      </c>
      <c r="X331" s="14">
        <f t="shared" si="249"/>
        <v>0.45000000000000284</v>
      </c>
      <c r="Y331" s="5">
        <f t="shared" si="250"/>
        <v>14.850000000000094</v>
      </c>
      <c r="Z331" s="2">
        <f t="shared" si="251"/>
        <v>0</v>
      </c>
      <c r="AA331" s="4">
        <f t="shared" si="252"/>
        <v>0</v>
      </c>
      <c r="AB331" s="13">
        <f t="shared" si="253"/>
        <v>2.0575015312499998</v>
      </c>
      <c r="AC331" s="10">
        <f>SUM($E$4:E331)</f>
        <v>-12324.901065821367</v>
      </c>
      <c r="AD331" s="20">
        <f>SUM($AB$4:AB331)</f>
        <v>10988.554365821332</v>
      </c>
      <c r="AF331" s="28">
        <f t="shared" si="254"/>
        <v>0.605715</v>
      </c>
      <c r="AG331" s="2">
        <f t="shared" si="255"/>
        <v>0.75900000000000001</v>
      </c>
      <c r="AH331" s="2">
        <f t="shared" si="256"/>
        <v>0.19685737499999997</v>
      </c>
      <c r="AI331" s="2">
        <f t="shared" si="277"/>
        <v>0.802572375</v>
      </c>
      <c r="AJ331" s="2">
        <f t="shared" si="278"/>
        <v>0.12038585624999999</v>
      </c>
      <c r="AK331" s="2">
        <f t="shared" si="257"/>
        <v>1.2114299999999998E-2</v>
      </c>
      <c r="AL331" s="2">
        <f t="shared" si="258"/>
        <v>0.363429</v>
      </c>
      <c r="AM331" s="2">
        <f t="shared" si="279"/>
        <v>2.0575015312499998</v>
      </c>
      <c r="AN331" s="2">
        <f t="shared" si="259"/>
        <v>40</v>
      </c>
      <c r="AO331" s="2">
        <f t="shared" si="260"/>
        <v>1.518</v>
      </c>
      <c r="AP331" s="2">
        <f t="shared" si="261"/>
        <v>3.2102894999999996</v>
      </c>
      <c r="AQ331" s="2">
        <f t="shared" si="280"/>
        <v>43.210289500000002</v>
      </c>
      <c r="AR331" s="2">
        <f t="shared" si="281"/>
        <v>6.4815434249999999</v>
      </c>
      <c r="AS331" s="2">
        <f t="shared" si="262"/>
        <v>1.2114299999999998E-2</v>
      </c>
      <c r="AT331" s="2">
        <f t="shared" si="263"/>
        <v>0.363429</v>
      </c>
      <c r="AU331" s="2">
        <f t="shared" si="282"/>
        <v>51.585376225000005</v>
      </c>
      <c r="AV331" s="2">
        <f t="shared" si="264"/>
        <v>0.605715</v>
      </c>
      <c r="AW331" s="2">
        <f t="shared" si="265"/>
        <v>0.30359999999999998</v>
      </c>
      <c r="AX331" s="2">
        <f t="shared" si="266"/>
        <v>0.12720014999999998</v>
      </c>
      <c r="AY331" s="2">
        <f t="shared" si="283"/>
        <v>0.73291514999999996</v>
      </c>
      <c r="AZ331" s="2">
        <f t="shared" si="284"/>
        <v>0.10993727249999999</v>
      </c>
      <c r="BA331" s="2">
        <f t="shared" si="267"/>
        <v>1.2114299999999998E-2</v>
      </c>
      <c r="BB331" s="2">
        <f t="shared" si="268"/>
        <v>0.363429</v>
      </c>
      <c r="BC331" s="2">
        <f t="shared" si="285"/>
        <v>1.5219957225</v>
      </c>
      <c r="BD331" s="2">
        <v>0</v>
      </c>
      <c r="BE331" s="2">
        <f t="shared" si="269"/>
        <v>6.05715</v>
      </c>
      <c r="BF331" s="2">
        <f t="shared" si="270"/>
        <v>0.19685737499999997</v>
      </c>
      <c r="BG331" s="2">
        <f t="shared" si="286"/>
        <v>0.19685737499999997</v>
      </c>
      <c r="BH331" s="2">
        <f t="shared" si="287"/>
        <v>2.9528606249999995E-2</v>
      </c>
      <c r="BI331" s="2">
        <f t="shared" si="271"/>
        <v>1.2114299999999998E-2</v>
      </c>
      <c r="BJ331" s="2">
        <f t="shared" si="272"/>
        <v>0.363429</v>
      </c>
      <c r="BK331" s="2">
        <f t="shared" si="288"/>
        <v>6.6590792812500004</v>
      </c>
      <c r="BL331" s="2">
        <f t="shared" si="273"/>
        <v>3021.15</v>
      </c>
      <c r="BM331" s="2">
        <f t="shared" si="274"/>
        <v>3036</v>
      </c>
      <c r="BN331" s="2">
        <f t="shared" si="289"/>
        <v>6057.15</v>
      </c>
    </row>
    <row r="332" spans="1:66" x14ac:dyDescent="0.25">
      <c r="A332" s="42">
        <v>329</v>
      </c>
      <c r="B332" s="43">
        <v>42864</v>
      </c>
      <c r="C332" s="42" t="s">
        <v>50</v>
      </c>
      <c r="D332" s="42" t="s">
        <v>229</v>
      </c>
      <c r="E332" s="6">
        <f t="shared" si="275"/>
        <v>-17.367562312500098</v>
      </c>
      <c r="F332" s="5" t="str">
        <f t="shared" si="290"/>
        <v>Loss</v>
      </c>
      <c r="G332" s="4">
        <f t="shared" si="291"/>
        <v>-15.300000000000097</v>
      </c>
      <c r="H332" s="46">
        <v>17</v>
      </c>
      <c r="I332" s="42">
        <v>179.8</v>
      </c>
      <c r="N332" s="5">
        <f t="shared" si="292"/>
        <v>17</v>
      </c>
      <c r="O332" s="4">
        <f t="shared" si="293"/>
        <v>179.8</v>
      </c>
      <c r="P332" s="5">
        <f t="shared" si="248"/>
        <v>17</v>
      </c>
      <c r="Q332" s="42">
        <v>178.9</v>
      </c>
      <c r="R332" s="2">
        <f t="shared" si="247"/>
        <v>0</v>
      </c>
      <c r="T332" s="2">
        <f t="shared" si="276"/>
        <v>0</v>
      </c>
      <c r="V332" s="5">
        <f t="shared" si="294"/>
        <v>17</v>
      </c>
      <c r="W332" s="4">
        <f t="shared" si="295"/>
        <v>178.9</v>
      </c>
      <c r="X332" s="14">
        <f t="shared" si="249"/>
        <v>-0.90000000000000568</v>
      </c>
      <c r="Y332" s="5">
        <f t="shared" si="250"/>
        <v>-15.300000000000097</v>
      </c>
      <c r="Z332" s="2">
        <f t="shared" si="251"/>
        <v>0</v>
      </c>
      <c r="AA332" s="4">
        <f t="shared" si="252"/>
        <v>0</v>
      </c>
      <c r="AB332" s="13">
        <f t="shared" si="253"/>
        <v>2.0675623125000002</v>
      </c>
      <c r="AC332" s="10">
        <f>SUM($E$4:E332)</f>
        <v>-12342.268628133867</v>
      </c>
      <c r="AD332" s="20">
        <f>SUM($AB$4:AB332)</f>
        <v>10990.621928133833</v>
      </c>
      <c r="AF332" s="28">
        <f t="shared" si="254"/>
        <v>0.60979000000000005</v>
      </c>
      <c r="AG332" s="2">
        <f t="shared" si="255"/>
        <v>0.76032500000000003</v>
      </c>
      <c r="AH332" s="2">
        <f t="shared" si="256"/>
        <v>0.19818174999999999</v>
      </c>
      <c r="AI332" s="2">
        <f t="shared" si="277"/>
        <v>0.8079717500000001</v>
      </c>
      <c r="AJ332" s="2">
        <f t="shared" si="278"/>
        <v>0.12119576250000001</v>
      </c>
      <c r="AK332" s="2">
        <f t="shared" si="257"/>
        <v>1.21958E-2</v>
      </c>
      <c r="AL332" s="2">
        <f t="shared" si="258"/>
        <v>0.36587400000000003</v>
      </c>
      <c r="AM332" s="2">
        <f t="shared" si="279"/>
        <v>2.0675623125000002</v>
      </c>
      <c r="AN332" s="2">
        <f t="shared" si="259"/>
        <v>40</v>
      </c>
      <c r="AO332" s="2">
        <f t="shared" si="260"/>
        <v>1.5206500000000001</v>
      </c>
      <c r="AP332" s="2">
        <f t="shared" si="261"/>
        <v>3.231887</v>
      </c>
      <c r="AQ332" s="2">
        <f t="shared" si="280"/>
        <v>43.231887</v>
      </c>
      <c r="AR332" s="2">
        <f t="shared" si="281"/>
        <v>6.4847830499999999</v>
      </c>
      <c r="AS332" s="2">
        <f t="shared" si="262"/>
        <v>1.21958E-2</v>
      </c>
      <c r="AT332" s="2">
        <f t="shared" si="263"/>
        <v>0.36587400000000003</v>
      </c>
      <c r="AU332" s="2">
        <f t="shared" si="282"/>
        <v>51.61538985</v>
      </c>
      <c r="AV332" s="2">
        <f t="shared" si="264"/>
        <v>0.60979000000000005</v>
      </c>
      <c r="AW332" s="2">
        <f t="shared" si="265"/>
        <v>0.30413000000000001</v>
      </c>
      <c r="AX332" s="2">
        <f t="shared" si="266"/>
        <v>0.1280559</v>
      </c>
      <c r="AY332" s="2">
        <f t="shared" si="283"/>
        <v>0.73784590000000005</v>
      </c>
      <c r="AZ332" s="2">
        <f t="shared" si="284"/>
        <v>0.110676885</v>
      </c>
      <c r="BA332" s="2">
        <f t="shared" si="267"/>
        <v>1.21958E-2</v>
      </c>
      <c r="BB332" s="2">
        <f t="shared" si="268"/>
        <v>0.36587400000000003</v>
      </c>
      <c r="BC332" s="2">
        <f t="shared" si="285"/>
        <v>1.5307225850000001</v>
      </c>
      <c r="BD332" s="2">
        <v>0</v>
      </c>
      <c r="BE332" s="2">
        <f t="shared" si="269"/>
        <v>6.097900000000001</v>
      </c>
      <c r="BF332" s="2">
        <f t="shared" si="270"/>
        <v>0.19818174999999999</v>
      </c>
      <c r="BG332" s="2">
        <f t="shared" si="286"/>
        <v>0.19818174999999999</v>
      </c>
      <c r="BH332" s="2">
        <f t="shared" si="287"/>
        <v>2.9727262499999997E-2</v>
      </c>
      <c r="BI332" s="2">
        <f t="shared" si="271"/>
        <v>1.21958E-2</v>
      </c>
      <c r="BJ332" s="2">
        <f t="shared" si="272"/>
        <v>0.36587400000000003</v>
      </c>
      <c r="BK332" s="2">
        <f t="shared" si="288"/>
        <v>6.7038788125000002</v>
      </c>
      <c r="BL332" s="2">
        <f t="shared" si="273"/>
        <v>3056.6000000000004</v>
      </c>
      <c r="BM332" s="2">
        <f t="shared" si="274"/>
        <v>3041.3</v>
      </c>
      <c r="BN332" s="2">
        <f t="shared" si="289"/>
        <v>6097.9000000000005</v>
      </c>
    </row>
    <row r="333" spans="1:66" x14ac:dyDescent="0.25">
      <c r="A333" s="42">
        <v>330</v>
      </c>
      <c r="B333" s="43">
        <v>42865</v>
      </c>
      <c r="C333" s="42" t="s">
        <v>50</v>
      </c>
      <c r="D333" s="42" t="s">
        <v>187</v>
      </c>
      <c r="E333" s="6">
        <f t="shared" si="275"/>
        <v>-19.852493125000393</v>
      </c>
      <c r="F333" s="5" t="str">
        <f t="shared" si="290"/>
        <v>Loss</v>
      </c>
      <c r="G333" s="4">
        <f t="shared" si="291"/>
        <v>-16.100000000000392</v>
      </c>
      <c r="H333" s="46">
        <v>23</v>
      </c>
      <c r="I333" s="42">
        <v>120.95</v>
      </c>
      <c r="J333" s="42">
        <v>23</v>
      </c>
      <c r="K333" s="42">
        <v>119.9</v>
      </c>
      <c r="N333" s="5">
        <f t="shared" si="292"/>
        <v>46</v>
      </c>
      <c r="O333" s="4">
        <f t="shared" si="293"/>
        <v>120.42500000000001</v>
      </c>
      <c r="P333" s="5">
        <f t="shared" si="248"/>
        <v>23</v>
      </c>
      <c r="Q333" s="42">
        <v>120.35</v>
      </c>
      <c r="R333" s="2">
        <f t="shared" si="247"/>
        <v>23</v>
      </c>
      <c r="S333" s="42">
        <v>119.8</v>
      </c>
      <c r="T333" s="2">
        <f t="shared" si="276"/>
        <v>0</v>
      </c>
      <c r="V333" s="5">
        <f t="shared" si="294"/>
        <v>46</v>
      </c>
      <c r="W333" s="4">
        <f t="shared" si="295"/>
        <v>120.07499999999999</v>
      </c>
      <c r="X333" s="14">
        <f t="shared" si="249"/>
        <v>0.44999999999998863</v>
      </c>
      <c r="Y333" s="5">
        <f t="shared" si="250"/>
        <v>-13.800000000000196</v>
      </c>
      <c r="Z333" s="2">
        <f t="shared" si="251"/>
        <v>-2.3000000000001961</v>
      </c>
      <c r="AA333" s="4">
        <f t="shared" si="252"/>
        <v>0</v>
      </c>
      <c r="AB333" s="13">
        <f t="shared" si="253"/>
        <v>3.7524931250000004</v>
      </c>
      <c r="AC333" s="10">
        <f>SUM($E$4:E333)</f>
        <v>-12362.121121258868</v>
      </c>
      <c r="AD333" s="20">
        <f>SUM($AB$4:AB333)</f>
        <v>10994.374421258832</v>
      </c>
      <c r="AF333" s="28">
        <f t="shared" si="254"/>
        <v>1.1063000000000001</v>
      </c>
      <c r="AG333" s="2">
        <f t="shared" si="255"/>
        <v>1.3808624999999999</v>
      </c>
      <c r="AH333" s="2">
        <f t="shared" si="256"/>
        <v>0.35954749999999996</v>
      </c>
      <c r="AI333" s="2">
        <f t="shared" si="277"/>
        <v>1.4658475</v>
      </c>
      <c r="AJ333" s="2">
        <f t="shared" si="278"/>
        <v>0.21987712499999998</v>
      </c>
      <c r="AK333" s="2">
        <f t="shared" si="257"/>
        <v>2.2126E-2</v>
      </c>
      <c r="AL333" s="2">
        <f t="shared" si="258"/>
        <v>0.66378000000000004</v>
      </c>
      <c r="AM333" s="2">
        <f t="shared" si="279"/>
        <v>3.7524931250000004</v>
      </c>
      <c r="AN333" s="2">
        <f t="shared" si="259"/>
        <v>80</v>
      </c>
      <c r="AO333" s="2">
        <f t="shared" si="260"/>
        <v>2.7617249999999998</v>
      </c>
      <c r="AP333" s="2">
        <f t="shared" si="261"/>
        <v>5.8633899999999999</v>
      </c>
      <c r="AQ333" s="2">
        <f t="shared" si="280"/>
        <v>85.863389999999995</v>
      </c>
      <c r="AR333" s="2">
        <f t="shared" si="281"/>
        <v>12.879508499999998</v>
      </c>
      <c r="AS333" s="2">
        <f t="shared" si="262"/>
        <v>2.2126E-2</v>
      </c>
      <c r="AT333" s="2">
        <f t="shared" si="263"/>
        <v>0.66378000000000004</v>
      </c>
      <c r="AU333" s="2">
        <f t="shared" si="282"/>
        <v>102.1905295</v>
      </c>
      <c r="AV333" s="2">
        <f t="shared" si="264"/>
        <v>1.1063000000000001</v>
      </c>
      <c r="AW333" s="2">
        <f t="shared" si="265"/>
        <v>0.55234499999999997</v>
      </c>
      <c r="AX333" s="2">
        <f t="shared" si="266"/>
        <v>0.23232299999999997</v>
      </c>
      <c r="AY333" s="2">
        <f t="shared" si="283"/>
        <v>1.3386230000000001</v>
      </c>
      <c r="AZ333" s="2">
        <f t="shared" si="284"/>
        <v>0.20079345000000001</v>
      </c>
      <c r="BA333" s="2">
        <f t="shared" si="267"/>
        <v>2.2126E-2</v>
      </c>
      <c r="BB333" s="2">
        <f t="shared" si="268"/>
        <v>0.66378000000000004</v>
      </c>
      <c r="BC333" s="2">
        <f t="shared" si="285"/>
        <v>2.77766745</v>
      </c>
      <c r="BD333" s="2">
        <v>0</v>
      </c>
      <c r="BE333" s="2">
        <f t="shared" si="269"/>
        <v>11.063000000000001</v>
      </c>
      <c r="BF333" s="2">
        <f t="shared" si="270"/>
        <v>0.35954749999999996</v>
      </c>
      <c r="BG333" s="2">
        <f t="shared" si="286"/>
        <v>0.35954749999999996</v>
      </c>
      <c r="BH333" s="2">
        <f t="shared" si="287"/>
        <v>5.393212499999999E-2</v>
      </c>
      <c r="BI333" s="2">
        <f t="shared" si="271"/>
        <v>2.2126E-2</v>
      </c>
      <c r="BJ333" s="2">
        <f t="shared" si="272"/>
        <v>0.66378000000000004</v>
      </c>
      <c r="BK333" s="2">
        <f t="shared" si="288"/>
        <v>12.162385624999999</v>
      </c>
      <c r="BL333" s="2">
        <f t="shared" si="273"/>
        <v>5539.55</v>
      </c>
      <c r="BM333" s="2">
        <f t="shared" si="274"/>
        <v>5523.45</v>
      </c>
      <c r="BN333" s="2">
        <f t="shared" si="289"/>
        <v>11063</v>
      </c>
    </row>
    <row r="334" spans="1:66" x14ac:dyDescent="0.25">
      <c r="A334" s="42">
        <v>331</v>
      </c>
      <c r="B334" s="43">
        <v>42865</v>
      </c>
      <c r="C334" s="42" t="s">
        <v>50</v>
      </c>
      <c r="D334" s="42" t="s">
        <v>240</v>
      </c>
      <c r="E334" s="6">
        <f t="shared" si="275"/>
        <v>-4.68658815625</v>
      </c>
      <c r="F334" s="5" t="str">
        <f t="shared" si="290"/>
        <v>Loss</v>
      </c>
      <c r="G334" s="4">
        <f t="shared" si="291"/>
        <v>-2.75</v>
      </c>
      <c r="H334" s="46">
        <v>11</v>
      </c>
      <c r="I334" s="42">
        <v>259.55</v>
      </c>
      <c r="N334" s="5">
        <f t="shared" si="292"/>
        <v>11</v>
      </c>
      <c r="O334" s="4">
        <f t="shared" si="293"/>
        <v>259.55</v>
      </c>
      <c r="P334" s="5">
        <f t="shared" si="248"/>
        <v>11</v>
      </c>
      <c r="Q334" s="42">
        <v>259.3</v>
      </c>
      <c r="R334" s="2">
        <f t="shared" si="247"/>
        <v>0</v>
      </c>
      <c r="T334" s="2">
        <f t="shared" si="276"/>
        <v>0</v>
      </c>
      <c r="V334" s="5">
        <f t="shared" si="294"/>
        <v>11</v>
      </c>
      <c r="W334" s="4">
        <f t="shared" si="295"/>
        <v>259.3</v>
      </c>
      <c r="X334" s="14">
        <f t="shared" si="249"/>
        <v>-0.25</v>
      </c>
      <c r="Y334" s="5">
        <f t="shared" si="250"/>
        <v>-2.75</v>
      </c>
      <c r="Z334" s="2">
        <f t="shared" si="251"/>
        <v>0</v>
      </c>
      <c r="AA334" s="4">
        <f t="shared" si="252"/>
        <v>0</v>
      </c>
      <c r="AB334" s="13">
        <f t="shared" si="253"/>
        <v>1.9365881562500002</v>
      </c>
      <c r="AC334" s="10">
        <f>SUM($E$4:E334)</f>
        <v>-12366.807709415118</v>
      </c>
      <c r="AD334" s="20">
        <f>SUM($AB$4:AB334)</f>
        <v>10996.311009415082</v>
      </c>
      <c r="AF334" s="28">
        <f t="shared" si="254"/>
        <v>0.5707350000000001</v>
      </c>
      <c r="AG334" s="2">
        <f t="shared" si="255"/>
        <v>0.71307500000000001</v>
      </c>
      <c r="AH334" s="2">
        <f t="shared" si="256"/>
        <v>0.185488875</v>
      </c>
      <c r="AI334" s="2">
        <f t="shared" si="277"/>
        <v>0.7562238750000001</v>
      </c>
      <c r="AJ334" s="2">
        <f t="shared" si="278"/>
        <v>0.11343358125000001</v>
      </c>
      <c r="AK334" s="2">
        <f t="shared" si="257"/>
        <v>1.1414700000000002E-2</v>
      </c>
      <c r="AL334" s="2">
        <f t="shared" si="258"/>
        <v>0.34244100000000005</v>
      </c>
      <c r="AM334" s="2">
        <f t="shared" si="279"/>
        <v>1.9365881562500002</v>
      </c>
      <c r="AN334" s="2">
        <f t="shared" si="259"/>
        <v>40</v>
      </c>
      <c r="AO334" s="2">
        <f t="shared" si="260"/>
        <v>1.42615</v>
      </c>
      <c r="AP334" s="2">
        <f t="shared" si="261"/>
        <v>3.0248955</v>
      </c>
      <c r="AQ334" s="2">
        <f t="shared" si="280"/>
        <v>43.0248955</v>
      </c>
      <c r="AR334" s="2">
        <f t="shared" si="281"/>
        <v>6.4537343250000001</v>
      </c>
      <c r="AS334" s="2">
        <f t="shared" si="262"/>
        <v>1.1414700000000002E-2</v>
      </c>
      <c r="AT334" s="2">
        <f t="shared" si="263"/>
        <v>0.34244100000000005</v>
      </c>
      <c r="AU334" s="2">
        <f t="shared" si="282"/>
        <v>51.258635525000003</v>
      </c>
      <c r="AV334" s="2">
        <f t="shared" si="264"/>
        <v>0.5707350000000001</v>
      </c>
      <c r="AW334" s="2">
        <f t="shared" si="265"/>
        <v>0.28523000000000004</v>
      </c>
      <c r="AX334" s="2">
        <f t="shared" si="266"/>
        <v>0.11985435</v>
      </c>
      <c r="AY334" s="2">
        <f t="shared" si="283"/>
        <v>0.6905893500000001</v>
      </c>
      <c r="AZ334" s="2">
        <f t="shared" si="284"/>
        <v>0.10358840250000001</v>
      </c>
      <c r="BA334" s="2">
        <f t="shared" si="267"/>
        <v>1.1414700000000002E-2</v>
      </c>
      <c r="BB334" s="2">
        <f t="shared" si="268"/>
        <v>0.34244100000000005</v>
      </c>
      <c r="BC334" s="2">
        <f t="shared" si="285"/>
        <v>1.4332634525000001</v>
      </c>
      <c r="BD334" s="2">
        <v>0</v>
      </c>
      <c r="BE334" s="2">
        <f t="shared" si="269"/>
        <v>5.7073500000000008</v>
      </c>
      <c r="BF334" s="2">
        <f t="shared" si="270"/>
        <v>0.185488875</v>
      </c>
      <c r="BG334" s="2">
        <f t="shared" si="286"/>
        <v>0.185488875</v>
      </c>
      <c r="BH334" s="2">
        <f t="shared" si="287"/>
        <v>2.782333125E-2</v>
      </c>
      <c r="BI334" s="2">
        <f t="shared" si="271"/>
        <v>1.1414700000000002E-2</v>
      </c>
      <c r="BJ334" s="2">
        <f t="shared" si="272"/>
        <v>0.34244100000000005</v>
      </c>
      <c r="BK334" s="2">
        <f t="shared" si="288"/>
        <v>6.2745179062500007</v>
      </c>
      <c r="BL334" s="2">
        <f t="shared" si="273"/>
        <v>2855.05</v>
      </c>
      <c r="BM334" s="2">
        <f t="shared" si="274"/>
        <v>2852.3</v>
      </c>
      <c r="BN334" s="2">
        <f t="shared" si="289"/>
        <v>5707.35</v>
      </c>
    </row>
    <row r="335" spans="1:66" x14ac:dyDescent="0.25">
      <c r="A335" s="42">
        <v>332</v>
      </c>
      <c r="B335" s="43">
        <v>42865</v>
      </c>
      <c r="C335" s="42" t="s">
        <v>122</v>
      </c>
      <c r="D335" s="42" t="s">
        <v>244</v>
      </c>
      <c r="E335" s="6">
        <f t="shared" si="275"/>
        <v>-386.85493000000002</v>
      </c>
      <c r="F335" s="5" t="str">
        <f t="shared" si="290"/>
        <v>Loss</v>
      </c>
      <c r="G335" s="4">
        <f t="shared" si="291"/>
        <v>-340</v>
      </c>
      <c r="H335" s="46">
        <v>1700</v>
      </c>
      <c r="I335" s="42">
        <v>0.4</v>
      </c>
      <c r="N335" s="5">
        <f t="shared" si="292"/>
        <v>1700</v>
      </c>
      <c r="O335" s="4">
        <f t="shared" si="293"/>
        <v>0.4</v>
      </c>
      <c r="P335" s="5">
        <f t="shared" si="248"/>
        <v>1700</v>
      </c>
      <c r="Q335" s="42">
        <v>0.2</v>
      </c>
      <c r="R335" s="2">
        <f t="shared" si="247"/>
        <v>0</v>
      </c>
      <c r="T335" s="2">
        <f t="shared" si="276"/>
        <v>0</v>
      </c>
      <c r="V335" s="5">
        <f t="shared" si="294"/>
        <v>1700</v>
      </c>
      <c r="W335" s="4">
        <f t="shared" si="295"/>
        <v>0.2</v>
      </c>
      <c r="X335" s="14">
        <f t="shared" si="249"/>
        <v>-0.2</v>
      </c>
      <c r="Y335" s="5">
        <f t="shared" si="250"/>
        <v>-340</v>
      </c>
      <c r="Z335" s="2">
        <f t="shared" si="251"/>
        <v>0</v>
      </c>
      <c r="AA335" s="4">
        <f t="shared" si="252"/>
        <v>0</v>
      </c>
      <c r="AB335" s="13">
        <f t="shared" si="253"/>
        <v>46.854930000000003</v>
      </c>
      <c r="AC335" s="10">
        <f>SUM($E$4:E335)</f>
        <v>-12753.662639415117</v>
      </c>
      <c r="AD335" s="20">
        <f>SUM($AB$4:AB335)</f>
        <v>11043.165939415081</v>
      </c>
      <c r="AF335" s="28">
        <f t="shared" si="254"/>
        <v>0.10200000000000001</v>
      </c>
      <c r="AG335" s="2">
        <f t="shared" si="255"/>
        <v>8.5000000000000006E-2</v>
      </c>
      <c r="AH335" s="2">
        <f t="shared" si="256"/>
        <v>3.3149999999999999E-2</v>
      </c>
      <c r="AI335" s="2">
        <f t="shared" si="277"/>
        <v>0.13514999999999999</v>
      </c>
      <c r="AJ335" s="2">
        <f t="shared" si="278"/>
        <v>2.0272499999999999E-2</v>
      </c>
      <c r="AK335" s="2">
        <f t="shared" si="257"/>
        <v>2.0400000000000001E-3</v>
      </c>
      <c r="AL335" s="2">
        <f t="shared" si="258"/>
        <v>6.1200000000000004E-2</v>
      </c>
      <c r="AM335" s="2">
        <f t="shared" si="279"/>
        <v>0.30366250000000006</v>
      </c>
      <c r="AN335" s="2">
        <f t="shared" si="259"/>
        <v>40</v>
      </c>
      <c r="AO335" s="2">
        <f t="shared" si="260"/>
        <v>0.17</v>
      </c>
      <c r="AP335" s="2">
        <f t="shared" si="261"/>
        <v>0.54059999999999997</v>
      </c>
      <c r="AQ335" s="2">
        <f t="shared" si="280"/>
        <v>40.540599999999998</v>
      </c>
      <c r="AR335" s="2">
        <f t="shared" si="281"/>
        <v>6.0810899999999997</v>
      </c>
      <c r="AS335" s="2">
        <f t="shared" si="262"/>
        <v>2.0400000000000001E-3</v>
      </c>
      <c r="AT335" s="2">
        <f t="shared" si="263"/>
        <v>6.1200000000000004E-2</v>
      </c>
      <c r="AU335" s="2">
        <f t="shared" si="282"/>
        <v>46.854930000000003</v>
      </c>
      <c r="AV335" s="2">
        <f t="shared" si="264"/>
        <v>0.10200000000000001</v>
      </c>
      <c r="AW335" s="2">
        <f t="shared" si="265"/>
        <v>3.4000000000000002E-2</v>
      </c>
      <c r="AX335" s="2">
        <f t="shared" si="266"/>
        <v>2.1419999999999998E-2</v>
      </c>
      <c r="AY335" s="2">
        <f t="shared" si="283"/>
        <v>0.12342</v>
      </c>
      <c r="AZ335" s="2">
        <f t="shared" si="284"/>
        <v>1.8512999999999998E-2</v>
      </c>
      <c r="BA335" s="2">
        <f t="shared" si="267"/>
        <v>2.0400000000000001E-3</v>
      </c>
      <c r="BB335" s="2">
        <f t="shared" si="268"/>
        <v>6.1200000000000004E-2</v>
      </c>
      <c r="BC335" s="2">
        <f t="shared" si="285"/>
        <v>0.239173</v>
      </c>
      <c r="BD335" s="2">
        <v>0</v>
      </c>
      <c r="BE335" s="2">
        <f t="shared" si="269"/>
        <v>1.02</v>
      </c>
      <c r="BF335" s="2">
        <f t="shared" si="270"/>
        <v>3.3149999999999999E-2</v>
      </c>
      <c r="BG335" s="2">
        <f t="shared" si="286"/>
        <v>3.3149999999999999E-2</v>
      </c>
      <c r="BH335" s="2">
        <f t="shared" si="287"/>
        <v>4.9724999999999995E-3</v>
      </c>
      <c r="BI335" s="2">
        <f t="shared" si="271"/>
        <v>2.0400000000000001E-3</v>
      </c>
      <c r="BJ335" s="2">
        <f t="shared" si="272"/>
        <v>6.1200000000000004E-2</v>
      </c>
      <c r="BK335" s="2">
        <f t="shared" si="288"/>
        <v>1.1213625</v>
      </c>
      <c r="BL335" s="2">
        <f t="shared" si="273"/>
        <v>680</v>
      </c>
      <c r="BM335" s="2">
        <f t="shared" si="274"/>
        <v>340</v>
      </c>
      <c r="BN335" s="2">
        <f t="shared" si="289"/>
        <v>1020</v>
      </c>
    </row>
    <row r="336" spans="1:66" x14ac:dyDescent="0.25">
      <c r="A336" s="42">
        <v>333</v>
      </c>
      <c r="B336" s="43">
        <v>42865</v>
      </c>
      <c r="C336" s="42" t="s">
        <v>50</v>
      </c>
      <c r="D336" s="42" t="s">
        <v>244</v>
      </c>
      <c r="E336" s="6">
        <f t="shared" si="275"/>
        <v>25.449197906249591</v>
      </c>
      <c r="F336" s="5" t="str">
        <f t="shared" si="290"/>
        <v>Win</v>
      </c>
      <c r="G336" s="4">
        <f t="shared" si="291"/>
        <v>31.949999999999591</v>
      </c>
      <c r="H336" s="46">
        <v>9</v>
      </c>
      <c r="I336" s="42">
        <v>351.8</v>
      </c>
      <c r="J336" s="42">
        <v>9</v>
      </c>
      <c r="K336" s="42">
        <v>351.75</v>
      </c>
      <c r="L336" s="42">
        <v>9</v>
      </c>
      <c r="M336" s="44">
        <v>358.2</v>
      </c>
      <c r="N336" s="5">
        <f t="shared" si="292"/>
        <v>27</v>
      </c>
      <c r="O336" s="4">
        <f t="shared" si="293"/>
        <v>353.91666666666669</v>
      </c>
      <c r="P336" s="5">
        <f t="shared" si="248"/>
        <v>9</v>
      </c>
      <c r="Q336" s="42">
        <v>350.9</v>
      </c>
      <c r="R336" s="2">
        <f t="shared" si="247"/>
        <v>9</v>
      </c>
      <c r="S336" s="42">
        <v>358</v>
      </c>
      <c r="T336" s="2">
        <f t="shared" si="276"/>
        <v>9</v>
      </c>
      <c r="U336" s="44">
        <v>356.4</v>
      </c>
      <c r="V336" s="5">
        <f t="shared" si="294"/>
        <v>27</v>
      </c>
      <c r="W336" s="4">
        <f t="shared" si="295"/>
        <v>355.09999999999997</v>
      </c>
      <c r="X336" s="14">
        <f t="shared" si="249"/>
        <v>6.25</v>
      </c>
      <c r="Y336" s="5">
        <f t="shared" si="250"/>
        <v>-8.100000000000307</v>
      </c>
      <c r="Z336" s="2">
        <f t="shared" si="251"/>
        <v>56.25</v>
      </c>
      <c r="AA336" s="4">
        <f t="shared" si="252"/>
        <v>-16.200000000000102</v>
      </c>
      <c r="AB336" s="13">
        <f t="shared" si="253"/>
        <v>6.50080209375</v>
      </c>
      <c r="AC336" s="10">
        <f>SUM($E$4:E336)</f>
        <v>-12728.213441508868</v>
      </c>
      <c r="AD336" s="20">
        <f>SUM($AB$4:AB336)</f>
        <v>11049.66674150883</v>
      </c>
      <c r="AF336" s="28">
        <f t="shared" si="254"/>
        <v>1.9143449999999997</v>
      </c>
      <c r="AG336" s="2">
        <f t="shared" si="255"/>
        <v>2.3969249999999995</v>
      </c>
      <c r="AH336" s="2">
        <f t="shared" si="256"/>
        <v>0.6221621249999999</v>
      </c>
      <c r="AI336" s="2">
        <f t="shared" si="277"/>
        <v>2.5365071249999995</v>
      </c>
      <c r="AJ336" s="2">
        <f t="shared" si="278"/>
        <v>0.3804760687499999</v>
      </c>
      <c r="AK336" s="2">
        <f t="shared" si="257"/>
        <v>3.8286899999999999E-2</v>
      </c>
      <c r="AL336" s="2">
        <f t="shared" si="258"/>
        <v>1.1486069999999999</v>
      </c>
      <c r="AM336" s="2">
        <f t="shared" si="279"/>
        <v>6.50080209375</v>
      </c>
      <c r="AN336" s="2">
        <f t="shared" si="259"/>
        <v>120</v>
      </c>
      <c r="AO336" s="2">
        <f t="shared" si="260"/>
        <v>4.7938499999999991</v>
      </c>
      <c r="AP336" s="2">
        <f t="shared" si="261"/>
        <v>10.146028499999998</v>
      </c>
      <c r="AQ336" s="2">
        <f t="shared" si="280"/>
        <v>130.1460285</v>
      </c>
      <c r="AR336" s="2">
        <f t="shared" si="281"/>
        <v>19.521904275000001</v>
      </c>
      <c r="AS336" s="2">
        <f t="shared" si="262"/>
        <v>3.8286899999999999E-2</v>
      </c>
      <c r="AT336" s="2">
        <f t="shared" si="263"/>
        <v>1.1486069999999999</v>
      </c>
      <c r="AU336" s="2">
        <f t="shared" si="282"/>
        <v>155.64867667499999</v>
      </c>
      <c r="AV336" s="2">
        <f t="shared" si="264"/>
        <v>1.9143449999999997</v>
      </c>
      <c r="AW336" s="2">
        <f t="shared" si="265"/>
        <v>0.95877000000000001</v>
      </c>
      <c r="AX336" s="2">
        <f t="shared" si="266"/>
        <v>0.40201244999999991</v>
      </c>
      <c r="AY336" s="2">
        <f t="shared" si="283"/>
        <v>2.3163574499999995</v>
      </c>
      <c r="AZ336" s="2">
        <f t="shared" si="284"/>
        <v>0.34745361749999992</v>
      </c>
      <c r="BA336" s="2">
        <f t="shared" si="267"/>
        <v>3.8286899999999999E-2</v>
      </c>
      <c r="BB336" s="2">
        <f t="shared" si="268"/>
        <v>1.1486069999999999</v>
      </c>
      <c r="BC336" s="2">
        <f t="shared" si="285"/>
        <v>4.8094749674999999</v>
      </c>
      <c r="BD336" s="2">
        <v>0</v>
      </c>
      <c r="BE336" s="2">
        <f t="shared" si="269"/>
        <v>19.143449999999998</v>
      </c>
      <c r="BF336" s="2">
        <f t="shared" si="270"/>
        <v>0.6221621249999999</v>
      </c>
      <c r="BG336" s="2">
        <f t="shared" si="286"/>
        <v>0.6221621249999999</v>
      </c>
      <c r="BH336" s="2">
        <f t="shared" si="287"/>
        <v>9.3324318749999982E-2</v>
      </c>
      <c r="BI336" s="2">
        <f t="shared" si="271"/>
        <v>3.8286899999999999E-2</v>
      </c>
      <c r="BJ336" s="2">
        <f t="shared" si="272"/>
        <v>1.1486069999999999</v>
      </c>
      <c r="BK336" s="2">
        <f t="shared" si="288"/>
        <v>21.045830343749994</v>
      </c>
      <c r="BL336" s="2">
        <f t="shared" si="273"/>
        <v>9555.75</v>
      </c>
      <c r="BM336" s="2">
        <f t="shared" si="274"/>
        <v>9587.6999999999989</v>
      </c>
      <c r="BN336" s="2">
        <f t="shared" si="289"/>
        <v>19143.449999999997</v>
      </c>
    </row>
    <row r="337" spans="1:66" x14ac:dyDescent="0.25">
      <c r="A337" s="42">
        <v>334</v>
      </c>
      <c r="B337" s="43">
        <v>42865</v>
      </c>
      <c r="C337" s="42" t="s">
        <v>50</v>
      </c>
      <c r="D337" s="42" t="s">
        <v>244</v>
      </c>
      <c r="E337" s="6">
        <f t="shared" si="275"/>
        <v>-37.202501531249794</v>
      </c>
      <c r="F337" s="5" t="str">
        <f t="shared" si="290"/>
        <v>Loss</v>
      </c>
      <c r="G337" s="4">
        <f t="shared" si="291"/>
        <v>-32.849999999999795</v>
      </c>
      <c r="H337" s="46">
        <v>9</v>
      </c>
      <c r="I337" s="42">
        <v>358.4</v>
      </c>
      <c r="J337" s="42">
        <v>9</v>
      </c>
      <c r="K337" s="42">
        <v>356.6</v>
      </c>
      <c r="N337" s="5">
        <f t="shared" si="292"/>
        <v>18</v>
      </c>
      <c r="O337" s="4">
        <f t="shared" si="293"/>
        <v>357.5</v>
      </c>
      <c r="P337" s="5">
        <f t="shared" si="248"/>
        <v>9</v>
      </c>
      <c r="Q337" s="42">
        <v>356.55</v>
      </c>
      <c r="R337" s="2">
        <f t="shared" si="247"/>
        <v>9</v>
      </c>
      <c r="S337" s="42">
        <v>354.8</v>
      </c>
      <c r="T337" s="2">
        <f t="shared" si="276"/>
        <v>0</v>
      </c>
      <c r="V337" s="5">
        <f t="shared" si="294"/>
        <v>18</v>
      </c>
      <c r="W337" s="4">
        <f t="shared" si="295"/>
        <v>355.67500000000001</v>
      </c>
      <c r="X337" s="14">
        <f t="shared" si="249"/>
        <v>-5.0000000000011369E-2</v>
      </c>
      <c r="Y337" s="5">
        <f t="shared" si="250"/>
        <v>-16.649999999999693</v>
      </c>
      <c r="Z337" s="2">
        <f t="shared" si="251"/>
        <v>-16.200000000000102</v>
      </c>
      <c r="AA337" s="4">
        <f t="shared" si="252"/>
        <v>0</v>
      </c>
      <c r="AB337" s="13">
        <f t="shared" si="253"/>
        <v>4.3525015312500006</v>
      </c>
      <c r="AC337" s="10">
        <f>SUM($E$4:E337)</f>
        <v>-12765.415943040118</v>
      </c>
      <c r="AD337" s="20">
        <f>SUM($AB$4:AB337)</f>
        <v>11054.01924304008</v>
      </c>
      <c r="AF337" s="28">
        <f t="shared" si="254"/>
        <v>1.2837150000000002</v>
      </c>
      <c r="AG337" s="2">
        <f t="shared" si="255"/>
        <v>1.6005375000000002</v>
      </c>
      <c r="AH337" s="2">
        <f t="shared" si="256"/>
        <v>0.41720737499999999</v>
      </c>
      <c r="AI337" s="2">
        <f t="shared" si="277"/>
        <v>1.7009223750000002</v>
      </c>
      <c r="AJ337" s="2">
        <f t="shared" si="278"/>
        <v>0.25513835625000003</v>
      </c>
      <c r="AK337" s="2">
        <f t="shared" si="257"/>
        <v>2.5674300000000004E-2</v>
      </c>
      <c r="AL337" s="2">
        <f t="shared" si="258"/>
        <v>0.77022900000000005</v>
      </c>
      <c r="AM337" s="2">
        <f t="shared" si="279"/>
        <v>4.3525015312500006</v>
      </c>
      <c r="AN337" s="2">
        <f t="shared" si="259"/>
        <v>80</v>
      </c>
      <c r="AO337" s="2">
        <f t="shared" si="260"/>
        <v>3.2010750000000003</v>
      </c>
      <c r="AP337" s="2">
        <f t="shared" si="261"/>
        <v>6.8036895000000008</v>
      </c>
      <c r="AQ337" s="2">
        <f t="shared" si="280"/>
        <v>86.803689500000004</v>
      </c>
      <c r="AR337" s="2">
        <f t="shared" si="281"/>
        <v>13.020553425000001</v>
      </c>
      <c r="AS337" s="2">
        <f t="shared" si="262"/>
        <v>2.5674300000000004E-2</v>
      </c>
      <c r="AT337" s="2">
        <f t="shared" si="263"/>
        <v>0.77022900000000005</v>
      </c>
      <c r="AU337" s="2">
        <f t="shared" si="282"/>
        <v>103.82122122500002</v>
      </c>
      <c r="AV337" s="2">
        <f t="shared" si="264"/>
        <v>1.2837150000000002</v>
      </c>
      <c r="AW337" s="2">
        <f t="shared" si="265"/>
        <v>0.64021500000000009</v>
      </c>
      <c r="AX337" s="2">
        <f t="shared" si="266"/>
        <v>0.26958015000000002</v>
      </c>
      <c r="AY337" s="2">
        <f t="shared" si="283"/>
        <v>1.5532951500000003</v>
      </c>
      <c r="AZ337" s="2">
        <f t="shared" si="284"/>
        <v>0.23299427250000004</v>
      </c>
      <c r="BA337" s="2">
        <f t="shared" si="267"/>
        <v>2.5674300000000004E-2</v>
      </c>
      <c r="BB337" s="2">
        <f t="shared" si="268"/>
        <v>0.77022900000000005</v>
      </c>
      <c r="BC337" s="2">
        <f t="shared" si="285"/>
        <v>3.2224077225000003</v>
      </c>
      <c r="BD337" s="2">
        <v>0</v>
      </c>
      <c r="BE337" s="2">
        <f t="shared" si="269"/>
        <v>12.837150000000001</v>
      </c>
      <c r="BF337" s="2">
        <f t="shared" si="270"/>
        <v>0.41720737499999999</v>
      </c>
      <c r="BG337" s="2">
        <f t="shared" si="286"/>
        <v>0.41720737499999999</v>
      </c>
      <c r="BH337" s="2">
        <f t="shared" si="287"/>
        <v>6.258110624999999E-2</v>
      </c>
      <c r="BI337" s="2">
        <f t="shared" si="271"/>
        <v>2.5674300000000004E-2</v>
      </c>
      <c r="BJ337" s="2">
        <f t="shared" si="272"/>
        <v>0.77022900000000005</v>
      </c>
      <c r="BK337" s="2">
        <f t="shared" si="288"/>
        <v>14.112841781250003</v>
      </c>
      <c r="BL337" s="2">
        <f t="shared" si="273"/>
        <v>6435</v>
      </c>
      <c r="BM337" s="2">
        <f t="shared" si="274"/>
        <v>6402.1500000000005</v>
      </c>
      <c r="BN337" s="2">
        <f t="shared" si="289"/>
        <v>12837.150000000001</v>
      </c>
    </row>
    <row r="338" spans="1:66" x14ac:dyDescent="0.25">
      <c r="A338" s="42">
        <v>335</v>
      </c>
      <c r="B338" s="43">
        <v>42865</v>
      </c>
      <c r="C338" s="42" t="s">
        <v>50</v>
      </c>
      <c r="D338" s="42" t="s">
        <v>244</v>
      </c>
      <c r="E338" s="6">
        <f t="shared" si="275"/>
        <v>-27.4057740000001</v>
      </c>
      <c r="F338" s="5" t="str">
        <f t="shared" si="290"/>
        <v>Loss</v>
      </c>
      <c r="G338" s="4">
        <f t="shared" si="291"/>
        <v>-25.200000000000102</v>
      </c>
      <c r="H338" s="46">
        <v>9</v>
      </c>
      <c r="I338" s="42">
        <v>363</v>
      </c>
      <c r="N338" s="5">
        <f t="shared" si="292"/>
        <v>9</v>
      </c>
      <c r="O338" s="4">
        <f t="shared" si="293"/>
        <v>363</v>
      </c>
      <c r="P338" s="5">
        <f t="shared" si="248"/>
        <v>9</v>
      </c>
      <c r="Q338" s="42">
        <v>360.2</v>
      </c>
      <c r="R338" s="2">
        <f t="shared" si="247"/>
        <v>0</v>
      </c>
      <c r="T338" s="2">
        <f t="shared" si="276"/>
        <v>0</v>
      </c>
      <c r="V338" s="5">
        <f t="shared" si="294"/>
        <v>9</v>
      </c>
      <c r="W338" s="4">
        <f t="shared" si="295"/>
        <v>360.2</v>
      </c>
      <c r="X338" s="14">
        <f t="shared" si="249"/>
        <v>-2.8000000000000114</v>
      </c>
      <c r="Y338" s="5">
        <f t="shared" si="250"/>
        <v>-25.200000000000102</v>
      </c>
      <c r="Z338" s="2">
        <f t="shared" si="251"/>
        <v>0</v>
      </c>
      <c r="AA338" s="4">
        <f t="shared" si="252"/>
        <v>0</v>
      </c>
      <c r="AB338" s="13">
        <f t="shared" si="253"/>
        <v>2.2057739999999999</v>
      </c>
      <c r="AC338" s="10">
        <f>SUM($E$4:E338)</f>
        <v>-12792.821717040119</v>
      </c>
      <c r="AD338" s="20">
        <f>SUM($AB$4:AB338)</f>
        <v>11056.22501704008</v>
      </c>
      <c r="AF338" s="28">
        <f t="shared" si="254"/>
        <v>0.6508799999999999</v>
      </c>
      <c r="AG338" s="2">
        <f t="shared" si="255"/>
        <v>0.81045000000000011</v>
      </c>
      <c r="AH338" s="2">
        <f t="shared" si="256"/>
        <v>0.21153599999999995</v>
      </c>
      <c r="AI338" s="2">
        <f t="shared" si="277"/>
        <v>0.86241599999999985</v>
      </c>
      <c r="AJ338" s="2">
        <f t="shared" si="278"/>
        <v>0.12936239999999996</v>
      </c>
      <c r="AK338" s="2">
        <f t="shared" si="257"/>
        <v>1.3017599999999999E-2</v>
      </c>
      <c r="AL338" s="2">
        <f t="shared" si="258"/>
        <v>0.39052799999999999</v>
      </c>
      <c r="AM338" s="2">
        <f t="shared" si="279"/>
        <v>2.2057739999999999</v>
      </c>
      <c r="AN338" s="2">
        <f t="shared" si="259"/>
        <v>40</v>
      </c>
      <c r="AO338" s="2">
        <f t="shared" si="260"/>
        <v>1.6209000000000002</v>
      </c>
      <c r="AP338" s="2">
        <f t="shared" si="261"/>
        <v>3.4496639999999994</v>
      </c>
      <c r="AQ338" s="2">
        <f t="shared" si="280"/>
        <v>43.449663999999999</v>
      </c>
      <c r="AR338" s="2">
        <f t="shared" si="281"/>
        <v>6.5174496</v>
      </c>
      <c r="AS338" s="2">
        <f t="shared" si="262"/>
        <v>1.3017599999999999E-2</v>
      </c>
      <c r="AT338" s="2">
        <f t="shared" si="263"/>
        <v>0.39052799999999999</v>
      </c>
      <c r="AU338" s="2">
        <f t="shared" si="282"/>
        <v>51.991559199999998</v>
      </c>
      <c r="AV338" s="2">
        <f t="shared" si="264"/>
        <v>0.6508799999999999</v>
      </c>
      <c r="AW338" s="2">
        <f t="shared" si="265"/>
        <v>0.32418000000000002</v>
      </c>
      <c r="AX338" s="2">
        <f t="shared" si="266"/>
        <v>0.13668479999999997</v>
      </c>
      <c r="AY338" s="2">
        <f t="shared" si="283"/>
        <v>0.78756479999999984</v>
      </c>
      <c r="AZ338" s="2">
        <f t="shared" si="284"/>
        <v>0.11813471999999997</v>
      </c>
      <c r="BA338" s="2">
        <f t="shared" si="267"/>
        <v>1.3017599999999999E-2</v>
      </c>
      <c r="BB338" s="2">
        <f t="shared" si="268"/>
        <v>0.39052799999999999</v>
      </c>
      <c r="BC338" s="2">
        <f t="shared" si="285"/>
        <v>1.6334251199999998</v>
      </c>
      <c r="BD338" s="2">
        <v>0</v>
      </c>
      <c r="BE338" s="2">
        <f t="shared" si="269"/>
        <v>6.508799999999999</v>
      </c>
      <c r="BF338" s="2">
        <f t="shared" si="270"/>
        <v>0.21153599999999995</v>
      </c>
      <c r="BG338" s="2">
        <f t="shared" si="286"/>
        <v>0.21153599999999995</v>
      </c>
      <c r="BH338" s="2">
        <f t="shared" si="287"/>
        <v>3.1730399999999992E-2</v>
      </c>
      <c r="BI338" s="2">
        <f t="shared" si="271"/>
        <v>1.3017599999999999E-2</v>
      </c>
      <c r="BJ338" s="2">
        <f t="shared" si="272"/>
        <v>0.39052799999999999</v>
      </c>
      <c r="BK338" s="2">
        <f t="shared" si="288"/>
        <v>7.1556119999999988</v>
      </c>
      <c r="BL338" s="2">
        <f t="shared" si="273"/>
        <v>3267</v>
      </c>
      <c r="BM338" s="2">
        <f t="shared" si="274"/>
        <v>3241.7999999999997</v>
      </c>
      <c r="BN338" s="2">
        <f t="shared" si="289"/>
        <v>6508.7999999999993</v>
      </c>
    </row>
    <row r="339" spans="1:66" x14ac:dyDescent="0.25">
      <c r="A339" s="42">
        <v>336</v>
      </c>
      <c r="B339" s="43">
        <v>42865</v>
      </c>
      <c r="C339" s="42" t="s">
        <v>50</v>
      </c>
      <c r="D339" s="42" t="s">
        <v>244</v>
      </c>
      <c r="E339" s="6">
        <f t="shared" si="275"/>
        <v>31.025196874999999</v>
      </c>
      <c r="F339" s="5" t="str">
        <f t="shared" si="290"/>
        <v>Win</v>
      </c>
      <c r="G339" s="4">
        <f t="shared" si="291"/>
        <v>42.5</v>
      </c>
      <c r="H339" s="46">
        <v>25</v>
      </c>
      <c r="I339" s="42">
        <v>375.5</v>
      </c>
      <c r="J339" s="42">
        <v>20</v>
      </c>
      <c r="K339" s="42">
        <v>374.5</v>
      </c>
      <c r="N339" s="5">
        <f t="shared" si="292"/>
        <v>45</v>
      </c>
      <c r="O339" s="4">
        <f t="shared" si="293"/>
        <v>375</v>
      </c>
      <c r="P339" s="5">
        <f t="shared" si="248"/>
        <v>25</v>
      </c>
      <c r="Q339" s="42">
        <v>376</v>
      </c>
      <c r="R339" s="2">
        <f t="shared" si="247"/>
        <v>20</v>
      </c>
      <c r="S339" s="42">
        <v>376</v>
      </c>
      <c r="T339" s="2">
        <f t="shared" si="276"/>
        <v>0</v>
      </c>
      <c r="V339" s="5">
        <f t="shared" si="294"/>
        <v>45</v>
      </c>
      <c r="W339" s="4">
        <f t="shared" si="295"/>
        <v>376</v>
      </c>
      <c r="X339" s="14">
        <f t="shared" si="249"/>
        <v>1.5</v>
      </c>
      <c r="Y339" s="5">
        <f t="shared" si="250"/>
        <v>12.5</v>
      </c>
      <c r="Z339" s="2">
        <f t="shared" si="251"/>
        <v>30</v>
      </c>
      <c r="AA339" s="4">
        <f t="shared" si="252"/>
        <v>0</v>
      </c>
      <c r="AB339" s="13">
        <f t="shared" si="253"/>
        <v>11.474803124999999</v>
      </c>
      <c r="AC339" s="10">
        <f>SUM($E$4:E339)</f>
        <v>-12761.796520165119</v>
      </c>
      <c r="AD339" s="20">
        <f>SUM($AB$4:AB339)</f>
        <v>11067.69982016508</v>
      </c>
      <c r="AF339" s="28">
        <f t="shared" si="254"/>
        <v>3.3795000000000002</v>
      </c>
      <c r="AG339" s="2">
        <f t="shared" si="255"/>
        <v>4.2299999999999995</v>
      </c>
      <c r="AH339" s="2">
        <f t="shared" si="256"/>
        <v>1.0983375</v>
      </c>
      <c r="AI339" s="2">
        <f t="shared" si="277"/>
        <v>4.4778374999999997</v>
      </c>
      <c r="AJ339" s="2">
        <f t="shared" si="278"/>
        <v>0.67167562499999989</v>
      </c>
      <c r="AK339" s="2">
        <f t="shared" si="257"/>
        <v>6.7589999999999997E-2</v>
      </c>
      <c r="AL339" s="2">
        <f t="shared" si="258"/>
        <v>2.0276999999999998</v>
      </c>
      <c r="AM339" s="2">
        <f t="shared" si="279"/>
        <v>11.474803124999999</v>
      </c>
      <c r="AN339" s="2">
        <f t="shared" si="259"/>
        <v>80</v>
      </c>
      <c r="AO339" s="2">
        <f t="shared" si="260"/>
        <v>8.4599999999999991</v>
      </c>
      <c r="AP339" s="2">
        <f t="shared" si="261"/>
        <v>17.911349999999999</v>
      </c>
      <c r="AQ339" s="2">
        <f t="shared" si="280"/>
        <v>97.911349999999999</v>
      </c>
      <c r="AR339" s="2">
        <f t="shared" si="281"/>
        <v>14.686702499999999</v>
      </c>
      <c r="AS339" s="2">
        <f t="shared" si="262"/>
        <v>6.7589999999999997E-2</v>
      </c>
      <c r="AT339" s="2">
        <f t="shared" si="263"/>
        <v>2.0276999999999998</v>
      </c>
      <c r="AU339" s="2">
        <f t="shared" si="282"/>
        <v>123.15334249999998</v>
      </c>
      <c r="AV339" s="2">
        <f t="shared" si="264"/>
        <v>3.3795000000000002</v>
      </c>
      <c r="AW339" s="2">
        <f t="shared" si="265"/>
        <v>1.6920000000000002</v>
      </c>
      <c r="AX339" s="2">
        <f t="shared" si="266"/>
        <v>0.70969499999999996</v>
      </c>
      <c r="AY339" s="2">
        <f t="shared" si="283"/>
        <v>4.0891950000000001</v>
      </c>
      <c r="AZ339" s="2">
        <f t="shared" si="284"/>
        <v>0.61337925000000004</v>
      </c>
      <c r="BA339" s="2">
        <f t="shared" si="267"/>
        <v>6.7589999999999997E-2</v>
      </c>
      <c r="BB339" s="2">
        <f t="shared" si="268"/>
        <v>2.0276999999999998</v>
      </c>
      <c r="BC339" s="2">
        <f t="shared" si="285"/>
        <v>8.4898642500000001</v>
      </c>
      <c r="BD339" s="2">
        <v>0</v>
      </c>
      <c r="BE339" s="2">
        <f t="shared" si="269"/>
        <v>33.795000000000002</v>
      </c>
      <c r="BF339" s="2">
        <f t="shared" si="270"/>
        <v>1.0983375</v>
      </c>
      <c r="BG339" s="2">
        <f t="shared" si="286"/>
        <v>1.0983375</v>
      </c>
      <c r="BH339" s="2">
        <f t="shared" si="287"/>
        <v>0.16475062499999998</v>
      </c>
      <c r="BI339" s="2">
        <f t="shared" si="271"/>
        <v>6.7589999999999997E-2</v>
      </c>
      <c r="BJ339" s="2">
        <f t="shared" si="272"/>
        <v>2.0276999999999998</v>
      </c>
      <c r="BK339" s="2">
        <f t="shared" si="288"/>
        <v>37.15337812500001</v>
      </c>
      <c r="BL339" s="2">
        <f t="shared" si="273"/>
        <v>16875</v>
      </c>
      <c r="BM339" s="2">
        <f t="shared" si="274"/>
        <v>16920</v>
      </c>
      <c r="BN339" s="2">
        <f t="shared" si="289"/>
        <v>33795</v>
      </c>
    </row>
    <row r="340" spans="1:66" x14ac:dyDescent="0.25">
      <c r="A340" s="42">
        <v>337</v>
      </c>
      <c r="B340" s="43">
        <v>42865</v>
      </c>
      <c r="C340" s="42" t="s">
        <v>50</v>
      </c>
      <c r="D340" s="42" t="s">
        <v>244</v>
      </c>
      <c r="E340" s="6">
        <f t="shared" si="275"/>
        <v>-58.845279375000516</v>
      </c>
      <c r="F340" s="5" t="str">
        <f t="shared" si="290"/>
        <v>Loss</v>
      </c>
      <c r="G340" s="4">
        <f t="shared" si="291"/>
        <v>-36.000000000000512</v>
      </c>
      <c r="H340" s="46">
        <v>45</v>
      </c>
      <c r="I340" s="42">
        <v>375.25</v>
      </c>
      <c r="J340" s="42">
        <v>45</v>
      </c>
      <c r="K340" s="42">
        <v>373.25</v>
      </c>
      <c r="N340" s="5">
        <f t="shared" si="292"/>
        <v>90</v>
      </c>
      <c r="O340" s="4">
        <f t="shared" si="293"/>
        <v>374.25</v>
      </c>
      <c r="P340" s="5">
        <f t="shared" si="248"/>
        <v>45</v>
      </c>
      <c r="Q340" s="42">
        <v>374.2</v>
      </c>
      <c r="R340" s="2">
        <f t="shared" si="247"/>
        <v>45</v>
      </c>
      <c r="S340" s="42">
        <v>373.5</v>
      </c>
      <c r="T340" s="2">
        <f t="shared" si="276"/>
        <v>0</v>
      </c>
      <c r="V340" s="5">
        <f t="shared" si="294"/>
        <v>90</v>
      </c>
      <c r="W340" s="4">
        <f t="shared" si="295"/>
        <v>373.85</v>
      </c>
      <c r="X340" s="14">
        <f t="shared" si="249"/>
        <v>0.94999999999998863</v>
      </c>
      <c r="Y340" s="5">
        <f t="shared" si="250"/>
        <v>-47.250000000000512</v>
      </c>
      <c r="Z340" s="2">
        <f t="shared" si="251"/>
        <v>11.25</v>
      </c>
      <c r="AA340" s="4">
        <f t="shared" si="252"/>
        <v>0</v>
      </c>
      <c r="AB340" s="13">
        <f t="shared" si="253"/>
        <v>22.845279375000004</v>
      </c>
      <c r="AC340" s="10">
        <f>SUM($E$4:E340)</f>
        <v>-12820.641799540119</v>
      </c>
      <c r="AD340" s="20">
        <f>SUM($AB$4:AB340)</f>
        <v>11090.545099540081</v>
      </c>
      <c r="AF340" s="28">
        <f t="shared" si="254"/>
        <v>6.7328999999999999</v>
      </c>
      <c r="AG340" s="2">
        <f t="shared" si="255"/>
        <v>8.4116250000000008</v>
      </c>
      <c r="AH340" s="2">
        <f t="shared" si="256"/>
        <v>2.1881925</v>
      </c>
      <c r="AI340" s="2">
        <f t="shared" si="277"/>
        <v>8.9210925000000003</v>
      </c>
      <c r="AJ340" s="2">
        <f t="shared" si="278"/>
        <v>1.338163875</v>
      </c>
      <c r="AK340" s="2">
        <f t="shared" si="257"/>
        <v>0.134658</v>
      </c>
      <c r="AL340" s="2">
        <f t="shared" si="258"/>
        <v>4.0397400000000001</v>
      </c>
      <c r="AM340" s="2">
        <f t="shared" si="279"/>
        <v>22.845279375000004</v>
      </c>
      <c r="AN340" s="2">
        <f t="shared" si="259"/>
        <v>80</v>
      </c>
      <c r="AO340" s="2">
        <f t="shared" si="260"/>
        <v>16.823250000000002</v>
      </c>
      <c r="AP340" s="2">
        <f t="shared" si="261"/>
        <v>35.684370000000001</v>
      </c>
      <c r="AQ340" s="2">
        <f t="shared" si="280"/>
        <v>115.68437</v>
      </c>
      <c r="AR340" s="2">
        <f t="shared" si="281"/>
        <v>17.352655500000001</v>
      </c>
      <c r="AS340" s="2">
        <f t="shared" si="262"/>
        <v>0.134658</v>
      </c>
      <c r="AT340" s="2">
        <f t="shared" si="263"/>
        <v>4.0397400000000001</v>
      </c>
      <c r="AU340" s="2">
        <f t="shared" si="282"/>
        <v>154.0346735</v>
      </c>
      <c r="AV340" s="2">
        <f t="shared" si="264"/>
        <v>6.7328999999999999</v>
      </c>
      <c r="AW340" s="2">
        <f t="shared" si="265"/>
        <v>3.3646500000000006</v>
      </c>
      <c r="AX340" s="2">
        <f t="shared" si="266"/>
        <v>1.4139089999999999</v>
      </c>
      <c r="AY340" s="2">
        <f t="shared" si="283"/>
        <v>8.1468089999999993</v>
      </c>
      <c r="AZ340" s="2">
        <f t="shared" si="284"/>
        <v>1.2220213499999999</v>
      </c>
      <c r="BA340" s="2">
        <f t="shared" si="267"/>
        <v>0.134658</v>
      </c>
      <c r="BB340" s="2">
        <f t="shared" si="268"/>
        <v>4.0397400000000001</v>
      </c>
      <c r="BC340" s="2">
        <f t="shared" si="285"/>
        <v>16.907878350000001</v>
      </c>
      <c r="BD340" s="2">
        <v>0</v>
      </c>
      <c r="BE340" s="2">
        <f t="shared" si="269"/>
        <v>67.329000000000008</v>
      </c>
      <c r="BF340" s="2">
        <f t="shared" si="270"/>
        <v>2.1881925</v>
      </c>
      <c r="BG340" s="2">
        <f t="shared" si="286"/>
        <v>2.1881925</v>
      </c>
      <c r="BH340" s="2">
        <f t="shared" si="287"/>
        <v>0.32822887499999998</v>
      </c>
      <c r="BI340" s="2">
        <f t="shared" si="271"/>
        <v>0.134658</v>
      </c>
      <c r="BJ340" s="2">
        <f t="shared" si="272"/>
        <v>4.0397400000000001</v>
      </c>
      <c r="BK340" s="2">
        <f t="shared" si="288"/>
        <v>74.019819374999997</v>
      </c>
      <c r="BL340" s="2">
        <f t="shared" si="273"/>
        <v>33682.5</v>
      </c>
      <c r="BM340" s="2">
        <f t="shared" si="274"/>
        <v>33646.5</v>
      </c>
      <c r="BN340" s="2">
        <f t="shared" si="289"/>
        <v>67329</v>
      </c>
    </row>
    <row r="341" spans="1:66" x14ac:dyDescent="0.25">
      <c r="A341" s="42">
        <v>338</v>
      </c>
      <c r="B341" s="43">
        <v>42865</v>
      </c>
      <c r="C341" s="42" t="s">
        <v>50</v>
      </c>
      <c r="D341" s="42" t="s">
        <v>244</v>
      </c>
      <c r="E341" s="6">
        <f t="shared" si="275"/>
        <v>123.575034375</v>
      </c>
      <c r="F341" s="5" t="str">
        <f t="shared" si="290"/>
        <v>Win</v>
      </c>
      <c r="G341" s="4">
        <f t="shared" si="291"/>
        <v>135</v>
      </c>
      <c r="H341" s="46">
        <v>45</v>
      </c>
      <c r="I341" s="42">
        <v>372</v>
      </c>
      <c r="N341" s="5">
        <f t="shared" si="292"/>
        <v>45</v>
      </c>
      <c r="O341" s="4">
        <f t="shared" si="293"/>
        <v>372</v>
      </c>
      <c r="P341" s="5">
        <f t="shared" si="248"/>
        <v>45</v>
      </c>
      <c r="Q341" s="42">
        <v>375</v>
      </c>
      <c r="R341" s="2">
        <f t="shared" si="247"/>
        <v>0</v>
      </c>
      <c r="T341" s="2">
        <f t="shared" si="276"/>
        <v>0</v>
      </c>
      <c r="V341" s="5">
        <f t="shared" si="294"/>
        <v>45</v>
      </c>
      <c r="W341" s="4">
        <f t="shared" si="295"/>
        <v>375</v>
      </c>
      <c r="X341" s="14">
        <f t="shared" si="249"/>
        <v>3</v>
      </c>
      <c r="Y341" s="5">
        <f t="shared" si="250"/>
        <v>135</v>
      </c>
      <c r="Z341" s="2">
        <f t="shared" si="251"/>
        <v>0</v>
      </c>
      <c r="AA341" s="4">
        <f t="shared" si="252"/>
        <v>0</v>
      </c>
      <c r="AB341" s="13">
        <f t="shared" si="253"/>
        <v>11.424965625</v>
      </c>
      <c r="AC341" s="10">
        <f>SUM($E$4:E341)</f>
        <v>-12697.066765165118</v>
      </c>
      <c r="AD341" s="20">
        <f>SUM($AB$4:AB341)</f>
        <v>11101.97006516508</v>
      </c>
      <c r="AF341" s="28">
        <f t="shared" si="254"/>
        <v>3.3615000000000004</v>
      </c>
      <c r="AG341" s="2">
        <f t="shared" si="255"/>
        <v>4.21875</v>
      </c>
      <c r="AH341" s="2">
        <f t="shared" si="256"/>
        <v>1.0924874999999998</v>
      </c>
      <c r="AI341" s="2">
        <f t="shared" si="277"/>
        <v>4.4539875000000002</v>
      </c>
      <c r="AJ341" s="2">
        <f t="shared" si="278"/>
        <v>0.66809812499999999</v>
      </c>
      <c r="AK341" s="2">
        <f t="shared" si="257"/>
        <v>6.7229999999999998E-2</v>
      </c>
      <c r="AL341" s="2">
        <f t="shared" si="258"/>
        <v>2.0169000000000001</v>
      </c>
      <c r="AM341" s="2">
        <f t="shared" si="279"/>
        <v>11.424965625</v>
      </c>
      <c r="AN341" s="2">
        <f t="shared" si="259"/>
        <v>40</v>
      </c>
      <c r="AO341" s="2">
        <f t="shared" si="260"/>
        <v>8.4375</v>
      </c>
      <c r="AP341" s="2">
        <f t="shared" si="261"/>
        <v>17.815950000000001</v>
      </c>
      <c r="AQ341" s="2">
        <f t="shared" si="280"/>
        <v>57.815950000000001</v>
      </c>
      <c r="AR341" s="2">
        <f t="shared" si="281"/>
        <v>8.6723924999999991</v>
      </c>
      <c r="AS341" s="2">
        <f t="shared" si="262"/>
        <v>6.7229999999999998E-2</v>
      </c>
      <c r="AT341" s="2">
        <f t="shared" si="263"/>
        <v>2.0169000000000001</v>
      </c>
      <c r="AU341" s="2">
        <f t="shared" si="282"/>
        <v>77.009972500000003</v>
      </c>
      <c r="AV341" s="2">
        <f t="shared" si="264"/>
        <v>3.3615000000000004</v>
      </c>
      <c r="AW341" s="2">
        <f t="shared" si="265"/>
        <v>1.6875000000000002</v>
      </c>
      <c r="AX341" s="2">
        <f t="shared" si="266"/>
        <v>0.70591499999999996</v>
      </c>
      <c r="AY341" s="2">
        <f t="shared" si="283"/>
        <v>4.0674150000000004</v>
      </c>
      <c r="AZ341" s="2">
        <f t="shared" si="284"/>
        <v>0.61011225000000002</v>
      </c>
      <c r="BA341" s="2">
        <f t="shared" si="267"/>
        <v>6.7229999999999998E-2</v>
      </c>
      <c r="BB341" s="2">
        <f t="shared" si="268"/>
        <v>2.0169000000000001</v>
      </c>
      <c r="BC341" s="2">
        <f t="shared" si="285"/>
        <v>8.4491572500000007</v>
      </c>
      <c r="BD341" s="2">
        <v>0</v>
      </c>
      <c r="BE341" s="2">
        <f t="shared" si="269"/>
        <v>33.615000000000002</v>
      </c>
      <c r="BF341" s="2">
        <f t="shared" si="270"/>
        <v>1.0924874999999998</v>
      </c>
      <c r="BG341" s="2">
        <f t="shared" si="286"/>
        <v>1.0924874999999998</v>
      </c>
      <c r="BH341" s="2">
        <f t="shared" si="287"/>
        <v>0.16387312499999998</v>
      </c>
      <c r="BI341" s="2">
        <f t="shared" si="271"/>
        <v>6.7229999999999998E-2</v>
      </c>
      <c r="BJ341" s="2">
        <f t="shared" si="272"/>
        <v>2.0169000000000001</v>
      </c>
      <c r="BK341" s="2">
        <f t="shared" si="288"/>
        <v>36.955490625000003</v>
      </c>
      <c r="BL341" s="2">
        <f t="shared" si="273"/>
        <v>16740</v>
      </c>
      <c r="BM341" s="2">
        <f t="shared" si="274"/>
        <v>16875</v>
      </c>
      <c r="BN341" s="2">
        <f t="shared" si="289"/>
        <v>33615</v>
      </c>
    </row>
    <row r="342" spans="1:66" x14ac:dyDescent="0.25">
      <c r="A342" s="42">
        <v>339</v>
      </c>
      <c r="B342" s="43">
        <v>42865</v>
      </c>
      <c r="C342" s="42" t="s">
        <v>50</v>
      </c>
      <c r="D342" s="42" t="s">
        <v>245</v>
      </c>
      <c r="E342" s="6">
        <f t="shared" si="275"/>
        <v>-2.043512625</v>
      </c>
      <c r="F342" s="5" t="str">
        <f t="shared" si="290"/>
        <v>Break Even</v>
      </c>
      <c r="G342" s="4">
        <f t="shared" si="291"/>
        <v>0</v>
      </c>
      <c r="H342" s="46">
        <v>17</v>
      </c>
      <c r="I342" s="42">
        <v>177.1</v>
      </c>
      <c r="N342" s="5">
        <f t="shared" si="292"/>
        <v>17</v>
      </c>
      <c r="O342" s="4">
        <f t="shared" si="293"/>
        <v>177.1</v>
      </c>
      <c r="P342" s="5">
        <f t="shared" si="248"/>
        <v>17</v>
      </c>
      <c r="Q342" s="42">
        <v>177.1</v>
      </c>
      <c r="R342" s="2">
        <f t="shared" si="247"/>
        <v>0</v>
      </c>
      <c r="T342" s="2">
        <f t="shared" si="276"/>
        <v>0</v>
      </c>
      <c r="V342" s="5">
        <f t="shared" si="294"/>
        <v>17</v>
      </c>
      <c r="W342" s="4">
        <f t="shared" si="295"/>
        <v>177.1</v>
      </c>
      <c r="X342" s="14">
        <f t="shared" si="249"/>
        <v>0</v>
      </c>
      <c r="Y342" s="5">
        <f t="shared" si="250"/>
        <v>0</v>
      </c>
      <c r="Z342" s="2">
        <f t="shared" si="251"/>
        <v>0</v>
      </c>
      <c r="AA342" s="4">
        <f t="shared" si="252"/>
        <v>0</v>
      </c>
      <c r="AB342" s="13">
        <f t="shared" si="253"/>
        <v>2.043512625</v>
      </c>
      <c r="AC342" s="10">
        <f>SUM($E$4:E342)</f>
        <v>-12699.110277790118</v>
      </c>
      <c r="AD342" s="20">
        <f>SUM($AB$4:AB342)</f>
        <v>11104.01357779008</v>
      </c>
      <c r="AF342" s="28">
        <f t="shared" si="254"/>
        <v>0.60214000000000001</v>
      </c>
      <c r="AG342" s="2">
        <f t="shared" si="255"/>
        <v>0.75267499999999998</v>
      </c>
      <c r="AH342" s="2">
        <f t="shared" si="256"/>
        <v>0.19569549999999997</v>
      </c>
      <c r="AI342" s="2">
        <f t="shared" si="277"/>
        <v>0.79783549999999992</v>
      </c>
      <c r="AJ342" s="2">
        <f t="shared" si="278"/>
        <v>0.11967532499999999</v>
      </c>
      <c r="AK342" s="2">
        <f t="shared" si="257"/>
        <v>1.2042799999999999E-2</v>
      </c>
      <c r="AL342" s="2">
        <f t="shared" si="258"/>
        <v>0.36128399999999999</v>
      </c>
      <c r="AM342" s="2">
        <f t="shared" si="279"/>
        <v>2.043512625</v>
      </c>
      <c r="AN342" s="2">
        <f t="shared" si="259"/>
        <v>40</v>
      </c>
      <c r="AO342" s="2">
        <f t="shared" si="260"/>
        <v>1.50535</v>
      </c>
      <c r="AP342" s="2">
        <f t="shared" si="261"/>
        <v>3.1913419999999997</v>
      </c>
      <c r="AQ342" s="2">
        <f t="shared" si="280"/>
        <v>43.191341999999999</v>
      </c>
      <c r="AR342" s="2">
        <f t="shared" si="281"/>
        <v>6.4787013</v>
      </c>
      <c r="AS342" s="2">
        <f t="shared" si="262"/>
        <v>1.2042799999999999E-2</v>
      </c>
      <c r="AT342" s="2">
        <f t="shared" si="263"/>
        <v>0.36128399999999999</v>
      </c>
      <c r="AU342" s="2">
        <f t="shared" si="282"/>
        <v>51.548720099999997</v>
      </c>
      <c r="AV342" s="2">
        <f t="shared" si="264"/>
        <v>0.60214000000000001</v>
      </c>
      <c r="AW342" s="2">
        <f t="shared" si="265"/>
        <v>0.30107</v>
      </c>
      <c r="AX342" s="2">
        <f t="shared" si="266"/>
        <v>0.12644939999999999</v>
      </c>
      <c r="AY342" s="2">
        <f t="shared" si="283"/>
        <v>0.72858939999999994</v>
      </c>
      <c r="AZ342" s="2">
        <f t="shared" si="284"/>
        <v>0.10928840999999999</v>
      </c>
      <c r="BA342" s="2">
        <f t="shared" si="267"/>
        <v>1.2042799999999999E-2</v>
      </c>
      <c r="BB342" s="2">
        <f t="shared" si="268"/>
        <v>0.36128399999999999</v>
      </c>
      <c r="BC342" s="2">
        <f t="shared" si="285"/>
        <v>1.51227461</v>
      </c>
      <c r="BD342" s="2">
        <v>0</v>
      </c>
      <c r="BE342" s="2">
        <f t="shared" si="269"/>
        <v>6.0213999999999999</v>
      </c>
      <c r="BF342" s="2">
        <f t="shared" si="270"/>
        <v>0.19569549999999997</v>
      </c>
      <c r="BG342" s="2">
        <f t="shared" si="286"/>
        <v>0.19569549999999997</v>
      </c>
      <c r="BH342" s="2">
        <f t="shared" si="287"/>
        <v>2.9354324999999994E-2</v>
      </c>
      <c r="BI342" s="2">
        <f t="shared" si="271"/>
        <v>1.2042799999999999E-2</v>
      </c>
      <c r="BJ342" s="2">
        <f t="shared" si="272"/>
        <v>0.36128399999999999</v>
      </c>
      <c r="BK342" s="2">
        <f t="shared" si="288"/>
        <v>6.6197766250000001</v>
      </c>
      <c r="BL342" s="2">
        <f t="shared" si="273"/>
        <v>3010.7</v>
      </c>
      <c r="BM342" s="2">
        <f t="shared" si="274"/>
        <v>3010.7</v>
      </c>
      <c r="BN342" s="2">
        <f t="shared" si="289"/>
        <v>6021.4</v>
      </c>
    </row>
    <row r="343" spans="1:66" x14ac:dyDescent="0.25">
      <c r="A343" s="42">
        <v>340</v>
      </c>
      <c r="B343" s="43">
        <v>42865</v>
      </c>
      <c r="C343" s="42" t="s">
        <v>50</v>
      </c>
      <c r="D343" s="42" t="s">
        <v>246</v>
      </c>
      <c r="E343" s="6">
        <f t="shared" si="275"/>
        <v>-4.9537517812501362</v>
      </c>
      <c r="F343" s="5" t="str">
        <f t="shared" si="290"/>
        <v>Loss</v>
      </c>
      <c r="G343" s="4">
        <f t="shared" si="291"/>
        <v>-2.8500000000001364</v>
      </c>
      <c r="H343" s="46">
        <v>3</v>
      </c>
      <c r="I343" s="42">
        <v>1033.8</v>
      </c>
      <c r="N343" s="5">
        <f t="shared" si="292"/>
        <v>3</v>
      </c>
      <c r="O343" s="4">
        <f t="shared" si="293"/>
        <v>1033.8</v>
      </c>
      <c r="P343" s="5">
        <f t="shared" si="248"/>
        <v>3</v>
      </c>
      <c r="Q343" s="42">
        <v>1032.8499999999999</v>
      </c>
      <c r="R343" s="2">
        <f t="shared" si="247"/>
        <v>0</v>
      </c>
      <c r="T343" s="2">
        <f t="shared" si="276"/>
        <v>0</v>
      </c>
      <c r="V343" s="5">
        <f t="shared" si="294"/>
        <v>3</v>
      </c>
      <c r="W343" s="4">
        <f t="shared" si="295"/>
        <v>1032.8499999999999</v>
      </c>
      <c r="X343" s="14">
        <f t="shared" si="249"/>
        <v>-0.95000000000004547</v>
      </c>
      <c r="Y343" s="5">
        <f t="shared" si="250"/>
        <v>-2.8500000000001364</v>
      </c>
      <c r="Z343" s="2">
        <f t="shared" si="251"/>
        <v>0</v>
      </c>
      <c r="AA343" s="4">
        <f t="shared" si="252"/>
        <v>0</v>
      </c>
      <c r="AB343" s="13">
        <f t="shared" si="253"/>
        <v>2.1037517812499997</v>
      </c>
      <c r="AC343" s="10">
        <f>SUM($E$4:E343)</f>
        <v>-12704.064029571367</v>
      </c>
      <c r="AD343" s="20">
        <f>SUM($AB$4:AB343)</f>
        <v>11106.117329571329</v>
      </c>
      <c r="AF343" s="28">
        <f t="shared" si="254"/>
        <v>0.61999499999999996</v>
      </c>
      <c r="AG343" s="2">
        <f t="shared" si="255"/>
        <v>0.77463749999999998</v>
      </c>
      <c r="AH343" s="2">
        <f t="shared" si="256"/>
        <v>0.20149837499999995</v>
      </c>
      <c r="AI343" s="2">
        <f t="shared" si="277"/>
        <v>0.82149337499999997</v>
      </c>
      <c r="AJ343" s="2">
        <f t="shared" si="278"/>
        <v>0.12322400624999999</v>
      </c>
      <c r="AK343" s="2">
        <f t="shared" si="257"/>
        <v>1.2399899999999998E-2</v>
      </c>
      <c r="AL343" s="2">
        <f t="shared" si="258"/>
        <v>0.37199699999999997</v>
      </c>
      <c r="AM343" s="2">
        <f t="shared" si="279"/>
        <v>2.1037517812499997</v>
      </c>
      <c r="AN343" s="2">
        <f t="shared" si="259"/>
        <v>40</v>
      </c>
      <c r="AO343" s="2">
        <f t="shared" si="260"/>
        <v>1.549275</v>
      </c>
      <c r="AP343" s="2">
        <f t="shared" si="261"/>
        <v>3.2859734999999994</v>
      </c>
      <c r="AQ343" s="2">
        <f t="shared" si="280"/>
        <v>43.285973499999997</v>
      </c>
      <c r="AR343" s="2">
        <f t="shared" si="281"/>
        <v>6.4928960249999994</v>
      </c>
      <c r="AS343" s="2">
        <f t="shared" si="262"/>
        <v>1.2399899999999998E-2</v>
      </c>
      <c r="AT343" s="2">
        <f t="shared" si="263"/>
        <v>0.37199699999999997</v>
      </c>
      <c r="AU343" s="2">
        <f t="shared" si="282"/>
        <v>51.712541424999998</v>
      </c>
      <c r="AV343" s="2">
        <f t="shared" si="264"/>
        <v>0.61999499999999996</v>
      </c>
      <c r="AW343" s="2">
        <f t="shared" si="265"/>
        <v>0.30985499999999999</v>
      </c>
      <c r="AX343" s="2">
        <f t="shared" si="266"/>
        <v>0.13019894999999998</v>
      </c>
      <c r="AY343" s="2">
        <f t="shared" si="283"/>
        <v>0.75019394999999989</v>
      </c>
      <c r="AZ343" s="2">
        <f t="shared" si="284"/>
        <v>0.11252909249999998</v>
      </c>
      <c r="BA343" s="2">
        <f t="shared" si="267"/>
        <v>1.2399899999999998E-2</v>
      </c>
      <c r="BB343" s="2">
        <f t="shared" si="268"/>
        <v>0.37199699999999997</v>
      </c>
      <c r="BC343" s="2">
        <f t="shared" si="285"/>
        <v>1.5569749424999997</v>
      </c>
      <c r="BD343" s="2">
        <v>0</v>
      </c>
      <c r="BE343" s="2">
        <f t="shared" si="269"/>
        <v>6.1999499999999994</v>
      </c>
      <c r="BF343" s="2">
        <f t="shared" si="270"/>
        <v>0.20149837499999995</v>
      </c>
      <c r="BG343" s="2">
        <f t="shared" si="286"/>
        <v>0.20149837499999995</v>
      </c>
      <c r="BH343" s="2">
        <f t="shared" si="287"/>
        <v>3.0224756249999991E-2</v>
      </c>
      <c r="BI343" s="2">
        <f t="shared" si="271"/>
        <v>1.2399899999999998E-2</v>
      </c>
      <c r="BJ343" s="2">
        <f t="shared" si="272"/>
        <v>0.37199699999999997</v>
      </c>
      <c r="BK343" s="2">
        <f t="shared" si="288"/>
        <v>6.8160700312499998</v>
      </c>
      <c r="BL343" s="2">
        <f t="shared" si="273"/>
        <v>3101.3999999999996</v>
      </c>
      <c r="BM343" s="2">
        <f t="shared" si="274"/>
        <v>3098.5499999999997</v>
      </c>
      <c r="BN343" s="2">
        <f t="shared" si="289"/>
        <v>6199.9499999999989</v>
      </c>
    </row>
    <row r="344" spans="1:66" x14ac:dyDescent="0.25">
      <c r="A344" s="42">
        <v>341</v>
      </c>
      <c r="B344" s="43">
        <v>42865</v>
      </c>
      <c r="C344" s="42" t="s">
        <v>50</v>
      </c>
      <c r="D344" s="42" t="s">
        <v>247</v>
      </c>
      <c r="E344" s="6">
        <f t="shared" si="275"/>
        <v>1.3880578124997272</v>
      </c>
      <c r="F344" s="5" t="str">
        <f t="shared" si="290"/>
        <v>Win</v>
      </c>
      <c r="G344" s="4">
        <f t="shared" si="291"/>
        <v>3.2999999999997272</v>
      </c>
      <c r="H344" s="46">
        <v>6</v>
      </c>
      <c r="I344" s="42">
        <v>469.1</v>
      </c>
      <c r="N344" s="5">
        <f t="shared" si="292"/>
        <v>6</v>
      </c>
      <c r="O344" s="4">
        <f t="shared" si="293"/>
        <v>469.1</v>
      </c>
      <c r="P344" s="5">
        <f t="shared" si="248"/>
        <v>6</v>
      </c>
      <c r="Q344" s="42">
        <v>469.65</v>
      </c>
      <c r="R344" s="2">
        <f t="shared" si="247"/>
        <v>0</v>
      </c>
      <c r="T344" s="2">
        <f t="shared" si="276"/>
        <v>0</v>
      </c>
      <c r="V344" s="5">
        <f t="shared" si="294"/>
        <v>6</v>
      </c>
      <c r="W344" s="4">
        <f t="shared" si="295"/>
        <v>469.65</v>
      </c>
      <c r="X344" s="14">
        <f t="shared" si="249"/>
        <v>0.54999999999995453</v>
      </c>
      <c r="Y344" s="5">
        <f t="shared" si="250"/>
        <v>3.2999999999997272</v>
      </c>
      <c r="Z344" s="2">
        <f t="shared" si="251"/>
        <v>0</v>
      </c>
      <c r="AA344" s="4">
        <f t="shared" si="252"/>
        <v>0</v>
      </c>
      <c r="AB344" s="13">
        <f t="shared" si="253"/>
        <v>1.9119421875</v>
      </c>
      <c r="AC344" s="10">
        <f>SUM($E$4:E344)</f>
        <v>-12702.675971758868</v>
      </c>
      <c r="AD344" s="20">
        <f>SUM($AB$4:AB344)</f>
        <v>11108.029271758829</v>
      </c>
      <c r="AF344" s="28">
        <f t="shared" si="254"/>
        <v>0.56325000000000003</v>
      </c>
      <c r="AG344" s="2">
        <f t="shared" si="255"/>
        <v>0.70447499999999996</v>
      </c>
      <c r="AH344" s="2">
        <f t="shared" si="256"/>
        <v>0.18305624999999998</v>
      </c>
      <c r="AI344" s="2">
        <f t="shared" si="277"/>
        <v>0.74630624999999995</v>
      </c>
      <c r="AJ344" s="2">
        <f t="shared" si="278"/>
        <v>0.1119459375</v>
      </c>
      <c r="AK344" s="2">
        <f t="shared" si="257"/>
        <v>1.1264999999999999E-2</v>
      </c>
      <c r="AL344" s="2">
        <f t="shared" si="258"/>
        <v>0.33795000000000003</v>
      </c>
      <c r="AM344" s="2">
        <f t="shared" si="279"/>
        <v>1.9119421875</v>
      </c>
      <c r="AN344" s="2">
        <f t="shared" si="259"/>
        <v>40</v>
      </c>
      <c r="AO344" s="2">
        <f t="shared" si="260"/>
        <v>1.4089499999999999</v>
      </c>
      <c r="AP344" s="2">
        <f t="shared" si="261"/>
        <v>2.9852249999999998</v>
      </c>
      <c r="AQ344" s="2">
        <f t="shared" si="280"/>
        <v>42.985225</v>
      </c>
      <c r="AR344" s="2">
        <f t="shared" si="281"/>
        <v>6.4477837500000001</v>
      </c>
      <c r="AS344" s="2">
        <f t="shared" si="262"/>
        <v>1.1264999999999999E-2</v>
      </c>
      <c r="AT344" s="2">
        <f t="shared" si="263"/>
        <v>0.33795000000000003</v>
      </c>
      <c r="AU344" s="2">
        <f t="shared" si="282"/>
        <v>51.191173749999997</v>
      </c>
      <c r="AV344" s="2">
        <f t="shared" si="264"/>
        <v>0.56325000000000003</v>
      </c>
      <c r="AW344" s="2">
        <f t="shared" si="265"/>
        <v>0.28178999999999998</v>
      </c>
      <c r="AX344" s="2">
        <f t="shared" si="266"/>
        <v>0.1182825</v>
      </c>
      <c r="AY344" s="2">
        <f t="shared" si="283"/>
        <v>0.68153249999999999</v>
      </c>
      <c r="AZ344" s="2">
        <f t="shared" si="284"/>
        <v>0.102229875</v>
      </c>
      <c r="BA344" s="2">
        <f t="shared" si="267"/>
        <v>1.1264999999999999E-2</v>
      </c>
      <c r="BB344" s="2">
        <f t="shared" si="268"/>
        <v>0.33795000000000003</v>
      </c>
      <c r="BC344" s="2">
        <f t="shared" si="285"/>
        <v>1.414767375</v>
      </c>
      <c r="BD344" s="2">
        <v>0</v>
      </c>
      <c r="BE344" s="2">
        <f t="shared" si="269"/>
        <v>5.6325000000000003</v>
      </c>
      <c r="BF344" s="2">
        <f t="shared" si="270"/>
        <v>0.18305624999999998</v>
      </c>
      <c r="BG344" s="2">
        <f t="shared" si="286"/>
        <v>0.18305624999999998</v>
      </c>
      <c r="BH344" s="2">
        <f t="shared" si="287"/>
        <v>2.7458437499999995E-2</v>
      </c>
      <c r="BI344" s="2">
        <f t="shared" si="271"/>
        <v>1.1264999999999999E-2</v>
      </c>
      <c r="BJ344" s="2">
        <f t="shared" si="272"/>
        <v>0.33795000000000003</v>
      </c>
      <c r="BK344" s="2">
        <f t="shared" si="288"/>
        <v>6.1922296875000002</v>
      </c>
      <c r="BL344" s="2">
        <f t="shared" si="273"/>
        <v>2814.6000000000004</v>
      </c>
      <c r="BM344" s="2">
        <f t="shared" si="274"/>
        <v>2817.8999999999996</v>
      </c>
      <c r="BN344" s="2">
        <f t="shared" si="289"/>
        <v>5632.5</v>
      </c>
    </row>
    <row r="345" spans="1:66" x14ac:dyDescent="0.25">
      <c r="A345" s="42">
        <v>342</v>
      </c>
      <c r="B345" s="43">
        <v>42865</v>
      </c>
      <c r="C345" s="42" t="s">
        <v>50</v>
      </c>
      <c r="D345" s="42" t="s">
        <v>248</v>
      </c>
      <c r="E345" s="6">
        <f t="shared" si="275"/>
        <v>-18.734833624999908</v>
      </c>
      <c r="F345" s="5" t="str">
        <f t="shared" si="290"/>
        <v>Loss</v>
      </c>
      <c r="G345" s="4">
        <f t="shared" si="291"/>
        <v>-16.599999999999909</v>
      </c>
      <c r="H345" s="46">
        <v>4</v>
      </c>
      <c r="I345" s="42">
        <v>789.15</v>
      </c>
      <c r="N345" s="5">
        <f t="shared" si="292"/>
        <v>4</v>
      </c>
      <c r="O345" s="4">
        <f t="shared" si="293"/>
        <v>789.15</v>
      </c>
      <c r="P345" s="5">
        <f t="shared" si="248"/>
        <v>4</v>
      </c>
      <c r="Q345" s="42">
        <v>785</v>
      </c>
      <c r="R345" s="2">
        <f t="shared" si="247"/>
        <v>0</v>
      </c>
      <c r="T345" s="2">
        <f t="shared" si="276"/>
        <v>0</v>
      </c>
      <c r="V345" s="5">
        <f t="shared" si="294"/>
        <v>4</v>
      </c>
      <c r="W345" s="4">
        <f t="shared" si="295"/>
        <v>785</v>
      </c>
      <c r="X345" s="14">
        <f t="shared" si="249"/>
        <v>-4.1499999999999773</v>
      </c>
      <c r="Y345" s="5">
        <f t="shared" si="250"/>
        <v>-16.599999999999909</v>
      </c>
      <c r="Z345" s="2">
        <f t="shared" si="251"/>
        <v>0</v>
      </c>
      <c r="AA345" s="4">
        <f t="shared" si="252"/>
        <v>0</v>
      </c>
      <c r="AB345" s="13">
        <f t="shared" si="253"/>
        <v>2.1348336250000002</v>
      </c>
      <c r="AC345" s="10">
        <f>SUM($E$4:E345)</f>
        <v>-12721.410805383868</v>
      </c>
      <c r="AD345" s="20">
        <f>SUM($AB$4:AB345)</f>
        <v>11110.164105383828</v>
      </c>
      <c r="AF345" s="28">
        <f t="shared" si="254"/>
        <v>0.62966000000000011</v>
      </c>
      <c r="AG345" s="2">
        <f t="shared" si="255"/>
        <v>0.78500000000000003</v>
      </c>
      <c r="AH345" s="2">
        <f t="shared" si="256"/>
        <v>0.2046395</v>
      </c>
      <c r="AI345" s="2">
        <f t="shared" si="277"/>
        <v>0.83429950000000008</v>
      </c>
      <c r="AJ345" s="2">
        <f t="shared" si="278"/>
        <v>0.12514492500000002</v>
      </c>
      <c r="AK345" s="2">
        <f t="shared" si="257"/>
        <v>1.2593199999999999E-2</v>
      </c>
      <c r="AL345" s="2">
        <f t="shared" si="258"/>
        <v>0.37779600000000002</v>
      </c>
      <c r="AM345" s="2">
        <f t="shared" si="279"/>
        <v>2.1348336250000002</v>
      </c>
      <c r="AN345" s="2">
        <f t="shared" si="259"/>
        <v>40</v>
      </c>
      <c r="AO345" s="2">
        <f t="shared" si="260"/>
        <v>1.57</v>
      </c>
      <c r="AP345" s="2">
        <f t="shared" si="261"/>
        <v>3.3371979999999999</v>
      </c>
      <c r="AQ345" s="2">
        <f t="shared" si="280"/>
        <v>43.337198000000001</v>
      </c>
      <c r="AR345" s="2">
        <f t="shared" si="281"/>
        <v>6.5005797000000003</v>
      </c>
      <c r="AS345" s="2">
        <f t="shared" si="262"/>
        <v>1.2593199999999999E-2</v>
      </c>
      <c r="AT345" s="2">
        <f t="shared" si="263"/>
        <v>0.37779600000000002</v>
      </c>
      <c r="AU345" s="2">
        <f t="shared" si="282"/>
        <v>51.798166899999998</v>
      </c>
      <c r="AV345" s="2">
        <f t="shared" si="264"/>
        <v>0.62966000000000011</v>
      </c>
      <c r="AW345" s="2">
        <f t="shared" si="265"/>
        <v>0.314</v>
      </c>
      <c r="AX345" s="2">
        <f t="shared" si="266"/>
        <v>0.1322286</v>
      </c>
      <c r="AY345" s="2">
        <f t="shared" si="283"/>
        <v>0.76188860000000014</v>
      </c>
      <c r="AZ345" s="2">
        <f t="shared" si="284"/>
        <v>0.11428329000000001</v>
      </c>
      <c r="BA345" s="2">
        <f t="shared" si="267"/>
        <v>1.2593199999999999E-2</v>
      </c>
      <c r="BB345" s="2">
        <f t="shared" si="268"/>
        <v>0.37779600000000002</v>
      </c>
      <c r="BC345" s="2">
        <f t="shared" si="285"/>
        <v>1.58056109</v>
      </c>
      <c r="BD345" s="2">
        <v>0</v>
      </c>
      <c r="BE345" s="2">
        <f t="shared" si="269"/>
        <v>6.2966000000000006</v>
      </c>
      <c r="BF345" s="2">
        <f t="shared" si="270"/>
        <v>0.2046395</v>
      </c>
      <c r="BG345" s="2">
        <f t="shared" si="286"/>
        <v>0.2046395</v>
      </c>
      <c r="BH345" s="2">
        <f t="shared" si="287"/>
        <v>3.0695924999999999E-2</v>
      </c>
      <c r="BI345" s="2">
        <f t="shared" si="271"/>
        <v>1.2593199999999999E-2</v>
      </c>
      <c r="BJ345" s="2">
        <f t="shared" si="272"/>
        <v>0.37779600000000002</v>
      </c>
      <c r="BK345" s="2">
        <f t="shared" si="288"/>
        <v>6.9223246250000008</v>
      </c>
      <c r="BL345" s="2">
        <f t="shared" si="273"/>
        <v>3156.6</v>
      </c>
      <c r="BM345" s="2">
        <f t="shared" si="274"/>
        <v>3140</v>
      </c>
      <c r="BN345" s="2">
        <f t="shared" si="289"/>
        <v>6296.6</v>
      </c>
    </row>
    <row r="346" spans="1:66" x14ac:dyDescent="0.25">
      <c r="A346" s="42">
        <v>343</v>
      </c>
      <c r="B346" s="43">
        <v>42865</v>
      </c>
      <c r="C346" s="42" t="s">
        <v>50</v>
      </c>
      <c r="D346" s="42" t="s">
        <v>210</v>
      </c>
      <c r="E346" s="6">
        <f t="shared" si="275"/>
        <v>-1.6174494374998636</v>
      </c>
      <c r="F346" s="5" t="str">
        <f t="shared" si="290"/>
        <v>Win</v>
      </c>
      <c r="G346" s="4">
        <f t="shared" si="291"/>
        <v>0.60000000000013642</v>
      </c>
      <c r="H346" s="46">
        <v>3</v>
      </c>
      <c r="I346" s="42">
        <v>1088.8499999999999</v>
      </c>
      <c r="N346" s="5">
        <f t="shared" si="292"/>
        <v>3</v>
      </c>
      <c r="O346" s="4">
        <f t="shared" si="293"/>
        <v>1088.8499999999999</v>
      </c>
      <c r="P346" s="5">
        <f t="shared" si="248"/>
        <v>3</v>
      </c>
      <c r="Q346" s="42">
        <v>1089.05</v>
      </c>
      <c r="R346" s="2">
        <f t="shared" si="247"/>
        <v>0</v>
      </c>
      <c r="T346" s="2">
        <f t="shared" si="276"/>
        <v>0</v>
      </c>
      <c r="V346" s="5">
        <f t="shared" si="294"/>
        <v>3</v>
      </c>
      <c r="W346" s="4">
        <f t="shared" si="295"/>
        <v>1089.05</v>
      </c>
      <c r="X346" s="14">
        <f t="shared" si="249"/>
        <v>0.20000000000004547</v>
      </c>
      <c r="Y346" s="5">
        <f t="shared" si="250"/>
        <v>0.60000000000013642</v>
      </c>
      <c r="Z346" s="2">
        <f t="shared" si="251"/>
        <v>0</v>
      </c>
      <c r="AA346" s="4">
        <f t="shared" si="252"/>
        <v>0</v>
      </c>
      <c r="AB346" s="13">
        <f t="shared" si="253"/>
        <v>2.2174494375</v>
      </c>
      <c r="AC346" s="10">
        <f>SUM($E$4:E346)</f>
        <v>-12723.028254821367</v>
      </c>
      <c r="AD346" s="20">
        <f>SUM($AB$4:AB346)</f>
        <v>11112.381554821328</v>
      </c>
      <c r="AF346" s="28">
        <f t="shared" si="254"/>
        <v>0.6533699999999999</v>
      </c>
      <c r="AG346" s="2">
        <f t="shared" si="255"/>
        <v>0.8167875</v>
      </c>
      <c r="AH346" s="2">
        <f t="shared" si="256"/>
        <v>0.21234524999999996</v>
      </c>
      <c r="AI346" s="2">
        <f t="shared" si="277"/>
        <v>0.86571524999999983</v>
      </c>
      <c r="AJ346" s="2">
        <f t="shared" si="278"/>
        <v>0.12985728749999997</v>
      </c>
      <c r="AK346" s="2">
        <f t="shared" si="257"/>
        <v>1.3067399999999998E-2</v>
      </c>
      <c r="AL346" s="2">
        <f t="shared" si="258"/>
        <v>0.39202199999999993</v>
      </c>
      <c r="AM346" s="2">
        <f t="shared" si="279"/>
        <v>2.2174494375</v>
      </c>
      <c r="AN346" s="2">
        <f t="shared" si="259"/>
        <v>40</v>
      </c>
      <c r="AO346" s="2">
        <f t="shared" si="260"/>
        <v>1.633575</v>
      </c>
      <c r="AP346" s="2">
        <f t="shared" si="261"/>
        <v>3.4628609999999993</v>
      </c>
      <c r="AQ346" s="2">
        <f t="shared" si="280"/>
        <v>43.462860999999997</v>
      </c>
      <c r="AR346" s="2">
        <f t="shared" si="281"/>
        <v>6.5194291499999997</v>
      </c>
      <c r="AS346" s="2">
        <f t="shared" si="262"/>
        <v>1.3067399999999998E-2</v>
      </c>
      <c r="AT346" s="2">
        <f t="shared" si="263"/>
        <v>0.39202199999999993</v>
      </c>
      <c r="AU346" s="2">
        <f t="shared" si="282"/>
        <v>52.020954549999992</v>
      </c>
      <c r="AV346" s="2">
        <f t="shared" si="264"/>
        <v>0.6533699999999999</v>
      </c>
      <c r="AW346" s="2">
        <f t="shared" si="265"/>
        <v>0.32671500000000003</v>
      </c>
      <c r="AX346" s="2">
        <f t="shared" si="266"/>
        <v>0.13720769999999996</v>
      </c>
      <c r="AY346" s="2">
        <f t="shared" si="283"/>
        <v>0.79057769999999983</v>
      </c>
      <c r="AZ346" s="2">
        <f t="shared" si="284"/>
        <v>0.11858665499999997</v>
      </c>
      <c r="BA346" s="2">
        <f t="shared" si="267"/>
        <v>1.3067399999999998E-2</v>
      </c>
      <c r="BB346" s="2">
        <f t="shared" si="268"/>
        <v>0.39202199999999993</v>
      </c>
      <c r="BC346" s="2">
        <f t="shared" si="285"/>
        <v>1.6409687549999996</v>
      </c>
      <c r="BD346" s="2">
        <v>0</v>
      </c>
      <c r="BE346" s="2">
        <f t="shared" si="269"/>
        <v>6.5336999999999987</v>
      </c>
      <c r="BF346" s="2">
        <f t="shared" si="270"/>
        <v>0.21234524999999996</v>
      </c>
      <c r="BG346" s="2">
        <f t="shared" si="286"/>
        <v>0.21234524999999996</v>
      </c>
      <c r="BH346" s="2">
        <f t="shared" si="287"/>
        <v>3.1851787499999992E-2</v>
      </c>
      <c r="BI346" s="2">
        <f t="shared" si="271"/>
        <v>1.3067399999999998E-2</v>
      </c>
      <c r="BJ346" s="2">
        <f t="shared" si="272"/>
        <v>0.39202199999999993</v>
      </c>
      <c r="BK346" s="2">
        <f t="shared" si="288"/>
        <v>7.1829864374999985</v>
      </c>
      <c r="BL346" s="2">
        <f t="shared" si="273"/>
        <v>3266.5499999999997</v>
      </c>
      <c r="BM346" s="2">
        <f t="shared" si="274"/>
        <v>3267.1499999999996</v>
      </c>
      <c r="BN346" s="2">
        <f t="shared" si="289"/>
        <v>6533.6999999999989</v>
      </c>
    </row>
    <row r="347" spans="1:66" x14ac:dyDescent="0.25">
      <c r="A347" s="42">
        <v>344</v>
      </c>
      <c r="B347" s="43">
        <v>42865</v>
      </c>
      <c r="C347" s="42" t="s">
        <v>50</v>
      </c>
      <c r="D347" s="42" t="s">
        <v>249</v>
      </c>
      <c r="E347" s="6">
        <f t="shared" si="275"/>
        <v>3.1626806249995276</v>
      </c>
      <c r="F347" s="5" t="str">
        <f t="shared" si="290"/>
        <v>Win</v>
      </c>
      <c r="G347" s="4">
        <f t="shared" si="291"/>
        <v>12.549999999999528</v>
      </c>
      <c r="H347" s="46">
        <v>17</v>
      </c>
      <c r="I347" s="42">
        <v>164.9</v>
      </c>
      <c r="J347" s="42">
        <v>17</v>
      </c>
      <c r="K347" s="42">
        <v>164.5</v>
      </c>
      <c r="L347" s="42">
        <v>50</v>
      </c>
      <c r="M347" s="44">
        <v>164.3</v>
      </c>
      <c r="N347" s="5">
        <f t="shared" si="292"/>
        <v>84</v>
      </c>
      <c r="O347" s="4">
        <f t="shared" si="293"/>
        <v>164.56666666666669</v>
      </c>
      <c r="P347" s="5">
        <f t="shared" si="248"/>
        <v>17</v>
      </c>
      <c r="Q347" s="42">
        <v>165.05</v>
      </c>
      <c r="R347" s="2">
        <f t="shared" si="247"/>
        <v>17</v>
      </c>
      <c r="S347" s="42">
        <v>164.5</v>
      </c>
      <c r="T347" s="2">
        <f t="shared" si="276"/>
        <v>50</v>
      </c>
      <c r="U347" s="44">
        <v>164.5</v>
      </c>
      <c r="V347" s="5">
        <f t="shared" si="294"/>
        <v>84</v>
      </c>
      <c r="W347" s="4">
        <f t="shared" si="295"/>
        <v>164.68333333333334</v>
      </c>
      <c r="X347" s="14">
        <f t="shared" si="249"/>
        <v>0.75</v>
      </c>
      <c r="Y347" s="5">
        <f t="shared" si="250"/>
        <v>2.5500000000000966</v>
      </c>
      <c r="Z347" s="2">
        <f t="shared" si="251"/>
        <v>0</v>
      </c>
      <c r="AA347" s="4">
        <f t="shared" si="252"/>
        <v>9.9999999999994316</v>
      </c>
      <c r="AB347" s="13">
        <f t="shared" si="253"/>
        <v>9.3873193750000006</v>
      </c>
      <c r="AC347" s="10">
        <f>SUM($E$4:E347)</f>
        <v>-12719.865574196368</v>
      </c>
      <c r="AD347" s="20">
        <f>SUM($AB$4:AB347)</f>
        <v>11121.768874196328</v>
      </c>
      <c r="AF347" s="28">
        <f t="shared" si="254"/>
        <v>2.7657000000000003</v>
      </c>
      <c r="AG347" s="2">
        <f t="shared" si="255"/>
        <v>3.4583500000000003</v>
      </c>
      <c r="AH347" s="2">
        <f t="shared" si="256"/>
        <v>0.89885249999999994</v>
      </c>
      <c r="AI347" s="2">
        <f t="shared" si="277"/>
        <v>3.6645525000000001</v>
      </c>
      <c r="AJ347" s="2">
        <f t="shared" si="278"/>
        <v>0.54968287500000002</v>
      </c>
      <c r="AK347" s="2">
        <f t="shared" si="257"/>
        <v>5.5313999999999995E-2</v>
      </c>
      <c r="AL347" s="2">
        <f t="shared" si="258"/>
        <v>1.6594200000000001</v>
      </c>
      <c r="AM347" s="2">
        <f t="shared" si="279"/>
        <v>9.3873193750000006</v>
      </c>
      <c r="AN347" s="2">
        <f t="shared" si="259"/>
        <v>120</v>
      </c>
      <c r="AO347" s="2">
        <f t="shared" si="260"/>
        <v>6.9167000000000005</v>
      </c>
      <c r="AP347" s="2">
        <f t="shared" si="261"/>
        <v>14.658209999999999</v>
      </c>
      <c r="AQ347" s="2">
        <f t="shared" si="280"/>
        <v>134.65821</v>
      </c>
      <c r="AR347" s="2">
        <f t="shared" si="281"/>
        <v>20.198731499999997</v>
      </c>
      <c r="AS347" s="2">
        <f t="shared" si="262"/>
        <v>5.5313999999999995E-2</v>
      </c>
      <c r="AT347" s="2">
        <f t="shared" si="263"/>
        <v>1.6594200000000001</v>
      </c>
      <c r="AU347" s="2">
        <f t="shared" si="282"/>
        <v>163.48837550000005</v>
      </c>
      <c r="AV347" s="2">
        <f t="shared" si="264"/>
        <v>2.7657000000000003</v>
      </c>
      <c r="AW347" s="2">
        <f t="shared" si="265"/>
        <v>1.3833400000000002</v>
      </c>
      <c r="AX347" s="2">
        <f t="shared" si="266"/>
        <v>0.58079700000000001</v>
      </c>
      <c r="AY347" s="2">
        <f t="shared" si="283"/>
        <v>3.3464970000000003</v>
      </c>
      <c r="AZ347" s="2">
        <f t="shared" si="284"/>
        <v>0.50197455000000002</v>
      </c>
      <c r="BA347" s="2">
        <f t="shared" si="267"/>
        <v>5.5313999999999995E-2</v>
      </c>
      <c r="BB347" s="2">
        <f t="shared" si="268"/>
        <v>1.6594200000000001</v>
      </c>
      <c r="BC347" s="2">
        <f t="shared" si="285"/>
        <v>6.9465455499999997</v>
      </c>
      <c r="BD347" s="2">
        <v>0</v>
      </c>
      <c r="BE347" s="2">
        <f t="shared" si="269"/>
        <v>27.657</v>
      </c>
      <c r="BF347" s="2">
        <f t="shared" si="270"/>
        <v>0.89885249999999994</v>
      </c>
      <c r="BG347" s="2">
        <f t="shared" si="286"/>
        <v>0.89885249999999994</v>
      </c>
      <c r="BH347" s="2">
        <f t="shared" si="287"/>
        <v>0.13482787499999999</v>
      </c>
      <c r="BI347" s="2">
        <f t="shared" si="271"/>
        <v>5.5313999999999995E-2</v>
      </c>
      <c r="BJ347" s="2">
        <f t="shared" si="272"/>
        <v>1.6594200000000001</v>
      </c>
      <c r="BK347" s="2">
        <f t="shared" si="288"/>
        <v>30.405414374999999</v>
      </c>
      <c r="BL347" s="2">
        <f t="shared" si="273"/>
        <v>13823.600000000002</v>
      </c>
      <c r="BM347" s="2">
        <f t="shared" si="274"/>
        <v>13833.4</v>
      </c>
      <c r="BN347" s="2">
        <f t="shared" si="289"/>
        <v>27657</v>
      </c>
    </row>
    <row r="348" spans="1:66" x14ac:dyDescent="0.25">
      <c r="A348" s="42">
        <v>345</v>
      </c>
      <c r="B348" s="43">
        <v>42865</v>
      </c>
      <c r="C348" s="42" t="s">
        <v>50</v>
      </c>
      <c r="D348" s="42" t="s">
        <v>241</v>
      </c>
      <c r="E348" s="6">
        <f t="shared" si="275"/>
        <v>42.669978437499886</v>
      </c>
      <c r="F348" s="5" t="str">
        <f t="shared" si="290"/>
        <v>Win</v>
      </c>
      <c r="G348" s="4">
        <f t="shared" si="291"/>
        <v>46.999999999999886</v>
      </c>
      <c r="H348" s="46">
        <v>5</v>
      </c>
      <c r="I348" s="42">
        <v>620.95000000000005</v>
      </c>
      <c r="J348" s="42">
        <v>5</v>
      </c>
      <c r="K348" s="42">
        <v>648.5</v>
      </c>
      <c r="N348" s="5">
        <f t="shared" si="292"/>
        <v>10</v>
      </c>
      <c r="O348" s="4">
        <f t="shared" si="293"/>
        <v>634.72500000000002</v>
      </c>
      <c r="P348" s="5">
        <f t="shared" si="248"/>
        <v>5</v>
      </c>
      <c r="Q348" s="42">
        <v>633.6</v>
      </c>
      <c r="R348" s="2">
        <f t="shared" si="247"/>
        <v>5</v>
      </c>
      <c r="S348" s="42">
        <v>645.25</v>
      </c>
      <c r="T348" s="2">
        <f t="shared" si="276"/>
        <v>0</v>
      </c>
      <c r="V348" s="5">
        <f t="shared" si="294"/>
        <v>10</v>
      </c>
      <c r="W348" s="4">
        <f t="shared" si="295"/>
        <v>639.42499999999995</v>
      </c>
      <c r="X348" s="14">
        <f t="shared" si="249"/>
        <v>24.299999999999955</v>
      </c>
      <c r="Y348" s="5">
        <f t="shared" si="250"/>
        <v>63.249999999999886</v>
      </c>
      <c r="Z348" s="2">
        <f t="shared" si="251"/>
        <v>-16.25</v>
      </c>
      <c r="AA348" s="4">
        <f t="shared" si="252"/>
        <v>0</v>
      </c>
      <c r="AB348" s="13">
        <f t="shared" si="253"/>
        <v>4.3300215624999998</v>
      </c>
      <c r="AC348" s="10">
        <f>SUM($E$4:E348)</f>
        <v>-12677.195595758869</v>
      </c>
      <c r="AD348" s="20">
        <f>SUM($AB$4:AB348)</f>
        <v>11126.098895758829</v>
      </c>
      <c r="AF348" s="28">
        <f t="shared" si="254"/>
        <v>1.2741500000000001</v>
      </c>
      <c r="AG348" s="2">
        <f t="shared" si="255"/>
        <v>1.5985624999999999</v>
      </c>
      <c r="AH348" s="2">
        <f t="shared" si="256"/>
        <v>0.41409874999999996</v>
      </c>
      <c r="AI348" s="2">
        <f t="shared" si="277"/>
        <v>1.6882487500000001</v>
      </c>
      <c r="AJ348" s="2">
        <f t="shared" si="278"/>
        <v>0.25323731249999998</v>
      </c>
      <c r="AK348" s="2">
        <f t="shared" si="257"/>
        <v>2.5482999999999999E-2</v>
      </c>
      <c r="AL348" s="2">
        <f t="shared" si="258"/>
        <v>0.76449</v>
      </c>
      <c r="AM348" s="2">
        <f t="shared" si="279"/>
        <v>4.3300215624999998</v>
      </c>
      <c r="AN348" s="2">
        <f t="shared" si="259"/>
        <v>80</v>
      </c>
      <c r="AO348" s="2">
        <f t="shared" si="260"/>
        <v>3.1971249999999998</v>
      </c>
      <c r="AP348" s="2">
        <f t="shared" si="261"/>
        <v>6.7529949999999994</v>
      </c>
      <c r="AQ348" s="2">
        <f t="shared" si="280"/>
        <v>86.752994999999999</v>
      </c>
      <c r="AR348" s="2">
        <f t="shared" si="281"/>
        <v>13.01294925</v>
      </c>
      <c r="AS348" s="2">
        <f t="shared" si="262"/>
        <v>2.5482999999999999E-2</v>
      </c>
      <c r="AT348" s="2">
        <f t="shared" si="263"/>
        <v>0.76449</v>
      </c>
      <c r="AU348" s="2">
        <f t="shared" si="282"/>
        <v>103.75304224999999</v>
      </c>
      <c r="AV348" s="2">
        <f t="shared" si="264"/>
        <v>1.2741500000000001</v>
      </c>
      <c r="AW348" s="2">
        <f t="shared" si="265"/>
        <v>0.63942500000000002</v>
      </c>
      <c r="AX348" s="2">
        <f t="shared" si="266"/>
        <v>0.26757149999999996</v>
      </c>
      <c r="AY348" s="2">
        <f t="shared" si="283"/>
        <v>1.5417215</v>
      </c>
      <c r="AZ348" s="2">
        <f t="shared" si="284"/>
        <v>0.23125822499999998</v>
      </c>
      <c r="BA348" s="2">
        <f t="shared" si="267"/>
        <v>2.5482999999999999E-2</v>
      </c>
      <c r="BB348" s="2">
        <f t="shared" si="268"/>
        <v>0.76449</v>
      </c>
      <c r="BC348" s="2">
        <f t="shared" si="285"/>
        <v>3.2023777249999998</v>
      </c>
      <c r="BD348" s="2">
        <v>0</v>
      </c>
      <c r="BE348" s="2">
        <f t="shared" si="269"/>
        <v>12.7415</v>
      </c>
      <c r="BF348" s="2">
        <f t="shared" si="270"/>
        <v>0.41409874999999996</v>
      </c>
      <c r="BG348" s="2">
        <f t="shared" si="286"/>
        <v>0.41409874999999996</v>
      </c>
      <c r="BH348" s="2">
        <f t="shared" si="287"/>
        <v>6.2114812499999991E-2</v>
      </c>
      <c r="BI348" s="2">
        <f t="shared" si="271"/>
        <v>2.5482999999999999E-2</v>
      </c>
      <c r="BJ348" s="2">
        <f t="shared" si="272"/>
        <v>0.76449</v>
      </c>
      <c r="BK348" s="2">
        <f t="shared" si="288"/>
        <v>14.0076865625</v>
      </c>
      <c r="BL348" s="2">
        <f t="shared" si="273"/>
        <v>6347.25</v>
      </c>
      <c r="BM348" s="2">
        <f t="shared" si="274"/>
        <v>6394.25</v>
      </c>
      <c r="BN348" s="2">
        <f t="shared" si="289"/>
        <v>12741.5</v>
      </c>
    </row>
    <row r="349" spans="1:66" x14ac:dyDescent="0.25">
      <c r="A349" s="42">
        <v>346</v>
      </c>
      <c r="B349" s="43">
        <v>42865</v>
      </c>
      <c r="C349" s="42" t="s">
        <v>50</v>
      </c>
      <c r="D349" s="42" t="s">
        <v>220</v>
      </c>
      <c r="E349" s="6">
        <f t="shared" si="275"/>
        <v>14.070929031249999</v>
      </c>
      <c r="F349" s="5" t="str">
        <f t="shared" si="290"/>
        <v>Win</v>
      </c>
      <c r="G349" s="4">
        <f t="shared" si="291"/>
        <v>16.25</v>
      </c>
      <c r="H349" s="46">
        <v>13</v>
      </c>
      <c r="I349" s="42">
        <v>246.1</v>
      </c>
      <c r="N349" s="5">
        <f t="shared" si="292"/>
        <v>13</v>
      </c>
      <c r="O349" s="4">
        <f t="shared" si="293"/>
        <v>246.1</v>
      </c>
      <c r="P349" s="5">
        <f t="shared" si="248"/>
        <v>13</v>
      </c>
      <c r="Q349" s="42">
        <v>247.35</v>
      </c>
      <c r="R349" s="2">
        <f t="shared" si="247"/>
        <v>0</v>
      </c>
      <c r="T349" s="2">
        <f t="shared" si="276"/>
        <v>0</v>
      </c>
      <c r="V349" s="5">
        <f t="shared" si="294"/>
        <v>13</v>
      </c>
      <c r="W349" s="4">
        <f t="shared" si="295"/>
        <v>247.35</v>
      </c>
      <c r="X349" s="14">
        <f t="shared" si="249"/>
        <v>1.25</v>
      </c>
      <c r="Y349" s="5">
        <f t="shared" si="250"/>
        <v>16.25</v>
      </c>
      <c r="Z349" s="2">
        <f t="shared" si="251"/>
        <v>0</v>
      </c>
      <c r="AA349" s="4">
        <f t="shared" si="252"/>
        <v>0</v>
      </c>
      <c r="AB349" s="13">
        <f t="shared" si="253"/>
        <v>2.1790709687500001</v>
      </c>
      <c r="AC349" s="10">
        <f>SUM($E$4:E349)</f>
        <v>-12663.124666727619</v>
      </c>
      <c r="AD349" s="20">
        <f>SUM($AB$4:AB349)</f>
        <v>11128.277966727579</v>
      </c>
      <c r="AF349" s="28">
        <f t="shared" si="254"/>
        <v>0.64148499999999997</v>
      </c>
      <c r="AG349" s="2">
        <f t="shared" si="255"/>
        <v>0.80388750000000009</v>
      </c>
      <c r="AH349" s="2">
        <f t="shared" si="256"/>
        <v>0.20848262499999998</v>
      </c>
      <c r="AI349" s="2">
        <f t="shared" si="277"/>
        <v>0.84996762499999989</v>
      </c>
      <c r="AJ349" s="2">
        <f t="shared" si="278"/>
        <v>0.12749514374999998</v>
      </c>
      <c r="AK349" s="2">
        <f t="shared" si="257"/>
        <v>1.2829699999999998E-2</v>
      </c>
      <c r="AL349" s="2">
        <f t="shared" si="258"/>
        <v>0.38489099999999998</v>
      </c>
      <c r="AM349" s="2">
        <f t="shared" si="279"/>
        <v>2.1790709687500001</v>
      </c>
      <c r="AN349" s="2">
        <f t="shared" si="259"/>
        <v>40</v>
      </c>
      <c r="AO349" s="2">
        <f t="shared" si="260"/>
        <v>1.6077750000000002</v>
      </c>
      <c r="AP349" s="2">
        <f t="shared" si="261"/>
        <v>3.3998704999999996</v>
      </c>
      <c r="AQ349" s="2">
        <f t="shared" si="280"/>
        <v>43.399870499999999</v>
      </c>
      <c r="AR349" s="2">
        <f t="shared" si="281"/>
        <v>6.5099805749999993</v>
      </c>
      <c r="AS349" s="2">
        <f t="shared" si="262"/>
        <v>1.2829699999999998E-2</v>
      </c>
      <c r="AT349" s="2">
        <f t="shared" si="263"/>
        <v>0.38489099999999998</v>
      </c>
      <c r="AU349" s="2">
        <f t="shared" si="282"/>
        <v>51.915346775000003</v>
      </c>
      <c r="AV349" s="2">
        <f t="shared" si="264"/>
        <v>0.64148499999999997</v>
      </c>
      <c r="AW349" s="2">
        <f t="shared" si="265"/>
        <v>0.32155500000000004</v>
      </c>
      <c r="AX349" s="2">
        <f t="shared" si="266"/>
        <v>0.13471184999999999</v>
      </c>
      <c r="AY349" s="2">
        <f t="shared" si="283"/>
        <v>0.77619684999999994</v>
      </c>
      <c r="AZ349" s="2">
        <f t="shared" si="284"/>
        <v>0.11642952749999999</v>
      </c>
      <c r="BA349" s="2">
        <f t="shared" si="267"/>
        <v>1.2829699999999998E-2</v>
      </c>
      <c r="BB349" s="2">
        <f t="shared" si="268"/>
        <v>0.38489099999999998</v>
      </c>
      <c r="BC349" s="2">
        <f t="shared" si="285"/>
        <v>1.6119020774999999</v>
      </c>
      <c r="BD349" s="2">
        <v>0</v>
      </c>
      <c r="BE349" s="2">
        <f t="shared" si="269"/>
        <v>6.4148499999999995</v>
      </c>
      <c r="BF349" s="2">
        <f t="shared" si="270"/>
        <v>0.20848262499999998</v>
      </c>
      <c r="BG349" s="2">
        <f t="shared" si="286"/>
        <v>0.20848262499999998</v>
      </c>
      <c r="BH349" s="2">
        <f t="shared" si="287"/>
        <v>3.1272393749999995E-2</v>
      </c>
      <c r="BI349" s="2">
        <f t="shared" si="271"/>
        <v>1.2829699999999998E-2</v>
      </c>
      <c r="BJ349" s="2">
        <f t="shared" si="272"/>
        <v>0.38489099999999998</v>
      </c>
      <c r="BK349" s="2">
        <f t="shared" si="288"/>
        <v>7.0523257187499997</v>
      </c>
      <c r="BL349" s="2">
        <f t="shared" si="273"/>
        <v>3199.2999999999997</v>
      </c>
      <c r="BM349" s="2">
        <f t="shared" si="274"/>
        <v>3215.5499999999997</v>
      </c>
      <c r="BN349" s="2">
        <f t="shared" si="289"/>
        <v>6414.8499999999995</v>
      </c>
    </row>
    <row r="350" spans="1:66" x14ac:dyDescent="0.25">
      <c r="A350" s="42">
        <v>347</v>
      </c>
      <c r="B350" s="43">
        <v>42865</v>
      </c>
      <c r="C350" s="42" t="s">
        <v>50</v>
      </c>
      <c r="D350" s="42" t="s">
        <v>177</v>
      </c>
      <c r="E350" s="6">
        <f t="shared" si="275"/>
        <v>0.47944075000019581</v>
      </c>
      <c r="F350" s="5" t="str">
        <f t="shared" si="290"/>
        <v>Win</v>
      </c>
      <c r="G350" s="4">
        <f t="shared" si="291"/>
        <v>2.3000000000001961</v>
      </c>
      <c r="H350" s="46">
        <v>23</v>
      </c>
      <c r="I350" s="42">
        <v>116.55</v>
      </c>
      <c r="N350" s="5">
        <f t="shared" si="292"/>
        <v>23</v>
      </c>
      <c r="O350" s="4">
        <f t="shared" si="293"/>
        <v>116.55</v>
      </c>
      <c r="P350" s="5">
        <f t="shared" si="248"/>
        <v>23</v>
      </c>
      <c r="Q350" s="42">
        <v>116.65</v>
      </c>
      <c r="R350" s="2">
        <f t="shared" si="247"/>
        <v>0</v>
      </c>
      <c r="T350" s="2">
        <f t="shared" si="276"/>
        <v>0</v>
      </c>
      <c r="V350" s="5">
        <f t="shared" si="294"/>
        <v>23</v>
      </c>
      <c r="W350" s="4">
        <f t="shared" si="295"/>
        <v>116.65</v>
      </c>
      <c r="X350" s="14">
        <f t="shared" si="249"/>
        <v>0.10000000000000853</v>
      </c>
      <c r="Y350" s="5">
        <f t="shared" si="250"/>
        <v>2.3000000000001961</v>
      </c>
      <c r="Z350" s="2">
        <f t="shared" si="251"/>
        <v>0</v>
      </c>
      <c r="AA350" s="4">
        <f t="shared" si="252"/>
        <v>0</v>
      </c>
      <c r="AB350" s="13">
        <f t="shared" si="253"/>
        <v>1.8205592500000003</v>
      </c>
      <c r="AC350" s="10">
        <f>SUM($E$4:E350)</f>
        <v>-12662.64522597762</v>
      </c>
      <c r="AD350" s="20">
        <f>SUM($AB$4:AB350)</f>
        <v>11130.098525977579</v>
      </c>
      <c r="AF350" s="28">
        <f t="shared" si="254"/>
        <v>0.53636000000000006</v>
      </c>
      <c r="AG350" s="2">
        <f t="shared" si="255"/>
        <v>0.67073749999999999</v>
      </c>
      <c r="AH350" s="2">
        <f t="shared" si="256"/>
        <v>0.174317</v>
      </c>
      <c r="AI350" s="2">
        <f t="shared" si="277"/>
        <v>0.710677</v>
      </c>
      <c r="AJ350" s="2">
        <f t="shared" si="278"/>
        <v>0.10660155</v>
      </c>
      <c r="AK350" s="2">
        <f t="shared" si="257"/>
        <v>1.0727200000000001E-2</v>
      </c>
      <c r="AL350" s="2">
        <f t="shared" si="258"/>
        <v>0.32181600000000005</v>
      </c>
      <c r="AM350" s="2">
        <f t="shared" si="279"/>
        <v>1.8205592500000003</v>
      </c>
      <c r="AN350" s="2">
        <f t="shared" si="259"/>
        <v>40</v>
      </c>
      <c r="AO350" s="2">
        <f t="shared" si="260"/>
        <v>1.341475</v>
      </c>
      <c r="AP350" s="2">
        <f t="shared" si="261"/>
        <v>2.842708</v>
      </c>
      <c r="AQ350" s="2">
        <f t="shared" si="280"/>
        <v>42.842708000000002</v>
      </c>
      <c r="AR350" s="2">
        <f t="shared" si="281"/>
        <v>6.4264061999999997</v>
      </c>
      <c r="AS350" s="2">
        <f t="shared" si="262"/>
        <v>1.0727200000000001E-2</v>
      </c>
      <c r="AT350" s="2">
        <f t="shared" si="263"/>
        <v>0.32181600000000005</v>
      </c>
      <c r="AU350" s="2">
        <f t="shared" si="282"/>
        <v>50.943132400000003</v>
      </c>
      <c r="AV350" s="2">
        <f t="shared" si="264"/>
        <v>0.53636000000000006</v>
      </c>
      <c r="AW350" s="2">
        <f t="shared" si="265"/>
        <v>0.26829500000000001</v>
      </c>
      <c r="AX350" s="2">
        <f t="shared" si="266"/>
        <v>0.1126356</v>
      </c>
      <c r="AY350" s="2">
        <f t="shared" si="283"/>
        <v>0.64899560000000012</v>
      </c>
      <c r="AZ350" s="2">
        <f t="shared" si="284"/>
        <v>9.734934000000002E-2</v>
      </c>
      <c r="BA350" s="2">
        <f t="shared" si="267"/>
        <v>1.0727200000000001E-2</v>
      </c>
      <c r="BB350" s="2">
        <f t="shared" si="268"/>
        <v>0.32181600000000005</v>
      </c>
      <c r="BC350" s="2">
        <f t="shared" si="285"/>
        <v>1.3471831400000003</v>
      </c>
      <c r="BD350" s="2">
        <v>0</v>
      </c>
      <c r="BE350" s="2">
        <f t="shared" si="269"/>
        <v>5.3636000000000008</v>
      </c>
      <c r="BF350" s="2">
        <f t="shared" si="270"/>
        <v>0.174317</v>
      </c>
      <c r="BG350" s="2">
        <f t="shared" si="286"/>
        <v>0.174317</v>
      </c>
      <c r="BH350" s="2">
        <f t="shared" si="287"/>
        <v>2.6147549999999999E-2</v>
      </c>
      <c r="BI350" s="2">
        <f t="shared" si="271"/>
        <v>1.0727200000000001E-2</v>
      </c>
      <c r="BJ350" s="2">
        <f t="shared" si="272"/>
        <v>0.32181600000000005</v>
      </c>
      <c r="BK350" s="2">
        <f t="shared" si="288"/>
        <v>5.8966077500000011</v>
      </c>
      <c r="BL350" s="2">
        <f t="shared" si="273"/>
        <v>2680.65</v>
      </c>
      <c r="BM350" s="2">
        <f t="shared" si="274"/>
        <v>2682.9500000000003</v>
      </c>
      <c r="BN350" s="2">
        <f t="shared" si="289"/>
        <v>5363.6</v>
      </c>
    </row>
    <row r="351" spans="1:66" x14ac:dyDescent="0.25">
      <c r="A351" s="42">
        <v>348</v>
      </c>
      <c r="B351" s="43">
        <v>42865</v>
      </c>
      <c r="C351" s="42" t="s">
        <v>50</v>
      </c>
      <c r="D351" s="42" t="s">
        <v>228</v>
      </c>
      <c r="E351" s="6">
        <f t="shared" si="275"/>
        <v>-16.80017828125008</v>
      </c>
      <c r="F351" s="5" t="str">
        <f t="shared" si="290"/>
        <v>Loss</v>
      </c>
      <c r="G351" s="4">
        <f t="shared" si="291"/>
        <v>-10.85000000000008</v>
      </c>
      <c r="H351" s="46">
        <v>7</v>
      </c>
      <c r="I351" s="42">
        <v>417.45</v>
      </c>
      <c r="J351" s="42">
        <v>7</v>
      </c>
      <c r="K351" s="42">
        <v>417.55</v>
      </c>
      <c r="L351" s="42">
        <v>7</v>
      </c>
      <c r="M351" s="44">
        <v>418.4</v>
      </c>
      <c r="N351" s="5">
        <f t="shared" si="292"/>
        <v>21</v>
      </c>
      <c r="O351" s="4">
        <f t="shared" si="293"/>
        <v>417.8</v>
      </c>
      <c r="P351" s="5">
        <f t="shared" si="248"/>
        <v>7</v>
      </c>
      <c r="Q351" s="42">
        <v>417.15</v>
      </c>
      <c r="R351" s="2">
        <f t="shared" si="247"/>
        <v>7</v>
      </c>
      <c r="S351" s="42">
        <v>417.05</v>
      </c>
      <c r="T351" s="2">
        <f t="shared" si="276"/>
        <v>7</v>
      </c>
      <c r="U351" s="44">
        <v>417.65</v>
      </c>
      <c r="V351" s="5">
        <f t="shared" si="294"/>
        <v>21</v>
      </c>
      <c r="W351" s="4">
        <f t="shared" si="295"/>
        <v>417.2833333333333</v>
      </c>
      <c r="X351" s="14">
        <f t="shared" si="249"/>
        <v>0.19999999999998863</v>
      </c>
      <c r="Y351" s="5">
        <f t="shared" si="250"/>
        <v>-2.1000000000000796</v>
      </c>
      <c r="Z351" s="2">
        <f t="shared" si="251"/>
        <v>-3.5</v>
      </c>
      <c r="AA351" s="4">
        <f t="shared" si="252"/>
        <v>-5.25</v>
      </c>
      <c r="AB351" s="13">
        <f t="shared" si="253"/>
        <v>5.9501782812500004</v>
      </c>
      <c r="AC351" s="10">
        <f>SUM($E$4:E351)</f>
        <v>-12679.44540425887</v>
      </c>
      <c r="AD351" s="20">
        <f>SUM($AB$4:AB351)</f>
        <v>11136.048704258828</v>
      </c>
      <c r="AF351" s="28">
        <f t="shared" si="254"/>
        <v>1.7536750000000001</v>
      </c>
      <c r="AG351" s="2">
        <f t="shared" si="255"/>
        <v>2.1907375</v>
      </c>
      <c r="AH351" s="2">
        <f t="shared" si="256"/>
        <v>0.56994437499999995</v>
      </c>
      <c r="AI351" s="2">
        <f t="shared" si="277"/>
        <v>2.3236193749999998</v>
      </c>
      <c r="AJ351" s="2">
        <f t="shared" si="278"/>
        <v>0.34854290624999995</v>
      </c>
      <c r="AK351" s="2">
        <f t="shared" si="257"/>
        <v>3.5073500000000001E-2</v>
      </c>
      <c r="AL351" s="2">
        <f t="shared" si="258"/>
        <v>1.0522050000000001</v>
      </c>
      <c r="AM351" s="2">
        <f t="shared" si="279"/>
        <v>5.9501782812500004</v>
      </c>
      <c r="AN351" s="2">
        <f t="shared" si="259"/>
        <v>120</v>
      </c>
      <c r="AO351" s="2">
        <f t="shared" si="260"/>
        <v>4.381475</v>
      </c>
      <c r="AP351" s="2">
        <f t="shared" si="261"/>
        <v>9.2944774999999993</v>
      </c>
      <c r="AQ351" s="2">
        <f t="shared" si="280"/>
        <v>129.2944775</v>
      </c>
      <c r="AR351" s="2">
        <f t="shared" si="281"/>
        <v>19.394171624999998</v>
      </c>
      <c r="AS351" s="2">
        <f t="shared" si="262"/>
        <v>3.5073500000000001E-2</v>
      </c>
      <c r="AT351" s="2">
        <f t="shared" si="263"/>
        <v>1.0522050000000001</v>
      </c>
      <c r="AU351" s="2">
        <f t="shared" si="282"/>
        <v>154.157402625</v>
      </c>
      <c r="AV351" s="2">
        <f t="shared" si="264"/>
        <v>1.7536750000000001</v>
      </c>
      <c r="AW351" s="2">
        <f t="shared" si="265"/>
        <v>0.87629500000000005</v>
      </c>
      <c r="AX351" s="2">
        <f t="shared" si="266"/>
        <v>0.36827174999999995</v>
      </c>
      <c r="AY351" s="2">
        <f t="shared" si="283"/>
        <v>2.1219467500000002</v>
      </c>
      <c r="AZ351" s="2">
        <f t="shared" si="284"/>
        <v>0.3182920125</v>
      </c>
      <c r="BA351" s="2">
        <f t="shared" si="267"/>
        <v>3.5073500000000001E-2</v>
      </c>
      <c r="BB351" s="2">
        <f t="shared" si="268"/>
        <v>1.0522050000000001</v>
      </c>
      <c r="BC351" s="2">
        <f t="shared" si="285"/>
        <v>4.4038122625000007</v>
      </c>
      <c r="BD351" s="2">
        <v>0</v>
      </c>
      <c r="BE351" s="2">
        <f t="shared" si="269"/>
        <v>17.536750000000001</v>
      </c>
      <c r="BF351" s="2">
        <f t="shared" si="270"/>
        <v>0.56994437499999995</v>
      </c>
      <c r="BG351" s="2">
        <f t="shared" si="286"/>
        <v>0.56994437499999995</v>
      </c>
      <c r="BH351" s="2">
        <f t="shared" si="287"/>
        <v>8.5491656249999992E-2</v>
      </c>
      <c r="BI351" s="2">
        <f t="shared" si="271"/>
        <v>3.5073500000000001E-2</v>
      </c>
      <c r="BJ351" s="2">
        <f t="shared" si="272"/>
        <v>1.0522050000000001</v>
      </c>
      <c r="BK351" s="2">
        <f t="shared" si="288"/>
        <v>19.279464531249999</v>
      </c>
      <c r="BL351" s="2">
        <f t="shared" si="273"/>
        <v>8773.8000000000011</v>
      </c>
      <c r="BM351" s="2">
        <f t="shared" si="274"/>
        <v>8762.9499999999989</v>
      </c>
      <c r="BN351" s="2">
        <f t="shared" si="289"/>
        <v>17536.75</v>
      </c>
    </row>
    <row r="352" spans="1:66" x14ac:dyDescent="0.25">
      <c r="A352" s="42">
        <v>349</v>
      </c>
      <c r="B352" s="43">
        <v>42865</v>
      </c>
      <c r="C352" s="42" t="s">
        <v>50</v>
      </c>
      <c r="D352" s="42" t="s">
        <v>163</v>
      </c>
      <c r="E352" s="6">
        <f t="shared" si="275"/>
        <v>-16.977704906250093</v>
      </c>
      <c r="F352" s="5" t="str">
        <f t="shared" si="290"/>
        <v>Loss</v>
      </c>
      <c r="G352" s="4">
        <f t="shared" si="291"/>
        <v>-14.850000000000094</v>
      </c>
      <c r="H352" s="46">
        <v>33</v>
      </c>
      <c r="I352" s="42">
        <v>95.3</v>
      </c>
      <c r="N352" s="5">
        <f t="shared" si="292"/>
        <v>33</v>
      </c>
      <c r="O352" s="4">
        <f t="shared" si="293"/>
        <v>95.3</v>
      </c>
      <c r="P352" s="5">
        <f t="shared" si="248"/>
        <v>33</v>
      </c>
      <c r="Q352" s="42">
        <v>94.85</v>
      </c>
      <c r="R352" s="2">
        <f t="shared" si="247"/>
        <v>0</v>
      </c>
      <c r="T352" s="2">
        <f t="shared" si="276"/>
        <v>0</v>
      </c>
      <c r="V352" s="5">
        <f t="shared" si="294"/>
        <v>33</v>
      </c>
      <c r="W352" s="4">
        <f t="shared" si="295"/>
        <v>94.85</v>
      </c>
      <c r="X352" s="14">
        <f t="shared" si="249"/>
        <v>-0.45000000000000284</v>
      </c>
      <c r="Y352" s="5">
        <f t="shared" si="250"/>
        <v>-14.850000000000094</v>
      </c>
      <c r="Z352" s="2">
        <f t="shared" si="251"/>
        <v>0</v>
      </c>
      <c r="AA352" s="4">
        <f t="shared" si="252"/>
        <v>0</v>
      </c>
      <c r="AB352" s="13">
        <f t="shared" si="253"/>
        <v>2.12770490625</v>
      </c>
      <c r="AC352" s="10">
        <f>SUM($E$4:E352)</f>
        <v>-12696.42310916512</v>
      </c>
      <c r="AD352" s="20">
        <f>SUM($AB$4:AB352)</f>
        <v>11138.176409165078</v>
      </c>
      <c r="AF352" s="28">
        <f t="shared" si="254"/>
        <v>0.62749500000000002</v>
      </c>
      <c r="AG352" s="2">
        <f t="shared" si="255"/>
        <v>0.78251249999999994</v>
      </c>
      <c r="AH352" s="2">
        <f t="shared" si="256"/>
        <v>0.20393587499999999</v>
      </c>
      <c r="AI352" s="2">
        <f t="shared" si="277"/>
        <v>0.83143087500000001</v>
      </c>
      <c r="AJ352" s="2">
        <f t="shared" si="278"/>
        <v>0.12471463125</v>
      </c>
      <c r="AK352" s="2">
        <f t="shared" si="257"/>
        <v>1.2549899999999999E-2</v>
      </c>
      <c r="AL352" s="2">
        <f t="shared" si="258"/>
        <v>0.37649700000000003</v>
      </c>
      <c r="AM352" s="2">
        <f t="shared" si="279"/>
        <v>2.12770490625</v>
      </c>
      <c r="AN352" s="2">
        <f t="shared" si="259"/>
        <v>40</v>
      </c>
      <c r="AO352" s="2">
        <f t="shared" si="260"/>
        <v>1.5650249999999999</v>
      </c>
      <c r="AP352" s="2">
        <f t="shared" si="261"/>
        <v>3.3257234999999996</v>
      </c>
      <c r="AQ352" s="2">
        <f t="shared" si="280"/>
        <v>43.325723500000002</v>
      </c>
      <c r="AR352" s="2">
        <f t="shared" si="281"/>
        <v>6.4988585250000002</v>
      </c>
      <c r="AS352" s="2">
        <f t="shared" si="262"/>
        <v>1.2549899999999999E-2</v>
      </c>
      <c r="AT352" s="2">
        <f t="shared" si="263"/>
        <v>0.37649700000000003</v>
      </c>
      <c r="AU352" s="2">
        <f t="shared" si="282"/>
        <v>51.778653925000008</v>
      </c>
      <c r="AV352" s="2">
        <f t="shared" si="264"/>
        <v>0.62749500000000002</v>
      </c>
      <c r="AW352" s="2">
        <f t="shared" si="265"/>
        <v>0.31300499999999998</v>
      </c>
      <c r="AX352" s="2">
        <f t="shared" si="266"/>
        <v>0.13177395</v>
      </c>
      <c r="AY352" s="2">
        <f t="shared" si="283"/>
        <v>0.75926895000000005</v>
      </c>
      <c r="AZ352" s="2">
        <f t="shared" si="284"/>
        <v>0.11389034250000001</v>
      </c>
      <c r="BA352" s="2">
        <f t="shared" si="267"/>
        <v>1.2549899999999999E-2</v>
      </c>
      <c r="BB352" s="2">
        <f t="shared" si="268"/>
        <v>0.37649700000000003</v>
      </c>
      <c r="BC352" s="2">
        <f t="shared" si="285"/>
        <v>1.5752111925000001</v>
      </c>
      <c r="BD352" s="2">
        <v>0</v>
      </c>
      <c r="BE352" s="2">
        <f t="shared" si="269"/>
        <v>6.2749499999999996</v>
      </c>
      <c r="BF352" s="2">
        <f t="shared" si="270"/>
        <v>0.20393587499999999</v>
      </c>
      <c r="BG352" s="2">
        <f t="shared" si="286"/>
        <v>0.20393587499999999</v>
      </c>
      <c r="BH352" s="2">
        <f t="shared" si="287"/>
        <v>3.0590381249999996E-2</v>
      </c>
      <c r="BI352" s="2">
        <f t="shared" si="271"/>
        <v>1.2549899999999999E-2</v>
      </c>
      <c r="BJ352" s="2">
        <f t="shared" si="272"/>
        <v>0.37649700000000003</v>
      </c>
      <c r="BK352" s="2">
        <f t="shared" si="288"/>
        <v>6.8985231562499987</v>
      </c>
      <c r="BL352" s="2">
        <f t="shared" si="273"/>
        <v>3144.9</v>
      </c>
      <c r="BM352" s="2">
        <f t="shared" si="274"/>
        <v>3130.0499999999997</v>
      </c>
      <c r="BN352" s="2">
        <f t="shared" si="289"/>
        <v>6274.95</v>
      </c>
    </row>
    <row r="353" spans="1:66" x14ac:dyDescent="0.25">
      <c r="A353" s="42">
        <v>350</v>
      </c>
      <c r="B353" s="43">
        <v>42865</v>
      </c>
      <c r="C353" s="42" t="s">
        <v>50</v>
      </c>
      <c r="D353" s="42" t="s">
        <v>206</v>
      </c>
      <c r="E353" s="6">
        <f t="shared" si="275"/>
        <v>-3.8597118750000003</v>
      </c>
      <c r="F353" s="5" t="str">
        <f t="shared" si="290"/>
        <v>Break Even</v>
      </c>
      <c r="G353" s="4">
        <f t="shared" si="291"/>
        <v>0</v>
      </c>
      <c r="H353" s="46">
        <v>17</v>
      </c>
      <c r="I353" s="42">
        <v>167.9</v>
      </c>
      <c r="J353" s="42">
        <v>17</v>
      </c>
      <c r="K353" s="42">
        <v>166.6</v>
      </c>
      <c r="N353" s="5">
        <f t="shared" si="292"/>
        <v>34</v>
      </c>
      <c r="O353" s="4">
        <f t="shared" si="293"/>
        <v>167.25</v>
      </c>
      <c r="P353" s="5">
        <f t="shared" si="248"/>
        <v>17</v>
      </c>
      <c r="Q353" s="42">
        <v>167.05</v>
      </c>
      <c r="R353" s="2">
        <f t="shared" si="247"/>
        <v>17</v>
      </c>
      <c r="S353" s="42">
        <v>167.45</v>
      </c>
      <c r="T353" s="2">
        <f t="shared" si="276"/>
        <v>0</v>
      </c>
      <c r="V353" s="5">
        <f t="shared" si="294"/>
        <v>34</v>
      </c>
      <c r="W353" s="4">
        <f t="shared" si="295"/>
        <v>167.25</v>
      </c>
      <c r="X353" s="14">
        <f t="shared" si="249"/>
        <v>0.84999999999999432</v>
      </c>
      <c r="Y353" s="5">
        <f t="shared" si="250"/>
        <v>-14.449999999999903</v>
      </c>
      <c r="Z353" s="2">
        <f t="shared" si="251"/>
        <v>14.449999999999903</v>
      </c>
      <c r="AA353" s="4">
        <f t="shared" si="252"/>
        <v>0</v>
      </c>
      <c r="AB353" s="13">
        <f t="shared" si="253"/>
        <v>3.8597118750000003</v>
      </c>
      <c r="AC353" s="10">
        <f>SUM($E$4:E353)</f>
        <v>-12700.28282104012</v>
      </c>
      <c r="AD353" s="20">
        <f>SUM($AB$4:AB353)</f>
        <v>11142.036121040079</v>
      </c>
      <c r="AF353" s="28">
        <f t="shared" si="254"/>
        <v>1.1373</v>
      </c>
      <c r="AG353" s="2">
        <f t="shared" si="255"/>
        <v>1.4216250000000001</v>
      </c>
      <c r="AH353" s="2">
        <f t="shared" si="256"/>
        <v>0.36962249999999996</v>
      </c>
      <c r="AI353" s="2">
        <f t="shared" si="277"/>
        <v>1.5069224999999999</v>
      </c>
      <c r="AJ353" s="2">
        <f t="shared" si="278"/>
        <v>0.22603837499999999</v>
      </c>
      <c r="AK353" s="2">
        <f t="shared" si="257"/>
        <v>2.2745999999999999E-2</v>
      </c>
      <c r="AL353" s="2">
        <f t="shared" si="258"/>
        <v>0.68237999999999999</v>
      </c>
      <c r="AM353" s="2">
        <f t="shared" si="279"/>
        <v>3.8597118750000003</v>
      </c>
      <c r="AN353" s="2">
        <f t="shared" si="259"/>
        <v>80</v>
      </c>
      <c r="AO353" s="2">
        <f t="shared" si="260"/>
        <v>2.8432500000000003</v>
      </c>
      <c r="AP353" s="2">
        <f t="shared" si="261"/>
        <v>6.0276899999999998</v>
      </c>
      <c r="AQ353" s="2">
        <f t="shared" si="280"/>
        <v>86.027690000000007</v>
      </c>
      <c r="AR353" s="2">
        <f t="shared" si="281"/>
        <v>12.904153500000001</v>
      </c>
      <c r="AS353" s="2">
        <f t="shared" si="262"/>
        <v>2.2745999999999999E-2</v>
      </c>
      <c r="AT353" s="2">
        <f t="shared" si="263"/>
        <v>0.68237999999999999</v>
      </c>
      <c r="AU353" s="2">
        <f t="shared" si="282"/>
        <v>102.48021949999999</v>
      </c>
      <c r="AV353" s="2">
        <f t="shared" si="264"/>
        <v>1.1373</v>
      </c>
      <c r="AW353" s="2">
        <f t="shared" si="265"/>
        <v>0.56864999999999999</v>
      </c>
      <c r="AX353" s="2">
        <f t="shared" si="266"/>
        <v>0.23883299999999999</v>
      </c>
      <c r="AY353" s="2">
        <f t="shared" si="283"/>
        <v>1.3761330000000001</v>
      </c>
      <c r="AZ353" s="2">
        <f t="shared" si="284"/>
        <v>0.20641994999999999</v>
      </c>
      <c r="BA353" s="2">
        <f t="shared" si="267"/>
        <v>2.2745999999999999E-2</v>
      </c>
      <c r="BB353" s="2">
        <f t="shared" si="268"/>
        <v>0.68237999999999999</v>
      </c>
      <c r="BC353" s="2">
        <f t="shared" si="285"/>
        <v>2.85632895</v>
      </c>
      <c r="BD353" s="2">
        <v>0</v>
      </c>
      <c r="BE353" s="2">
        <f t="shared" si="269"/>
        <v>11.373000000000001</v>
      </c>
      <c r="BF353" s="2">
        <f t="shared" si="270"/>
        <v>0.36962249999999996</v>
      </c>
      <c r="BG353" s="2">
        <f t="shared" si="286"/>
        <v>0.36962249999999996</v>
      </c>
      <c r="BH353" s="2">
        <f t="shared" si="287"/>
        <v>5.5443374999999996E-2</v>
      </c>
      <c r="BI353" s="2">
        <f t="shared" si="271"/>
        <v>2.2745999999999999E-2</v>
      </c>
      <c r="BJ353" s="2">
        <f t="shared" si="272"/>
        <v>0.68237999999999999</v>
      </c>
      <c r="BK353" s="2">
        <f t="shared" si="288"/>
        <v>12.503191875000001</v>
      </c>
      <c r="BL353" s="2">
        <f t="shared" si="273"/>
        <v>5686.5</v>
      </c>
      <c r="BM353" s="2">
        <f t="shared" si="274"/>
        <v>5686.5</v>
      </c>
      <c r="BN353" s="2">
        <f t="shared" si="289"/>
        <v>11373</v>
      </c>
    </row>
    <row r="354" spans="1:66" x14ac:dyDescent="0.25">
      <c r="A354" s="42">
        <v>351</v>
      </c>
      <c r="B354" s="43">
        <v>42865</v>
      </c>
      <c r="C354" s="42" t="s">
        <v>50</v>
      </c>
      <c r="D354" s="42" t="s">
        <v>186</v>
      </c>
      <c r="E354" s="6">
        <f t="shared" si="275"/>
        <v>-14.430052656250261</v>
      </c>
      <c r="F354" s="5" t="str">
        <f t="shared" si="290"/>
        <v>Loss</v>
      </c>
      <c r="G354" s="4">
        <f t="shared" si="291"/>
        <v>-12.650000000000261</v>
      </c>
      <c r="H354" s="46">
        <v>23</v>
      </c>
      <c r="I354" s="42">
        <v>114.4</v>
      </c>
      <c r="N354" s="5">
        <f t="shared" si="292"/>
        <v>23</v>
      </c>
      <c r="O354" s="4">
        <f t="shared" si="293"/>
        <v>114.4</v>
      </c>
      <c r="P354" s="5">
        <f t="shared" si="248"/>
        <v>23</v>
      </c>
      <c r="Q354" s="42">
        <v>113.85</v>
      </c>
      <c r="R354" s="2">
        <f t="shared" si="247"/>
        <v>0</v>
      </c>
      <c r="T354" s="2">
        <f t="shared" si="276"/>
        <v>0</v>
      </c>
      <c r="V354" s="5">
        <f t="shared" si="294"/>
        <v>23</v>
      </c>
      <c r="W354" s="4">
        <f t="shared" si="295"/>
        <v>113.85</v>
      </c>
      <c r="X354" s="14">
        <f t="shared" si="249"/>
        <v>-0.55000000000001137</v>
      </c>
      <c r="Y354" s="5">
        <f t="shared" si="250"/>
        <v>-12.650000000000261</v>
      </c>
      <c r="Z354" s="2">
        <f t="shared" si="251"/>
        <v>0</v>
      </c>
      <c r="AA354" s="4">
        <f t="shared" si="252"/>
        <v>0</v>
      </c>
      <c r="AB354" s="13">
        <f t="shared" si="253"/>
        <v>1.7800526562500003</v>
      </c>
      <c r="AC354" s="10">
        <f>SUM($E$4:E354)</f>
        <v>-12714.712873696371</v>
      </c>
      <c r="AD354" s="20">
        <f>SUM($AB$4:AB354)</f>
        <v>11143.816173696328</v>
      </c>
      <c r="AF354" s="28">
        <f t="shared" si="254"/>
        <v>0.52497500000000008</v>
      </c>
      <c r="AG354" s="2">
        <f t="shared" si="255"/>
        <v>0.65463749999999998</v>
      </c>
      <c r="AH354" s="2">
        <f t="shared" si="256"/>
        <v>0.17061687499999997</v>
      </c>
      <c r="AI354" s="2">
        <f t="shared" si="277"/>
        <v>0.69559187500000008</v>
      </c>
      <c r="AJ354" s="2">
        <f t="shared" si="278"/>
        <v>0.10433878125000001</v>
      </c>
      <c r="AK354" s="2">
        <f t="shared" si="257"/>
        <v>1.04995E-2</v>
      </c>
      <c r="AL354" s="2">
        <f t="shared" si="258"/>
        <v>0.31498500000000001</v>
      </c>
      <c r="AM354" s="2">
        <f t="shared" si="279"/>
        <v>1.7800526562500003</v>
      </c>
      <c r="AN354" s="2">
        <f t="shared" si="259"/>
        <v>40</v>
      </c>
      <c r="AO354" s="2">
        <f t="shared" si="260"/>
        <v>1.309275</v>
      </c>
      <c r="AP354" s="2">
        <f t="shared" si="261"/>
        <v>2.7823674999999999</v>
      </c>
      <c r="AQ354" s="2">
        <f t="shared" si="280"/>
        <v>42.782367499999999</v>
      </c>
      <c r="AR354" s="2">
        <f t="shared" si="281"/>
        <v>6.4173551249999994</v>
      </c>
      <c r="AS354" s="2">
        <f t="shared" si="262"/>
        <v>1.04995E-2</v>
      </c>
      <c r="AT354" s="2">
        <f t="shared" si="263"/>
        <v>0.31498500000000001</v>
      </c>
      <c r="AU354" s="2">
        <f t="shared" si="282"/>
        <v>50.834482125000001</v>
      </c>
      <c r="AV354" s="2">
        <f t="shared" si="264"/>
        <v>0.52497500000000008</v>
      </c>
      <c r="AW354" s="2">
        <f t="shared" si="265"/>
        <v>0.261855</v>
      </c>
      <c r="AX354" s="2">
        <f t="shared" si="266"/>
        <v>0.11024474999999999</v>
      </c>
      <c r="AY354" s="2">
        <f t="shared" si="283"/>
        <v>0.63521975000000008</v>
      </c>
      <c r="AZ354" s="2">
        <f t="shared" si="284"/>
        <v>9.5282962500000012E-2</v>
      </c>
      <c r="BA354" s="2">
        <f t="shared" si="267"/>
        <v>1.04995E-2</v>
      </c>
      <c r="BB354" s="2">
        <f t="shared" si="268"/>
        <v>0.31498500000000001</v>
      </c>
      <c r="BC354" s="2">
        <f t="shared" si="285"/>
        <v>1.3178422125000002</v>
      </c>
      <c r="BD354" s="2">
        <v>0</v>
      </c>
      <c r="BE354" s="2">
        <f t="shared" si="269"/>
        <v>5.2497499999999997</v>
      </c>
      <c r="BF354" s="2">
        <f t="shared" si="270"/>
        <v>0.17061687499999997</v>
      </c>
      <c r="BG354" s="2">
        <f t="shared" si="286"/>
        <v>0.17061687499999997</v>
      </c>
      <c r="BH354" s="2">
        <f t="shared" si="287"/>
        <v>2.5592531249999995E-2</v>
      </c>
      <c r="BI354" s="2">
        <f t="shared" si="271"/>
        <v>1.04995E-2</v>
      </c>
      <c r="BJ354" s="2">
        <f t="shared" si="272"/>
        <v>0.31498500000000001</v>
      </c>
      <c r="BK354" s="2">
        <f t="shared" si="288"/>
        <v>5.77144390625</v>
      </c>
      <c r="BL354" s="2">
        <f t="shared" si="273"/>
        <v>2631.2000000000003</v>
      </c>
      <c r="BM354" s="2">
        <f t="shared" si="274"/>
        <v>2618.5499999999997</v>
      </c>
      <c r="BN354" s="2">
        <f t="shared" si="289"/>
        <v>5249.75</v>
      </c>
    </row>
    <row r="355" spans="1:66" x14ac:dyDescent="0.25">
      <c r="A355" s="42">
        <v>352</v>
      </c>
      <c r="B355" s="43">
        <v>42865</v>
      </c>
      <c r="C355" s="42" t="s">
        <v>50</v>
      </c>
      <c r="D355" s="42" t="s">
        <v>250</v>
      </c>
      <c r="E355" s="6">
        <f t="shared" si="275"/>
        <v>-17.532226750000092</v>
      </c>
      <c r="F355" s="5" t="str">
        <f t="shared" si="290"/>
        <v>Loss</v>
      </c>
      <c r="G355" s="4">
        <f t="shared" si="291"/>
        <v>-10.400000000000091</v>
      </c>
      <c r="H355" s="46">
        <v>2</v>
      </c>
      <c r="I355" s="42">
        <v>1754.8</v>
      </c>
      <c r="J355" s="42">
        <v>2</v>
      </c>
      <c r="K355" s="42">
        <v>1751.65</v>
      </c>
      <c r="L355" s="42">
        <v>2</v>
      </c>
      <c r="M355" s="44">
        <v>1751.05</v>
      </c>
      <c r="N355" s="5">
        <f t="shared" si="292"/>
        <v>6</v>
      </c>
      <c r="O355" s="4">
        <f t="shared" si="293"/>
        <v>1752.5</v>
      </c>
      <c r="P355" s="5">
        <f t="shared" si="248"/>
        <v>2</v>
      </c>
      <c r="Q355" s="42">
        <v>1753.75</v>
      </c>
      <c r="R355" s="2">
        <f t="shared" si="247"/>
        <v>2</v>
      </c>
      <c r="S355" s="42">
        <v>1752.35</v>
      </c>
      <c r="T355" s="2">
        <f t="shared" si="276"/>
        <v>2</v>
      </c>
      <c r="U355" s="44">
        <v>1746.2</v>
      </c>
      <c r="V355" s="5">
        <f t="shared" si="294"/>
        <v>6</v>
      </c>
      <c r="W355" s="4">
        <f t="shared" si="295"/>
        <v>1750.7666666666667</v>
      </c>
      <c r="X355" s="14">
        <f t="shared" si="249"/>
        <v>2.7000000000000455</v>
      </c>
      <c r="Y355" s="5">
        <f t="shared" si="250"/>
        <v>-2.0999999999999091</v>
      </c>
      <c r="Z355" s="2">
        <f t="shared" si="251"/>
        <v>1.3999999999996362</v>
      </c>
      <c r="AA355" s="4">
        <f t="shared" si="252"/>
        <v>-9.6999999999998181</v>
      </c>
      <c r="AB355" s="13">
        <f t="shared" si="253"/>
        <v>7.1322267499999992</v>
      </c>
      <c r="AC355" s="10">
        <f>SUM($E$4:E355)</f>
        <v>-12732.245100446371</v>
      </c>
      <c r="AD355" s="20">
        <f>SUM($AB$4:AB355)</f>
        <v>11150.948400446328</v>
      </c>
      <c r="AF355" s="28">
        <f t="shared" si="254"/>
        <v>2.1019600000000001</v>
      </c>
      <c r="AG355" s="2">
        <f t="shared" si="255"/>
        <v>2.62615</v>
      </c>
      <c r="AH355" s="2">
        <f t="shared" si="256"/>
        <v>0.68313699999999988</v>
      </c>
      <c r="AI355" s="2">
        <f t="shared" si="277"/>
        <v>2.7850969999999999</v>
      </c>
      <c r="AJ355" s="2">
        <f t="shared" si="278"/>
        <v>0.41776454999999996</v>
      </c>
      <c r="AK355" s="2">
        <f t="shared" si="257"/>
        <v>4.2039199999999999E-2</v>
      </c>
      <c r="AL355" s="2">
        <f t="shared" si="258"/>
        <v>1.2611759999999999</v>
      </c>
      <c r="AM355" s="2">
        <f t="shared" si="279"/>
        <v>7.1322267499999992</v>
      </c>
      <c r="AN355" s="2">
        <f t="shared" si="259"/>
        <v>120</v>
      </c>
      <c r="AO355" s="2">
        <f t="shared" si="260"/>
        <v>5.2523</v>
      </c>
      <c r="AP355" s="2">
        <f t="shared" si="261"/>
        <v>11.140387999999998</v>
      </c>
      <c r="AQ355" s="2">
        <f t="shared" si="280"/>
        <v>131.140388</v>
      </c>
      <c r="AR355" s="2">
        <f t="shared" si="281"/>
        <v>19.671058200000001</v>
      </c>
      <c r="AS355" s="2">
        <f t="shared" si="262"/>
        <v>4.2039199999999999E-2</v>
      </c>
      <c r="AT355" s="2">
        <f t="shared" si="263"/>
        <v>1.2611759999999999</v>
      </c>
      <c r="AU355" s="2">
        <f t="shared" si="282"/>
        <v>157.36696140000001</v>
      </c>
      <c r="AV355" s="2">
        <f t="shared" si="264"/>
        <v>2.1019600000000001</v>
      </c>
      <c r="AW355" s="2">
        <f t="shared" si="265"/>
        <v>1.0504600000000002</v>
      </c>
      <c r="AX355" s="2">
        <f t="shared" si="266"/>
        <v>0.44141159999999996</v>
      </c>
      <c r="AY355" s="2">
        <f t="shared" si="283"/>
        <v>2.5433716</v>
      </c>
      <c r="AZ355" s="2">
        <f t="shared" si="284"/>
        <v>0.38150573999999998</v>
      </c>
      <c r="BA355" s="2">
        <f t="shared" si="267"/>
        <v>4.2039199999999999E-2</v>
      </c>
      <c r="BB355" s="2">
        <f t="shared" si="268"/>
        <v>1.2611759999999999</v>
      </c>
      <c r="BC355" s="2">
        <f t="shared" si="285"/>
        <v>5.2785525399999997</v>
      </c>
      <c r="BD355" s="2">
        <v>0</v>
      </c>
      <c r="BE355" s="2">
        <f t="shared" si="269"/>
        <v>21.019600000000001</v>
      </c>
      <c r="BF355" s="2">
        <f t="shared" si="270"/>
        <v>0.68313699999999988</v>
      </c>
      <c r="BG355" s="2">
        <f t="shared" si="286"/>
        <v>0.68313699999999988</v>
      </c>
      <c r="BH355" s="2">
        <f t="shared" si="287"/>
        <v>0.10247054999999998</v>
      </c>
      <c r="BI355" s="2">
        <f t="shared" si="271"/>
        <v>4.2039199999999999E-2</v>
      </c>
      <c r="BJ355" s="2">
        <f t="shared" si="272"/>
        <v>1.2611759999999999</v>
      </c>
      <c r="BK355" s="2">
        <f t="shared" si="288"/>
        <v>23.108422749999999</v>
      </c>
      <c r="BL355" s="2">
        <f t="shared" si="273"/>
        <v>10515</v>
      </c>
      <c r="BM355" s="2">
        <f t="shared" si="274"/>
        <v>10504.6</v>
      </c>
      <c r="BN355" s="2">
        <f t="shared" si="289"/>
        <v>21019.599999999999</v>
      </c>
    </row>
    <row r="356" spans="1:66" x14ac:dyDescent="0.25">
      <c r="A356" s="42">
        <v>353</v>
      </c>
      <c r="B356" s="43">
        <v>42865</v>
      </c>
      <c r="C356" s="42" t="s">
        <v>50</v>
      </c>
      <c r="D356" s="42" t="s">
        <v>251</v>
      </c>
      <c r="E356" s="6">
        <f t="shared" si="275"/>
        <v>5.0917356874999999</v>
      </c>
      <c r="F356" s="5" t="str">
        <f t="shared" si="290"/>
        <v>Win</v>
      </c>
      <c r="G356" s="4">
        <f t="shared" si="291"/>
        <v>7</v>
      </c>
      <c r="H356" s="46">
        <v>7</v>
      </c>
      <c r="I356" s="42">
        <v>400.95</v>
      </c>
      <c r="N356" s="5">
        <f t="shared" si="292"/>
        <v>7</v>
      </c>
      <c r="O356" s="4">
        <f t="shared" si="293"/>
        <v>400.95</v>
      </c>
      <c r="P356" s="5">
        <f t="shared" si="248"/>
        <v>7</v>
      </c>
      <c r="Q356" s="42">
        <v>401.95</v>
      </c>
      <c r="R356" s="2">
        <f t="shared" si="247"/>
        <v>0</v>
      </c>
      <c r="T356" s="2">
        <f t="shared" si="276"/>
        <v>0</v>
      </c>
      <c r="V356" s="5">
        <f t="shared" si="294"/>
        <v>7</v>
      </c>
      <c r="W356" s="4">
        <f t="shared" si="295"/>
        <v>401.95</v>
      </c>
      <c r="X356" s="14">
        <f t="shared" si="249"/>
        <v>1</v>
      </c>
      <c r="Y356" s="5">
        <f t="shared" si="250"/>
        <v>7</v>
      </c>
      <c r="Z356" s="2">
        <f t="shared" si="251"/>
        <v>0</v>
      </c>
      <c r="AA356" s="4">
        <f t="shared" si="252"/>
        <v>0</v>
      </c>
      <c r="AB356" s="13">
        <f t="shared" si="253"/>
        <v>1.9082643125000001</v>
      </c>
      <c r="AC356" s="10">
        <f>SUM($E$4:E356)</f>
        <v>-12727.153364758871</v>
      </c>
      <c r="AD356" s="20">
        <f>SUM($AB$4:AB356)</f>
        <v>11152.856664758829</v>
      </c>
      <c r="AF356" s="28">
        <f t="shared" si="254"/>
        <v>0.56203000000000003</v>
      </c>
      <c r="AG356" s="2">
        <f t="shared" si="255"/>
        <v>0.7034125</v>
      </c>
      <c r="AH356" s="2">
        <f t="shared" si="256"/>
        <v>0.18265974999999998</v>
      </c>
      <c r="AI356" s="2">
        <f t="shared" si="277"/>
        <v>0.74468975000000004</v>
      </c>
      <c r="AJ356" s="2">
        <f t="shared" si="278"/>
        <v>0.1117034625</v>
      </c>
      <c r="AK356" s="2">
        <f t="shared" si="257"/>
        <v>1.12406E-2</v>
      </c>
      <c r="AL356" s="2">
        <f t="shared" si="258"/>
        <v>0.33721800000000002</v>
      </c>
      <c r="AM356" s="2">
        <f t="shared" si="279"/>
        <v>1.9082643125000001</v>
      </c>
      <c r="AN356" s="2">
        <f t="shared" si="259"/>
        <v>40</v>
      </c>
      <c r="AO356" s="2">
        <f t="shared" si="260"/>
        <v>1.406825</v>
      </c>
      <c r="AP356" s="2">
        <f t="shared" si="261"/>
        <v>2.9787590000000002</v>
      </c>
      <c r="AQ356" s="2">
        <f t="shared" si="280"/>
        <v>42.978758999999997</v>
      </c>
      <c r="AR356" s="2">
        <f t="shared" si="281"/>
        <v>6.446813849999999</v>
      </c>
      <c r="AS356" s="2">
        <f t="shared" si="262"/>
        <v>1.12406E-2</v>
      </c>
      <c r="AT356" s="2">
        <f t="shared" si="263"/>
        <v>0.33721800000000002</v>
      </c>
      <c r="AU356" s="2">
        <f t="shared" si="282"/>
        <v>51.180856449999993</v>
      </c>
      <c r="AV356" s="2">
        <f t="shared" si="264"/>
        <v>0.56203000000000003</v>
      </c>
      <c r="AW356" s="2">
        <f t="shared" si="265"/>
        <v>0.28136499999999998</v>
      </c>
      <c r="AX356" s="2">
        <f t="shared" si="266"/>
        <v>0.1180263</v>
      </c>
      <c r="AY356" s="2">
        <f t="shared" si="283"/>
        <v>0.68005630000000006</v>
      </c>
      <c r="AZ356" s="2">
        <f t="shared" si="284"/>
        <v>0.102008445</v>
      </c>
      <c r="BA356" s="2">
        <f t="shared" si="267"/>
        <v>1.12406E-2</v>
      </c>
      <c r="BB356" s="2">
        <f t="shared" si="268"/>
        <v>0.33721800000000002</v>
      </c>
      <c r="BC356" s="2">
        <f t="shared" si="285"/>
        <v>1.4118883450000002</v>
      </c>
      <c r="BD356" s="2">
        <v>0</v>
      </c>
      <c r="BE356" s="2">
        <f t="shared" si="269"/>
        <v>5.6203000000000003</v>
      </c>
      <c r="BF356" s="2">
        <f t="shared" si="270"/>
        <v>0.18265974999999998</v>
      </c>
      <c r="BG356" s="2">
        <f t="shared" si="286"/>
        <v>0.18265974999999998</v>
      </c>
      <c r="BH356" s="2">
        <f t="shared" si="287"/>
        <v>2.7398962499999995E-2</v>
      </c>
      <c r="BI356" s="2">
        <f t="shared" si="271"/>
        <v>1.12406E-2</v>
      </c>
      <c r="BJ356" s="2">
        <f t="shared" si="272"/>
        <v>0.33721800000000002</v>
      </c>
      <c r="BK356" s="2">
        <f t="shared" si="288"/>
        <v>6.1788173125000005</v>
      </c>
      <c r="BL356" s="2">
        <f t="shared" si="273"/>
        <v>2806.65</v>
      </c>
      <c r="BM356" s="2">
        <f t="shared" si="274"/>
        <v>2813.65</v>
      </c>
      <c r="BN356" s="2">
        <f t="shared" si="289"/>
        <v>5620.3</v>
      </c>
    </row>
    <row r="357" spans="1:66" x14ac:dyDescent="0.25">
      <c r="A357" s="42">
        <v>354</v>
      </c>
      <c r="B357" s="43">
        <v>42865</v>
      </c>
      <c r="C357" s="42" t="s">
        <v>50</v>
      </c>
      <c r="D357" s="42" t="s">
        <v>252</v>
      </c>
      <c r="E357" s="6">
        <f t="shared" si="275"/>
        <v>13.477181157125086</v>
      </c>
      <c r="F357" s="5" t="str">
        <f t="shared" si="290"/>
        <v>Win</v>
      </c>
      <c r="G357" s="4">
        <f t="shared" si="291"/>
        <v>15.600200000000086</v>
      </c>
      <c r="H357" s="46">
        <v>4</v>
      </c>
      <c r="I357" s="42">
        <v>519.45000000000005</v>
      </c>
      <c r="J357" s="42">
        <v>2</v>
      </c>
      <c r="K357" s="42">
        <v>519.65</v>
      </c>
      <c r="N357" s="5">
        <f t="shared" si="292"/>
        <v>6</v>
      </c>
      <c r="O357" s="4">
        <f t="shared" si="293"/>
        <v>519.54999999999995</v>
      </c>
      <c r="P357" s="5">
        <f t="shared" si="248"/>
        <v>4</v>
      </c>
      <c r="Q357" s="42">
        <v>522.11670000000004</v>
      </c>
      <c r="R357" s="2">
        <f t="shared" si="247"/>
        <v>2</v>
      </c>
      <c r="S357" s="42">
        <v>522.11670000000004</v>
      </c>
      <c r="T357" s="2">
        <f t="shared" si="276"/>
        <v>0</v>
      </c>
      <c r="V357" s="5">
        <f t="shared" si="294"/>
        <v>6</v>
      </c>
      <c r="W357" s="4">
        <f t="shared" si="295"/>
        <v>522.11670000000004</v>
      </c>
      <c r="X357" s="14">
        <f t="shared" si="249"/>
        <v>2.6666999999999916</v>
      </c>
      <c r="Y357" s="5">
        <f t="shared" si="250"/>
        <v>10.666799999999967</v>
      </c>
      <c r="Z357" s="2">
        <f t="shared" si="251"/>
        <v>4.9334000000001197</v>
      </c>
      <c r="AA357" s="4">
        <f t="shared" si="252"/>
        <v>0</v>
      </c>
      <c r="AB357" s="13">
        <f t="shared" si="253"/>
        <v>2.1230188428750001</v>
      </c>
      <c r="AC357" s="10">
        <f>SUM($E$4:E357)</f>
        <v>-12713.676183601747</v>
      </c>
      <c r="AD357" s="20">
        <f>SUM($AB$4:AB357)</f>
        <v>11154.979683601703</v>
      </c>
      <c r="AF357" s="28">
        <f t="shared" si="254"/>
        <v>0.6250000200000001</v>
      </c>
      <c r="AG357" s="2">
        <f t="shared" si="255"/>
        <v>0.78317505000000009</v>
      </c>
      <c r="AH357" s="2">
        <f t="shared" si="256"/>
        <v>0.20312500649999998</v>
      </c>
      <c r="AI357" s="2">
        <f t="shared" si="277"/>
        <v>0.82812502650000008</v>
      </c>
      <c r="AJ357" s="2">
        <f t="shared" si="278"/>
        <v>0.12421875397500001</v>
      </c>
      <c r="AK357" s="2">
        <f t="shared" si="257"/>
        <v>1.2500000400000001E-2</v>
      </c>
      <c r="AL357" s="2">
        <f t="shared" si="258"/>
        <v>0.37500001200000005</v>
      </c>
      <c r="AM357" s="2">
        <f t="shared" si="279"/>
        <v>2.1230188428750001</v>
      </c>
      <c r="AN357" s="2">
        <f t="shared" si="259"/>
        <v>80</v>
      </c>
      <c r="AO357" s="2">
        <f t="shared" si="260"/>
        <v>1.5663501000000002</v>
      </c>
      <c r="AP357" s="2">
        <f t="shared" si="261"/>
        <v>3.3125001059999999</v>
      </c>
      <c r="AQ357" s="2">
        <f t="shared" si="280"/>
        <v>83.312500106000002</v>
      </c>
      <c r="AR357" s="2">
        <f t="shared" si="281"/>
        <v>12.496875015900001</v>
      </c>
      <c r="AS357" s="2">
        <f t="shared" si="262"/>
        <v>1.2500000400000001E-2</v>
      </c>
      <c r="AT357" s="2">
        <f t="shared" si="263"/>
        <v>0.37500001200000005</v>
      </c>
      <c r="AU357" s="2">
        <f t="shared" si="282"/>
        <v>97.763225234299995</v>
      </c>
      <c r="AV357" s="2">
        <f t="shared" si="264"/>
        <v>0.6250000200000001</v>
      </c>
      <c r="AW357" s="2">
        <f t="shared" si="265"/>
        <v>0.31327002000000004</v>
      </c>
      <c r="AX357" s="2">
        <f t="shared" si="266"/>
        <v>0.13125000419999999</v>
      </c>
      <c r="AY357" s="2">
        <f t="shared" si="283"/>
        <v>0.75625002420000009</v>
      </c>
      <c r="AZ357" s="2">
        <f t="shared" si="284"/>
        <v>0.11343750363000001</v>
      </c>
      <c r="BA357" s="2">
        <f t="shared" si="267"/>
        <v>1.2500000400000001E-2</v>
      </c>
      <c r="BB357" s="2">
        <f t="shared" si="268"/>
        <v>0.37500001200000005</v>
      </c>
      <c r="BC357" s="2">
        <f t="shared" si="285"/>
        <v>1.5704575602300002</v>
      </c>
      <c r="BD357" s="2">
        <v>0</v>
      </c>
      <c r="BE357" s="2">
        <f t="shared" si="269"/>
        <v>6.2500002000000006</v>
      </c>
      <c r="BF357" s="2">
        <f t="shared" si="270"/>
        <v>0.20312500649999998</v>
      </c>
      <c r="BG357" s="2">
        <f t="shared" si="286"/>
        <v>0.20312500649999998</v>
      </c>
      <c r="BH357" s="2">
        <f t="shared" si="287"/>
        <v>3.0468750974999997E-2</v>
      </c>
      <c r="BI357" s="2">
        <f t="shared" si="271"/>
        <v>1.2500000400000001E-2</v>
      </c>
      <c r="BJ357" s="2">
        <f t="shared" si="272"/>
        <v>0.37500001200000005</v>
      </c>
      <c r="BK357" s="2">
        <f t="shared" si="288"/>
        <v>6.8710939698750009</v>
      </c>
      <c r="BL357" s="2">
        <f t="shared" si="273"/>
        <v>3117.2999999999997</v>
      </c>
      <c r="BM357" s="2">
        <f t="shared" si="274"/>
        <v>3132.7002000000002</v>
      </c>
      <c r="BN357" s="2">
        <f t="shared" si="289"/>
        <v>6250.0002000000004</v>
      </c>
    </row>
    <row r="358" spans="1:66" x14ac:dyDescent="0.25">
      <c r="A358" s="42">
        <v>355</v>
      </c>
      <c r="B358" s="43">
        <v>42865</v>
      </c>
      <c r="C358" s="42" t="s">
        <v>50</v>
      </c>
      <c r="D358" s="42" t="s">
        <v>207</v>
      </c>
      <c r="E358" s="6">
        <f t="shared" si="275"/>
        <v>-4.5305961562500965</v>
      </c>
      <c r="F358" s="5" t="str">
        <f t="shared" si="290"/>
        <v>Loss</v>
      </c>
      <c r="G358" s="4">
        <f t="shared" si="291"/>
        <v>-2.5500000000000966</v>
      </c>
      <c r="H358" s="46">
        <v>17</v>
      </c>
      <c r="I358" s="42">
        <v>171.75</v>
      </c>
      <c r="N358" s="5">
        <f t="shared" si="292"/>
        <v>17</v>
      </c>
      <c r="O358" s="4">
        <f t="shared" si="293"/>
        <v>171.75</v>
      </c>
      <c r="P358" s="5">
        <f t="shared" si="248"/>
        <v>17</v>
      </c>
      <c r="Q358" s="42">
        <v>171.6</v>
      </c>
      <c r="R358" s="2">
        <f t="shared" si="247"/>
        <v>0</v>
      </c>
      <c r="T358" s="2">
        <f t="shared" si="276"/>
        <v>0</v>
      </c>
      <c r="V358" s="5">
        <f t="shared" si="294"/>
        <v>17</v>
      </c>
      <c r="W358" s="4">
        <f t="shared" si="295"/>
        <v>171.6</v>
      </c>
      <c r="X358" s="14">
        <f t="shared" si="249"/>
        <v>-0.15000000000000568</v>
      </c>
      <c r="Y358" s="5">
        <f t="shared" si="250"/>
        <v>-2.5500000000000966</v>
      </c>
      <c r="Z358" s="2">
        <f t="shared" si="251"/>
        <v>0</v>
      </c>
      <c r="AA358" s="4">
        <f t="shared" si="252"/>
        <v>0</v>
      </c>
      <c r="AB358" s="13">
        <f t="shared" si="253"/>
        <v>1.9805961562499999</v>
      </c>
      <c r="AC358" s="10">
        <f>SUM($E$4:E358)</f>
        <v>-12718.206779757997</v>
      </c>
      <c r="AD358" s="20">
        <f>SUM($AB$4:AB358)</f>
        <v>11156.960279757954</v>
      </c>
      <c r="AF358" s="28">
        <f t="shared" si="254"/>
        <v>0.58369499999999996</v>
      </c>
      <c r="AG358" s="2">
        <f t="shared" si="255"/>
        <v>0.72930000000000006</v>
      </c>
      <c r="AH358" s="2">
        <f t="shared" si="256"/>
        <v>0.18970087499999999</v>
      </c>
      <c r="AI358" s="2">
        <f t="shared" si="277"/>
        <v>0.77339587499999995</v>
      </c>
      <c r="AJ358" s="2">
        <f t="shared" si="278"/>
        <v>0.11600938124999999</v>
      </c>
      <c r="AK358" s="2">
        <f t="shared" si="257"/>
        <v>1.1673899999999999E-2</v>
      </c>
      <c r="AL358" s="2">
        <f t="shared" si="258"/>
        <v>0.350217</v>
      </c>
      <c r="AM358" s="2">
        <f t="shared" si="279"/>
        <v>1.9805961562499999</v>
      </c>
      <c r="AN358" s="2">
        <f t="shared" si="259"/>
        <v>40</v>
      </c>
      <c r="AO358" s="2">
        <f t="shared" si="260"/>
        <v>1.4586000000000001</v>
      </c>
      <c r="AP358" s="2">
        <f t="shared" si="261"/>
        <v>3.0935834999999998</v>
      </c>
      <c r="AQ358" s="2">
        <f t="shared" si="280"/>
        <v>43.093583500000001</v>
      </c>
      <c r="AR358" s="2">
        <f t="shared" si="281"/>
        <v>6.4640375250000002</v>
      </c>
      <c r="AS358" s="2">
        <f t="shared" si="262"/>
        <v>1.1673899999999999E-2</v>
      </c>
      <c r="AT358" s="2">
        <f t="shared" si="263"/>
        <v>0.350217</v>
      </c>
      <c r="AU358" s="2">
        <f t="shared" si="282"/>
        <v>51.378111924999999</v>
      </c>
      <c r="AV358" s="2">
        <f t="shared" si="264"/>
        <v>0.58369499999999996</v>
      </c>
      <c r="AW358" s="2">
        <f t="shared" si="265"/>
        <v>0.29172000000000003</v>
      </c>
      <c r="AX358" s="2">
        <f t="shared" si="266"/>
        <v>0.12257594999999999</v>
      </c>
      <c r="AY358" s="2">
        <f t="shared" si="283"/>
        <v>0.70627094999999995</v>
      </c>
      <c r="AZ358" s="2">
        <f t="shared" si="284"/>
        <v>0.10594064249999999</v>
      </c>
      <c r="BA358" s="2">
        <f t="shared" si="267"/>
        <v>1.1673899999999999E-2</v>
      </c>
      <c r="BB358" s="2">
        <f t="shared" si="268"/>
        <v>0.350217</v>
      </c>
      <c r="BC358" s="2">
        <f t="shared" si="285"/>
        <v>1.4658224924999999</v>
      </c>
      <c r="BD358" s="2">
        <v>0</v>
      </c>
      <c r="BE358" s="2">
        <f t="shared" si="269"/>
        <v>5.8369499999999999</v>
      </c>
      <c r="BF358" s="2">
        <f t="shared" si="270"/>
        <v>0.18970087499999999</v>
      </c>
      <c r="BG358" s="2">
        <f t="shared" si="286"/>
        <v>0.18970087499999999</v>
      </c>
      <c r="BH358" s="2">
        <f t="shared" si="287"/>
        <v>2.8455131249999998E-2</v>
      </c>
      <c r="BI358" s="2">
        <f t="shared" si="271"/>
        <v>1.1673899999999999E-2</v>
      </c>
      <c r="BJ358" s="2">
        <f t="shared" si="272"/>
        <v>0.350217</v>
      </c>
      <c r="BK358" s="2">
        <f t="shared" si="288"/>
        <v>6.4169969062499996</v>
      </c>
      <c r="BL358" s="2">
        <f t="shared" si="273"/>
        <v>2919.75</v>
      </c>
      <c r="BM358" s="2">
        <f t="shared" si="274"/>
        <v>2917.2</v>
      </c>
      <c r="BN358" s="2">
        <f t="shared" si="289"/>
        <v>5836.95</v>
      </c>
    </row>
    <row r="359" spans="1:66" x14ac:dyDescent="0.25">
      <c r="A359" s="42">
        <v>356</v>
      </c>
      <c r="B359" s="43">
        <v>42865</v>
      </c>
      <c r="C359" s="42" t="s">
        <v>50</v>
      </c>
      <c r="D359" s="42" t="s">
        <v>197</v>
      </c>
      <c r="E359" s="6">
        <f t="shared" si="275"/>
        <v>-6.0563555937502507</v>
      </c>
      <c r="F359" s="5" t="str">
        <f t="shared" si="290"/>
        <v>Loss</v>
      </c>
      <c r="G359" s="4">
        <f t="shared" si="291"/>
        <v>-3.8500000000002501</v>
      </c>
      <c r="H359" s="46">
        <v>11</v>
      </c>
      <c r="I359" s="42">
        <v>295.75</v>
      </c>
      <c r="N359" s="5">
        <f t="shared" si="292"/>
        <v>11</v>
      </c>
      <c r="O359" s="4">
        <f t="shared" si="293"/>
        <v>295.75</v>
      </c>
      <c r="P359" s="5">
        <f t="shared" si="248"/>
        <v>11</v>
      </c>
      <c r="Q359" s="42">
        <v>295.39999999999998</v>
      </c>
      <c r="R359" s="2">
        <f t="shared" si="247"/>
        <v>0</v>
      </c>
      <c r="T359" s="2">
        <f t="shared" si="276"/>
        <v>0</v>
      </c>
      <c r="V359" s="5">
        <f t="shared" si="294"/>
        <v>11</v>
      </c>
      <c r="W359" s="4">
        <f t="shared" si="295"/>
        <v>295.39999999999998</v>
      </c>
      <c r="X359" s="14">
        <f t="shared" si="249"/>
        <v>-0.35000000000002274</v>
      </c>
      <c r="Y359" s="5">
        <f t="shared" si="250"/>
        <v>-3.8500000000002501</v>
      </c>
      <c r="Z359" s="2">
        <f t="shared" si="251"/>
        <v>0</v>
      </c>
      <c r="AA359" s="4">
        <f t="shared" si="252"/>
        <v>0</v>
      </c>
      <c r="AB359" s="13">
        <f t="shared" si="253"/>
        <v>2.2063555937500001</v>
      </c>
      <c r="AC359" s="10">
        <f>SUM($E$4:E359)</f>
        <v>-12724.263135351746</v>
      </c>
      <c r="AD359" s="20">
        <f>SUM($AB$4:AB359)</f>
        <v>11159.166635351703</v>
      </c>
      <c r="AF359" s="28">
        <f t="shared" si="254"/>
        <v>0.65026499999999998</v>
      </c>
      <c r="AG359" s="2">
        <f t="shared" si="255"/>
        <v>0.81234999999999991</v>
      </c>
      <c r="AH359" s="2">
        <f t="shared" si="256"/>
        <v>0.21133612499999996</v>
      </c>
      <c r="AI359" s="2">
        <f t="shared" si="277"/>
        <v>0.86160112499999997</v>
      </c>
      <c r="AJ359" s="2">
        <f t="shared" si="278"/>
        <v>0.12924016875</v>
      </c>
      <c r="AK359" s="2">
        <f t="shared" si="257"/>
        <v>1.3005299999999997E-2</v>
      </c>
      <c r="AL359" s="2">
        <f t="shared" si="258"/>
        <v>0.39015899999999998</v>
      </c>
      <c r="AM359" s="2">
        <f t="shared" si="279"/>
        <v>2.2063555937500001</v>
      </c>
      <c r="AN359" s="2">
        <f t="shared" si="259"/>
        <v>40</v>
      </c>
      <c r="AO359" s="2">
        <f t="shared" si="260"/>
        <v>1.6246999999999998</v>
      </c>
      <c r="AP359" s="2">
        <f t="shared" si="261"/>
        <v>3.4464044999999999</v>
      </c>
      <c r="AQ359" s="2">
        <f t="shared" si="280"/>
        <v>43.4464045</v>
      </c>
      <c r="AR359" s="2">
        <f t="shared" si="281"/>
        <v>6.516960675</v>
      </c>
      <c r="AS359" s="2">
        <f t="shared" si="262"/>
        <v>1.3005299999999997E-2</v>
      </c>
      <c r="AT359" s="2">
        <f t="shared" si="263"/>
        <v>0.39015899999999998</v>
      </c>
      <c r="AU359" s="2">
        <f t="shared" si="282"/>
        <v>51.991229474999997</v>
      </c>
      <c r="AV359" s="2">
        <f t="shared" si="264"/>
        <v>0.65026499999999998</v>
      </c>
      <c r="AW359" s="2">
        <f t="shared" si="265"/>
        <v>0.32494000000000001</v>
      </c>
      <c r="AX359" s="2">
        <f t="shared" si="266"/>
        <v>0.13655564999999997</v>
      </c>
      <c r="AY359" s="2">
        <f t="shared" si="283"/>
        <v>0.7868206499999999</v>
      </c>
      <c r="AZ359" s="2">
        <f t="shared" si="284"/>
        <v>0.11802309749999998</v>
      </c>
      <c r="BA359" s="2">
        <f t="shared" si="267"/>
        <v>1.3005299999999997E-2</v>
      </c>
      <c r="BB359" s="2">
        <f t="shared" si="268"/>
        <v>0.39015899999999998</v>
      </c>
      <c r="BC359" s="2">
        <f t="shared" si="285"/>
        <v>1.6329480475</v>
      </c>
      <c r="BD359" s="2">
        <v>0</v>
      </c>
      <c r="BE359" s="2">
        <f t="shared" si="269"/>
        <v>6.50265</v>
      </c>
      <c r="BF359" s="2">
        <f t="shared" si="270"/>
        <v>0.21133612499999996</v>
      </c>
      <c r="BG359" s="2">
        <f t="shared" si="286"/>
        <v>0.21133612499999996</v>
      </c>
      <c r="BH359" s="2">
        <f t="shared" si="287"/>
        <v>3.1700418749999994E-2</v>
      </c>
      <c r="BI359" s="2">
        <f t="shared" si="271"/>
        <v>1.3005299999999997E-2</v>
      </c>
      <c r="BJ359" s="2">
        <f t="shared" si="272"/>
        <v>0.39015899999999998</v>
      </c>
      <c r="BK359" s="2">
        <f t="shared" si="288"/>
        <v>7.1488508437499991</v>
      </c>
      <c r="BL359" s="2">
        <f t="shared" si="273"/>
        <v>3253.25</v>
      </c>
      <c r="BM359" s="2">
        <f t="shared" si="274"/>
        <v>3249.3999999999996</v>
      </c>
      <c r="BN359" s="2">
        <f t="shared" si="289"/>
        <v>6502.65</v>
      </c>
    </row>
    <row r="360" spans="1:66" x14ac:dyDescent="0.25">
      <c r="A360" s="42">
        <v>357</v>
      </c>
      <c r="B360" s="43">
        <v>42865</v>
      </c>
      <c r="C360" s="42" t="s">
        <v>50</v>
      </c>
      <c r="D360" s="42" t="s">
        <v>191</v>
      </c>
      <c r="E360" s="6">
        <f t="shared" si="275"/>
        <v>-4.0950062499998694</v>
      </c>
      <c r="F360" s="5" t="str">
        <f t="shared" si="290"/>
        <v>Loss</v>
      </c>
      <c r="G360" s="4">
        <f t="shared" si="291"/>
        <v>-2.2999999999998693</v>
      </c>
      <c r="H360" s="46">
        <v>23</v>
      </c>
      <c r="I360" s="42">
        <v>115.05</v>
      </c>
      <c r="N360" s="5">
        <f t="shared" si="292"/>
        <v>23</v>
      </c>
      <c r="O360" s="4">
        <f t="shared" si="293"/>
        <v>115.05</v>
      </c>
      <c r="P360" s="5">
        <f t="shared" si="248"/>
        <v>23</v>
      </c>
      <c r="Q360" s="42">
        <v>114.95</v>
      </c>
      <c r="R360" s="2">
        <f t="shared" ref="R360:R423" si="296">J360</f>
        <v>0</v>
      </c>
      <c r="T360" s="2">
        <f t="shared" si="276"/>
        <v>0</v>
      </c>
      <c r="V360" s="5">
        <f t="shared" si="294"/>
        <v>23</v>
      </c>
      <c r="W360" s="4">
        <f t="shared" si="295"/>
        <v>114.95</v>
      </c>
      <c r="X360" s="14">
        <f t="shared" si="249"/>
        <v>-9.9999999999994316E-2</v>
      </c>
      <c r="Y360" s="5">
        <f t="shared" si="250"/>
        <v>-2.2999999999998693</v>
      </c>
      <c r="Z360" s="2">
        <f t="shared" si="251"/>
        <v>0</v>
      </c>
      <c r="AA360" s="4">
        <f t="shared" si="252"/>
        <v>0</v>
      </c>
      <c r="AB360" s="13">
        <f t="shared" si="253"/>
        <v>1.7950062500000001</v>
      </c>
      <c r="AC360" s="10">
        <f>SUM($E$4:E360)</f>
        <v>-12728.358141601746</v>
      </c>
      <c r="AD360" s="20">
        <f>SUM($AB$4:AB360)</f>
        <v>11160.961641601703</v>
      </c>
      <c r="AF360" s="28">
        <f t="shared" si="254"/>
        <v>0.52900000000000003</v>
      </c>
      <c r="AG360" s="2">
        <f t="shared" si="255"/>
        <v>0.66096250000000001</v>
      </c>
      <c r="AH360" s="2">
        <f t="shared" si="256"/>
        <v>0.17192499999999999</v>
      </c>
      <c r="AI360" s="2">
        <f t="shared" si="277"/>
        <v>0.70092500000000002</v>
      </c>
      <c r="AJ360" s="2">
        <f t="shared" si="278"/>
        <v>0.10513875</v>
      </c>
      <c r="AK360" s="2">
        <f t="shared" si="257"/>
        <v>1.0579999999999999E-2</v>
      </c>
      <c r="AL360" s="2">
        <f t="shared" si="258"/>
        <v>0.31740000000000002</v>
      </c>
      <c r="AM360" s="2">
        <f t="shared" si="279"/>
        <v>1.7950062500000001</v>
      </c>
      <c r="AN360" s="2">
        <f t="shared" si="259"/>
        <v>40</v>
      </c>
      <c r="AO360" s="2">
        <f t="shared" si="260"/>
        <v>1.321925</v>
      </c>
      <c r="AP360" s="2">
        <f t="shared" si="261"/>
        <v>2.8037000000000001</v>
      </c>
      <c r="AQ360" s="2">
        <f t="shared" si="280"/>
        <v>42.803699999999999</v>
      </c>
      <c r="AR360" s="2">
        <f t="shared" si="281"/>
        <v>6.4205549999999993</v>
      </c>
      <c r="AS360" s="2">
        <f t="shared" si="262"/>
        <v>1.0579999999999999E-2</v>
      </c>
      <c r="AT360" s="2">
        <f t="shared" si="263"/>
        <v>0.31740000000000002</v>
      </c>
      <c r="AU360" s="2">
        <f t="shared" si="282"/>
        <v>50.874159999999996</v>
      </c>
      <c r="AV360" s="2">
        <f t="shared" si="264"/>
        <v>0.52900000000000003</v>
      </c>
      <c r="AW360" s="2">
        <f t="shared" si="265"/>
        <v>0.26438499999999998</v>
      </c>
      <c r="AX360" s="2">
        <f t="shared" si="266"/>
        <v>0.11108999999999999</v>
      </c>
      <c r="AY360" s="2">
        <f t="shared" si="283"/>
        <v>0.64009000000000005</v>
      </c>
      <c r="AZ360" s="2">
        <f t="shared" si="284"/>
        <v>9.6013500000000002E-2</v>
      </c>
      <c r="BA360" s="2">
        <f t="shared" si="267"/>
        <v>1.0579999999999999E-2</v>
      </c>
      <c r="BB360" s="2">
        <f t="shared" si="268"/>
        <v>0.31740000000000002</v>
      </c>
      <c r="BC360" s="2">
        <f t="shared" si="285"/>
        <v>1.3284685000000001</v>
      </c>
      <c r="BD360" s="2">
        <v>0</v>
      </c>
      <c r="BE360" s="2">
        <f t="shared" si="269"/>
        <v>5.29</v>
      </c>
      <c r="BF360" s="2">
        <f t="shared" si="270"/>
        <v>0.17192499999999999</v>
      </c>
      <c r="BG360" s="2">
        <f t="shared" si="286"/>
        <v>0.17192499999999999</v>
      </c>
      <c r="BH360" s="2">
        <f t="shared" si="287"/>
        <v>2.5788749999999999E-2</v>
      </c>
      <c r="BI360" s="2">
        <f t="shared" si="271"/>
        <v>1.0579999999999999E-2</v>
      </c>
      <c r="BJ360" s="2">
        <f t="shared" si="272"/>
        <v>0.31740000000000002</v>
      </c>
      <c r="BK360" s="2">
        <f t="shared" si="288"/>
        <v>5.8156937500000003</v>
      </c>
      <c r="BL360" s="2">
        <f t="shared" si="273"/>
        <v>2646.15</v>
      </c>
      <c r="BM360" s="2">
        <f t="shared" si="274"/>
        <v>2643.85</v>
      </c>
      <c r="BN360" s="2">
        <f t="shared" si="289"/>
        <v>5290</v>
      </c>
    </row>
    <row r="361" spans="1:66" x14ac:dyDescent="0.25">
      <c r="A361" s="42">
        <v>358</v>
      </c>
      <c r="B361" s="43">
        <v>42865</v>
      </c>
      <c r="C361" s="42" t="s">
        <v>50</v>
      </c>
      <c r="D361" s="42" t="s">
        <v>253</v>
      </c>
      <c r="E361" s="6">
        <f t="shared" si="275"/>
        <v>-2.2585295625000681</v>
      </c>
      <c r="F361" s="5" t="str">
        <f t="shared" si="290"/>
        <v>Loss</v>
      </c>
      <c r="G361" s="4">
        <f t="shared" si="291"/>
        <v>-0.30000000000006821</v>
      </c>
      <c r="H361" s="46">
        <v>6</v>
      </c>
      <c r="I361" s="42">
        <v>480.95</v>
      </c>
      <c r="N361" s="5">
        <f t="shared" si="292"/>
        <v>6</v>
      </c>
      <c r="O361" s="4">
        <f t="shared" si="293"/>
        <v>480.95</v>
      </c>
      <c r="P361" s="5">
        <f t="shared" si="248"/>
        <v>6</v>
      </c>
      <c r="Q361" s="42">
        <v>480.9</v>
      </c>
      <c r="R361" s="2">
        <f t="shared" si="296"/>
        <v>0</v>
      </c>
      <c r="T361" s="2">
        <f t="shared" si="276"/>
        <v>0</v>
      </c>
      <c r="V361" s="5">
        <f t="shared" si="294"/>
        <v>6</v>
      </c>
      <c r="W361" s="4">
        <f t="shared" si="295"/>
        <v>480.9</v>
      </c>
      <c r="X361" s="14">
        <f t="shared" si="249"/>
        <v>-5.0000000000011369E-2</v>
      </c>
      <c r="Y361" s="5">
        <f t="shared" si="250"/>
        <v>-0.30000000000006821</v>
      </c>
      <c r="Z361" s="2">
        <f t="shared" si="251"/>
        <v>0</v>
      </c>
      <c r="AA361" s="4">
        <f t="shared" si="252"/>
        <v>0</v>
      </c>
      <c r="AB361" s="13">
        <f t="shared" si="253"/>
        <v>1.9585295625000001</v>
      </c>
      <c r="AC361" s="10">
        <f>SUM($E$4:E361)</f>
        <v>-12730.616671164245</v>
      </c>
      <c r="AD361" s="20">
        <f>SUM($AB$4:AB361)</f>
        <v>11162.920171164204</v>
      </c>
      <c r="AF361" s="28">
        <f t="shared" si="254"/>
        <v>0.57711000000000001</v>
      </c>
      <c r="AG361" s="2">
        <f t="shared" si="255"/>
        <v>0.72134999999999994</v>
      </c>
      <c r="AH361" s="2">
        <f t="shared" si="256"/>
        <v>0.18756074999999997</v>
      </c>
      <c r="AI361" s="2">
        <f t="shared" si="277"/>
        <v>0.76467074999999995</v>
      </c>
      <c r="AJ361" s="2">
        <f t="shared" si="278"/>
        <v>0.11470061249999999</v>
      </c>
      <c r="AK361" s="2">
        <f t="shared" si="257"/>
        <v>1.1542199999999999E-2</v>
      </c>
      <c r="AL361" s="2">
        <f t="shared" si="258"/>
        <v>0.34626599999999996</v>
      </c>
      <c r="AM361" s="2">
        <f t="shared" si="279"/>
        <v>1.9585295625000001</v>
      </c>
      <c r="AN361" s="2">
        <f t="shared" si="259"/>
        <v>40</v>
      </c>
      <c r="AO361" s="2">
        <f t="shared" si="260"/>
        <v>1.4426999999999999</v>
      </c>
      <c r="AP361" s="2">
        <f t="shared" si="261"/>
        <v>3.0586829999999998</v>
      </c>
      <c r="AQ361" s="2">
        <f t="shared" si="280"/>
        <v>43.058683000000002</v>
      </c>
      <c r="AR361" s="2">
        <f t="shared" si="281"/>
        <v>6.4588024500000003</v>
      </c>
      <c r="AS361" s="2">
        <f t="shared" si="262"/>
        <v>1.1542199999999999E-2</v>
      </c>
      <c r="AT361" s="2">
        <f t="shared" si="263"/>
        <v>0.34626599999999996</v>
      </c>
      <c r="AU361" s="2">
        <f t="shared" si="282"/>
        <v>51.317993650000005</v>
      </c>
      <c r="AV361" s="2">
        <f t="shared" si="264"/>
        <v>0.57711000000000001</v>
      </c>
      <c r="AW361" s="2">
        <f t="shared" si="265"/>
        <v>0.28854000000000002</v>
      </c>
      <c r="AX361" s="2">
        <f t="shared" si="266"/>
        <v>0.12119309999999998</v>
      </c>
      <c r="AY361" s="2">
        <f t="shared" si="283"/>
        <v>0.69830309999999995</v>
      </c>
      <c r="AZ361" s="2">
        <f t="shared" si="284"/>
        <v>0.104745465</v>
      </c>
      <c r="BA361" s="2">
        <f t="shared" si="267"/>
        <v>1.1542199999999999E-2</v>
      </c>
      <c r="BB361" s="2">
        <f t="shared" si="268"/>
        <v>0.34626599999999996</v>
      </c>
      <c r="BC361" s="2">
        <f t="shared" si="285"/>
        <v>1.4493967649999999</v>
      </c>
      <c r="BD361" s="2">
        <v>0</v>
      </c>
      <c r="BE361" s="2">
        <f t="shared" si="269"/>
        <v>5.7710999999999997</v>
      </c>
      <c r="BF361" s="2">
        <f t="shared" si="270"/>
        <v>0.18756074999999997</v>
      </c>
      <c r="BG361" s="2">
        <f t="shared" si="286"/>
        <v>0.18756074999999997</v>
      </c>
      <c r="BH361" s="2">
        <f t="shared" si="287"/>
        <v>2.8134112499999996E-2</v>
      </c>
      <c r="BI361" s="2">
        <f t="shared" si="271"/>
        <v>1.1542199999999999E-2</v>
      </c>
      <c r="BJ361" s="2">
        <f t="shared" si="272"/>
        <v>0.34626599999999996</v>
      </c>
      <c r="BK361" s="2">
        <f t="shared" si="288"/>
        <v>6.3446030625000001</v>
      </c>
      <c r="BL361" s="2">
        <f t="shared" si="273"/>
        <v>2885.7</v>
      </c>
      <c r="BM361" s="2">
        <f t="shared" si="274"/>
        <v>2885.3999999999996</v>
      </c>
      <c r="BN361" s="2">
        <f t="shared" si="289"/>
        <v>5771.0999999999995</v>
      </c>
    </row>
    <row r="362" spans="1:66" x14ac:dyDescent="0.25">
      <c r="A362" s="42">
        <v>359</v>
      </c>
      <c r="B362" s="43">
        <v>42865</v>
      </c>
      <c r="C362" s="42" t="s">
        <v>50</v>
      </c>
      <c r="D362" s="42" t="s">
        <v>254</v>
      </c>
      <c r="E362" s="6">
        <f t="shared" si="275"/>
        <v>-9.1583984375000007</v>
      </c>
      <c r="F362" s="5" t="str">
        <f t="shared" si="290"/>
        <v>Loss</v>
      </c>
      <c r="G362" s="4">
        <f t="shared" si="291"/>
        <v>-7</v>
      </c>
      <c r="H362" s="46">
        <v>1</v>
      </c>
      <c r="I362" s="42">
        <v>1592.35</v>
      </c>
      <c r="J362" s="42">
        <v>1</v>
      </c>
      <c r="K362" s="42">
        <v>1592.4</v>
      </c>
      <c r="N362" s="5">
        <f t="shared" si="292"/>
        <v>2</v>
      </c>
      <c r="O362" s="4">
        <f t="shared" si="293"/>
        <v>1592.375</v>
      </c>
      <c r="P362" s="5">
        <f t="shared" si="248"/>
        <v>1</v>
      </c>
      <c r="Q362" s="42">
        <v>1588.875</v>
      </c>
      <c r="R362" s="2">
        <f t="shared" si="296"/>
        <v>1</v>
      </c>
      <c r="S362" s="42">
        <v>1588.875</v>
      </c>
      <c r="T362" s="2">
        <f t="shared" si="276"/>
        <v>0</v>
      </c>
      <c r="V362" s="5">
        <f t="shared" si="294"/>
        <v>2</v>
      </c>
      <c r="W362" s="4">
        <f t="shared" si="295"/>
        <v>1588.875</v>
      </c>
      <c r="X362" s="14">
        <f t="shared" si="249"/>
        <v>-3.4749999999999091</v>
      </c>
      <c r="Y362" s="5">
        <f t="shared" si="250"/>
        <v>-3.4749999999999091</v>
      </c>
      <c r="Z362" s="2">
        <f t="shared" si="251"/>
        <v>-3.5250000000000909</v>
      </c>
      <c r="AA362" s="4">
        <f t="shared" si="252"/>
        <v>0</v>
      </c>
      <c r="AB362" s="13">
        <f t="shared" si="253"/>
        <v>2.1583984374999998</v>
      </c>
      <c r="AC362" s="10">
        <f>SUM($E$4:E362)</f>
        <v>-12739.775069601745</v>
      </c>
      <c r="AD362" s="20">
        <f>SUM($AB$4:AB362)</f>
        <v>11165.078569601703</v>
      </c>
      <c r="AF362" s="28">
        <f t="shared" si="254"/>
        <v>0.63624999999999998</v>
      </c>
      <c r="AG362" s="2">
        <f t="shared" si="255"/>
        <v>0.79443750000000002</v>
      </c>
      <c r="AH362" s="2">
        <f t="shared" si="256"/>
        <v>0.20678124999999997</v>
      </c>
      <c r="AI362" s="2">
        <f t="shared" si="277"/>
        <v>0.8430312499999999</v>
      </c>
      <c r="AJ362" s="2">
        <f t="shared" si="278"/>
        <v>0.12645468749999997</v>
      </c>
      <c r="AK362" s="2">
        <f t="shared" si="257"/>
        <v>1.2725E-2</v>
      </c>
      <c r="AL362" s="2">
        <f t="shared" si="258"/>
        <v>0.38175000000000003</v>
      </c>
      <c r="AM362" s="2">
        <f t="shared" si="279"/>
        <v>2.1583984374999998</v>
      </c>
      <c r="AN362" s="2">
        <f t="shared" si="259"/>
        <v>80</v>
      </c>
      <c r="AO362" s="2">
        <f t="shared" si="260"/>
        <v>1.588875</v>
      </c>
      <c r="AP362" s="2">
        <f t="shared" si="261"/>
        <v>3.372125</v>
      </c>
      <c r="AQ362" s="2">
        <f t="shared" si="280"/>
        <v>83.372124999999997</v>
      </c>
      <c r="AR362" s="2">
        <f t="shared" si="281"/>
        <v>12.50581875</v>
      </c>
      <c r="AS362" s="2">
        <f t="shared" si="262"/>
        <v>1.2725E-2</v>
      </c>
      <c r="AT362" s="2">
        <f t="shared" si="263"/>
        <v>0.38175000000000003</v>
      </c>
      <c r="AU362" s="2">
        <f t="shared" si="282"/>
        <v>97.861293750000002</v>
      </c>
      <c r="AV362" s="2">
        <f t="shared" si="264"/>
        <v>0.63624999999999998</v>
      </c>
      <c r="AW362" s="2">
        <f t="shared" si="265"/>
        <v>0.31777500000000003</v>
      </c>
      <c r="AX362" s="2">
        <f t="shared" si="266"/>
        <v>0.1336125</v>
      </c>
      <c r="AY362" s="2">
        <f t="shared" si="283"/>
        <v>0.76986250000000001</v>
      </c>
      <c r="AZ362" s="2">
        <f t="shared" si="284"/>
        <v>0.115479375</v>
      </c>
      <c r="BA362" s="2">
        <f t="shared" si="267"/>
        <v>1.2725E-2</v>
      </c>
      <c r="BB362" s="2">
        <f t="shared" si="268"/>
        <v>0.38175000000000003</v>
      </c>
      <c r="BC362" s="2">
        <f t="shared" si="285"/>
        <v>1.5975918750000002</v>
      </c>
      <c r="BD362" s="2">
        <v>0</v>
      </c>
      <c r="BE362" s="2">
        <f t="shared" si="269"/>
        <v>6.3624999999999998</v>
      </c>
      <c r="BF362" s="2">
        <f t="shared" si="270"/>
        <v>0.20678124999999997</v>
      </c>
      <c r="BG362" s="2">
        <f t="shared" si="286"/>
        <v>0.20678124999999997</v>
      </c>
      <c r="BH362" s="2">
        <f t="shared" si="287"/>
        <v>3.1017187499999994E-2</v>
      </c>
      <c r="BI362" s="2">
        <f t="shared" si="271"/>
        <v>1.2725E-2</v>
      </c>
      <c r="BJ362" s="2">
        <f t="shared" si="272"/>
        <v>0.38175000000000003</v>
      </c>
      <c r="BK362" s="2">
        <f t="shared" si="288"/>
        <v>6.9947734374999992</v>
      </c>
      <c r="BL362" s="2">
        <f t="shared" si="273"/>
        <v>3184.75</v>
      </c>
      <c r="BM362" s="2">
        <f t="shared" si="274"/>
        <v>3177.75</v>
      </c>
      <c r="BN362" s="2">
        <f t="shared" si="289"/>
        <v>6362.5</v>
      </c>
    </row>
    <row r="363" spans="1:66" x14ac:dyDescent="0.25">
      <c r="A363" s="42">
        <v>360</v>
      </c>
      <c r="B363" s="43">
        <v>42866</v>
      </c>
      <c r="C363" s="42" t="s">
        <v>50</v>
      </c>
      <c r="D363" s="42" t="s">
        <v>187</v>
      </c>
      <c r="E363" s="6">
        <f t="shared" si="275"/>
        <v>-230.13130480208389</v>
      </c>
      <c r="F363" s="5" t="str">
        <f t="shared" si="290"/>
        <v>Loss</v>
      </c>
      <c r="G363" s="4">
        <f t="shared" si="291"/>
        <v>-213.75000000000054</v>
      </c>
      <c r="H363" s="46">
        <v>19</v>
      </c>
      <c r="I363" s="42">
        <v>124.4</v>
      </c>
      <c r="J363" s="42">
        <v>95</v>
      </c>
      <c r="K363" s="42">
        <v>120.5</v>
      </c>
      <c r="L363" s="42">
        <v>85</v>
      </c>
      <c r="M363" s="44">
        <v>120.75</v>
      </c>
      <c r="N363" s="5">
        <f t="shared" si="292"/>
        <v>199</v>
      </c>
      <c r="O363" s="4">
        <f t="shared" si="293"/>
        <v>121.88333333333333</v>
      </c>
      <c r="P363" s="5">
        <f t="shared" si="248"/>
        <v>19</v>
      </c>
      <c r="Q363" s="42">
        <v>123.9</v>
      </c>
      <c r="R363" s="2">
        <f t="shared" si="296"/>
        <v>95</v>
      </c>
      <c r="S363" s="42">
        <v>118.35</v>
      </c>
      <c r="T363" s="2">
        <f t="shared" si="276"/>
        <v>85</v>
      </c>
      <c r="U363" s="44">
        <v>120.75</v>
      </c>
      <c r="V363" s="5">
        <f t="shared" si="294"/>
        <v>199</v>
      </c>
      <c r="W363" s="4">
        <f t="shared" si="295"/>
        <v>121</v>
      </c>
      <c r="X363" s="14">
        <f t="shared" si="249"/>
        <v>3.4000000000000057</v>
      </c>
      <c r="Y363" s="5">
        <f t="shared" si="250"/>
        <v>-9.5</v>
      </c>
      <c r="Z363" s="2">
        <f t="shared" si="251"/>
        <v>-204.25000000000054</v>
      </c>
      <c r="AA363" s="4">
        <f t="shared" si="252"/>
        <v>0</v>
      </c>
      <c r="AB363" s="13">
        <f t="shared" si="253"/>
        <v>16.381304802083335</v>
      </c>
      <c r="AC363" s="10">
        <f>SUM($E$4:E363)</f>
        <v>-12969.906374403829</v>
      </c>
      <c r="AD363" s="20">
        <f>SUM($AB$4:AB363)</f>
        <v>11181.459874403787</v>
      </c>
      <c r="AF363" s="28">
        <f t="shared" si="254"/>
        <v>4.8333783333333331</v>
      </c>
      <c r="AG363" s="2">
        <f t="shared" si="255"/>
        <v>6.0197500000000002</v>
      </c>
      <c r="AH363" s="2">
        <f t="shared" si="256"/>
        <v>1.5708479583333332</v>
      </c>
      <c r="AI363" s="2">
        <f t="shared" si="277"/>
        <v>6.4042262916666663</v>
      </c>
      <c r="AJ363" s="2">
        <f t="shared" si="278"/>
        <v>0.96063394374999989</v>
      </c>
      <c r="AK363" s="2">
        <f t="shared" si="257"/>
        <v>9.6667566666666663E-2</v>
      </c>
      <c r="AL363" s="2">
        <f t="shared" si="258"/>
        <v>2.9000270000000001</v>
      </c>
      <c r="AM363" s="2">
        <f t="shared" si="279"/>
        <v>16.381304802083335</v>
      </c>
      <c r="AN363" s="2">
        <f t="shared" si="259"/>
        <v>120</v>
      </c>
      <c r="AO363" s="2">
        <f t="shared" si="260"/>
        <v>12.0395</v>
      </c>
      <c r="AP363" s="2">
        <f t="shared" si="261"/>
        <v>25.616905166666665</v>
      </c>
      <c r="AQ363" s="2">
        <f t="shared" si="280"/>
        <v>145.61690516666667</v>
      </c>
      <c r="AR363" s="2">
        <f t="shared" si="281"/>
        <v>21.842535774999998</v>
      </c>
      <c r="AS363" s="2">
        <f t="shared" si="262"/>
        <v>9.6667566666666663E-2</v>
      </c>
      <c r="AT363" s="2">
        <f t="shared" si="263"/>
        <v>2.9000270000000001</v>
      </c>
      <c r="AU363" s="2">
        <f t="shared" si="282"/>
        <v>182.49563550833332</v>
      </c>
      <c r="AV363" s="2">
        <f t="shared" si="264"/>
        <v>4.8333783333333331</v>
      </c>
      <c r="AW363" s="2">
        <f t="shared" si="265"/>
        <v>2.4079000000000002</v>
      </c>
      <c r="AX363" s="2">
        <f t="shared" si="266"/>
        <v>1.01500945</v>
      </c>
      <c r="AY363" s="2">
        <f t="shared" si="283"/>
        <v>5.8483877833333331</v>
      </c>
      <c r="AZ363" s="2">
        <f t="shared" si="284"/>
        <v>0.87725816749999996</v>
      </c>
      <c r="BA363" s="2">
        <f t="shared" si="267"/>
        <v>9.6667566666666663E-2</v>
      </c>
      <c r="BB363" s="2">
        <f t="shared" si="268"/>
        <v>2.9000270000000001</v>
      </c>
      <c r="BC363" s="2">
        <f t="shared" si="285"/>
        <v>12.130240517500001</v>
      </c>
      <c r="BD363" s="2">
        <v>0</v>
      </c>
      <c r="BE363" s="2">
        <f t="shared" si="269"/>
        <v>48.333783333333336</v>
      </c>
      <c r="BF363" s="2">
        <f t="shared" si="270"/>
        <v>1.5708479583333332</v>
      </c>
      <c r="BG363" s="2">
        <f t="shared" si="286"/>
        <v>1.5708479583333332</v>
      </c>
      <c r="BH363" s="2">
        <f t="shared" si="287"/>
        <v>0.23562719374999996</v>
      </c>
      <c r="BI363" s="2">
        <f t="shared" si="271"/>
        <v>9.6667566666666663E-2</v>
      </c>
      <c r="BJ363" s="2">
        <f t="shared" si="272"/>
        <v>2.9000270000000001</v>
      </c>
      <c r="BK363" s="2">
        <f t="shared" si="288"/>
        <v>53.136953052083335</v>
      </c>
      <c r="BL363" s="2">
        <f t="shared" si="273"/>
        <v>24254.783333333333</v>
      </c>
      <c r="BM363" s="2">
        <f t="shared" si="274"/>
        <v>24079</v>
      </c>
      <c r="BN363" s="2">
        <f t="shared" si="289"/>
        <v>48333.783333333333</v>
      </c>
    </row>
    <row r="364" spans="1:66" x14ac:dyDescent="0.25">
      <c r="A364" s="42">
        <v>361</v>
      </c>
      <c r="B364" s="43">
        <v>42866</v>
      </c>
      <c r="C364" s="42" t="s">
        <v>50</v>
      </c>
      <c r="D364" s="42" t="s">
        <v>187</v>
      </c>
      <c r="E364" s="6">
        <f t="shared" si="275"/>
        <v>-28.206652343750001</v>
      </c>
      <c r="F364" s="5" t="str">
        <f t="shared" si="290"/>
        <v>Loss</v>
      </c>
      <c r="G364" s="4">
        <f t="shared" si="291"/>
        <v>-21.25</v>
      </c>
      <c r="H364" s="46">
        <v>85</v>
      </c>
      <c r="I364" s="42">
        <v>120.75</v>
      </c>
      <c r="N364" s="5">
        <f t="shared" si="292"/>
        <v>85</v>
      </c>
      <c r="O364" s="4">
        <f t="shared" si="293"/>
        <v>120.75</v>
      </c>
      <c r="P364" s="5">
        <f t="shared" si="248"/>
        <v>85</v>
      </c>
      <c r="Q364" s="42">
        <v>120.5</v>
      </c>
      <c r="R364" s="2">
        <f t="shared" si="296"/>
        <v>0</v>
      </c>
      <c r="T364" s="2">
        <f t="shared" si="276"/>
        <v>0</v>
      </c>
      <c r="V364" s="5">
        <f t="shared" si="294"/>
        <v>85</v>
      </c>
      <c r="W364" s="4">
        <f t="shared" si="295"/>
        <v>120.5</v>
      </c>
      <c r="X364" s="14">
        <f t="shared" si="249"/>
        <v>-0.25</v>
      </c>
      <c r="Y364" s="5">
        <f t="shared" si="250"/>
        <v>-21.25</v>
      </c>
      <c r="Z364" s="2">
        <f t="shared" si="251"/>
        <v>0</v>
      </c>
      <c r="AA364" s="4">
        <f t="shared" si="252"/>
        <v>0</v>
      </c>
      <c r="AB364" s="13">
        <f t="shared" si="253"/>
        <v>6.956652343750001</v>
      </c>
      <c r="AC364" s="10">
        <f>SUM($E$4:E364)</f>
        <v>-12998.113026747578</v>
      </c>
      <c r="AD364" s="20">
        <f>SUM($AB$4:AB364)</f>
        <v>11188.416526747536</v>
      </c>
      <c r="AF364" s="28">
        <f t="shared" si="254"/>
        <v>2.0506250000000001</v>
      </c>
      <c r="AG364" s="2">
        <f t="shared" si="255"/>
        <v>2.5606250000000004</v>
      </c>
      <c r="AH364" s="2">
        <f t="shared" si="256"/>
        <v>0.66645312499999998</v>
      </c>
      <c r="AI364" s="2">
        <f t="shared" si="277"/>
        <v>2.717078125</v>
      </c>
      <c r="AJ364" s="2">
        <f t="shared" si="278"/>
        <v>0.40756171874999997</v>
      </c>
      <c r="AK364" s="2">
        <f t="shared" si="257"/>
        <v>4.10125E-2</v>
      </c>
      <c r="AL364" s="2">
        <f t="shared" si="258"/>
        <v>1.230375</v>
      </c>
      <c r="AM364" s="2">
        <f t="shared" si="279"/>
        <v>6.956652343750001</v>
      </c>
      <c r="AN364" s="2">
        <f t="shared" si="259"/>
        <v>40</v>
      </c>
      <c r="AO364" s="2">
        <f t="shared" si="260"/>
        <v>5.1212500000000007</v>
      </c>
      <c r="AP364" s="2">
        <f t="shared" si="261"/>
        <v>10.8683125</v>
      </c>
      <c r="AQ364" s="2">
        <f t="shared" si="280"/>
        <v>50.868312500000002</v>
      </c>
      <c r="AR364" s="2">
        <f t="shared" si="281"/>
        <v>7.6302468750000001</v>
      </c>
      <c r="AS364" s="2">
        <f t="shared" si="262"/>
        <v>4.10125E-2</v>
      </c>
      <c r="AT364" s="2">
        <f t="shared" si="263"/>
        <v>1.230375</v>
      </c>
      <c r="AU364" s="2">
        <f t="shared" si="282"/>
        <v>64.891196875000006</v>
      </c>
      <c r="AV364" s="2">
        <f t="shared" si="264"/>
        <v>2.0506250000000001</v>
      </c>
      <c r="AW364" s="2">
        <f t="shared" si="265"/>
        <v>1.0242500000000001</v>
      </c>
      <c r="AX364" s="2">
        <f t="shared" si="266"/>
        <v>0.43063124999999997</v>
      </c>
      <c r="AY364" s="2">
        <f t="shared" si="283"/>
        <v>2.4812562499999999</v>
      </c>
      <c r="AZ364" s="2">
        <f t="shared" si="284"/>
        <v>0.37218843749999997</v>
      </c>
      <c r="BA364" s="2">
        <f t="shared" si="267"/>
        <v>4.10125E-2</v>
      </c>
      <c r="BB364" s="2">
        <f t="shared" si="268"/>
        <v>1.230375</v>
      </c>
      <c r="BC364" s="2">
        <f t="shared" si="285"/>
        <v>5.1490821874999995</v>
      </c>
      <c r="BD364" s="2">
        <v>0</v>
      </c>
      <c r="BE364" s="2">
        <f t="shared" si="269"/>
        <v>20.506250000000001</v>
      </c>
      <c r="BF364" s="2">
        <f t="shared" si="270"/>
        <v>0.66645312499999998</v>
      </c>
      <c r="BG364" s="2">
        <f t="shared" si="286"/>
        <v>0.66645312499999998</v>
      </c>
      <c r="BH364" s="2">
        <f t="shared" si="287"/>
        <v>9.9967968749999997E-2</v>
      </c>
      <c r="BI364" s="2">
        <f t="shared" si="271"/>
        <v>4.10125E-2</v>
      </c>
      <c r="BJ364" s="2">
        <f t="shared" si="272"/>
        <v>1.230375</v>
      </c>
      <c r="BK364" s="2">
        <f t="shared" si="288"/>
        <v>22.544058593750002</v>
      </c>
      <c r="BL364" s="2">
        <f t="shared" si="273"/>
        <v>10263.75</v>
      </c>
      <c r="BM364" s="2">
        <f t="shared" si="274"/>
        <v>10242.5</v>
      </c>
      <c r="BN364" s="2">
        <f t="shared" si="289"/>
        <v>20506.25</v>
      </c>
    </row>
    <row r="365" spans="1:66" x14ac:dyDescent="0.25">
      <c r="A365" s="42">
        <v>362</v>
      </c>
      <c r="B365" s="43">
        <v>42866</v>
      </c>
      <c r="C365" s="42" t="s">
        <v>50</v>
      </c>
      <c r="D365" s="42" t="s">
        <v>187</v>
      </c>
      <c r="E365" s="6">
        <f t="shared" si="275"/>
        <v>56.442733072918202</v>
      </c>
      <c r="F365" s="5" t="str">
        <f t="shared" si="290"/>
        <v>Win</v>
      </c>
      <c r="G365" s="4">
        <f t="shared" si="291"/>
        <v>78.000000000001535</v>
      </c>
      <c r="H365" s="46">
        <v>85</v>
      </c>
      <c r="I365" s="42">
        <v>119.05</v>
      </c>
      <c r="J365" s="42">
        <v>90</v>
      </c>
      <c r="K365" s="42">
        <v>119.55</v>
      </c>
      <c r="L365" s="42">
        <v>90</v>
      </c>
      <c r="M365" s="44">
        <v>120.3</v>
      </c>
      <c r="N365" s="5">
        <f t="shared" si="292"/>
        <v>265</v>
      </c>
      <c r="O365" s="4">
        <f t="shared" si="293"/>
        <v>119.63333333333333</v>
      </c>
      <c r="P365" s="5">
        <f t="shared" si="248"/>
        <v>85</v>
      </c>
      <c r="Q365" s="42">
        <v>120.55</v>
      </c>
      <c r="R365" s="2">
        <f t="shared" si="296"/>
        <v>90</v>
      </c>
      <c r="S365" s="42">
        <v>119.15</v>
      </c>
      <c r="T365" s="2">
        <f t="shared" si="276"/>
        <v>90</v>
      </c>
      <c r="U365" s="44">
        <v>120.15</v>
      </c>
      <c r="V365" s="5">
        <f t="shared" si="294"/>
        <v>265</v>
      </c>
      <c r="W365" s="4">
        <f t="shared" si="295"/>
        <v>119.95</v>
      </c>
      <c r="X365" s="14">
        <f t="shared" si="249"/>
        <v>1.5</v>
      </c>
      <c r="Y365" s="5">
        <f t="shared" si="250"/>
        <v>127.5</v>
      </c>
      <c r="Z365" s="2">
        <f t="shared" si="251"/>
        <v>-35.999999999999233</v>
      </c>
      <c r="AA365" s="4">
        <f t="shared" si="252"/>
        <v>-13.499999999999233</v>
      </c>
      <c r="AB365" s="13">
        <f t="shared" si="253"/>
        <v>21.557266927083333</v>
      </c>
      <c r="AC365" s="10">
        <f>SUM($E$4:E365)</f>
        <v>-12941.670293674661</v>
      </c>
      <c r="AD365" s="20">
        <f>SUM($AB$4:AB365)</f>
        <v>11209.973793674621</v>
      </c>
      <c r="AF365" s="28">
        <f t="shared" si="254"/>
        <v>6.348958333333333</v>
      </c>
      <c r="AG365" s="2">
        <f t="shared" si="255"/>
        <v>7.9466875000000003</v>
      </c>
      <c r="AH365" s="2">
        <f t="shared" si="256"/>
        <v>2.0634114583333329</v>
      </c>
      <c r="AI365" s="2">
        <f t="shared" si="277"/>
        <v>8.4123697916666664</v>
      </c>
      <c r="AJ365" s="2">
        <f t="shared" si="278"/>
        <v>1.2618554687499999</v>
      </c>
      <c r="AK365" s="2">
        <f t="shared" si="257"/>
        <v>0.12697916666666667</v>
      </c>
      <c r="AL365" s="2">
        <f t="shared" si="258"/>
        <v>3.8093749999999997</v>
      </c>
      <c r="AM365" s="2">
        <f t="shared" si="279"/>
        <v>21.557266927083333</v>
      </c>
      <c r="AN365" s="2">
        <f t="shared" si="259"/>
        <v>120</v>
      </c>
      <c r="AO365" s="2">
        <f t="shared" si="260"/>
        <v>15.893375000000001</v>
      </c>
      <c r="AP365" s="2">
        <f t="shared" si="261"/>
        <v>33.649479166666666</v>
      </c>
      <c r="AQ365" s="2">
        <f t="shared" si="280"/>
        <v>153.64947916666665</v>
      </c>
      <c r="AR365" s="2">
        <f t="shared" si="281"/>
        <v>23.047421874999998</v>
      </c>
      <c r="AS365" s="2">
        <f t="shared" si="262"/>
        <v>0.12697916666666667</v>
      </c>
      <c r="AT365" s="2">
        <f t="shared" si="263"/>
        <v>3.8093749999999997</v>
      </c>
      <c r="AU365" s="2">
        <f t="shared" si="282"/>
        <v>196.5266302083333</v>
      </c>
      <c r="AV365" s="2">
        <f t="shared" si="264"/>
        <v>6.348958333333333</v>
      </c>
      <c r="AW365" s="2">
        <f t="shared" si="265"/>
        <v>3.1786750000000006</v>
      </c>
      <c r="AX365" s="2">
        <f t="shared" si="266"/>
        <v>1.3332812499999998</v>
      </c>
      <c r="AY365" s="2">
        <f t="shared" si="283"/>
        <v>7.6822395833333328</v>
      </c>
      <c r="AZ365" s="2">
        <f t="shared" si="284"/>
        <v>1.1523359375</v>
      </c>
      <c r="BA365" s="2">
        <f t="shared" si="267"/>
        <v>0.12697916666666667</v>
      </c>
      <c r="BB365" s="2">
        <f t="shared" si="268"/>
        <v>3.8093749999999997</v>
      </c>
      <c r="BC365" s="2">
        <f t="shared" si="285"/>
        <v>15.949604687499999</v>
      </c>
      <c r="BD365" s="2">
        <v>0</v>
      </c>
      <c r="BE365" s="2">
        <f t="shared" si="269"/>
        <v>63.489583333333329</v>
      </c>
      <c r="BF365" s="2">
        <f t="shared" si="270"/>
        <v>2.0634114583333329</v>
      </c>
      <c r="BG365" s="2">
        <f t="shared" si="286"/>
        <v>2.0634114583333329</v>
      </c>
      <c r="BH365" s="2">
        <f t="shared" si="287"/>
        <v>0.30951171874999994</v>
      </c>
      <c r="BI365" s="2">
        <f t="shared" si="271"/>
        <v>0.12697916666666667</v>
      </c>
      <c r="BJ365" s="2">
        <f t="shared" si="272"/>
        <v>3.8093749999999997</v>
      </c>
      <c r="BK365" s="2">
        <f t="shared" si="288"/>
        <v>69.79886067708334</v>
      </c>
      <c r="BL365" s="2">
        <f t="shared" si="273"/>
        <v>31702.833333333332</v>
      </c>
      <c r="BM365" s="2">
        <f t="shared" si="274"/>
        <v>31786.75</v>
      </c>
      <c r="BN365" s="2">
        <f t="shared" si="289"/>
        <v>63489.583333333328</v>
      </c>
    </row>
    <row r="366" spans="1:66" x14ac:dyDescent="0.25">
      <c r="A366" s="42">
        <v>363</v>
      </c>
      <c r="B366" s="43">
        <v>42866</v>
      </c>
      <c r="C366" s="42" t="s">
        <v>50</v>
      </c>
      <c r="D366" s="42" t="s">
        <v>187</v>
      </c>
      <c r="E366" s="6">
        <f t="shared" si="275"/>
        <v>-29.829214687499999</v>
      </c>
      <c r="F366" s="5" t="str">
        <f t="shared" si="290"/>
        <v>Loss</v>
      </c>
      <c r="G366" s="4">
        <f t="shared" si="291"/>
        <v>-22.5</v>
      </c>
      <c r="H366" s="46">
        <v>90</v>
      </c>
      <c r="I366" s="42">
        <v>120.15</v>
      </c>
      <c r="N366" s="5">
        <f t="shared" si="292"/>
        <v>90</v>
      </c>
      <c r="O366" s="4">
        <f t="shared" si="293"/>
        <v>120.15</v>
      </c>
      <c r="P366" s="5">
        <f t="shared" si="248"/>
        <v>90</v>
      </c>
      <c r="Q366" s="42">
        <v>119.9</v>
      </c>
      <c r="R366" s="2">
        <f t="shared" si="296"/>
        <v>0</v>
      </c>
      <c r="T366" s="2">
        <f t="shared" si="276"/>
        <v>0</v>
      </c>
      <c r="V366" s="5">
        <f t="shared" si="294"/>
        <v>90</v>
      </c>
      <c r="W366" s="4">
        <f t="shared" si="295"/>
        <v>119.9</v>
      </c>
      <c r="X366" s="14">
        <f t="shared" si="249"/>
        <v>-0.25</v>
      </c>
      <c r="Y366" s="5">
        <f t="shared" si="250"/>
        <v>-22.5</v>
      </c>
      <c r="Z366" s="2">
        <f t="shared" si="251"/>
        <v>0</v>
      </c>
      <c r="AA366" s="4">
        <f t="shared" si="252"/>
        <v>0</v>
      </c>
      <c r="AB366" s="13">
        <f t="shared" si="253"/>
        <v>7.3292146875000004</v>
      </c>
      <c r="AC366" s="10">
        <f>SUM($E$4:E366)</f>
        <v>-12971.49950836216</v>
      </c>
      <c r="AD366" s="20">
        <f>SUM($AB$4:AB366)</f>
        <v>11217.30300836212</v>
      </c>
      <c r="AF366" s="28">
        <f t="shared" si="254"/>
        <v>2.16045</v>
      </c>
      <c r="AG366" s="2">
        <f t="shared" si="255"/>
        <v>2.6977500000000001</v>
      </c>
      <c r="AH366" s="2">
        <f t="shared" si="256"/>
        <v>0.70214624999999997</v>
      </c>
      <c r="AI366" s="2">
        <f t="shared" si="277"/>
        <v>2.8625962500000002</v>
      </c>
      <c r="AJ366" s="2">
        <f t="shared" si="278"/>
        <v>0.42938943750000003</v>
      </c>
      <c r="AK366" s="2">
        <f t="shared" si="257"/>
        <v>4.3208999999999997E-2</v>
      </c>
      <c r="AL366" s="2">
        <f t="shared" si="258"/>
        <v>1.29627</v>
      </c>
      <c r="AM366" s="2">
        <f t="shared" si="279"/>
        <v>7.3292146875000004</v>
      </c>
      <c r="AN366" s="2">
        <f t="shared" si="259"/>
        <v>40</v>
      </c>
      <c r="AO366" s="2">
        <f t="shared" si="260"/>
        <v>5.3955000000000002</v>
      </c>
      <c r="AP366" s="2">
        <f t="shared" si="261"/>
        <v>11.450384999999999</v>
      </c>
      <c r="AQ366" s="2">
        <f t="shared" si="280"/>
        <v>51.450384999999997</v>
      </c>
      <c r="AR366" s="2">
        <f t="shared" si="281"/>
        <v>7.7175577499999992</v>
      </c>
      <c r="AS366" s="2">
        <f t="shared" si="262"/>
        <v>4.3208999999999997E-2</v>
      </c>
      <c r="AT366" s="2">
        <f t="shared" si="263"/>
        <v>1.29627</v>
      </c>
      <c r="AU366" s="2">
        <f t="shared" si="282"/>
        <v>65.902921750000004</v>
      </c>
      <c r="AV366" s="2">
        <f t="shared" si="264"/>
        <v>2.16045</v>
      </c>
      <c r="AW366" s="2">
        <f t="shared" si="265"/>
        <v>1.0791000000000002</v>
      </c>
      <c r="AX366" s="2">
        <f t="shared" si="266"/>
        <v>0.4536945</v>
      </c>
      <c r="AY366" s="2">
        <f t="shared" si="283"/>
        <v>2.6141445000000001</v>
      </c>
      <c r="AZ366" s="2">
        <f t="shared" si="284"/>
        <v>0.392121675</v>
      </c>
      <c r="BA366" s="2">
        <f t="shared" si="267"/>
        <v>4.3208999999999997E-2</v>
      </c>
      <c r="BB366" s="2">
        <f t="shared" si="268"/>
        <v>1.29627</v>
      </c>
      <c r="BC366" s="2">
        <f t="shared" si="285"/>
        <v>5.4248451750000006</v>
      </c>
      <c r="BD366" s="2">
        <v>0</v>
      </c>
      <c r="BE366" s="2">
        <f t="shared" si="269"/>
        <v>21.604500000000002</v>
      </c>
      <c r="BF366" s="2">
        <f t="shared" si="270"/>
        <v>0.70214624999999997</v>
      </c>
      <c r="BG366" s="2">
        <f t="shared" si="286"/>
        <v>0.70214624999999997</v>
      </c>
      <c r="BH366" s="2">
        <f t="shared" si="287"/>
        <v>0.10532193749999999</v>
      </c>
      <c r="BI366" s="2">
        <f t="shared" si="271"/>
        <v>4.3208999999999997E-2</v>
      </c>
      <c r="BJ366" s="2">
        <f t="shared" si="272"/>
        <v>1.29627</v>
      </c>
      <c r="BK366" s="2">
        <f t="shared" si="288"/>
        <v>23.751447187500002</v>
      </c>
      <c r="BL366" s="2">
        <f t="shared" si="273"/>
        <v>10813.5</v>
      </c>
      <c r="BM366" s="2">
        <f t="shared" si="274"/>
        <v>10791</v>
      </c>
      <c r="BN366" s="2">
        <f t="shared" si="289"/>
        <v>21604.5</v>
      </c>
    </row>
    <row r="367" spans="1:66" x14ac:dyDescent="0.25">
      <c r="A367" s="42">
        <v>364</v>
      </c>
      <c r="B367" s="43">
        <v>42866</v>
      </c>
      <c r="C367" s="42" t="s">
        <v>50</v>
      </c>
      <c r="D367" s="42" t="s">
        <v>255</v>
      </c>
      <c r="E367" s="6">
        <f t="shared" si="275"/>
        <v>27.10092496875</v>
      </c>
      <c r="F367" s="5" t="str">
        <f t="shared" si="290"/>
        <v>Win</v>
      </c>
      <c r="G367" s="4">
        <f t="shared" si="291"/>
        <v>32.25</v>
      </c>
      <c r="H367" s="46">
        <v>1</v>
      </c>
      <c r="I367" s="42">
        <v>2504.9499999999998</v>
      </c>
      <c r="J367" s="42">
        <v>1</v>
      </c>
      <c r="K367" s="42">
        <v>2514.1</v>
      </c>
      <c r="L367" s="42">
        <v>1</v>
      </c>
      <c r="M367" s="44">
        <v>2545</v>
      </c>
      <c r="N367" s="5">
        <f t="shared" si="292"/>
        <v>3</v>
      </c>
      <c r="O367" s="4">
        <f t="shared" si="293"/>
        <v>2521.35</v>
      </c>
      <c r="P367" s="5">
        <f t="shared" si="248"/>
        <v>1</v>
      </c>
      <c r="Q367" s="42">
        <v>2511.1999999999998</v>
      </c>
      <c r="R367" s="2">
        <f t="shared" si="296"/>
        <v>1</v>
      </c>
      <c r="S367" s="42">
        <v>2541</v>
      </c>
      <c r="T367" s="2">
        <f t="shared" si="276"/>
        <v>1</v>
      </c>
      <c r="U367" s="44">
        <v>2544.1</v>
      </c>
      <c r="V367" s="5">
        <f t="shared" si="294"/>
        <v>3</v>
      </c>
      <c r="W367" s="4">
        <f t="shared" si="295"/>
        <v>2532.1</v>
      </c>
      <c r="X367" s="14">
        <f t="shared" si="249"/>
        <v>39.150000000000091</v>
      </c>
      <c r="Y367" s="5">
        <f t="shared" si="250"/>
        <v>6.25</v>
      </c>
      <c r="Z367" s="2">
        <f t="shared" si="251"/>
        <v>26.900000000000091</v>
      </c>
      <c r="AA367" s="4">
        <f t="shared" si="252"/>
        <v>-0.90000000000009095</v>
      </c>
      <c r="AB367" s="13">
        <f t="shared" si="253"/>
        <v>5.1490750312499998</v>
      </c>
      <c r="AC367" s="10">
        <f>SUM($E$4:E367)</f>
        <v>-12944.398583393409</v>
      </c>
      <c r="AD367" s="20">
        <f>SUM($AB$4:AB367)</f>
        <v>11222.452083393369</v>
      </c>
      <c r="AF367" s="28">
        <f t="shared" si="254"/>
        <v>1.516035</v>
      </c>
      <c r="AG367" s="2">
        <f t="shared" si="255"/>
        <v>1.8990750000000001</v>
      </c>
      <c r="AH367" s="2">
        <f t="shared" si="256"/>
        <v>0.4927113749999999</v>
      </c>
      <c r="AI367" s="2">
        <f t="shared" si="277"/>
        <v>2.0087463749999999</v>
      </c>
      <c r="AJ367" s="2">
        <f t="shared" si="278"/>
        <v>0.30131195624999996</v>
      </c>
      <c r="AK367" s="2">
        <f t="shared" si="257"/>
        <v>3.0320699999999996E-2</v>
      </c>
      <c r="AL367" s="2">
        <f t="shared" si="258"/>
        <v>0.9096209999999999</v>
      </c>
      <c r="AM367" s="2">
        <f t="shared" si="279"/>
        <v>5.1490750312499998</v>
      </c>
      <c r="AN367" s="2">
        <f t="shared" si="259"/>
        <v>120</v>
      </c>
      <c r="AO367" s="2">
        <f t="shared" si="260"/>
        <v>3.7981500000000001</v>
      </c>
      <c r="AP367" s="2">
        <f t="shared" si="261"/>
        <v>8.0349854999999994</v>
      </c>
      <c r="AQ367" s="2">
        <f t="shared" si="280"/>
        <v>128.0349855</v>
      </c>
      <c r="AR367" s="2">
        <f t="shared" si="281"/>
        <v>19.205247825000001</v>
      </c>
      <c r="AS367" s="2">
        <f t="shared" si="262"/>
        <v>3.0320699999999996E-2</v>
      </c>
      <c r="AT367" s="2">
        <f t="shared" si="263"/>
        <v>0.9096209999999999</v>
      </c>
      <c r="AU367" s="2">
        <f t="shared" si="282"/>
        <v>151.97832502499998</v>
      </c>
      <c r="AV367" s="2">
        <f t="shared" si="264"/>
        <v>1.516035</v>
      </c>
      <c r="AW367" s="2">
        <f t="shared" si="265"/>
        <v>0.75963000000000003</v>
      </c>
      <c r="AX367" s="2">
        <f t="shared" si="266"/>
        <v>0.31836734999999994</v>
      </c>
      <c r="AY367" s="2">
        <f t="shared" si="283"/>
        <v>1.83440235</v>
      </c>
      <c r="AZ367" s="2">
        <f t="shared" si="284"/>
        <v>0.27516035249999998</v>
      </c>
      <c r="BA367" s="2">
        <f t="shared" si="267"/>
        <v>3.0320699999999996E-2</v>
      </c>
      <c r="BB367" s="2">
        <f t="shared" si="268"/>
        <v>0.9096209999999999</v>
      </c>
      <c r="BC367" s="2">
        <f t="shared" si="285"/>
        <v>3.8091344024999998</v>
      </c>
      <c r="BD367" s="2">
        <v>0</v>
      </c>
      <c r="BE367" s="2">
        <f t="shared" si="269"/>
        <v>15.160349999999999</v>
      </c>
      <c r="BF367" s="2">
        <f t="shared" si="270"/>
        <v>0.4927113749999999</v>
      </c>
      <c r="BG367" s="2">
        <f t="shared" si="286"/>
        <v>0.4927113749999999</v>
      </c>
      <c r="BH367" s="2">
        <f t="shared" si="287"/>
        <v>7.3906706249999982E-2</v>
      </c>
      <c r="BI367" s="2">
        <f t="shared" si="271"/>
        <v>3.0320699999999996E-2</v>
      </c>
      <c r="BJ367" s="2">
        <f t="shared" si="272"/>
        <v>0.9096209999999999</v>
      </c>
      <c r="BK367" s="2">
        <f t="shared" si="288"/>
        <v>16.666909781250002</v>
      </c>
      <c r="BL367" s="2">
        <f t="shared" si="273"/>
        <v>7564.0499999999993</v>
      </c>
      <c r="BM367" s="2">
        <f t="shared" si="274"/>
        <v>7596.2999999999993</v>
      </c>
      <c r="BN367" s="2">
        <f t="shared" si="289"/>
        <v>15160.349999999999</v>
      </c>
    </row>
    <row r="368" spans="1:66" x14ac:dyDescent="0.25">
      <c r="A368" s="42">
        <v>365</v>
      </c>
      <c r="B368" s="43">
        <v>42866</v>
      </c>
      <c r="C368" s="42" t="s">
        <v>50</v>
      </c>
      <c r="D368" s="42" t="s">
        <v>255</v>
      </c>
      <c r="E368" s="6">
        <f t="shared" si="275"/>
        <v>-50.185794375</v>
      </c>
      <c r="F368" s="5" t="str">
        <f t="shared" si="290"/>
        <v>Loss</v>
      </c>
      <c r="G368" s="4">
        <f t="shared" si="291"/>
        <v>-45</v>
      </c>
      <c r="H368" s="46">
        <v>3</v>
      </c>
      <c r="I368" s="42">
        <v>2557</v>
      </c>
      <c r="N368" s="5">
        <f t="shared" si="292"/>
        <v>3</v>
      </c>
      <c r="O368" s="4">
        <f t="shared" si="293"/>
        <v>2557</v>
      </c>
      <c r="P368" s="5">
        <f t="shared" si="248"/>
        <v>3</v>
      </c>
      <c r="Q368" s="42">
        <v>2542</v>
      </c>
      <c r="R368" s="2">
        <f t="shared" si="296"/>
        <v>0</v>
      </c>
      <c r="T368" s="2">
        <f t="shared" si="276"/>
        <v>0</v>
      </c>
      <c r="V368" s="5">
        <f t="shared" si="294"/>
        <v>3</v>
      </c>
      <c r="W368" s="4">
        <f t="shared" si="295"/>
        <v>2542</v>
      </c>
      <c r="X368" s="14">
        <f t="shared" si="249"/>
        <v>-15</v>
      </c>
      <c r="Y368" s="5">
        <f t="shared" si="250"/>
        <v>-45</v>
      </c>
      <c r="Z368" s="2">
        <f t="shared" si="251"/>
        <v>0</v>
      </c>
      <c r="AA368" s="4">
        <f t="shared" si="252"/>
        <v>0</v>
      </c>
      <c r="AB368" s="13">
        <f t="shared" si="253"/>
        <v>5.1857943749999995</v>
      </c>
      <c r="AC368" s="10">
        <f>SUM($E$4:E368)</f>
        <v>-12994.584377768409</v>
      </c>
      <c r="AD368" s="20">
        <f>SUM($AB$4:AB368)</f>
        <v>11227.637877768369</v>
      </c>
      <c r="AF368" s="28">
        <f t="shared" si="254"/>
        <v>1.5297000000000001</v>
      </c>
      <c r="AG368" s="2">
        <f t="shared" si="255"/>
        <v>1.9065000000000001</v>
      </c>
      <c r="AH368" s="2">
        <f t="shared" si="256"/>
        <v>0.49715249999999994</v>
      </c>
      <c r="AI368" s="2">
        <f t="shared" si="277"/>
        <v>2.0268524999999999</v>
      </c>
      <c r="AJ368" s="2">
        <f t="shared" si="278"/>
        <v>0.304027875</v>
      </c>
      <c r="AK368" s="2">
        <f t="shared" si="257"/>
        <v>3.0594E-2</v>
      </c>
      <c r="AL368" s="2">
        <f t="shared" si="258"/>
        <v>0.91781999999999997</v>
      </c>
      <c r="AM368" s="2">
        <f t="shared" si="279"/>
        <v>5.1857943749999995</v>
      </c>
      <c r="AN368" s="2">
        <f t="shared" si="259"/>
        <v>40</v>
      </c>
      <c r="AO368" s="2">
        <f t="shared" si="260"/>
        <v>3.8130000000000002</v>
      </c>
      <c r="AP368" s="2">
        <f t="shared" si="261"/>
        <v>8.1074099999999998</v>
      </c>
      <c r="AQ368" s="2">
        <f t="shared" si="280"/>
        <v>48.107410000000002</v>
      </c>
      <c r="AR368" s="2">
        <f t="shared" si="281"/>
        <v>7.2161115000000002</v>
      </c>
      <c r="AS368" s="2">
        <f t="shared" si="262"/>
        <v>3.0594E-2</v>
      </c>
      <c r="AT368" s="2">
        <f t="shared" si="263"/>
        <v>0.91781999999999997</v>
      </c>
      <c r="AU368" s="2">
        <f t="shared" si="282"/>
        <v>60.0849355</v>
      </c>
      <c r="AV368" s="2">
        <f t="shared" si="264"/>
        <v>1.5297000000000001</v>
      </c>
      <c r="AW368" s="2">
        <f t="shared" si="265"/>
        <v>0.76260000000000006</v>
      </c>
      <c r="AX368" s="2">
        <f t="shared" si="266"/>
        <v>0.32123699999999999</v>
      </c>
      <c r="AY368" s="2">
        <f t="shared" si="283"/>
        <v>1.8509370000000001</v>
      </c>
      <c r="AZ368" s="2">
        <f t="shared" si="284"/>
        <v>0.27764054999999999</v>
      </c>
      <c r="BA368" s="2">
        <f t="shared" si="267"/>
        <v>3.0594E-2</v>
      </c>
      <c r="BB368" s="2">
        <f t="shared" si="268"/>
        <v>0.91781999999999997</v>
      </c>
      <c r="BC368" s="2">
        <f t="shared" si="285"/>
        <v>3.8395915499999997</v>
      </c>
      <c r="BD368" s="2">
        <v>0</v>
      </c>
      <c r="BE368" s="2">
        <f t="shared" si="269"/>
        <v>15.297000000000001</v>
      </c>
      <c r="BF368" s="2">
        <f t="shared" si="270"/>
        <v>0.49715249999999994</v>
      </c>
      <c r="BG368" s="2">
        <f t="shared" si="286"/>
        <v>0.49715249999999994</v>
      </c>
      <c r="BH368" s="2">
        <f t="shared" si="287"/>
        <v>7.4572874999999983E-2</v>
      </c>
      <c r="BI368" s="2">
        <f t="shared" si="271"/>
        <v>3.0594E-2</v>
      </c>
      <c r="BJ368" s="2">
        <f t="shared" si="272"/>
        <v>0.91781999999999997</v>
      </c>
      <c r="BK368" s="2">
        <f t="shared" si="288"/>
        <v>16.817139375</v>
      </c>
      <c r="BL368" s="2">
        <f t="shared" si="273"/>
        <v>7671</v>
      </c>
      <c r="BM368" s="2">
        <f t="shared" si="274"/>
        <v>7626</v>
      </c>
      <c r="BN368" s="2">
        <f t="shared" si="289"/>
        <v>15297</v>
      </c>
    </row>
    <row r="369" spans="1:66" x14ac:dyDescent="0.25">
      <c r="A369" s="42">
        <v>366</v>
      </c>
      <c r="B369" s="43">
        <v>42866</v>
      </c>
      <c r="C369" s="42" t="s">
        <v>50</v>
      </c>
      <c r="D369" s="42" t="s">
        <v>193</v>
      </c>
      <c r="E369" s="6">
        <f t="shared" si="275"/>
        <v>-13.90644412500008</v>
      </c>
      <c r="F369" s="5" t="str">
        <f t="shared" si="290"/>
        <v>Loss</v>
      </c>
      <c r="G369" s="4">
        <f t="shared" si="291"/>
        <v>-12.60000000000008</v>
      </c>
      <c r="H369" s="46">
        <v>28</v>
      </c>
      <c r="I369" s="42">
        <v>69.05</v>
      </c>
      <c r="N369" s="5">
        <f t="shared" si="292"/>
        <v>28</v>
      </c>
      <c r="O369" s="4">
        <f t="shared" si="293"/>
        <v>69.05</v>
      </c>
      <c r="P369" s="5">
        <f t="shared" si="248"/>
        <v>28</v>
      </c>
      <c r="Q369" s="42">
        <v>68.599999999999994</v>
      </c>
      <c r="R369" s="2">
        <f t="shared" si="296"/>
        <v>0</v>
      </c>
      <c r="T369" s="2">
        <f t="shared" si="276"/>
        <v>0</v>
      </c>
      <c r="V369" s="5">
        <f t="shared" si="294"/>
        <v>28</v>
      </c>
      <c r="W369" s="4">
        <f t="shared" si="295"/>
        <v>68.599999999999994</v>
      </c>
      <c r="X369" s="14">
        <f t="shared" si="249"/>
        <v>-0.45000000000000284</v>
      </c>
      <c r="Y369" s="5">
        <f t="shared" si="250"/>
        <v>-12.60000000000008</v>
      </c>
      <c r="Z369" s="2">
        <f t="shared" si="251"/>
        <v>0</v>
      </c>
      <c r="AA369" s="4">
        <f t="shared" si="252"/>
        <v>0</v>
      </c>
      <c r="AB369" s="13">
        <f t="shared" si="253"/>
        <v>1.3064441250000001</v>
      </c>
      <c r="AC369" s="10">
        <f>SUM($E$4:E369)</f>
        <v>-13008.490821893409</v>
      </c>
      <c r="AD369" s="20">
        <f>SUM($AB$4:AB369)</f>
        <v>11228.94432189337</v>
      </c>
      <c r="AF369" s="28">
        <f t="shared" si="254"/>
        <v>0.38541999999999998</v>
      </c>
      <c r="AG369" s="2">
        <f t="shared" si="255"/>
        <v>0.48019999999999996</v>
      </c>
      <c r="AH369" s="2">
        <f t="shared" si="256"/>
        <v>0.12526149999999997</v>
      </c>
      <c r="AI369" s="2">
        <f t="shared" si="277"/>
        <v>0.51068150000000001</v>
      </c>
      <c r="AJ369" s="2">
        <f t="shared" si="278"/>
        <v>7.6602224999999996E-2</v>
      </c>
      <c r="AK369" s="2">
        <f t="shared" si="257"/>
        <v>7.7083999999999998E-3</v>
      </c>
      <c r="AL369" s="2">
        <f t="shared" si="258"/>
        <v>0.23125199999999999</v>
      </c>
      <c r="AM369" s="2">
        <f t="shared" si="279"/>
        <v>1.3064441250000001</v>
      </c>
      <c r="AN369" s="2">
        <f t="shared" si="259"/>
        <v>40</v>
      </c>
      <c r="AO369" s="2">
        <f t="shared" si="260"/>
        <v>0.96039999999999992</v>
      </c>
      <c r="AP369" s="2">
        <f t="shared" si="261"/>
        <v>2.042726</v>
      </c>
      <c r="AQ369" s="2">
        <f t="shared" si="280"/>
        <v>42.042726000000002</v>
      </c>
      <c r="AR369" s="2">
        <f t="shared" si="281"/>
        <v>6.3064089000000001</v>
      </c>
      <c r="AS369" s="2">
        <f t="shared" si="262"/>
        <v>7.7083999999999998E-3</v>
      </c>
      <c r="AT369" s="2">
        <f t="shared" si="263"/>
        <v>0.23125199999999999</v>
      </c>
      <c r="AU369" s="2">
        <f t="shared" si="282"/>
        <v>49.548495299999999</v>
      </c>
      <c r="AV369" s="2">
        <f t="shared" si="264"/>
        <v>0.38541999999999998</v>
      </c>
      <c r="AW369" s="2">
        <f t="shared" si="265"/>
        <v>0.19207999999999997</v>
      </c>
      <c r="AX369" s="2">
        <f t="shared" si="266"/>
        <v>8.0938199999999988E-2</v>
      </c>
      <c r="AY369" s="2">
        <f t="shared" si="283"/>
        <v>0.46635819999999995</v>
      </c>
      <c r="AZ369" s="2">
        <f t="shared" si="284"/>
        <v>6.9953729999999992E-2</v>
      </c>
      <c r="BA369" s="2">
        <f t="shared" si="267"/>
        <v>7.7083999999999998E-3</v>
      </c>
      <c r="BB369" s="2">
        <f t="shared" si="268"/>
        <v>0.23125199999999999</v>
      </c>
      <c r="BC369" s="2">
        <f t="shared" si="285"/>
        <v>0.96735232999999987</v>
      </c>
      <c r="BD369" s="2">
        <v>0</v>
      </c>
      <c r="BE369" s="2">
        <f t="shared" si="269"/>
        <v>3.8542000000000001</v>
      </c>
      <c r="BF369" s="2">
        <f t="shared" si="270"/>
        <v>0.12526149999999997</v>
      </c>
      <c r="BG369" s="2">
        <f t="shared" si="286"/>
        <v>0.12526149999999997</v>
      </c>
      <c r="BH369" s="2">
        <f t="shared" si="287"/>
        <v>1.8789224999999996E-2</v>
      </c>
      <c r="BI369" s="2">
        <f t="shared" si="271"/>
        <v>7.7083999999999998E-3</v>
      </c>
      <c r="BJ369" s="2">
        <f t="shared" si="272"/>
        <v>0.23125199999999999</v>
      </c>
      <c r="BK369" s="2">
        <f t="shared" si="288"/>
        <v>4.237211125</v>
      </c>
      <c r="BL369" s="2">
        <f t="shared" si="273"/>
        <v>1933.3999999999999</v>
      </c>
      <c r="BM369" s="2">
        <f t="shared" si="274"/>
        <v>1920.7999999999997</v>
      </c>
      <c r="BN369" s="2">
        <f t="shared" si="289"/>
        <v>3854.2</v>
      </c>
    </row>
    <row r="370" spans="1:66" x14ac:dyDescent="0.25">
      <c r="A370" s="42">
        <v>367</v>
      </c>
      <c r="B370" s="43">
        <v>42866</v>
      </c>
      <c r="C370" s="42" t="s">
        <v>50</v>
      </c>
      <c r="D370" s="42" t="s">
        <v>182</v>
      </c>
      <c r="E370" s="6">
        <f t="shared" si="275"/>
        <v>-18.812782968749772</v>
      </c>
      <c r="F370" s="5" t="str">
        <f t="shared" si="290"/>
        <v>Loss</v>
      </c>
      <c r="G370" s="4">
        <f t="shared" si="291"/>
        <v>-12.749999999999773</v>
      </c>
      <c r="H370" s="46">
        <v>5</v>
      </c>
      <c r="I370" s="42">
        <v>595.5</v>
      </c>
      <c r="J370" s="42">
        <v>5</v>
      </c>
      <c r="K370" s="42">
        <v>596.70000000000005</v>
      </c>
      <c r="L370" s="42">
        <v>5</v>
      </c>
      <c r="M370" s="44">
        <v>596</v>
      </c>
      <c r="N370" s="5">
        <f t="shared" si="292"/>
        <v>15</v>
      </c>
      <c r="O370" s="4">
        <f t="shared" si="293"/>
        <v>596.06666666666672</v>
      </c>
      <c r="P370" s="5">
        <f t="shared" si="248"/>
        <v>5</v>
      </c>
      <c r="Q370" s="42">
        <v>594.35</v>
      </c>
      <c r="R370" s="2">
        <f t="shared" si="296"/>
        <v>5</v>
      </c>
      <c r="S370" s="42">
        <v>595.70000000000005</v>
      </c>
      <c r="T370" s="2">
        <f t="shared" si="276"/>
        <v>5</v>
      </c>
      <c r="U370" s="44">
        <v>595.6</v>
      </c>
      <c r="V370" s="5">
        <f t="shared" si="294"/>
        <v>15</v>
      </c>
      <c r="W370" s="4">
        <f t="shared" si="295"/>
        <v>595.2166666666667</v>
      </c>
      <c r="X370" s="14">
        <f t="shared" si="249"/>
        <v>0.20000000000004547</v>
      </c>
      <c r="Y370" s="5">
        <f t="shared" si="250"/>
        <v>-5.7499999999998863</v>
      </c>
      <c r="Z370" s="2">
        <f t="shared" si="251"/>
        <v>-5</v>
      </c>
      <c r="AA370" s="4">
        <f t="shared" si="252"/>
        <v>-1.9999999999998863</v>
      </c>
      <c r="AB370" s="13">
        <f t="shared" si="253"/>
        <v>6.0627829687499997</v>
      </c>
      <c r="AC370" s="10">
        <f>SUM($E$4:E370)</f>
        <v>-13027.303604862158</v>
      </c>
      <c r="AD370" s="20">
        <f>SUM($AB$4:AB370)</f>
        <v>11235.007104862119</v>
      </c>
      <c r="AF370" s="28">
        <f t="shared" si="254"/>
        <v>1.7869250000000001</v>
      </c>
      <c r="AG370" s="2">
        <f t="shared" si="255"/>
        <v>2.2320625000000001</v>
      </c>
      <c r="AH370" s="2">
        <f t="shared" si="256"/>
        <v>0.58075062499999996</v>
      </c>
      <c r="AI370" s="2">
        <f t="shared" si="277"/>
        <v>2.367675625</v>
      </c>
      <c r="AJ370" s="2">
        <f t="shared" si="278"/>
        <v>0.35515134374999996</v>
      </c>
      <c r="AK370" s="2">
        <f t="shared" si="257"/>
        <v>3.5738499999999999E-2</v>
      </c>
      <c r="AL370" s="2">
        <f t="shared" si="258"/>
        <v>1.072155</v>
      </c>
      <c r="AM370" s="2">
        <f t="shared" si="279"/>
        <v>6.0627829687499997</v>
      </c>
      <c r="AN370" s="2">
        <f t="shared" si="259"/>
        <v>120</v>
      </c>
      <c r="AO370" s="2">
        <f t="shared" si="260"/>
        <v>4.4641250000000001</v>
      </c>
      <c r="AP370" s="2">
        <f t="shared" si="261"/>
        <v>9.4707024999999998</v>
      </c>
      <c r="AQ370" s="2">
        <f t="shared" si="280"/>
        <v>129.47070249999999</v>
      </c>
      <c r="AR370" s="2">
        <f t="shared" si="281"/>
        <v>19.420605374999997</v>
      </c>
      <c r="AS370" s="2">
        <f t="shared" si="262"/>
        <v>3.5738499999999999E-2</v>
      </c>
      <c r="AT370" s="2">
        <f t="shared" si="263"/>
        <v>1.072155</v>
      </c>
      <c r="AU370" s="2">
        <f t="shared" si="282"/>
        <v>154.46332637500001</v>
      </c>
      <c r="AV370" s="2">
        <f t="shared" si="264"/>
        <v>1.7869250000000001</v>
      </c>
      <c r="AW370" s="2">
        <f t="shared" si="265"/>
        <v>0.89282500000000009</v>
      </c>
      <c r="AX370" s="2">
        <f t="shared" si="266"/>
        <v>0.37525424999999996</v>
      </c>
      <c r="AY370" s="2">
        <f t="shared" si="283"/>
        <v>2.1621792499999999</v>
      </c>
      <c r="AZ370" s="2">
        <f t="shared" si="284"/>
        <v>0.32432688749999999</v>
      </c>
      <c r="BA370" s="2">
        <f t="shared" si="267"/>
        <v>3.5738499999999999E-2</v>
      </c>
      <c r="BB370" s="2">
        <f t="shared" si="268"/>
        <v>1.072155</v>
      </c>
      <c r="BC370" s="2">
        <f t="shared" si="285"/>
        <v>4.4872246374999998</v>
      </c>
      <c r="BD370" s="2">
        <v>0</v>
      </c>
      <c r="BE370" s="2">
        <f t="shared" si="269"/>
        <v>17.869250000000001</v>
      </c>
      <c r="BF370" s="2">
        <f t="shared" si="270"/>
        <v>0.58075062499999996</v>
      </c>
      <c r="BG370" s="2">
        <f t="shared" si="286"/>
        <v>0.58075062499999996</v>
      </c>
      <c r="BH370" s="2">
        <f t="shared" si="287"/>
        <v>8.7112593749999995E-2</v>
      </c>
      <c r="BI370" s="2">
        <f t="shared" si="271"/>
        <v>3.5738499999999999E-2</v>
      </c>
      <c r="BJ370" s="2">
        <f t="shared" si="272"/>
        <v>1.072155</v>
      </c>
      <c r="BK370" s="2">
        <f t="shared" si="288"/>
        <v>19.64500671875</v>
      </c>
      <c r="BL370" s="2">
        <f t="shared" si="273"/>
        <v>8941</v>
      </c>
      <c r="BM370" s="2">
        <f t="shared" si="274"/>
        <v>8928.25</v>
      </c>
      <c r="BN370" s="2">
        <f t="shared" si="289"/>
        <v>17869.25</v>
      </c>
    </row>
    <row r="371" spans="1:66" x14ac:dyDescent="0.25">
      <c r="A371" s="42">
        <v>368</v>
      </c>
      <c r="B371" s="43">
        <v>42866</v>
      </c>
      <c r="C371" s="42" t="s">
        <v>50</v>
      </c>
      <c r="D371" s="42" t="s">
        <v>181</v>
      </c>
      <c r="E371" s="6">
        <f t="shared" si="275"/>
        <v>42.727949458333448</v>
      </c>
      <c r="F371" s="5" t="str">
        <f t="shared" si="290"/>
        <v>Win</v>
      </c>
      <c r="G371" s="4">
        <f t="shared" si="291"/>
        <v>49.500000000000114</v>
      </c>
      <c r="H371" s="46">
        <v>3</v>
      </c>
      <c r="I371" s="42">
        <v>900.9</v>
      </c>
      <c r="J371" s="42">
        <v>3</v>
      </c>
      <c r="K371" s="42">
        <v>901</v>
      </c>
      <c r="L371" s="42">
        <v>5</v>
      </c>
      <c r="M371" s="44">
        <v>908.15</v>
      </c>
      <c r="N371" s="5">
        <f t="shared" si="292"/>
        <v>11</v>
      </c>
      <c r="O371" s="4">
        <f t="shared" si="293"/>
        <v>903.35</v>
      </c>
      <c r="P371" s="5">
        <f t="shared" si="248"/>
        <v>3</v>
      </c>
      <c r="Q371" s="42">
        <v>906.9</v>
      </c>
      <c r="R371" s="2">
        <f t="shared" si="296"/>
        <v>3</v>
      </c>
      <c r="S371" s="42">
        <v>910.5</v>
      </c>
      <c r="T371" s="2">
        <f t="shared" si="276"/>
        <v>5</v>
      </c>
      <c r="U371" s="44">
        <v>908.75</v>
      </c>
      <c r="V371" s="5">
        <f t="shared" si="294"/>
        <v>11</v>
      </c>
      <c r="W371" s="4">
        <f t="shared" si="295"/>
        <v>908.7166666666667</v>
      </c>
      <c r="X371" s="14">
        <f t="shared" si="249"/>
        <v>9.6000000000000227</v>
      </c>
      <c r="Y371" s="5">
        <f t="shared" si="250"/>
        <v>18</v>
      </c>
      <c r="Z371" s="2">
        <f t="shared" si="251"/>
        <v>28.5</v>
      </c>
      <c r="AA371" s="4">
        <f t="shared" si="252"/>
        <v>3.0000000000001137</v>
      </c>
      <c r="AB371" s="13">
        <f t="shared" si="253"/>
        <v>6.7720505416666672</v>
      </c>
      <c r="AC371" s="10">
        <f>SUM($E$4:E371)</f>
        <v>-12984.575655403825</v>
      </c>
      <c r="AD371" s="20">
        <f>SUM($AB$4:AB371)</f>
        <v>11241.779155403787</v>
      </c>
      <c r="AF371" s="28">
        <f t="shared" si="254"/>
        <v>1.9932733333333335</v>
      </c>
      <c r="AG371" s="2">
        <f t="shared" si="255"/>
        <v>2.4989708333333334</v>
      </c>
      <c r="AH371" s="2">
        <f t="shared" si="256"/>
        <v>0.64781383333333331</v>
      </c>
      <c r="AI371" s="2">
        <f t="shared" si="277"/>
        <v>2.6410871666666669</v>
      </c>
      <c r="AJ371" s="2">
        <f t="shared" si="278"/>
        <v>0.39616307500000003</v>
      </c>
      <c r="AK371" s="2">
        <f t="shared" si="257"/>
        <v>3.9865466666666668E-2</v>
      </c>
      <c r="AL371" s="2">
        <f t="shared" si="258"/>
        <v>1.195964</v>
      </c>
      <c r="AM371" s="2">
        <f t="shared" si="279"/>
        <v>6.7720505416666672</v>
      </c>
      <c r="AN371" s="2">
        <f t="shared" si="259"/>
        <v>120</v>
      </c>
      <c r="AO371" s="2">
        <f t="shared" si="260"/>
        <v>4.9979416666666667</v>
      </c>
      <c r="AP371" s="2">
        <f t="shared" si="261"/>
        <v>10.564348666666666</v>
      </c>
      <c r="AQ371" s="2">
        <f t="shared" si="280"/>
        <v>130.56434866666666</v>
      </c>
      <c r="AR371" s="2">
        <f t="shared" si="281"/>
        <v>19.584652299999998</v>
      </c>
      <c r="AS371" s="2">
        <f t="shared" si="262"/>
        <v>3.9865466666666668E-2</v>
      </c>
      <c r="AT371" s="2">
        <f t="shared" si="263"/>
        <v>1.195964</v>
      </c>
      <c r="AU371" s="2">
        <f t="shared" si="282"/>
        <v>156.38277209999998</v>
      </c>
      <c r="AV371" s="2">
        <f t="shared" si="264"/>
        <v>1.9932733333333335</v>
      </c>
      <c r="AW371" s="2">
        <f t="shared" si="265"/>
        <v>0.99958833333333341</v>
      </c>
      <c r="AX371" s="2">
        <f t="shared" si="266"/>
        <v>0.4185874</v>
      </c>
      <c r="AY371" s="2">
        <f t="shared" si="283"/>
        <v>2.4118607333333335</v>
      </c>
      <c r="AZ371" s="2">
        <f t="shared" si="284"/>
        <v>0.36177911000000001</v>
      </c>
      <c r="BA371" s="2">
        <f t="shared" si="267"/>
        <v>3.9865466666666668E-2</v>
      </c>
      <c r="BB371" s="2">
        <f t="shared" si="268"/>
        <v>1.195964</v>
      </c>
      <c r="BC371" s="2">
        <f t="shared" si="285"/>
        <v>5.0090576433333336</v>
      </c>
      <c r="BD371" s="2">
        <v>0</v>
      </c>
      <c r="BE371" s="2">
        <f t="shared" si="269"/>
        <v>19.932733333333335</v>
      </c>
      <c r="BF371" s="2">
        <f t="shared" si="270"/>
        <v>0.64781383333333331</v>
      </c>
      <c r="BG371" s="2">
        <f t="shared" si="286"/>
        <v>0.64781383333333331</v>
      </c>
      <c r="BH371" s="2">
        <f t="shared" si="287"/>
        <v>9.7172074999999997E-2</v>
      </c>
      <c r="BI371" s="2">
        <f t="shared" si="271"/>
        <v>3.9865466666666668E-2</v>
      </c>
      <c r="BJ371" s="2">
        <f t="shared" si="272"/>
        <v>1.195964</v>
      </c>
      <c r="BK371" s="2">
        <f t="shared" si="288"/>
        <v>21.913548708333334</v>
      </c>
      <c r="BL371" s="2">
        <f t="shared" si="273"/>
        <v>9936.85</v>
      </c>
      <c r="BM371" s="2">
        <f t="shared" si="274"/>
        <v>9995.8833333333332</v>
      </c>
      <c r="BN371" s="2">
        <f t="shared" si="289"/>
        <v>19932.733333333334</v>
      </c>
    </row>
    <row r="372" spans="1:66" x14ac:dyDescent="0.25">
      <c r="A372" s="42">
        <v>369</v>
      </c>
      <c r="B372" s="43">
        <v>42866</v>
      </c>
      <c r="C372" s="42" t="s">
        <v>50</v>
      </c>
      <c r="D372" s="42" t="s">
        <v>181</v>
      </c>
      <c r="E372" s="6">
        <f t="shared" si="275"/>
        <v>-40.545732343749435</v>
      </c>
      <c r="F372" s="5" t="str">
        <f t="shared" si="290"/>
        <v>Loss</v>
      </c>
      <c r="G372" s="4">
        <f t="shared" si="291"/>
        <v>-31.249999999999432</v>
      </c>
      <c r="H372" s="46">
        <v>5</v>
      </c>
      <c r="I372" s="42">
        <v>913.35</v>
      </c>
      <c r="J372" s="42">
        <v>5</v>
      </c>
      <c r="K372" s="42">
        <v>913.5</v>
      </c>
      <c r="L372" s="42">
        <v>5</v>
      </c>
      <c r="M372" s="44">
        <v>916.5</v>
      </c>
      <c r="N372" s="5">
        <f t="shared" si="292"/>
        <v>15</v>
      </c>
      <c r="O372" s="4">
        <f t="shared" si="293"/>
        <v>914.44999999999993</v>
      </c>
      <c r="P372" s="5">
        <f t="shared" si="248"/>
        <v>5</v>
      </c>
      <c r="Q372" s="42">
        <v>911.95</v>
      </c>
      <c r="R372" s="2">
        <f t="shared" si="296"/>
        <v>5</v>
      </c>
      <c r="S372" s="42">
        <v>913.2</v>
      </c>
      <c r="T372" s="2">
        <f t="shared" si="276"/>
        <v>5</v>
      </c>
      <c r="U372" s="44">
        <v>911.95</v>
      </c>
      <c r="V372" s="5">
        <f t="shared" si="294"/>
        <v>15</v>
      </c>
      <c r="W372" s="4">
        <f t="shared" si="295"/>
        <v>912.36666666666679</v>
      </c>
      <c r="X372" s="14">
        <f t="shared" si="249"/>
        <v>-0.14999999999997726</v>
      </c>
      <c r="Y372" s="5">
        <f t="shared" si="250"/>
        <v>-6.9999999999998863</v>
      </c>
      <c r="Z372" s="2">
        <f t="shared" si="251"/>
        <v>-1.4999999999997726</v>
      </c>
      <c r="AA372" s="4">
        <f t="shared" si="252"/>
        <v>-22.749999999999773</v>
      </c>
      <c r="AB372" s="13">
        <f t="shared" si="253"/>
        <v>9.2957323437500001</v>
      </c>
      <c r="AC372" s="10">
        <f>SUM($E$4:E372)</f>
        <v>-13025.121387747575</v>
      </c>
      <c r="AD372" s="20">
        <f>SUM($AB$4:AB372)</f>
        <v>11251.074887747536</v>
      </c>
      <c r="AF372" s="28">
        <f t="shared" si="254"/>
        <v>2.7402250000000001</v>
      </c>
      <c r="AG372" s="2">
        <f t="shared" si="255"/>
        <v>3.4213750000000003</v>
      </c>
      <c r="AH372" s="2">
        <f t="shared" si="256"/>
        <v>0.89057312499999997</v>
      </c>
      <c r="AI372" s="2">
        <f t="shared" si="277"/>
        <v>3.6307981250000001</v>
      </c>
      <c r="AJ372" s="2">
        <f t="shared" si="278"/>
        <v>0.54461971875000004</v>
      </c>
      <c r="AK372" s="2">
        <f t="shared" si="257"/>
        <v>5.4804500000000006E-2</v>
      </c>
      <c r="AL372" s="2">
        <f t="shared" si="258"/>
        <v>1.6441350000000001</v>
      </c>
      <c r="AM372" s="2">
        <f t="shared" si="279"/>
        <v>9.2957323437500001</v>
      </c>
      <c r="AN372" s="2">
        <f t="shared" si="259"/>
        <v>120</v>
      </c>
      <c r="AO372" s="2">
        <f t="shared" si="260"/>
        <v>6.8427500000000006</v>
      </c>
      <c r="AP372" s="2">
        <f t="shared" si="261"/>
        <v>14.523192499999999</v>
      </c>
      <c r="AQ372" s="2">
        <f t="shared" si="280"/>
        <v>134.52319249999999</v>
      </c>
      <c r="AR372" s="2">
        <f t="shared" si="281"/>
        <v>20.178478875</v>
      </c>
      <c r="AS372" s="2">
        <f t="shared" si="262"/>
        <v>5.4804500000000006E-2</v>
      </c>
      <c r="AT372" s="2">
        <f t="shared" si="263"/>
        <v>1.6441350000000001</v>
      </c>
      <c r="AU372" s="2">
        <f t="shared" si="282"/>
        <v>163.24336087499998</v>
      </c>
      <c r="AV372" s="2">
        <f t="shared" si="264"/>
        <v>2.7402250000000001</v>
      </c>
      <c r="AW372" s="2">
        <f t="shared" si="265"/>
        <v>1.3685500000000002</v>
      </c>
      <c r="AX372" s="2">
        <f t="shared" si="266"/>
        <v>0.57544724999999997</v>
      </c>
      <c r="AY372" s="2">
        <f t="shared" si="283"/>
        <v>3.31567225</v>
      </c>
      <c r="AZ372" s="2">
        <f t="shared" si="284"/>
        <v>0.49735083749999998</v>
      </c>
      <c r="BA372" s="2">
        <f t="shared" si="267"/>
        <v>5.4804500000000006E-2</v>
      </c>
      <c r="BB372" s="2">
        <f t="shared" si="268"/>
        <v>1.6441350000000001</v>
      </c>
      <c r="BC372" s="2">
        <f t="shared" si="285"/>
        <v>6.8805125875000011</v>
      </c>
      <c r="BD372" s="2">
        <v>0</v>
      </c>
      <c r="BE372" s="2">
        <f t="shared" si="269"/>
        <v>27.402250000000002</v>
      </c>
      <c r="BF372" s="2">
        <f t="shared" si="270"/>
        <v>0.89057312499999997</v>
      </c>
      <c r="BG372" s="2">
        <f t="shared" si="286"/>
        <v>0.89057312499999997</v>
      </c>
      <c r="BH372" s="2">
        <f t="shared" si="287"/>
        <v>0.13358596874999998</v>
      </c>
      <c r="BI372" s="2">
        <f t="shared" si="271"/>
        <v>5.4804500000000006E-2</v>
      </c>
      <c r="BJ372" s="2">
        <f t="shared" si="272"/>
        <v>1.6441350000000001</v>
      </c>
      <c r="BK372" s="2">
        <f t="shared" si="288"/>
        <v>30.125348593750001</v>
      </c>
      <c r="BL372" s="2">
        <f t="shared" si="273"/>
        <v>13716.749999999998</v>
      </c>
      <c r="BM372" s="2">
        <f t="shared" si="274"/>
        <v>13685.500000000002</v>
      </c>
      <c r="BN372" s="2">
        <f t="shared" si="289"/>
        <v>27402.25</v>
      </c>
    </row>
    <row r="373" spans="1:66" x14ac:dyDescent="0.25">
      <c r="A373" s="42">
        <v>370</v>
      </c>
      <c r="B373" s="43">
        <v>42866</v>
      </c>
      <c r="C373" s="42" t="s">
        <v>50</v>
      </c>
      <c r="D373" s="42" t="s">
        <v>181</v>
      </c>
      <c r="E373" s="6">
        <f t="shared" si="275"/>
        <v>-12.789774687500227</v>
      </c>
      <c r="F373" s="5" t="str">
        <f t="shared" si="290"/>
        <v>Loss</v>
      </c>
      <c r="G373" s="4">
        <f t="shared" si="291"/>
        <v>-3.5000000000002274</v>
      </c>
      <c r="H373" s="46">
        <v>10</v>
      </c>
      <c r="I373" s="42">
        <v>912.5</v>
      </c>
      <c r="J373" s="42">
        <v>5</v>
      </c>
      <c r="K373" s="42">
        <v>913.2</v>
      </c>
      <c r="N373" s="5">
        <f t="shared" si="292"/>
        <v>15</v>
      </c>
      <c r="O373" s="4">
        <f t="shared" si="293"/>
        <v>912.85</v>
      </c>
      <c r="P373" s="5">
        <f t="shared" si="248"/>
        <v>10</v>
      </c>
      <c r="Q373" s="42">
        <v>913</v>
      </c>
      <c r="R373" s="2">
        <f t="shared" si="296"/>
        <v>5</v>
      </c>
      <c r="S373" s="42">
        <v>911.5</v>
      </c>
      <c r="T373" s="2">
        <f t="shared" si="276"/>
        <v>0</v>
      </c>
      <c r="V373" s="5">
        <f t="shared" si="294"/>
        <v>15</v>
      </c>
      <c r="W373" s="4">
        <f t="shared" si="295"/>
        <v>912.25</v>
      </c>
      <c r="X373" s="14">
        <f t="shared" si="249"/>
        <v>0.5</v>
      </c>
      <c r="Y373" s="5">
        <f t="shared" si="250"/>
        <v>5</v>
      </c>
      <c r="Z373" s="2">
        <f t="shared" si="251"/>
        <v>-8.5000000000002274</v>
      </c>
      <c r="AA373" s="4">
        <f t="shared" si="252"/>
        <v>0</v>
      </c>
      <c r="AB373" s="13">
        <f t="shared" si="253"/>
        <v>9.2897746874999996</v>
      </c>
      <c r="AC373" s="10">
        <f>SUM($E$4:E373)</f>
        <v>-13037.911162435075</v>
      </c>
      <c r="AD373" s="20">
        <f>SUM($AB$4:AB373)</f>
        <v>11260.364662435037</v>
      </c>
      <c r="AF373" s="28">
        <f t="shared" si="254"/>
        <v>2.7376499999999999</v>
      </c>
      <c r="AG373" s="2">
        <f t="shared" si="255"/>
        <v>3.4209375</v>
      </c>
      <c r="AH373" s="2">
        <f t="shared" si="256"/>
        <v>0.8897362499999999</v>
      </c>
      <c r="AI373" s="2">
        <f t="shared" si="277"/>
        <v>3.6273862499999998</v>
      </c>
      <c r="AJ373" s="2">
        <f t="shared" si="278"/>
        <v>0.54410793749999997</v>
      </c>
      <c r="AK373" s="2">
        <f t="shared" si="257"/>
        <v>5.4752999999999996E-2</v>
      </c>
      <c r="AL373" s="2">
        <f t="shared" si="258"/>
        <v>1.64259</v>
      </c>
      <c r="AM373" s="2">
        <f t="shared" si="279"/>
        <v>9.2897746874999996</v>
      </c>
      <c r="AN373" s="2">
        <f t="shared" si="259"/>
        <v>80</v>
      </c>
      <c r="AO373" s="2">
        <f t="shared" si="260"/>
        <v>6.8418749999999999</v>
      </c>
      <c r="AP373" s="2">
        <f t="shared" si="261"/>
        <v>14.509544999999999</v>
      </c>
      <c r="AQ373" s="2">
        <f t="shared" si="280"/>
        <v>94.509545000000003</v>
      </c>
      <c r="AR373" s="2">
        <f t="shared" si="281"/>
        <v>14.176431750000001</v>
      </c>
      <c r="AS373" s="2">
        <f t="shared" si="262"/>
        <v>5.4752999999999996E-2</v>
      </c>
      <c r="AT373" s="2">
        <f t="shared" si="263"/>
        <v>1.64259</v>
      </c>
      <c r="AU373" s="2">
        <f t="shared" si="282"/>
        <v>117.22519475000001</v>
      </c>
      <c r="AV373" s="2">
        <f t="shared" si="264"/>
        <v>2.7376499999999999</v>
      </c>
      <c r="AW373" s="2">
        <f t="shared" si="265"/>
        <v>1.3683750000000001</v>
      </c>
      <c r="AX373" s="2">
        <f t="shared" si="266"/>
        <v>0.57490649999999999</v>
      </c>
      <c r="AY373" s="2">
        <f t="shared" si="283"/>
        <v>3.3125564999999999</v>
      </c>
      <c r="AZ373" s="2">
        <f t="shared" si="284"/>
        <v>0.49688347499999996</v>
      </c>
      <c r="BA373" s="2">
        <f t="shared" si="267"/>
        <v>5.4752999999999996E-2</v>
      </c>
      <c r="BB373" s="2">
        <f t="shared" si="268"/>
        <v>1.64259</v>
      </c>
      <c r="BC373" s="2">
        <f t="shared" si="285"/>
        <v>6.8751579749999996</v>
      </c>
      <c r="BD373" s="2">
        <v>0</v>
      </c>
      <c r="BE373" s="2">
        <f t="shared" si="269"/>
        <v>27.3765</v>
      </c>
      <c r="BF373" s="2">
        <f t="shared" si="270"/>
        <v>0.8897362499999999</v>
      </c>
      <c r="BG373" s="2">
        <f t="shared" si="286"/>
        <v>0.8897362499999999</v>
      </c>
      <c r="BH373" s="2">
        <f t="shared" si="287"/>
        <v>0.13346043749999997</v>
      </c>
      <c r="BI373" s="2">
        <f t="shared" si="271"/>
        <v>5.4752999999999996E-2</v>
      </c>
      <c r="BJ373" s="2">
        <f t="shared" si="272"/>
        <v>1.64259</v>
      </c>
      <c r="BK373" s="2">
        <f t="shared" si="288"/>
        <v>30.097039687499997</v>
      </c>
      <c r="BL373" s="2">
        <f t="shared" si="273"/>
        <v>13692.75</v>
      </c>
      <c r="BM373" s="2">
        <f t="shared" si="274"/>
        <v>13683.75</v>
      </c>
      <c r="BN373" s="2">
        <f t="shared" si="289"/>
        <v>27376.5</v>
      </c>
    </row>
    <row r="374" spans="1:66" x14ac:dyDescent="0.25">
      <c r="A374" s="42">
        <v>371</v>
      </c>
      <c r="B374" s="43">
        <v>42866</v>
      </c>
      <c r="C374" s="42" t="s">
        <v>50</v>
      </c>
      <c r="D374" s="42" t="s">
        <v>181</v>
      </c>
      <c r="E374" s="6">
        <f t="shared" si="275"/>
        <v>-22.042105781250342</v>
      </c>
      <c r="F374" s="5" t="str">
        <f t="shared" si="290"/>
        <v>Loss</v>
      </c>
      <c r="G374" s="4">
        <f t="shared" si="291"/>
        <v>-12.750000000000341</v>
      </c>
      <c r="H374" s="46">
        <v>15</v>
      </c>
      <c r="I374" s="42">
        <v>913.25</v>
      </c>
      <c r="N374" s="5">
        <f t="shared" si="292"/>
        <v>15</v>
      </c>
      <c r="O374" s="4">
        <f t="shared" si="293"/>
        <v>913.25</v>
      </c>
      <c r="P374" s="5">
        <f t="shared" si="248"/>
        <v>15</v>
      </c>
      <c r="Q374" s="42">
        <v>912.4</v>
      </c>
      <c r="R374" s="2">
        <f t="shared" si="296"/>
        <v>0</v>
      </c>
      <c r="T374" s="2">
        <f t="shared" si="276"/>
        <v>0</v>
      </c>
      <c r="V374" s="5">
        <f t="shared" si="294"/>
        <v>15</v>
      </c>
      <c r="W374" s="4">
        <f t="shared" si="295"/>
        <v>912.4</v>
      </c>
      <c r="X374" s="14">
        <f t="shared" si="249"/>
        <v>-0.85000000000002274</v>
      </c>
      <c r="Y374" s="5">
        <f t="shared" si="250"/>
        <v>-12.750000000000341</v>
      </c>
      <c r="Z374" s="2">
        <f t="shared" si="251"/>
        <v>0</v>
      </c>
      <c r="AA374" s="4">
        <f t="shared" si="252"/>
        <v>0</v>
      </c>
      <c r="AB374" s="13">
        <f t="shared" si="253"/>
        <v>9.292105781250001</v>
      </c>
      <c r="AC374" s="10">
        <f>SUM($E$4:E374)</f>
        <v>-13059.953268216326</v>
      </c>
      <c r="AD374" s="20">
        <f>SUM($AB$4:AB374)</f>
        <v>11269.656768216286</v>
      </c>
      <c r="AF374" s="28">
        <f t="shared" si="254"/>
        <v>2.7384750000000002</v>
      </c>
      <c r="AG374" s="2">
        <f t="shared" si="255"/>
        <v>3.4215</v>
      </c>
      <c r="AH374" s="2">
        <f t="shared" si="256"/>
        <v>0.89000437499999996</v>
      </c>
      <c r="AI374" s="2">
        <f t="shared" si="277"/>
        <v>3.6284793750000004</v>
      </c>
      <c r="AJ374" s="2">
        <f t="shared" si="278"/>
        <v>0.54427190624999999</v>
      </c>
      <c r="AK374" s="2">
        <f t="shared" si="257"/>
        <v>5.4769500000000006E-2</v>
      </c>
      <c r="AL374" s="2">
        <f t="shared" si="258"/>
        <v>1.6430850000000001</v>
      </c>
      <c r="AM374" s="2">
        <f t="shared" si="279"/>
        <v>9.292105781250001</v>
      </c>
      <c r="AN374" s="2">
        <f t="shared" si="259"/>
        <v>40</v>
      </c>
      <c r="AO374" s="2">
        <f t="shared" si="260"/>
        <v>6.843</v>
      </c>
      <c r="AP374" s="2">
        <f t="shared" si="261"/>
        <v>14.5139175</v>
      </c>
      <c r="AQ374" s="2">
        <f t="shared" si="280"/>
        <v>54.513917499999998</v>
      </c>
      <c r="AR374" s="2">
        <f t="shared" si="281"/>
        <v>8.1770876249999986</v>
      </c>
      <c r="AS374" s="2">
        <f t="shared" si="262"/>
        <v>5.4769500000000006E-2</v>
      </c>
      <c r="AT374" s="2">
        <f t="shared" si="263"/>
        <v>1.6430850000000001</v>
      </c>
      <c r="AU374" s="2">
        <f t="shared" si="282"/>
        <v>71.231859624999998</v>
      </c>
      <c r="AV374" s="2">
        <f t="shared" si="264"/>
        <v>2.7384750000000002</v>
      </c>
      <c r="AW374" s="2">
        <f t="shared" si="265"/>
        <v>1.3686</v>
      </c>
      <c r="AX374" s="2">
        <f t="shared" si="266"/>
        <v>0.57507975</v>
      </c>
      <c r="AY374" s="2">
        <f t="shared" si="283"/>
        <v>3.3135547500000002</v>
      </c>
      <c r="AZ374" s="2">
        <f t="shared" si="284"/>
        <v>0.49703321249999999</v>
      </c>
      <c r="BA374" s="2">
        <f t="shared" si="267"/>
        <v>5.4769500000000006E-2</v>
      </c>
      <c r="BB374" s="2">
        <f t="shared" si="268"/>
        <v>1.6430850000000001</v>
      </c>
      <c r="BC374" s="2">
        <f t="shared" si="285"/>
        <v>6.8770424625000004</v>
      </c>
      <c r="BD374" s="2">
        <v>0</v>
      </c>
      <c r="BE374" s="2">
        <f t="shared" si="269"/>
        <v>27.38475</v>
      </c>
      <c r="BF374" s="2">
        <f t="shared" si="270"/>
        <v>0.89000437499999996</v>
      </c>
      <c r="BG374" s="2">
        <f t="shared" si="286"/>
        <v>0.89000437499999996</v>
      </c>
      <c r="BH374" s="2">
        <f t="shared" si="287"/>
        <v>0.13350065624999999</v>
      </c>
      <c r="BI374" s="2">
        <f t="shared" si="271"/>
        <v>5.4769500000000006E-2</v>
      </c>
      <c r="BJ374" s="2">
        <f t="shared" si="272"/>
        <v>1.6430850000000001</v>
      </c>
      <c r="BK374" s="2">
        <f t="shared" si="288"/>
        <v>30.106109531249999</v>
      </c>
      <c r="BL374" s="2">
        <f t="shared" si="273"/>
        <v>13698.75</v>
      </c>
      <c r="BM374" s="2">
        <f t="shared" si="274"/>
        <v>13686</v>
      </c>
      <c r="BN374" s="2">
        <f t="shared" si="289"/>
        <v>27384.75</v>
      </c>
    </row>
    <row r="375" spans="1:66" x14ac:dyDescent="0.25">
      <c r="A375" s="42">
        <v>372</v>
      </c>
      <c r="B375" s="43">
        <v>42866</v>
      </c>
      <c r="C375" s="42" t="s">
        <v>50</v>
      </c>
      <c r="D375" s="42" t="s">
        <v>173</v>
      </c>
      <c r="E375" s="6">
        <f t="shared" si="275"/>
        <v>-38.64614118749968</v>
      </c>
      <c r="F375" s="5" t="str">
        <f t="shared" si="290"/>
        <v>Loss</v>
      </c>
      <c r="G375" s="4">
        <f t="shared" si="291"/>
        <v>-33.599999999999682</v>
      </c>
      <c r="H375" s="46">
        <v>7</v>
      </c>
      <c r="I375" s="42">
        <v>354.4</v>
      </c>
      <c r="J375" s="42">
        <v>7</v>
      </c>
      <c r="K375" s="42">
        <v>353.05</v>
      </c>
      <c r="L375" s="42">
        <v>7</v>
      </c>
      <c r="M375" s="44">
        <v>357.9</v>
      </c>
      <c r="N375" s="5">
        <f t="shared" si="292"/>
        <v>21</v>
      </c>
      <c r="O375" s="4">
        <f t="shared" si="293"/>
        <v>355.11666666666662</v>
      </c>
      <c r="P375" s="5">
        <f t="shared" si="248"/>
        <v>7</v>
      </c>
      <c r="Q375" s="42">
        <v>352.5</v>
      </c>
      <c r="R375" s="2">
        <f t="shared" si="296"/>
        <v>7</v>
      </c>
      <c r="S375" s="42">
        <v>351.95</v>
      </c>
      <c r="T375" s="2">
        <f t="shared" si="276"/>
        <v>7</v>
      </c>
      <c r="U375" s="44">
        <v>356.1</v>
      </c>
      <c r="V375" s="5">
        <f t="shared" si="294"/>
        <v>21</v>
      </c>
      <c r="W375" s="4">
        <f t="shared" si="295"/>
        <v>353.51666666666671</v>
      </c>
      <c r="X375" s="14">
        <f t="shared" si="249"/>
        <v>3.0500000000000114</v>
      </c>
      <c r="Y375" s="5">
        <f t="shared" si="250"/>
        <v>-13.299999999999841</v>
      </c>
      <c r="Z375" s="2">
        <f t="shared" si="251"/>
        <v>-7.7000000000001592</v>
      </c>
      <c r="AA375" s="4">
        <f t="shared" si="252"/>
        <v>-12.599999999999682</v>
      </c>
      <c r="AB375" s="13">
        <f t="shared" si="253"/>
        <v>5.0461411875</v>
      </c>
      <c r="AC375" s="10">
        <f>SUM($E$4:E375)</f>
        <v>-13098.599409403825</v>
      </c>
      <c r="AD375" s="20">
        <f>SUM($AB$4:AB375)</f>
        <v>11274.702909403786</v>
      </c>
      <c r="AF375" s="28">
        <f t="shared" si="254"/>
        <v>1.48813</v>
      </c>
      <c r="AG375" s="2">
        <f t="shared" si="255"/>
        <v>1.8559625000000004</v>
      </c>
      <c r="AH375" s="2">
        <f t="shared" si="256"/>
        <v>0.48364224999999994</v>
      </c>
      <c r="AI375" s="2">
        <f t="shared" si="277"/>
        <v>1.9717722499999999</v>
      </c>
      <c r="AJ375" s="2">
        <f t="shared" si="278"/>
        <v>0.29576583749999996</v>
      </c>
      <c r="AK375" s="2">
        <f t="shared" si="257"/>
        <v>2.9762599999999997E-2</v>
      </c>
      <c r="AL375" s="2">
        <f t="shared" si="258"/>
        <v>0.89287799999999995</v>
      </c>
      <c r="AM375" s="2">
        <f t="shared" si="279"/>
        <v>5.0461411875</v>
      </c>
      <c r="AN375" s="2">
        <f t="shared" si="259"/>
        <v>120</v>
      </c>
      <c r="AO375" s="2">
        <f t="shared" si="260"/>
        <v>3.7119250000000008</v>
      </c>
      <c r="AP375" s="2">
        <f t="shared" si="261"/>
        <v>7.8870889999999996</v>
      </c>
      <c r="AQ375" s="2">
        <f t="shared" si="280"/>
        <v>127.887089</v>
      </c>
      <c r="AR375" s="2">
        <f t="shared" si="281"/>
        <v>19.183063350000001</v>
      </c>
      <c r="AS375" s="2">
        <f t="shared" si="262"/>
        <v>2.9762599999999997E-2</v>
      </c>
      <c r="AT375" s="2">
        <f t="shared" si="263"/>
        <v>0.89287799999999995</v>
      </c>
      <c r="AU375" s="2">
        <f t="shared" si="282"/>
        <v>151.70471795</v>
      </c>
      <c r="AV375" s="2">
        <f t="shared" si="264"/>
        <v>1.48813</v>
      </c>
      <c r="AW375" s="2">
        <f t="shared" si="265"/>
        <v>0.74238500000000018</v>
      </c>
      <c r="AX375" s="2">
        <f t="shared" si="266"/>
        <v>0.31250729999999999</v>
      </c>
      <c r="AY375" s="2">
        <f t="shared" si="283"/>
        <v>1.8006373</v>
      </c>
      <c r="AZ375" s="2">
        <f t="shared" si="284"/>
        <v>0.27009559499999997</v>
      </c>
      <c r="BA375" s="2">
        <f t="shared" si="267"/>
        <v>2.9762599999999997E-2</v>
      </c>
      <c r="BB375" s="2">
        <f t="shared" si="268"/>
        <v>0.89287799999999995</v>
      </c>
      <c r="BC375" s="2">
        <f t="shared" si="285"/>
        <v>3.7357584950000002</v>
      </c>
      <c r="BD375" s="2">
        <v>0</v>
      </c>
      <c r="BE375" s="2">
        <f t="shared" si="269"/>
        <v>14.8813</v>
      </c>
      <c r="BF375" s="2">
        <f t="shared" si="270"/>
        <v>0.48364224999999994</v>
      </c>
      <c r="BG375" s="2">
        <f t="shared" si="286"/>
        <v>0.48364224999999994</v>
      </c>
      <c r="BH375" s="2">
        <f t="shared" si="287"/>
        <v>7.2546337499999988E-2</v>
      </c>
      <c r="BI375" s="2">
        <f t="shared" si="271"/>
        <v>2.9762599999999997E-2</v>
      </c>
      <c r="BJ375" s="2">
        <f t="shared" si="272"/>
        <v>0.89287799999999995</v>
      </c>
      <c r="BK375" s="2">
        <f t="shared" si="288"/>
        <v>16.3601291875</v>
      </c>
      <c r="BL375" s="2">
        <f t="shared" si="273"/>
        <v>7457.4499999999989</v>
      </c>
      <c r="BM375" s="2">
        <f t="shared" si="274"/>
        <v>7423.8500000000013</v>
      </c>
      <c r="BN375" s="2">
        <f t="shared" si="289"/>
        <v>14881.3</v>
      </c>
    </row>
    <row r="376" spans="1:66" x14ac:dyDescent="0.25">
      <c r="A376" s="42">
        <v>373</v>
      </c>
      <c r="B376" s="43">
        <v>42866</v>
      </c>
      <c r="C376" s="42" t="s">
        <v>50</v>
      </c>
      <c r="D376" s="42" t="s">
        <v>226</v>
      </c>
      <c r="E376" s="6">
        <f t="shared" si="275"/>
        <v>-3.5616645000001137</v>
      </c>
      <c r="F376" s="5" t="str">
        <f t="shared" si="290"/>
        <v>Loss</v>
      </c>
      <c r="G376" s="4">
        <f t="shared" si="291"/>
        <v>-2.0000000000001137</v>
      </c>
      <c r="H376" s="46">
        <v>5</v>
      </c>
      <c r="I376" s="42">
        <v>209.25</v>
      </c>
      <c r="J376" s="42">
        <v>5</v>
      </c>
      <c r="K376" s="42">
        <v>209.3</v>
      </c>
      <c r="L376" s="42">
        <v>1</v>
      </c>
      <c r="M376" s="44">
        <v>209.35</v>
      </c>
      <c r="N376" s="5">
        <f t="shared" si="292"/>
        <v>11</v>
      </c>
      <c r="O376" s="4">
        <f t="shared" si="293"/>
        <v>209.29999999999998</v>
      </c>
      <c r="P376" s="5">
        <f t="shared" si="248"/>
        <v>5</v>
      </c>
      <c r="Q376" s="42">
        <v>209.1</v>
      </c>
      <c r="R376" s="2">
        <f t="shared" si="296"/>
        <v>5</v>
      </c>
      <c r="S376" s="42">
        <v>209.1</v>
      </c>
      <c r="T376" s="2">
        <f t="shared" si="276"/>
        <v>1</v>
      </c>
      <c r="U376" s="44">
        <v>209.1</v>
      </c>
      <c r="V376" s="5">
        <f t="shared" si="294"/>
        <v>11</v>
      </c>
      <c r="W376" s="4">
        <f t="shared" si="295"/>
        <v>209.1</v>
      </c>
      <c r="X376" s="14">
        <f t="shared" si="249"/>
        <v>-0.15000000000000568</v>
      </c>
      <c r="Y376" s="5">
        <f t="shared" si="250"/>
        <v>-0.75000000000002842</v>
      </c>
      <c r="Z376" s="2">
        <f t="shared" si="251"/>
        <v>-1.0000000000000853</v>
      </c>
      <c r="AA376" s="4">
        <f t="shared" si="252"/>
        <v>-0.25</v>
      </c>
      <c r="AB376" s="13">
        <f t="shared" si="253"/>
        <v>1.5616644999999998</v>
      </c>
      <c r="AC376" s="10">
        <f>SUM($E$4:E376)</f>
        <v>-13102.161073903826</v>
      </c>
      <c r="AD376" s="20">
        <f>SUM($AB$4:AB376)</f>
        <v>11276.264573903785</v>
      </c>
      <c r="AF376" s="28">
        <f t="shared" si="254"/>
        <v>0.46023999999999998</v>
      </c>
      <c r="AG376" s="2">
        <f t="shared" si="255"/>
        <v>0.5750249999999999</v>
      </c>
      <c r="AH376" s="2">
        <f t="shared" si="256"/>
        <v>0.14957799999999999</v>
      </c>
      <c r="AI376" s="2">
        <f t="shared" si="277"/>
        <v>0.60981799999999997</v>
      </c>
      <c r="AJ376" s="2">
        <f t="shared" si="278"/>
        <v>9.147269999999999E-2</v>
      </c>
      <c r="AK376" s="2">
        <f t="shared" si="257"/>
        <v>9.2047999999999991E-3</v>
      </c>
      <c r="AL376" s="2">
        <f t="shared" si="258"/>
        <v>0.276144</v>
      </c>
      <c r="AM376" s="2">
        <f t="shared" si="279"/>
        <v>1.5616644999999998</v>
      </c>
      <c r="AN376" s="2">
        <f t="shared" si="259"/>
        <v>120</v>
      </c>
      <c r="AO376" s="2">
        <f t="shared" si="260"/>
        <v>1.1500499999999998</v>
      </c>
      <c r="AP376" s="2">
        <f t="shared" si="261"/>
        <v>2.4392719999999999</v>
      </c>
      <c r="AQ376" s="2">
        <f t="shared" si="280"/>
        <v>122.439272</v>
      </c>
      <c r="AR376" s="2">
        <f t="shared" si="281"/>
        <v>18.365890799999999</v>
      </c>
      <c r="AS376" s="2">
        <f t="shared" si="262"/>
        <v>9.2047999999999991E-3</v>
      </c>
      <c r="AT376" s="2">
        <f t="shared" si="263"/>
        <v>0.276144</v>
      </c>
      <c r="AU376" s="2">
        <f t="shared" si="282"/>
        <v>142.24056159999998</v>
      </c>
      <c r="AV376" s="2">
        <f t="shared" si="264"/>
        <v>0.46023999999999998</v>
      </c>
      <c r="AW376" s="2">
        <f t="shared" si="265"/>
        <v>0.23001000000000002</v>
      </c>
      <c r="AX376" s="2">
        <f t="shared" si="266"/>
        <v>9.6650399999999984E-2</v>
      </c>
      <c r="AY376" s="2">
        <f t="shared" si="283"/>
        <v>0.55689040000000001</v>
      </c>
      <c r="AZ376" s="2">
        <f t="shared" si="284"/>
        <v>8.3533559999999993E-2</v>
      </c>
      <c r="BA376" s="2">
        <f t="shared" si="267"/>
        <v>9.2047999999999991E-3</v>
      </c>
      <c r="BB376" s="2">
        <f t="shared" si="268"/>
        <v>0.276144</v>
      </c>
      <c r="BC376" s="2">
        <f t="shared" si="285"/>
        <v>1.1557827600000001</v>
      </c>
      <c r="BD376" s="2">
        <v>0</v>
      </c>
      <c r="BE376" s="2">
        <f t="shared" si="269"/>
        <v>4.6023999999999994</v>
      </c>
      <c r="BF376" s="2">
        <f t="shared" si="270"/>
        <v>0.14957799999999999</v>
      </c>
      <c r="BG376" s="2">
        <f t="shared" si="286"/>
        <v>0.14957799999999999</v>
      </c>
      <c r="BH376" s="2">
        <f t="shared" si="287"/>
        <v>2.2436699999999997E-2</v>
      </c>
      <c r="BI376" s="2">
        <f t="shared" si="271"/>
        <v>9.2047999999999991E-3</v>
      </c>
      <c r="BJ376" s="2">
        <f t="shared" si="272"/>
        <v>0.276144</v>
      </c>
      <c r="BK376" s="2">
        <f t="shared" si="288"/>
        <v>5.0597634999999999</v>
      </c>
      <c r="BL376" s="2">
        <f t="shared" si="273"/>
        <v>2302.2999999999997</v>
      </c>
      <c r="BM376" s="2">
        <f t="shared" si="274"/>
        <v>2300.1</v>
      </c>
      <c r="BN376" s="2">
        <f t="shared" si="289"/>
        <v>4602.3999999999996</v>
      </c>
    </row>
    <row r="377" spans="1:66" x14ac:dyDescent="0.25">
      <c r="A377" s="42">
        <v>374</v>
      </c>
      <c r="B377" s="43">
        <v>42867</v>
      </c>
      <c r="C377" s="42" t="s">
        <v>50</v>
      </c>
      <c r="D377" s="42" t="s">
        <v>256</v>
      </c>
      <c r="E377" s="6">
        <f t="shared" si="275"/>
        <v>-22.940992218750409</v>
      </c>
      <c r="F377" s="5" t="str">
        <f t="shared" si="290"/>
        <v>Loss</v>
      </c>
      <c r="G377" s="4">
        <f t="shared" si="291"/>
        <v>-20.550000000000409</v>
      </c>
      <c r="H377" s="46">
        <v>3</v>
      </c>
      <c r="I377" s="42">
        <v>1178.9000000000001</v>
      </c>
      <c r="N377" s="5">
        <f t="shared" si="292"/>
        <v>3</v>
      </c>
      <c r="O377" s="4">
        <f t="shared" si="293"/>
        <v>1178.9000000000001</v>
      </c>
      <c r="P377" s="5">
        <f t="shared" si="248"/>
        <v>3</v>
      </c>
      <c r="Q377" s="42">
        <v>1172.05</v>
      </c>
      <c r="R377" s="2">
        <f t="shared" si="296"/>
        <v>0</v>
      </c>
      <c r="T377" s="2">
        <f t="shared" si="276"/>
        <v>0</v>
      </c>
      <c r="V377" s="5">
        <f t="shared" si="294"/>
        <v>3</v>
      </c>
      <c r="W377" s="4">
        <f t="shared" si="295"/>
        <v>1172.05</v>
      </c>
      <c r="X377" s="14">
        <f t="shared" si="249"/>
        <v>-6.8500000000001364</v>
      </c>
      <c r="Y377" s="5">
        <f t="shared" si="250"/>
        <v>-20.550000000000409</v>
      </c>
      <c r="Z377" s="2">
        <f t="shared" si="251"/>
        <v>0</v>
      </c>
      <c r="AA377" s="4">
        <f t="shared" si="252"/>
        <v>0</v>
      </c>
      <c r="AB377" s="13">
        <f t="shared" si="253"/>
        <v>2.3909922187500001</v>
      </c>
      <c r="AC377" s="10">
        <f>SUM($E$4:E377)</f>
        <v>-13125.102066122576</v>
      </c>
      <c r="AD377" s="20">
        <f>SUM($AB$4:AB377)</f>
        <v>11278.655566122536</v>
      </c>
      <c r="AF377" s="28">
        <f t="shared" si="254"/>
        <v>0.70528500000000005</v>
      </c>
      <c r="AG377" s="2">
        <f t="shared" si="255"/>
        <v>0.87903750000000003</v>
      </c>
      <c r="AH377" s="2">
        <f t="shared" si="256"/>
        <v>0.22921762499999998</v>
      </c>
      <c r="AI377" s="2">
        <f t="shared" si="277"/>
        <v>0.93450262500000003</v>
      </c>
      <c r="AJ377" s="2">
        <f t="shared" si="278"/>
        <v>0.14017539374999999</v>
      </c>
      <c r="AK377" s="2">
        <f t="shared" si="257"/>
        <v>1.4105700000000001E-2</v>
      </c>
      <c r="AL377" s="2">
        <f t="shared" si="258"/>
        <v>0.42317100000000002</v>
      </c>
      <c r="AM377" s="2">
        <f t="shared" si="279"/>
        <v>2.3909922187500001</v>
      </c>
      <c r="AN377" s="2">
        <f t="shared" si="259"/>
        <v>40</v>
      </c>
      <c r="AO377" s="2">
        <f t="shared" si="260"/>
        <v>1.7580750000000001</v>
      </c>
      <c r="AP377" s="2">
        <f t="shared" si="261"/>
        <v>3.7380105000000001</v>
      </c>
      <c r="AQ377" s="2">
        <f t="shared" si="280"/>
        <v>43.738010500000001</v>
      </c>
      <c r="AR377" s="2">
        <f t="shared" si="281"/>
        <v>6.5607015750000004</v>
      </c>
      <c r="AS377" s="2">
        <f t="shared" si="262"/>
        <v>1.4105700000000001E-2</v>
      </c>
      <c r="AT377" s="2">
        <f t="shared" si="263"/>
        <v>0.42317100000000002</v>
      </c>
      <c r="AU377" s="2">
        <f t="shared" si="282"/>
        <v>52.494063775000008</v>
      </c>
      <c r="AV377" s="2">
        <f t="shared" si="264"/>
        <v>0.70528500000000005</v>
      </c>
      <c r="AW377" s="2">
        <f t="shared" si="265"/>
        <v>0.35161500000000001</v>
      </c>
      <c r="AX377" s="2">
        <f t="shared" si="266"/>
        <v>0.14810984999999999</v>
      </c>
      <c r="AY377" s="2">
        <f t="shared" si="283"/>
        <v>0.85339485000000004</v>
      </c>
      <c r="AZ377" s="2">
        <f t="shared" si="284"/>
        <v>0.12800922749999999</v>
      </c>
      <c r="BA377" s="2">
        <f t="shared" si="267"/>
        <v>1.4105700000000001E-2</v>
      </c>
      <c r="BB377" s="2">
        <f t="shared" si="268"/>
        <v>0.42317100000000002</v>
      </c>
      <c r="BC377" s="2">
        <f t="shared" si="285"/>
        <v>1.7702957775000001</v>
      </c>
      <c r="BD377" s="2">
        <v>0</v>
      </c>
      <c r="BE377" s="2">
        <f t="shared" si="269"/>
        <v>7.0528500000000003</v>
      </c>
      <c r="BF377" s="2">
        <f t="shared" si="270"/>
        <v>0.22921762499999998</v>
      </c>
      <c r="BG377" s="2">
        <f t="shared" si="286"/>
        <v>0.22921762499999998</v>
      </c>
      <c r="BH377" s="2">
        <f t="shared" si="287"/>
        <v>3.4382643749999997E-2</v>
      </c>
      <c r="BI377" s="2">
        <f t="shared" si="271"/>
        <v>1.4105700000000001E-2</v>
      </c>
      <c r="BJ377" s="2">
        <f t="shared" si="272"/>
        <v>0.42317100000000002</v>
      </c>
      <c r="BK377" s="2">
        <f t="shared" si="288"/>
        <v>7.7537269687499997</v>
      </c>
      <c r="BL377" s="2">
        <f t="shared" si="273"/>
        <v>3536.7000000000003</v>
      </c>
      <c r="BM377" s="2">
        <f t="shared" si="274"/>
        <v>3516.1499999999996</v>
      </c>
      <c r="BN377" s="2">
        <f t="shared" si="289"/>
        <v>7052.85</v>
      </c>
    </row>
    <row r="378" spans="1:66" x14ac:dyDescent="0.25">
      <c r="A378" s="42">
        <v>375</v>
      </c>
      <c r="B378" s="43">
        <v>42867</v>
      </c>
      <c r="C378" s="42" t="s">
        <v>50</v>
      </c>
      <c r="D378" s="42" t="s">
        <v>124</v>
      </c>
      <c r="E378" s="6">
        <f t="shared" si="275"/>
        <v>-40.607758750000116</v>
      </c>
      <c r="F378" s="5" t="str">
        <f t="shared" si="290"/>
        <v>Loss</v>
      </c>
      <c r="G378" s="4">
        <f t="shared" si="291"/>
        <v>-38.000000000000114</v>
      </c>
      <c r="H378" s="46">
        <v>20</v>
      </c>
      <c r="I378" s="42">
        <v>193.4</v>
      </c>
      <c r="N378" s="5">
        <f t="shared" si="292"/>
        <v>20</v>
      </c>
      <c r="O378" s="4">
        <f t="shared" si="293"/>
        <v>193.4</v>
      </c>
      <c r="P378" s="5">
        <f t="shared" si="248"/>
        <v>20</v>
      </c>
      <c r="Q378" s="42">
        <v>191.5</v>
      </c>
      <c r="R378" s="2">
        <f t="shared" si="296"/>
        <v>0</v>
      </c>
      <c r="T378" s="2">
        <f t="shared" si="276"/>
        <v>0</v>
      </c>
      <c r="V378" s="5">
        <f t="shared" si="294"/>
        <v>20</v>
      </c>
      <c r="W378" s="4">
        <f t="shared" si="295"/>
        <v>191.5</v>
      </c>
      <c r="X378" s="14">
        <f t="shared" si="249"/>
        <v>-1.9000000000000057</v>
      </c>
      <c r="Y378" s="5">
        <f t="shared" si="250"/>
        <v>-38.000000000000114</v>
      </c>
      <c r="Z378" s="2">
        <f t="shared" si="251"/>
        <v>0</v>
      </c>
      <c r="AA378" s="4">
        <f t="shared" si="252"/>
        <v>0</v>
      </c>
      <c r="AB378" s="13">
        <f t="shared" si="253"/>
        <v>2.6077587499999999</v>
      </c>
      <c r="AC378" s="10">
        <f>SUM($E$4:E378)</f>
        <v>-13165.709824872576</v>
      </c>
      <c r="AD378" s="20">
        <f>SUM($AB$4:AB378)</f>
        <v>11281.263324872536</v>
      </c>
      <c r="AF378" s="28">
        <f t="shared" si="254"/>
        <v>0.76980000000000004</v>
      </c>
      <c r="AG378" s="2">
        <f t="shared" si="255"/>
        <v>0.95750000000000002</v>
      </c>
      <c r="AH378" s="2">
        <f t="shared" si="256"/>
        <v>0.25018499999999999</v>
      </c>
      <c r="AI378" s="2">
        <f t="shared" si="277"/>
        <v>1.0199850000000001</v>
      </c>
      <c r="AJ378" s="2">
        <f t="shared" si="278"/>
        <v>0.15299775000000002</v>
      </c>
      <c r="AK378" s="2">
        <f t="shared" si="257"/>
        <v>1.5396E-2</v>
      </c>
      <c r="AL378" s="2">
        <f t="shared" si="258"/>
        <v>0.46188000000000001</v>
      </c>
      <c r="AM378" s="2">
        <f t="shared" si="279"/>
        <v>2.6077587499999999</v>
      </c>
      <c r="AN378" s="2">
        <f t="shared" si="259"/>
        <v>40</v>
      </c>
      <c r="AO378" s="2">
        <f t="shared" si="260"/>
        <v>1.915</v>
      </c>
      <c r="AP378" s="2">
        <f t="shared" si="261"/>
        <v>4.0799399999999997</v>
      </c>
      <c r="AQ378" s="2">
        <f t="shared" si="280"/>
        <v>44.079940000000001</v>
      </c>
      <c r="AR378" s="2">
        <f t="shared" si="281"/>
        <v>6.6119909999999997</v>
      </c>
      <c r="AS378" s="2">
        <f t="shared" si="262"/>
        <v>1.5396E-2</v>
      </c>
      <c r="AT378" s="2">
        <f t="shared" si="263"/>
        <v>0.46188000000000001</v>
      </c>
      <c r="AU378" s="2">
        <f t="shared" si="282"/>
        <v>53.084207000000006</v>
      </c>
      <c r="AV378" s="2">
        <f t="shared" si="264"/>
        <v>0.76980000000000004</v>
      </c>
      <c r="AW378" s="2">
        <f t="shared" si="265"/>
        <v>0.38300000000000001</v>
      </c>
      <c r="AX378" s="2">
        <f t="shared" si="266"/>
        <v>0.161658</v>
      </c>
      <c r="AY378" s="2">
        <f t="shared" si="283"/>
        <v>0.93145800000000001</v>
      </c>
      <c r="AZ378" s="2">
        <f t="shared" si="284"/>
        <v>0.1397187</v>
      </c>
      <c r="BA378" s="2">
        <f t="shared" si="267"/>
        <v>1.5396E-2</v>
      </c>
      <c r="BB378" s="2">
        <f t="shared" si="268"/>
        <v>0.46188000000000001</v>
      </c>
      <c r="BC378" s="2">
        <f t="shared" si="285"/>
        <v>1.9314527000000001</v>
      </c>
      <c r="BD378" s="2">
        <v>0</v>
      </c>
      <c r="BE378" s="2">
        <f t="shared" si="269"/>
        <v>7.6980000000000004</v>
      </c>
      <c r="BF378" s="2">
        <f t="shared" si="270"/>
        <v>0.25018499999999999</v>
      </c>
      <c r="BG378" s="2">
        <f t="shared" si="286"/>
        <v>0.25018499999999999</v>
      </c>
      <c r="BH378" s="2">
        <f t="shared" si="287"/>
        <v>3.7527749999999999E-2</v>
      </c>
      <c r="BI378" s="2">
        <f t="shared" si="271"/>
        <v>1.5396E-2</v>
      </c>
      <c r="BJ378" s="2">
        <f t="shared" si="272"/>
        <v>0.46188000000000001</v>
      </c>
      <c r="BK378" s="2">
        <f t="shared" si="288"/>
        <v>8.4629887500000009</v>
      </c>
      <c r="BL378" s="2">
        <f t="shared" si="273"/>
        <v>3868</v>
      </c>
      <c r="BM378" s="2">
        <f t="shared" si="274"/>
        <v>3830</v>
      </c>
      <c r="BN378" s="2">
        <f t="shared" si="289"/>
        <v>7698</v>
      </c>
    </row>
    <row r="379" spans="1:66" x14ac:dyDescent="0.25">
      <c r="A379" s="42">
        <v>376</v>
      </c>
      <c r="B379" s="43">
        <v>42867</v>
      </c>
      <c r="C379" s="42" t="s">
        <v>50</v>
      </c>
      <c r="D379" s="42" t="s">
        <v>257</v>
      </c>
      <c r="E379" s="6">
        <f t="shared" si="275"/>
        <v>-2.8331703749999995</v>
      </c>
      <c r="F379" s="5" t="str">
        <f t="shared" si="290"/>
        <v>Break Even</v>
      </c>
      <c r="G379" s="4">
        <f t="shared" si="291"/>
        <v>0</v>
      </c>
      <c r="H379" s="46">
        <v>14</v>
      </c>
      <c r="I379" s="42">
        <v>298.14999999999998</v>
      </c>
      <c r="N379" s="5">
        <f t="shared" si="292"/>
        <v>14</v>
      </c>
      <c r="O379" s="4">
        <f t="shared" si="293"/>
        <v>298.14999999999998</v>
      </c>
      <c r="P379" s="5">
        <f t="shared" si="248"/>
        <v>14</v>
      </c>
      <c r="Q379" s="42">
        <v>298.14999999999998</v>
      </c>
      <c r="R379" s="2">
        <f t="shared" si="296"/>
        <v>0</v>
      </c>
      <c r="T379" s="2">
        <f t="shared" si="276"/>
        <v>0</v>
      </c>
      <c r="V379" s="5">
        <f t="shared" si="294"/>
        <v>14</v>
      </c>
      <c r="W379" s="4">
        <f t="shared" si="295"/>
        <v>298.14999999999998</v>
      </c>
      <c r="X379" s="14">
        <f t="shared" si="249"/>
        <v>0</v>
      </c>
      <c r="Y379" s="5">
        <f t="shared" si="250"/>
        <v>0</v>
      </c>
      <c r="Z379" s="2">
        <f t="shared" si="251"/>
        <v>0</v>
      </c>
      <c r="AA379" s="4">
        <f t="shared" si="252"/>
        <v>0</v>
      </c>
      <c r="AB379" s="13">
        <f t="shared" si="253"/>
        <v>2.8331703749999995</v>
      </c>
      <c r="AC379" s="10">
        <f>SUM($E$4:E379)</f>
        <v>-13168.542995247575</v>
      </c>
      <c r="AD379" s="20">
        <f>SUM($AB$4:AB379)</f>
        <v>11284.096495247535</v>
      </c>
      <c r="AF379" s="28">
        <f t="shared" si="254"/>
        <v>0.8348199999999999</v>
      </c>
      <c r="AG379" s="2">
        <f t="shared" si="255"/>
        <v>1.043525</v>
      </c>
      <c r="AH379" s="2">
        <f t="shared" si="256"/>
        <v>0.27131649999999996</v>
      </c>
      <c r="AI379" s="2">
        <f t="shared" si="277"/>
        <v>1.1061364999999999</v>
      </c>
      <c r="AJ379" s="2">
        <f t="shared" si="278"/>
        <v>0.16592047499999998</v>
      </c>
      <c r="AK379" s="2">
        <f t="shared" si="257"/>
        <v>1.6696399999999997E-2</v>
      </c>
      <c r="AL379" s="2">
        <f t="shared" si="258"/>
        <v>0.50089199999999989</v>
      </c>
      <c r="AM379" s="2">
        <f t="shared" si="279"/>
        <v>2.8331703749999995</v>
      </c>
      <c r="AN379" s="2">
        <f t="shared" si="259"/>
        <v>40</v>
      </c>
      <c r="AO379" s="2">
        <f t="shared" si="260"/>
        <v>2.0870500000000001</v>
      </c>
      <c r="AP379" s="2">
        <f t="shared" si="261"/>
        <v>4.4245459999999994</v>
      </c>
      <c r="AQ379" s="2">
        <f t="shared" si="280"/>
        <v>44.424545999999999</v>
      </c>
      <c r="AR379" s="2">
        <f t="shared" si="281"/>
        <v>6.6636818999999994</v>
      </c>
      <c r="AS379" s="2">
        <f t="shared" si="262"/>
        <v>1.6696399999999997E-2</v>
      </c>
      <c r="AT379" s="2">
        <f t="shared" si="263"/>
        <v>0.50089199999999989</v>
      </c>
      <c r="AU379" s="2">
        <f t="shared" si="282"/>
        <v>53.692866299999999</v>
      </c>
      <c r="AV379" s="2">
        <f t="shared" si="264"/>
        <v>0.8348199999999999</v>
      </c>
      <c r="AW379" s="2">
        <f t="shared" si="265"/>
        <v>0.41740999999999995</v>
      </c>
      <c r="AX379" s="2">
        <f t="shared" si="266"/>
        <v>0.17531219999999997</v>
      </c>
      <c r="AY379" s="2">
        <f t="shared" si="283"/>
        <v>1.0101321999999999</v>
      </c>
      <c r="AZ379" s="2">
        <f t="shared" si="284"/>
        <v>0.15151982999999999</v>
      </c>
      <c r="BA379" s="2">
        <f t="shared" si="267"/>
        <v>1.6696399999999997E-2</v>
      </c>
      <c r="BB379" s="2">
        <f t="shared" si="268"/>
        <v>0.50089199999999989</v>
      </c>
      <c r="BC379" s="2">
        <f t="shared" si="285"/>
        <v>2.09665043</v>
      </c>
      <c r="BD379" s="2">
        <v>0</v>
      </c>
      <c r="BE379" s="2">
        <f t="shared" si="269"/>
        <v>8.3481999999999985</v>
      </c>
      <c r="BF379" s="2">
        <f t="shared" si="270"/>
        <v>0.27131649999999996</v>
      </c>
      <c r="BG379" s="2">
        <f t="shared" si="286"/>
        <v>0.27131649999999996</v>
      </c>
      <c r="BH379" s="2">
        <f t="shared" si="287"/>
        <v>4.069747499999999E-2</v>
      </c>
      <c r="BI379" s="2">
        <f t="shared" si="271"/>
        <v>1.6696399999999997E-2</v>
      </c>
      <c r="BJ379" s="2">
        <f t="shared" si="272"/>
        <v>0.50089199999999989</v>
      </c>
      <c r="BK379" s="2">
        <f t="shared" si="288"/>
        <v>9.1778023749999988</v>
      </c>
      <c r="BL379" s="2">
        <f t="shared" si="273"/>
        <v>4174.0999999999995</v>
      </c>
      <c r="BM379" s="2">
        <f t="shared" si="274"/>
        <v>4174.0999999999995</v>
      </c>
      <c r="BN379" s="2">
        <f t="shared" si="289"/>
        <v>8348.1999999999989</v>
      </c>
    </row>
    <row r="380" spans="1:66" x14ac:dyDescent="0.25">
      <c r="A380" s="42">
        <v>377</v>
      </c>
      <c r="B380" s="43">
        <v>42867</v>
      </c>
      <c r="C380" s="42" t="s">
        <v>50</v>
      </c>
      <c r="D380" s="42" t="s">
        <v>186</v>
      </c>
      <c r="E380" s="6">
        <f t="shared" si="275"/>
        <v>-32.919958749999843</v>
      </c>
      <c r="F380" s="5" t="str">
        <f t="shared" si="290"/>
        <v>Loss</v>
      </c>
      <c r="G380" s="4">
        <f t="shared" si="291"/>
        <v>-30.799999999999841</v>
      </c>
      <c r="H380" s="46">
        <v>28</v>
      </c>
      <c r="I380" s="42">
        <v>112.3</v>
      </c>
      <c r="N380" s="5">
        <f t="shared" si="292"/>
        <v>28</v>
      </c>
      <c r="O380" s="4">
        <f t="shared" si="293"/>
        <v>112.3</v>
      </c>
      <c r="P380" s="5">
        <f t="shared" si="248"/>
        <v>28</v>
      </c>
      <c r="Q380" s="42">
        <v>111.2</v>
      </c>
      <c r="R380" s="2">
        <f t="shared" si="296"/>
        <v>0</v>
      </c>
      <c r="T380" s="2">
        <f t="shared" si="276"/>
        <v>0</v>
      </c>
      <c r="V380" s="5">
        <f t="shared" si="294"/>
        <v>28</v>
      </c>
      <c r="W380" s="4">
        <f t="shared" si="295"/>
        <v>111.2</v>
      </c>
      <c r="X380" s="14">
        <f t="shared" si="249"/>
        <v>-1.0999999999999943</v>
      </c>
      <c r="Y380" s="5">
        <f t="shared" si="250"/>
        <v>-30.799999999999841</v>
      </c>
      <c r="Z380" s="2">
        <f t="shared" si="251"/>
        <v>0</v>
      </c>
      <c r="AA380" s="4">
        <f t="shared" si="252"/>
        <v>0</v>
      </c>
      <c r="AB380" s="13">
        <f t="shared" si="253"/>
        <v>2.1199587499999999</v>
      </c>
      <c r="AC380" s="10">
        <f>SUM($E$4:E380)</f>
        <v>-13201.462953997576</v>
      </c>
      <c r="AD380" s="20">
        <f>SUM($AB$4:AB380)</f>
        <v>11286.216453997535</v>
      </c>
      <c r="AF380" s="28">
        <f t="shared" si="254"/>
        <v>0.62580000000000002</v>
      </c>
      <c r="AG380" s="2">
        <f t="shared" si="255"/>
        <v>0.77839999999999998</v>
      </c>
      <c r="AH380" s="2">
        <f t="shared" si="256"/>
        <v>0.20338499999999998</v>
      </c>
      <c r="AI380" s="2">
        <f t="shared" si="277"/>
        <v>0.82918500000000006</v>
      </c>
      <c r="AJ380" s="2">
        <f t="shared" si="278"/>
        <v>0.12437775000000001</v>
      </c>
      <c r="AK380" s="2">
        <f t="shared" si="257"/>
        <v>1.2516000000000001E-2</v>
      </c>
      <c r="AL380" s="2">
        <f t="shared" si="258"/>
        <v>0.37548000000000004</v>
      </c>
      <c r="AM380" s="2">
        <f t="shared" si="279"/>
        <v>2.1199587499999999</v>
      </c>
      <c r="AN380" s="2">
        <f t="shared" si="259"/>
        <v>40</v>
      </c>
      <c r="AO380" s="2">
        <f t="shared" si="260"/>
        <v>1.5568</v>
      </c>
      <c r="AP380" s="2">
        <f t="shared" si="261"/>
        <v>3.3167399999999998</v>
      </c>
      <c r="AQ380" s="2">
        <f t="shared" si="280"/>
        <v>43.316740000000003</v>
      </c>
      <c r="AR380" s="2">
        <f t="shared" si="281"/>
        <v>6.4975110000000003</v>
      </c>
      <c r="AS380" s="2">
        <f t="shared" si="262"/>
        <v>1.2516000000000001E-2</v>
      </c>
      <c r="AT380" s="2">
        <f t="shared" si="263"/>
        <v>0.37548000000000004</v>
      </c>
      <c r="AU380" s="2">
        <f t="shared" si="282"/>
        <v>51.75904700000001</v>
      </c>
      <c r="AV380" s="2">
        <f t="shared" si="264"/>
        <v>0.62580000000000002</v>
      </c>
      <c r="AW380" s="2">
        <f t="shared" si="265"/>
        <v>0.31136000000000003</v>
      </c>
      <c r="AX380" s="2">
        <f t="shared" si="266"/>
        <v>0.13141799999999998</v>
      </c>
      <c r="AY380" s="2">
        <f t="shared" si="283"/>
        <v>0.75721799999999995</v>
      </c>
      <c r="AZ380" s="2">
        <f t="shared" si="284"/>
        <v>0.11358269999999998</v>
      </c>
      <c r="BA380" s="2">
        <f t="shared" si="267"/>
        <v>1.2516000000000001E-2</v>
      </c>
      <c r="BB380" s="2">
        <f t="shared" si="268"/>
        <v>0.37548000000000004</v>
      </c>
      <c r="BC380" s="2">
        <f t="shared" si="285"/>
        <v>1.5701567000000001</v>
      </c>
      <c r="BD380" s="2">
        <v>0</v>
      </c>
      <c r="BE380" s="2">
        <f t="shared" si="269"/>
        <v>6.258</v>
      </c>
      <c r="BF380" s="2">
        <f t="shared" si="270"/>
        <v>0.20338499999999998</v>
      </c>
      <c r="BG380" s="2">
        <f t="shared" si="286"/>
        <v>0.20338499999999998</v>
      </c>
      <c r="BH380" s="2">
        <f t="shared" si="287"/>
        <v>3.0507749999999997E-2</v>
      </c>
      <c r="BI380" s="2">
        <f t="shared" si="271"/>
        <v>1.2516000000000001E-2</v>
      </c>
      <c r="BJ380" s="2">
        <f t="shared" si="272"/>
        <v>0.37548000000000004</v>
      </c>
      <c r="BK380" s="2">
        <f t="shared" si="288"/>
        <v>6.8798887499999992</v>
      </c>
      <c r="BL380" s="2">
        <f t="shared" si="273"/>
        <v>3144.4</v>
      </c>
      <c r="BM380" s="2">
        <f t="shared" si="274"/>
        <v>3113.6</v>
      </c>
      <c r="BN380" s="2">
        <f t="shared" si="289"/>
        <v>6258</v>
      </c>
    </row>
    <row r="381" spans="1:66" x14ac:dyDescent="0.25">
      <c r="A381" s="42">
        <v>378</v>
      </c>
      <c r="B381" s="43">
        <v>42867</v>
      </c>
      <c r="C381" s="42" t="s">
        <v>50</v>
      </c>
      <c r="D381" s="42" t="s">
        <v>258</v>
      </c>
      <c r="E381" s="6">
        <f t="shared" si="275"/>
        <v>-16.246948749999774</v>
      </c>
      <c r="F381" s="5" t="str">
        <f t="shared" si="290"/>
        <v>Loss</v>
      </c>
      <c r="G381" s="4">
        <f t="shared" si="291"/>
        <v>-13.999999999999773</v>
      </c>
      <c r="H381" s="46">
        <v>20</v>
      </c>
      <c r="I381" s="42">
        <v>166</v>
      </c>
      <c r="N381" s="5">
        <f t="shared" si="292"/>
        <v>20</v>
      </c>
      <c r="O381" s="4">
        <f t="shared" si="293"/>
        <v>166</v>
      </c>
      <c r="P381" s="5">
        <f t="shared" si="248"/>
        <v>20</v>
      </c>
      <c r="Q381" s="42">
        <v>165.3</v>
      </c>
      <c r="R381" s="2">
        <f t="shared" si="296"/>
        <v>0</v>
      </c>
      <c r="T381" s="2">
        <f t="shared" si="276"/>
        <v>0</v>
      </c>
      <c r="V381" s="5">
        <f t="shared" si="294"/>
        <v>20</v>
      </c>
      <c r="W381" s="4">
        <f t="shared" si="295"/>
        <v>165.3</v>
      </c>
      <c r="X381" s="14">
        <f t="shared" si="249"/>
        <v>-0.69999999999998863</v>
      </c>
      <c r="Y381" s="5">
        <f t="shared" si="250"/>
        <v>-13.999999999999773</v>
      </c>
      <c r="Z381" s="2">
        <f t="shared" si="251"/>
        <v>0</v>
      </c>
      <c r="AA381" s="4">
        <f t="shared" si="252"/>
        <v>0</v>
      </c>
      <c r="AB381" s="13">
        <f t="shared" si="253"/>
        <v>2.2469487500000001</v>
      </c>
      <c r="AC381" s="10">
        <f>SUM($E$4:E381)</f>
        <v>-13217.709902747576</v>
      </c>
      <c r="AD381" s="20">
        <f>SUM($AB$4:AB381)</f>
        <v>11288.463402747535</v>
      </c>
      <c r="AF381" s="28">
        <f t="shared" si="254"/>
        <v>0.66260000000000008</v>
      </c>
      <c r="AG381" s="2">
        <f t="shared" si="255"/>
        <v>0.82650000000000012</v>
      </c>
      <c r="AH381" s="2">
        <f t="shared" si="256"/>
        <v>0.21534499999999998</v>
      </c>
      <c r="AI381" s="2">
        <f t="shared" si="277"/>
        <v>0.87794500000000009</v>
      </c>
      <c r="AJ381" s="2">
        <f t="shared" si="278"/>
        <v>0.13169175</v>
      </c>
      <c r="AK381" s="2">
        <f t="shared" si="257"/>
        <v>1.3252E-2</v>
      </c>
      <c r="AL381" s="2">
        <f t="shared" si="258"/>
        <v>0.39756000000000002</v>
      </c>
      <c r="AM381" s="2">
        <f t="shared" si="279"/>
        <v>2.2469487500000001</v>
      </c>
      <c r="AN381" s="2">
        <f t="shared" si="259"/>
        <v>40</v>
      </c>
      <c r="AO381" s="2">
        <f t="shared" si="260"/>
        <v>1.6530000000000002</v>
      </c>
      <c r="AP381" s="2">
        <f t="shared" si="261"/>
        <v>3.5117799999999999</v>
      </c>
      <c r="AQ381" s="2">
        <f t="shared" si="280"/>
        <v>43.511780000000002</v>
      </c>
      <c r="AR381" s="2">
        <f t="shared" si="281"/>
        <v>6.5267670000000004</v>
      </c>
      <c r="AS381" s="2">
        <f t="shared" si="262"/>
        <v>1.3252E-2</v>
      </c>
      <c r="AT381" s="2">
        <f t="shared" si="263"/>
        <v>0.39756000000000002</v>
      </c>
      <c r="AU381" s="2">
        <f t="shared" si="282"/>
        <v>52.102359</v>
      </c>
      <c r="AV381" s="2">
        <f t="shared" si="264"/>
        <v>0.66260000000000008</v>
      </c>
      <c r="AW381" s="2">
        <f t="shared" si="265"/>
        <v>0.3306</v>
      </c>
      <c r="AX381" s="2">
        <f t="shared" si="266"/>
        <v>0.13914599999999999</v>
      </c>
      <c r="AY381" s="2">
        <f t="shared" si="283"/>
        <v>0.80174600000000007</v>
      </c>
      <c r="AZ381" s="2">
        <f t="shared" si="284"/>
        <v>0.1202619</v>
      </c>
      <c r="BA381" s="2">
        <f t="shared" si="267"/>
        <v>1.3252E-2</v>
      </c>
      <c r="BB381" s="2">
        <f t="shared" si="268"/>
        <v>0.39756000000000002</v>
      </c>
      <c r="BC381" s="2">
        <f t="shared" si="285"/>
        <v>1.6634199000000001</v>
      </c>
      <c r="BD381" s="2">
        <v>0</v>
      </c>
      <c r="BE381" s="2">
        <f t="shared" si="269"/>
        <v>6.6260000000000003</v>
      </c>
      <c r="BF381" s="2">
        <f t="shared" si="270"/>
        <v>0.21534499999999998</v>
      </c>
      <c r="BG381" s="2">
        <f t="shared" si="286"/>
        <v>0.21534499999999998</v>
      </c>
      <c r="BH381" s="2">
        <f t="shared" si="287"/>
        <v>3.2301749999999997E-2</v>
      </c>
      <c r="BI381" s="2">
        <f t="shared" si="271"/>
        <v>1.3252E-2</v>
      </c>
      <c r="BJ381" s="2">
        <f t="shared" si="272"/>
        <v>0.39756000000000002</v>
      </c>
      <c r="BK381" s="2">
        <f t="shared" si="288"/>
        <v>7.2844587500000006</v>
      </c>
      <c r="BL381" s="2">
        <f t="shared" si="273"/>
        <v>3320</v>
      </c>
      <c r="BM381" s="2">
        <f t="shared" si="274"/>
        <v>3306</v>
      </c>
      <c r="BN381" s="2">
        <f t="shared" si="289"/>
        <v>6626</v>
      </c>
    </row>
    <row r="382" spans="1:66" x14ac:dyDescent="0.25">
      <c r="A382" s="42">
        <v>379</v>
      </c>
      <c r="B382" s="43">
        <v>42867</v>
      </c>
      <c r="C382" s="42" t="s">
        <v>50</v>
      </c>
      <c r="D382" s="42" t="s">
        <v>250</v>
      </c>
      <c r="E382" s="6">
        <f t="shared" si="275"/>
        <v>-25.157435250000184</v>
      </c>
      <c r="F382" s="5" t="str">
        <f t="shared" si="290"/>
        <v>Loss</v>
      </c>
      <c r="G382" s="4">
        <f t="shared" si="291"/>
        <v>-22.800000000000182</v>
      </c>
      <c r="H382" s="46">
        <v>2</v>
      </c>
      <c r="I382" s="42">
        <v>1744.4</v>
      </c>
      <c r="N382" s="5">
        <f t="shared" si="292"/>
        <v>2</v>
      </c>
      <c r="O382" s="4">
        <f t="shared" si="293"/>
        <v>1744.4</v>
      </c>
      <c r="P382" s="5">
        <f t="shared" si="248"/>
        <v>2</v>
      </c>
      <c r="Q382" s="42">
        <v>1733</v>
      </c>
      <c r="R382" s="2">
        <f t="shared" si="296"/>
        <v>0</v>
      </c>
      <c r="T382" s="2">
        <f t="shared" si="276"/>
        <v>0</v>
      </c>
      <c r="V382" s="5">
        <f t="shared" si="294"/>
        <v>2</v>
      </c>
      <c r="W382" s="4">
        <f t="shared" si="295"/>
        <v>1733</v>
      </c>
      <c r="X382" s="14">
        <f t="shared" si="249"/>
        <v>-11.400000000000091</v>
      </c>
      <c r="Y382" s="5">
        <f t="shared" si="250"/>
        <v>-22.800000000000182</v>
      </c>
      <c r="Z382" s="2">
        <f t="shared" si="251"/>
        <v>0</v>
      </c>
      <c r="AA382" s="4">
        <f t="shared" si="252"/>
        <v>0</v>
      </c>
      <c r="AB382" s="13">
        <f t="shared" si="253"/>
        <v>2.35743525</v>
      </c>
      <c r="AC382" s="10">
        <f>SUM($E$4:E382)</f>
        <v>-13242.867337997577</v>
      </c>
      <c r="AD382" s="20">
        <f>SUM($AB$4:AB382)</f>
        <v>11290.820837997535</v>
      </c>
      <c r="AF382" s="28">
        <f t="shared" si="254"/>
        <v>0.6954800000000001</v>
      </c>
      <c r="AG382" s="2">
        <f t="shared" si="255"/>
        <v>0.86650000000000005</v>
      </c>
      <c r="AH382" s="2">
        <f t="shared" si="256"/>
        <v>0.22603099999999998</v>
      </c>
      <c r="AI382" s="2">
        <f t="shared" si="277"/>
        <v>0.92151100000000008</v>
      </c>
      <c r="AJ382" s="2">
        <f t="shared" si="278"/>
        <v>0.13822665000000001</v>
      </c>
      <c r="AK382" s="2">
        <f t="shared" si="257"/>
        <v>1.3909600000000001E-2</v>
      </c>
      <c r="AL382" s="2">
        <f t="shared" si="258"/>
        <v>0.41728800000000005</v>
      </c>
      <c r="AM382" s="2">
        <f t="shared" si="279"/>
        <v>2.35743525</v>
      </c>
      <c r="AN382" s="2">
        <f t="shared" si="259"/>
        <v>40</v>
      </c>
      <c r="AO382" s="2">
        <f t="shared" si="260"/>
        <v>1.7330000000000001</v>
      </c>
      <c r="AP382" s="2">
        <f t="shared" si="261"/>
        <v>3.6860439999999999</v>
      </c>
      <c r="AQ382" s="2">
        <f t="shared" si="280"/>
        <v>43.686044000000003</v>
      </c>
      <c r="AR382" s="2">
        <f t="shared" si="281"/>
        <v>6.5529066</v>
      </c>
      <c r="AS382" s="2">
        <f t="shared" si="262"/>
        <v>1.3909600000000001E-2</v>
      </c>
      <c r="AT382" s="2">
        <f t="shared" si="263"/>
        <v>0.41728800000000005</v>
      </c>
      <c r="AU382" s="2">
        <f t="shared" si="282"/>
        <v>52.403148199999997</v>
      </c>
      <c r="AV382" s="2">
        <f t="shared" si="264"/>
        <v>0.6954800000000001</v>
      </c>
      <c r="AW382" s="2">
        <f t="shared" si="265"/>
        <v>0.34660000000000002</v>
      </c>
      <c r="AX382" s="2">
        <f t="shared" si="266"/>
        <v>0.14605080000000001</v>
      </c>
      <c r="AY382" s="2">
        <f t="shared" si="283"/>
        <v>0.84153080000000013</v>
      </c>
      <c r="AZ382" s="2">
        <f t="shared" si="284"/>
        <v>0.12622962000000001</v>
      </c>
      <c r="BA382" s="2">
        <f t="shared" si="267"/>
        <v>1.3909600000000001E-2</v>
      </c>
      <c r="BB382" s="2">
        <f t="shared" si="268"/>
        <v>0.41728800000000005</v>
      </c>
      <c r="BC382" s="2">
        <f t="shared" si="285"/>
        <v>1.7455580200000003</v>
      </c>
      <c r="BD382" s="2">
        <v>0</v>
      </c>
      <c r="BE382" s="2">
        <f t="shared" si="269"/>
        <v>6.9548000000000005</v>
      </c>
      <c r="BF382" s="2">
        <f t="shared" si="270"/>
        <v>0.22603099999999998</v>
      </c>
      <c r="BG382" s="2">
        <f t="shared" si="286"/>
        <v>0.22603099999999998</v>
      </c>
      <c r="BH382" s="2">
        <f t="shared" si="287"/>
        <v>3.3904649999999995E-2</v>
      </c>
      <c r="BI382" s="2">
        <f t="shared" si="271"/>
        <v>1.3909600000000001E-2</v>
      </c>
      <c r="BJ382" s="2">
        <f t="shared" si="272"/>
        <v>0.41728800000000005</v>
      </c>
      <c r="BK382" s="2">
        <f t="shared" si="288"/>
        <v>7.6459332500000006</v>
      </c>
      <c r="BL382" s="2">
        <f t="shared" si="273"/>
        <v>3488.8</v>
      </c>
      <c r="BM382" s="2">
        <f t="shared" si="274"/>
        <v>3466</v>
      </c>
      <c r="BN382" s="2">
        <f t="shared" si="289"/>
        <v>6954.8</v>
      </c>
    </row>
    <row r="383" spans="1:66" x14ac:dyDescent="0.25">
      <c r="A383" s="42">
        <v>380</v>
      </c>
      <c r="B383" s="43">
        <v>42867</v>
      </c>
      <c r="C383" s="42" t="s">
        <v>50</v>
      </c>
      <c r="D383" s="42" t="s">
        <v>197</v>
      </c>
      <c r="E383" s="6">
        <f t="shared" si="275"/>
        <v>6.2611784374996819</v>
      </c>
      <c r="F383" s="5" t="str">
        <f t="shared" si="290"/>
        <v>Win</v>
      </c>
      <c r="G383" s="4">
        <f t="shared" si="291"/>
        <v>9.0999999999996817</v>
      </c>
      <c r="H383" s="46">
        <v>14</v>
      </c>
      <c r="I383" s="42">
        <v>298.3</v>
      </c>
      <c r="N383" s="5">
        <f t="shared" si="292"/>
        <v>14</v>
      </c>
      <c r="O383" s="4">
        <f t="shared" si="293"/>
        <v>298.3</v>
      </c>
      <c r="P383" s="5">
        <f t="shared" si="248"/>
        <v>14</v>
      </c>
      <c r="Q383" s="42">
        <v>298.95</v>
      </c>
      <c r="R383" s="2">
        <f t="shared" si="296"/>
        <v>0</v>
      </c>
      <c r="T383" s="2">
        <f t="shared" si="276"/>
        <v>0</v>
      </c>
      <c r="V383" s="5">
        <f t="shared" si="294"/>
        <v>14</v>
      </c>
      <c r="W383" s="4">
        <f t="shared" si="295"/>
        <v>298.95</v>
      </c>
      <c r="X383" s="14">
        <f t="shared" si="249"/>
        <v>0.64999999999997726</v>
      </c>
      <c r="Y383" s="5">
        <f t="shared" si="250"/>
        <v>9.0999999999996817</v>
      </c>
      <c r="Z383" s="2">
        <f t="shared" si="251"/>
        <v>0</v>
      </c>
      <c r="AA383" s="4">
        <f t="shared" si="252"/>
        <v>0</v>
      </c>
      <c r="AB383" s="13">
        <f t="shared" si="253"/>
        <v>2.8388215624999997</v>
      </c>
      <c r="AC383" s="10">
        <f>SUM($E$4:E383)</f>
        <v>-13236.606159560077</v>
      </c>
      <c r="AD383" s="20">
        <f>SUM($AB$4:AB383)</f>
        <v>11293.659659560035</v>
      </c>
      <c r="AF383" s="28">
        <f t="shared" si="254"/>
        <v>0.83615000000000006</v>
      </c>
      <c r="AG383" s="2">
        <f t="shared" si="255"/>
        <v>1.0463249999999999</v>
      </c>
      <c r="AH383" s="2">
        <f t="shared" si="256"/>
        <v>0.27174874999999998</v>
      </c>
      <c r="AI383" s="2">
        <f t="shared" si="277"/>
        <v>1.1078987499999999</v>
      </c>
      <c r="AJ383" s="2">
        <f t="shared" si="278"/>
        <v>0.16618481249999997</v>
      </c>
      <c r="AK383" s="2">
        <f t="shared" si="257"/>
        <v>1.6723000000000002E-2</v>
      </c>
      <c r="AL383" s="2">
        <f t="shared" si="258"/>
        <v>0.50168999999999997</v>
      </c>
      <c r="AM383" s="2">
        <f t="shared" si="279"/>
        <v>2.8388215624999997</v>
      </c>
      <c r="AN383" s="2">
        <f t="shared" si="259"/>
        <v>40</v>
      </c>
      <c r="AO383" s="2">
        <f t="shared" si="260"/>
        <v>2.0926499999999999</v>
      </c>
      <c r="AP383" s="2">
        <f t="shared" si="261"/>
        <v>4.4315949999999997</v>
      </c>
      <c r="AQ383" s="2">
        <f t="shared" si="280"/>
        <v>44.431595000000002</v>
      </c>
      <c r="AR383" s="2">
        <f t="shared" si="281"/>
        <v>6.6647392500000002</v>
      </c>
      <c r="AS383" s="2">
        <f t="shared" si="262"/>
        <v>1.6723000000000002E-2</v>
      </c>
      <c r="AT383" s="2">
        <f t="shared" si="263"/>
        <v>0.50168999999999997</v>
      </c>
      <c r="AU383" s="2">
        <f t="shared" si="282"/>
        <v>53.70739725</v>
      </c>
      <c r="AV383" s="2">
        <f t="shared" si="264"/>
        <v>0.83615000000000006</v>
      </c>
      <c r="AW383" s="2">
        <f t="shared" si="265"/>
        <v>0.41852999999999996</v>
      </c>
      <c r="AX383" s="2">
        <f t="shared" si="266"/>
        <v>0.17559149999999998</v>
      </c>
      <c r="AY383" s="2">
        <f t="shared" si="283"/>
        <v>1.0117415000000001</v>
      </c>
      <c r="AZ383" s="2">
        <f t="shared" si="284"/>
        <v>0.151761225</v>
      </c>
      <c r="BA383" s="2">
        <f t="shared" si="267"/>
        <v>1.6723000000000002E-2</v>
      </c>
      <c r="BB383" s="2">
        <f t="shared" si="268"/>
        <v>0.50168999999999997</v>
      </c>
      <c r="BC383" s="2">
        <f t="shared" si="285"/>
        <v>2.1004457250000002</v>
      </c>
      <c r="BD383" s="2">
        <v>0</v>
      </c>
      <c r="BE383" s="2">
        <f t="shared" si="269"/>
        <v>8.3614999999999995</v>
      </c>
      <c r="BF383" s="2">
        <f t="shared" si="270"/>
        <v>0.27174874999999998</v>
      </c>
      <c r="BG383" s="2">
        <f t="shared" si="286"/>
        <v>0.27174874999999998</v>
      </c>
      <c r="BH383" s="2">
        <f t="shared" si="287"/>
        <v>4.0762312499999995E-2</v>
      </c>
      <c r="BI383" s="2">
        <f t="shared" si="271"/>
        <v>1.6723000000000002E-2</v>
      </c>
      <c r="BJ383" s="2">
        <f t="shared" si="272"/>
        <v>0.50168999999999997</v>
      </c>
      <c r="BK383" s="2">
        <f t="shared" si="288"/>
        <v>9.1924240625000007</v>
      </c>
      <c r="BL383" s="2">
        <f t="shared" si="273"/>
        <v>4176.2</v>
      </c>
      <c r="BM383" s="2">
        <f t="shared" si="274"/>
        <v>4185.3</v>
      </c>
      <c r="BN383" s="2">
        <f t="shared" si="289"/>
        <v>8361.5</v>
      </c>
    </row>
    <row r="384" spans="1:66" x14ac:dyDescent="0.25">
      <c r="A384" s="42">
        <v>381</v>
      </c>
      <c r="B384" s="43">
        <v>42870</v>
      </c>
      <c r="C384" s="42" t="s">
        <v>50</v>
      </c>
      <c r="D384" s="42" t="s">
        <v>248</v>
      </c>
      <c r="E384" s="6">
        <f t="shared" si="275"/>
        <v>-0.33569031250018178</v>
      </c>
      <c r="F384" s="5" t="str">
        <f t="shared" si="290"/>
        <v>Win</v>
      </c>
      <c r="G384" s="4">
        <f t="shared" si="291"/>
        <v>0.6999999999998181</v>
      </c>
      <c r="H384" s="46">
        <v>2</v>
      </c>
      <c r="I384" s="42">
        <v>762.7</v>
      </c>
      <c r="N384" s="5">
        <f t="shared" si="292"/>
        <v>2</v>
      </c>
      <c r="O384" s="4">
        <f t="shared" si="293"/>
        <v>762.7</v>
      </c>
      <c r="P384" s="5">
        <f t="shared" si="248"/>
        <v>2</v>
      </c>
      <c r="Q384" s="42">
        <v>763.05</v>
      </c>
      <c r="R384" s="2">
        <f t="shared" si="296"/>
        <v>0</v>
      </c>
      <c r="T384" s="2">
        <f t="shared" si="276"/>
        <v>0</v>
      </c>
      <c r="V384" s="5">
        <f t="shared" si="294"/>
        <v>2</v>
      </c>
      <c r="W384" s="4">
        <f t="shared" si="295"/>
        <v>763.05</v>
      </c>
      <c r="X384" s="14">
        <f t="shared" si="249"/>
        <v>0.34999999999990905</v>
      </c>
      <c r="Y384" s="5">
        <f t="shared" si="250"/>
        <v>0.6999999999998181</v>
      </c>
      <c r="Z384" s="2">
        <f t="shared" si="251"/>
        <v>0</v>
      </c>
      <c r="AA384" s="4">
        <f t="shared" si="252"/>
        <v>0</v>
      </c>
      <c r="AB384" s="13">
        <f t="shared" si="253"/>
        <v>1.0356903124999999</v>
      </c>
      <c r="AC384" s="10">
        <f>SUM($E$4:E384)</f>
        <v>-13236.941849872577</v>
      </c>
      <c r="AD384" s="20">
        <f>SUM($AB$4:AB384)</f>
        <v>11294.695349872534</v>
      </c>
      <c r="AF384" s="28">
        <f t="shared" si="254"/>
        <v>0.30515000000000003</v>
      </c>
      <c r="AG384" s="2">
        <f t="shared" si="255"/>
        <v>0.381525</v>
      </c>
      <c r="AH384" s="2">
        <f t="shared" si="256"/>
        <v>9.9173749999999991E-2</v>
      </c>
      <c r="AI384" s="2">
        <f t="shared" si="277"/>
        <v>0.40432375000000004</v>
      </c>
      <c r="AJ384" s="2">
        <f t="shared" si="278"/>
        <v>6.0648562500000003E-2</v>
      </c>
      <c r="AK384" s="2">
        <f t="shared" si="257"/>
        <v>6.1030000000000008E-3</v>
      </c>
      <c r="AL384" s="2">
        <f t="shared" si="258"/>
        <v>0.18309</v>
      </c>
      <c r="AM384" s="2">
        <f t="shared" si="279"/>
        <v>1.0356903124999999</v>
      </c>
      <c r="AN384" s="2">
        <f t="shared" si="259"/>
        <v>40</v>
      </c>
      <c r="AO384" s="2">
        <f t="shared" si="260"/>
        <v>0.76305000000000001</v>
      </c>
      <c r="AP384" s="2">
        <f t="shared" si="261"/>
        <v>1.6172949999999999</v>
      </c>
      <c r="AQ384" s="2">
        <f t="shared" si="280"/>
        <v>41.617294999999999</v>
      </c>
      <c r="AR384" s="2">
        <f t="shared" si="281"/>
        <v>6.2425942499999998</v>
      </c>
      <c r="AS384" s="2">
        <f t="shared" si="262"/>
        <v>6.1030000000000008E-3</v>
      </c>
      <c r="AT384" s="2">
        <f t="shared" si="263"/>
        <v>0.18309</v>
      </c>
      <c r="AU384" s="2">
        <f t="shared" si="282"/>
        <v>48.812132250000005</v>
      </c>
      <c r="AV384" s="2">
        <f t="shared" si="264"/>
        <v>0.30515000000000003</v>
      </c>
      <c r="AW384" s="2">
        <f t="shared" si="265"/>
        <v>0.15261</v>
      </c>
      <c r="AX384" s="2">
        <f t="shared" si="266"/>
        <v>6.40815E-2</v>
      </c>
      <c r="AY384" s="2">
        <f t="shared" si="283"/>
        <v>0.36923150000000005</v>
      </c>
      <c r="AZ384" s="2">
        <f t="shared" si="284"/>
        <v>5.5384725000000003E-2</v>
      </c>
      <c r="BA384" s="2">
        <f t="shared" si="267"/>
        <v>6.1030000000000008E-3</v>
      </c>
      <c r="BB384" s="2">
        <f t="shared" si="268"/>
        <v>0.18309</v>
      </c>
      <c r="BC384" s="2">
        <f t="shared" si="285"/>
        <v>0.76641922500000004</v>
      </c>
      <c r="BD384" s="2">
        <v>0</v>
      </c>
      <c r="BE384" s="2">
        <f t="shared" si="269"/>
        <v>3.0514999999999999</v>
      </c>
      <c r="BF384" s="2">
        <f t="shared" si="270"/>
        <v>9.9173749999999991E-2</v>
      </c>
      <c r="BG384" s="2">
        <f t="shared" si="286"/>
        <v>9.9173749999999991E-2</v>
      </c>
      <c r="BH384" s="2">
        <f t="shared" si="287"/>
        <v>1.4876062499999999E-2</v>
      </c>
      <c r="BI384" s="2">
        <f t="shared" si="271"/>
        <v>6.1030000000000008E-3</v>
      </c>
      <c r="BJ384" s="2">
        <f t="shared" si="272"/>
        <v>0.18309</v>
      </c>
      <c r="BK384" s="2">
        <f t="shared" si="288"/>
        <v>3.3547428124999996</v>
      </c>
      <c r="BL384" s="2">
        <f t="shared" si="273"/>
        <v>1525.4</v>
      </c>
      <c r="BM384" s="2">
        <f t="shared" si="274"/>
        <v>1526.1</v>
      </c>
      <c r="BN384" s="2">
        <f t="shared" si="289"/>
        <v>3051.5</v>
      </c>
    </row>
    <row r="385" spans="1:66" x14ac:dyDescent="0.25">
      <c r="A385" s="42">
        <v>382</v>
      </c>
      <c r="B385" s="43">
        <v>42870</v>
      </c>
      <c r="C385" s="42" t="s">
        <v>50</v>
      </c>
      <c r="D385" s="42" t="s">
        <v>249</v>
      </c>
      <c r="E385" s="6">
        <f t="shared" si="275"/>
        <v>9.2370830625000337</v>
      </c>
      <c r="F385" s="5" t="str">
        <f t="shared" si="290"/>
        <v>Win</v>
      </c>
      <c r="G385" s="4">
        <f t="shared" si="291"/>
        <v>9.9000000000000341</v>
      </c>
      <c r="H385" s="46">
        <v>6</v>
      </c>
      <c r="I385" s="42">
        <v>161.65</v>
      </c>
      <c r="N385" s="5">
        <f t="shared" si="292"/>
        <v>6</v>
      </c>
      <c r="O385" s="4">
        <f t="shared" si="293"/>
        <v>161.65</v>
      </c>
      <c r="P385" s="5">
        <f t="shared" si="248"/>
        <v>6</v>
      </c>
      <c r="Q385" s="42">
        <v>163.30000000000001</v>
      </c>
      <c r="R385" s="2">
        <f t="shared" si="296"/>
        <v>0</v>
      </c>
      <c r="T385" s="2">
        <f t="shared" si="276"/>
        <v>0</v>
      </c>
      <c r="V385" s="5">
        <f t="shared" si="294"/>
        <v>6</v>
      </c>
      <c r="W385" s="4">
        <f t="shared" si="295"/>
        <v>163.30000000000001</v>
      </c>
      <c r="X385" s="14">
        <f t="shared" si="249"/>
        <v>1.6500000000000057</v>
      </c>
      <c r="Y385" s="5">
        <f t="shared" si="250"/>
        <v>9.9000000000000341</v>
      </c>
      <c r="Z385" s="2">
        <f t="shared" si="251"/>
        <v>0</v>
      </c>
      <c r="AA385" s="4">
        <f t="shared" si="252"/>
        <v>0</v>
      </c>
      <c r="AB385" s="13">
        <f t="shared" si="253"/>
        <v>0.66291693750000014</v>
      </c>
      <c r="AC385" s="10">
        <f>SUM($E$4:E385)</f>
        <v>-13227.704766810077</v>
      </c>
      <c r="AD385" s="20">
        <f>SUM($AB$4:AB385)</f>
        <v>11295.358266810033</v>
      </c>
      <c r="AF385" s="28">
        <f t="shared" si="254"/>
        <v>0.19497000000000003</v>
      </c>
      <c r="AG385" s="2">
        <f t="shared" si="255"/>
        <v>0.24495000000000003</v>
      </c>
      <c r="AH385" s="2">
        <f t="shared" si="256"/>
        <v>6.3365249999999998E-2</v>
      </c>
      <c r="AI385" s="2">
        <f t="shared" si="277"/>
        <v>0.25833525000000002</v>
      </c>
      <c r="AJ385" s="2">
        <f t="shared" si="278"/>
        <v>3.8750287500000001E-2</v>
      </c>
      <c r="AK385" s="2">
        <f t="shared" si="257"/>
        <v>3.8994000000000008E-3</v>
      </c>
      <c r="AL385" s="2">
        <f t="shared" si="258"/>
        <v>0.11698200000000002</v>
      </c>
      <c r="AM385" s="2">
        <f t="shared" si="279"/>
        <v>0.66291693750000014</v>
      </c>
      <c r="AN385" s="2">
        <f t="shared" si="259"/>
        <v>40</v>
      </c>
      <c r="AO385" s="2">
        <f t="shared" si="260"/>
        <v>0.48990000000000006</v>
      </c>
      <c r="AP385" s="2">
        <f t="shared" si="261"/>
        <v>1.0333410000000001</v>
      </c>
      <c r="AQ385" s="2">
        <f t="shared" si="280"/>
        <v>41.033341</v>
      </c>
      <c r="AR385" s="2">
        <f t="shared" si="281"/>
        <v>6.1550011499999995</v>
      </c>
      <c r="AS385" s="2">
        <f t="shared" si="262"/>
        <v>3.8994000000000008E-3</v>
      </c>
      <c r="AT385" s="2">
        <f t="shared" si="263"/>
        <v>0.11698200000000002</v>
      </c>
      <c r="AU385" s="2">
        <f t="shared" si="282"/>
        <v>47.799123549999997</v>
      </c>
      <c r="AV385" s="2">
        <f t="shared" si="264"/>
        <v>0.19497000000000003</v>
      </c>
      <c r="AW385" s="2">
        <f t="shared" si="265"/>
        <v>9.7980000000000012E-2</v>
      </c>
      <c r="AX385" s="2">
        <f t="shared" si="266"/>
        <v>4.0943700000000006E-2</v>
      </c>
      <c r="AY385" s="2">
        <f t="shared" si="283"/>
        <v>0.23591370000000003</v>
      </c>
      <c r="AZ385" s="2">
        <f t="shared" si="284"/>
        <v>3.5387055000000001E-2</v>
      </c>
      <c r="BA385" s="2">
        <f t="shared" si="267"/>
        <v>3.8994000000000008E-3</v>
      </c>
      <c r="BB385" s="2">
        <f t="shared" si="268"/>
        <v>0.11698200000000002</v>
      </c>
      <c r="BC385" s="2">
        <f t="shared" si="285"/>
        <v>0.4901621550000001</v>
      </c>
      <c r="BD385" s="2">
        <v>0</v>
      </c>
      <c r="BE385" s="2">
        <f t="shared" si="269"/>
        <v>1.9497000000000002</v>
      </c>
      <c r="BF385" s="2">
        <f t="shared" si="270"/>
        <v>6.3365249999999998E-2</v>
      </c>
      <c r="BG385" s="2">
        <f t="shared" si="286"/>
        <v>6.3365249999999998E-2</v>
      </c>
      <c r="BH385" s="2">
        <f t="shared" si="287"/>
        <v>9.5047874999999987E-3</v>
      </c>
      <c r="BI385" s="2">
        <f t="shared" si="271"/>
        <v>3.8994000000000008E-3</v>
      </c>
      <c r="BJ385" s="2">
        <f t="shared" si="272"/>
        <v>0.11698200000000002</v>
      </c>
      <c r="BK385" s="2">
        <f t="shared" si="288"/>
        <v>2.1434514375000004</v>
      </c>
      <c r="BL385" s="2">
        <f t="shared" si="273"/>
        <v>969.90000000000009</v>
      </c>
      <c r="BM385" s="2">
        <f t="shared" si="274"/>
        <v>979.80000000000007</v>
      </c>
      <c r="BN385" s="2">
        <f t="shared" si="289"/>
        <v>1949.7000000000003</v>
      </c>
    </row>
    <row r="386" spans="1:66" x14ac:dyDescent="0.25">
      <c r="A386" s="42">
        <v>383</v>
      </c>
      <c r="B386" s="43">
        <v>42870</v>
      </c>
      <c r="C386" s="42" t="s">
        <v>50</v>
      </c>
      <c r="D386" s="42" t="s">
        <v>187</v>
      </c>
      <c r="E386" s="6">
        <f t="shared" si="275"/>
        <v>8.9385120000000224</v>
      </c>
      <c r="F386" s="5" t="str">
        <f t="shared" si="290"/>
        <v>Win</v>
      </c>
      <c r="G386" s="4">
        <f t="shared" si="291"/>
        <v>9.6000000000000227</v>
      </c>
      <c r="H386" s="46">
        <v>8</v>
      </c>
      <c r="I386" s="42">
        <v>121</v>
      </c>
      <c r="N386" s="5">
        <f t="shared" si="292"/>
        <v>8</v>
      </c>
      <c r="O386" s="4">
        <f t="shared" si="293"/>
        <v>121</v>
      </c>
      <c r="P386" s="5">
        <f t="shared" si="248"/>
        <v>8</v>
      </c>
      <c r="Q386" s="42">
        <v>122.2</v>
      </c>
      <c r="R386" s="2">
        <f t="shared" si="296"/>
        <v>0</v>
      </c>
      <c r="T386" s="2">
        <f t="shared" si="276"/>
        <v>0</v>
      </c>
      <c r="V386" s="5">
        <f t="shared" si="294"/>
        <v>8</v>
      </c>
      <c r="W386" s="4">
        <f t="shared" si="295"/>
        <v>122.2</v>
      </c>
      <c r="X386" s="14">
        <f t="shared" si="249"/>
        <v>1.2000000000000028</v>
      </c>
      <c r="Y386" s="5">
        <f t="shared" si="250"/>
        <v>9.6000000000000227</v>
      </c>
      <c r="Z386" s="2">
        <f t="shared" si="251"/>
        <v>0</v>
      </c>
      <c r="AA386" s="4">
        <f t="shared" si="252"/>
        <v>0</v>
      </c>
      <c r="AB386" s="13">
        <f t="shared" si="253"/>
        <v>0.66148799999999985</v>
      </c>
      <c r="AC386" s="10">
        <f>SUM($E$4:E386)</f>
        <v>-13218.766254810076</v>
      </c>
      <c r="AD386" s="20">
        <f>SUM($AB$4:AB386)</f>
        <v>11296.019754810033</v>
      </c>
      <c r="AF386" s="28">
        <f t="shared" si="254"/>
        <v>0.19456000000000001</v>
      </c>
      <c r="AG386" s="2">
        <f t="shared" si="255"/>
        <v>0.24440000000000001</v>
      </c>
      <c r="AH386" s="2">
        <f t="shared" si="256"/>
        <v>6.3231999999999997E-2</v>
      </c>
      <c r="AI386" s="2">
        <f t="shared" si="277"/>
        <v>0.25779200000000002</v>
      </c>
      <c r="AJ386" s="2">
        <f t="shared" si="278"/>
        <v>3.8668800000000003E-2</v>
      </c>
      <c r="AK386" s="2">
        <f t="shared" si="257"/>
        <v>3.8911999999999996E-3</v>
      </c>
      <c r="AL386" s="2">
        <f t="shared" si="258"/>
        <v>0.11673599999999999</v>
      </c>
      <c r="AM386" s="2">
        <f t="shared" si="279"/>
        <v>0.66148799999999985</v>
      </c>
      <c r="AN386" s="2">
        <f t="shared" si="259"/>
        <v>40</v>
      </c>
      <c r="AO386" s="2">
        <f t="shared" si="260"/>
        <v>0.48880000000000001</v>
      </c>
      <c r="AP386" s="2">
        <f t="shared" si="261"/>
        <v>1.0311679999999999</v>
      </c>
      <c r="AQ386" s="2">
        <f t="shared" si="280"/>
        <v>41.031168000000001</v>
      </c>
      <c r="AR386" s="2">
        <f t="shared" si="281"/>
        <v>6.1546751999999998</v>
      </c>
      <c r="AS386" s="2">
        <f t="shared" si="262"/>
        <v>3.8911999999999996E-3</v>
      </c>
      <c r="AT386" s="2">
        <f t="shared" si="263"/>
        <v>0.11673599999999999</v>
      </c>
      <c r="AU386" s="2">
        <f t="shared" si="282"/>
        <v>47.7952704</v>
      </c>
      <c r="AV386" s="2">
        <f t="shared" si="264"/>
        <v>0.19456000000000001</v>
      </c>
      <c r="AW386" s="2">
        <f t="shared" si="265"/>
        <v>9.7760000000000014E-2</v>
      </c>
      <c r="AX386" s="2">
        <f t="shared" si="266"/>
        <v>4.0857599999999994E-2</v>
      </c>
      <c r="AY386" s="2">
        <f t="shared" si="283"/>
        <v>0.2354176</v>
      </c>
      <c r="AZ386" s="2">
        <f t="shared" si="284"/>
        <v>3.5312639999999999E-2</v>
      </c>
      <c r="BA386" s="2">
        <f t="shared" si="267"/>
        <v>3.8911999999999996E-3</v>
      </c>
      <c r="BB386" s="2">
        <f t="shared" si="268"/>
        <v>0.11673599999999999</v>
      </c>
      <c r="BC386" s="2">
        <f t="shared" si="285"/>
        <v>0.48911744000000001</v>
      </c>
      <c r="BD386" s="2">
        <v>0</v>
      </c>
      <c r="BE386" s="2">
        <f t="shared" si="269"/>
        <v>1.9456</v>
      </c>
      <c r="BF386" s="2">
        <f t="shared" si="270"/>
        <v>6.3231999999999997E-2</v>
      </c>
      <c r="BG386" s="2">
        <f t="shared" si="286"/>
        <v>6.3231999999999997E-2</v>
      </c>
      <c r="BH386" s="2">
        <f t="shared" si="287"/>
        <v>9.4847999999999998E-3</v>
      </c>
      <c r="BI386" s="2">
        <f t="shared" si="271"/>
        <v>3.8911999999999996E-3</v>
      </c>
      <c r="BJ386" s="2">
        <f t="shared" si="272"/>
        <v>0.11673599999999999</v>
      </c>
      <c r="BK386" s="2">
        <f t="shared" si="288"/>
        <v>2.138944</v>
      </c>
      <c r="BL386" s="2">
        <f t="shared" si="273"/>
        <v>968</v>
      </c>
      <c r="BM386" s="2">
        <f t="shared" si="274"/>
        <v>977.6</v>
      </c>
      <c r="BN386" s="2">
        <f t="shared" si="289"/>
        <v>1945.6</v>
      </c>
    </row>
    <row r="387" spans="1:66" x14ac:dyDescent="0.25">
      <c r="A387" s="42">
        <v>384</v>
      </c>
      <c r="B387" s="43">
        <v>42870</v>
      </c>
      <c r="C387" s="42" t="s">
        <v>50</v>
      </c>
      <c r="D387" s="42" t="s">
        <v>259</v>
      </c>
      <c r="E387" s="6">
        <f t="shared" si="275"/>
        <v>-20.506343624999896</v>
      </c>
      <c r="F387" s="5" t="str">
        <f t="shared" si="290"/>
        <v>Loss</v>
      </c>
      <c r="G387" s="4">
        <f t="shared" si="291"/>
        <v>-19.799999999999898</v>
      </c>
      <c r="H387" s="46">
        <v>12</v>
      </c>
      <c r="I387" s="42">
        <v>87.85</v>
      </c>
      <c r="N387" s="5">
        <f t="shared" si="292"/>
        <v>12</v>
      </c>
      <c r="O387" s="4">
        <f t="shared" si="293"/>
        <v>87.85</v>
      </c>
      <c r="P387" s="5">
        <f t="shared" si="248"/>
        <v>12</v>
      </c>
      <c r="Q387" s="42">
        <v>86.2</v>
      </c>
      <c r="R387" s="2">
        <f t="shared" si="296"/>
        <v>0</v>
      </c>
      <c r="T387" s="2">
        <f t="shared" si="276"/>
        <v>0</v>
      </c>
      <c r="V387" s="5">
        <f t="shared" si="294"/>
        <v>12</v>
      </c>
      <c r="W387" s="4">
        <f t="shared" si="295"/>
        <v>86.2</v>
      </c>
      <c r="X387" s="14">
        <f t="shared" si="249"/>
        <v>-1.6499999999999915</v>
      </c>
      <c r="Y387" s="5">
        <f t="shared" si="250"/>
        <v>-19.799999999999898</v>
      </c>
      <c r="Z387" s="2">
        <f t="shared" si="251"/>
        <v>0</v>
      </c>
      <c r="AA387" s="4">
        <f t="shared" si="252"/>
        <v>0</v>
      </c>
      <c r="AB387" s="13">
        <f t="shared" si="253"/>
        <v>0.70634362499999992</v>
      </c>
      <c r="AC387" s="10">
        <f>SUM($E$4:E387)</f>
        <v>-13239.272598435076</v>
      </c>
      <c r="AD387" s="20">
        <f>SUM($AB$4:AB387)</f>
        <v>11296.726098435032</v>
      </c>
      <c r="AF387" s="28">
        <f t="shared" si="254"/>
        <v>0.20885999999999999</v>
      </c>
      <c r="AG387" s="2">
        <f t="shared" si="255"/>
        <v>0.2586</v>
      </c>
      <c r="AH387" s="2">
        <f t="shared" si="256"/>
        <v>6.7879499999999995E-2</v>
      </c>
      <c r="AI387" s="2">
        <f t="shared" si="277"/>
        <v>0.27673949999999997</v>
      </c>
      <c r="AJ387" s="2">
        <f t="shared" si="278"/>
        <v>4.1510924999999997E-2</v>
      </c>
      <c r="AK387" s="2">
        <f t="shared" si="257"/>
        <v>4.1771999999999998E-3</v>
      </c>
      <c r="AL387" s="2">
        <f t="shared" si="258"/>
        <v>0.12531600000000001</v>
      </c>
      <c r="AM387" s="2">
        <f t="shared" si="279"/>
        <v>0.70634362499999992</v>
      </c>
      <c r="AN387" s="2">
        <f t="shared" si="259"/>
        <v>40</v>
      </c>
      <c r="AO387" s="2">
        <f t="shared" si="260"/>
        <v>0.51719999999999999</v>
      </c>
      <c r="AP387" s="2">
        <f t="shared" si="261"/>
        <v>1.1069579999999999</v>
      </c>
      <c r="AQ387" s="2">
        <f t="shared" si="280"/>
        <v>41.106957999999999</v>
      </c>
      <c r="AR387" s="2">
        <f t="shared" si="281"/>
        <v>6.1660436999999995</v>
      </c>
      <c r="AS387" s="2">
        <f t="shared" si="262"/>
        <v>4.1771999999999998E-3</v>
      </c>
      <c r="AT387" s="2">
        <f t="shared" si="263"/>
        <v>0.12531600000000001</v>
      </c>
      <c r="AU387" s="2">
        <f t="shared" si="282"/>
        <v>47.919694899999996</v>
      </c>
      <c r="AV387" s="2">
        <f t="shared" si="264"/>
        <v>0.20885999999999999</v>
      </c>
      <c r="AW387" s="2">
        <f t="shared" si="265"/>
        <v>0.10344000000000002</v>
      </c>
      <c r="AX387" s="2">
        <f t="shared" si="266"/>
        <v>4.3860599999999993E-2</v>
      </c>
      <c r="AY387" s="2">
        <f t="shared" si="283"/>
        <v>0.25272059999999996</v>
      </c>
      <c r="AZ387" s="2">
        <f t="shared" si="284"/>
        <v>3.7908089999999992E-2</v>
      </c>
      <c r="BA387" s="2">
        <f t="shared" si="267"/>
        <v>4.1771999999999998E-3</v>
      </c>
      <c r="BB387" s="2">
        <f t="shared" si="268"/>
        <v>0.12531600000000001</v>
      </c>
      <c r="BC387" s="2">
        <f t="shared" si="285"/>
        <v>0.52356188999999997</v>
      </c>
      <c r="BD387" s="2">
        <v>0</v>
      </c>
      <c r="BE387" s="2">
        <f t="shared" si="269"/>
        <v>2.0886</v>
      </c>
      <c r="BF387" s="2">
        <f t="shared" si="270"/>
        <v>6.7879499999999995E-2</v>
      </c>
      <c r="BG387" s="2">
        <f t="shared" si="286"/>
        <v>6.7879499999999995E-2</v>
      </c>
      <c r="BH387" s="2">
        <f t="shared" si="287"/>
        <v>1.0181925E-2</v>
      </c>
      <c r="BI387" s="2">
        <f t="shared" si="271"/>
        <v>4.1771999999999998E-3</v>
      </c>
      <c r="BJ387" s="2">
        <f t="shared" si="272"/>
        <v>0.12531600000000001</v>
      </c>
      <c r="BK387" s="2">
        <f t="shared" si="288"/>
        <v>2.2961546250000002</v>
      </c>
      <c r="BL387" s="2">
        <f t="shared" si="273"/>
        <v>1054.1999999999998</v>
      </c>
      <c r="BM387" s="2">
        <f t="shared" si="274"/>
        <v>1034.4000000000001</v>
      </c>
      <c r="BN387" s="2">
        <f t="shared" si="289"/>
        <v>2088.6</v>
      </c>
    </row>
    <row r="388" spans="1:66" x14ac:dyDescent="0.25">
      <c r="A388" s="42">
        <v>385</v>
      </c>
      <c r="B388" s="43">
        <v>42870</v>
      </c>
      <c r="C388" s="42" t="s">
        <v>50</v>
      </c>
      <c r="D388" s="42" t="s">
        <v>235</v>
      </c>
      <c r="E388" s="6">
        <f t="shared" si="275"/>
        <v>-5.5267485000000685</v>
      </c>
      <c r="F388" s="5" t="str">
        <f t="shared" si="290"/>
        <v>Loss</v>
      </c>
      <c r="G388" s="4">
        <f t="shared" si="291"/>
        <v>-4.8000000000000682</v>
      </c>
      <c r="H388" s="46">
        <v>12</v>
      </c>
      <c r="I388" s="42">
        <v>89.5</v>
      </c>
      <c r="N388" s="5">
        <f t="shared" si="292"/>
        <v>12</v>
      </c>
      <c r="O388" s="4">
        <f t="shared" si="293"/>
        <v>89.5</v>
      </c>
      <c r="P388" s="5">
        <f t="shared" ref="P388:P451" si="297">H388</f>
        <v>12</v>
      </c>
      <c r="Q388" s="42">
        <v>89.1</v>
      </c>
      <c r="R388" s="2">
        <f t="shared" si="296"/>
        <v>0</v>
      </c>
      <c r="T388" s="2">
        <f t="shared" si="276"/>
        <v>0</v>
      </c>
      <c r="V388" s="5">
        <f t="shared" si="294"/>
        <v>12</v>
      </c>
      <c r="W388" s="4">
        <f t="shared" si="295"/>
        <v>89.1</v>
      </c>
      <c r="X388" s="14">
        <f t="shared" ref="X388:X451" si="298">MAX(Q388,S388,U388)-MIN(I388,K388,M388)</f>
        <v>-0.40000000000000568</v>
      </c>
      <c r="Y388" s="5">
        <f t="shared" ref="Y388:Y451" si="299">P388*(Q388-I388)</f>
        <v>-4.8000000000000682</v>
      </c>
      <c r="Z388" s="2">
        <f t="shared" ref="Z388:Z451" si="300">R388*(S388-K388)</f>
        <v>0</v>
      </c>
      <c r="AA388" s="4">
        <f t="shared" ref="AA388:AA451" si="301">T388*(U388-M388)</f>
        <v>0</v>
      </c>
      <c r="AB388" s="13">
        <f t="shared" ref="AB388:AB451" si="302">IF(C388="EQ Intraday",AM388,IF(C388="Index Option",AU388,IF(C388="Index Future",BC388,IF(C388="EQ Delivery",BK388,IF(C388="Stock Option",AU388,IF(C388="Stock Future",BC388,IF(C388="",0,"Error")))))))</f>
        <v>0.72674850000000002</v>
      </c>
      <c r="AC388" s="10">
        <f>SUM($E$4:E388)</f>
        <v>-13244.799346935077</v>
      </c>
      <c r="AD388" s="20">
        <f>SUM($AB$4:AB388)</f>
        <v>11297.452846935032</v>
      </c>
      <c r="AF388" s="28">
        <f t="shared" ref="AF388:AF451" si="303">MIN(IF(ISBLANK(U388)=FALSE,120,IF(ISBLANK(S388)=FALSE,80,40)),(((V388*W388)+(N388*O388))*0.0001))</f>
        <v>0.21431999999999998</v>
      </c>
      <c r="AG388" s="2">
        <f t="shared" ref="AG388:AG451" si="304">(0.00025*V388*W388)</f>
        <v>0.26729999999999998</v>
      </c>
      <c r="AH388" s="2">
        <f t="shared" ref="AH388:AH451" si="305">(0.0000325*((V388*W388)+(N388*O388)))</f>
        <v>6.9653999999999994E-2</v>
      </c>
      <c r="AI388" s="2">
        <f t="shared" si="277"/>
        <v>0.28397399999999995</v>
      </c>
      <c r="AJ388" s="2">
        <f t="shared" si="278"/>
        <v>4.2596099999999991E-2</v>
      </c>
      <c r="AK388" s="2">
        <f t="shared" ref="AK388:AK451" si="306">(((V388*W388)+(N388*O388))/10000000)*20</f>
        <v>4.2864000000000001E-3</v>
      </c>
      <c r="AL388" s="2">
        <f t="shared" ref="AL388:AL451" si="307">0.00006*((V388*W388)+(N388*O388))</f>
        <v>0.12859199999999998</v>
      </c>
      <c r="AM388" s="2">
        <f t="shared" si="279"/>
        <v>0.72674850000000002</v>
      </c>
      <c r="AN388" s="2">
        <f t="shared" ref="AN388:AN451" si="308">COUNT(H388,J388,L388)*40</f>
        <v>40</v>
      </c>
      <c r="AO388" s="2">
        <f t="shared" ref="AO388:AO451" si="309">0.0005*V388*W388</f>
        <v>0.53459999999999996</v>
      </c>
      <c r="AP388" s="2">
        <f t="shared" ref="AP388:AP451" si="310">0.00053*((N388*O388)+(V388*W388))</f>
        <v>1.1358959999999998</v>
      </c>
      <c r="AQ388" s="2">
        <f t="shared" si="280"/>
        <v>41.135896000000002</v>
      </c>
      <c r="AR388" s="2">
        <f t="shared" si="281"/>
        <v>6.1703844000000005</v>
      </c>
      <c r="AS388" s="2">
        <f t="shared" ref="AS388:AS451" si="311">(((V388*W388)+(N388*O388))/10000000)*20</f>
        <v>4.2864000000000001E-3</v>
      </c>
      <c r="AT388" s="2">
        <f t="shared" ref="AT388:AT451" si="312">0.00006*((V388*W388)+(N388*O388))</f>
        <v>0.12859199999999998</v>
      </c>
      <c r="AU388" s="2">
        <f t="shared" si="282"/>
        <v>47.973758799999999</v>
      </c>
      <c r="AV388" s="2">
        <f t="shared" ref="AV388:AV451" si="313">MIN(IF(ISBLANK(U388)=FALSE,120,IF(ISBLANK(S388)=FALSE,80,40)),(((V388*W388)+(N388*O388))*0.0001))</f>
        <v>0.21431999999999998</v>
      </c>
      <c r="AW388" s="2">
        <f t="shared" ref="AW388:AW451" si="314">0.0001*V388*W388</f>
        <v>0.10692</v>
      </c>
      <c r="AX388" s="2">
        <f t="shared" ref="AX388:AX451" si="315">0.000021*((N388*O388)+(V388*W388))</f>
        <v>4.500719999999999E-2</v>
      </c>
      <c r="AY388" s="2">
        <f t="shared" si="283"/>
        <v>0.25932719999999998</v>
      </c>
      <c r="AZ388" s="2">
        <f t="shared" si="284"/>
        <v>3.8899079999999996E-2</v>
      </c>
      <c r="BA388" s="2">
        <f t="shared" ref="BA388:BA451" si="316">(((V388*W388)+(N388*O388))/10000000)*20</f>
        <v>4.2864000000000001E-3</v>
      </c>
      <c r="BB388" s="2">
        <f t="shared" ref="BB388:BB451" si="317">0.00006*((V388*W388)+(N388*O388))</f>
        <v>0.12859199999999998</v>
      </c>
      <c r="BC388" s="2">
        <f t="shared" si="285"/>
        <v>0.53802467999999992</v>
      </c>
      <c r="BD388" s="2">
        <v>0</v>
      </c>
      <c r="BE388" s="2">
        <f t="shared" ref="BE388:BE451" si="318">0.001*((N388*O388)+(V388*W388))</f>
        <v>2.1431999999999998</v>
      </c>
      <c r="BF388" s="2">
        <f t="shared" ref="BF388:BF451" si="319">(0.0000325*((V388*W388)+(N388*O388)))</f>
        <v>6.9653999999999994E-2</v>
      </c>
      <c r="BG388" s="2">
        <f t="shared" si="286"/>
        <v>6.9653999999999994E-2</v>
      </c>
      <c r="BH388" s="2">
        <f t="shared" si="287"/>
        <v>1.0448099999999998E-2</v>
      </c>
      <c r="BI388" s="2">
        <f t="shared" ref="BI388:BI451" si="320">(((V388*W388)+(N388*O388))/10000000)*20</f>
        <v>4.2864000000000001E-3</v>
      </c>
      <c r="BJ388" s="2">
        <f t="shared" ref="BJ388:BJ451" si="321">0.00006*((V388*W388)+(N388*O388))</f>
        <v>0.12859199999999998</v>
      </c>
      <c r="BK388" s="2">
        <f t="shared" si="288"/>
        <v>2.3561804999999993</v>
      </c>
      <c r="BL388" s="2">
        <f t="shared" ref="BL388:BL451" si="322">N388*O388</f>
        <v>1074</v>
      </c>
      <c r="BM388" s="2">
        <f t="shared" ref="BM388:BM451" si="323">V388*W388</f>
        <v>1069.1999999999998</v>
      </c>
      <c r="BN388" s="2">
        <f t="shared" si="289"/>
        <v>2143.1999999999998</v>
      </c>
    </row>
    <row r="389" spans="1:66" x14ac:dyDescent="0.25">
      <c r="A389" s="42">
        <v>386</v>
      </c>
      <c r="B389" s="43">
        <v>42870</v>
      </c>
      <c r="C389" s="42" t="s">
        <v>50</v>
      </c>
      <c r="D389" s="42" t="s">
        <v>241</v>
      </c>
      <c r="E389" s="6">
        <f t="shared" ref="E389:E452" si="324">G389-AB389</f>
        <v>-1.8794671249999999</v>
      </c>
      <c r="F389" s="5" t="str">
        <f t="shared" si="290"/>
        <v>Loss</v>
      </c>
      <c r="G389" s="4">
        <f t="shared" si="291"/>
        <v>-1</v>
      </c>
      <c r="H389" s="46">
        <v>2</v>
      </c>
      <c r="I389" s="42">
        <v>648.20000000000005</v>
      </c>
      <c r="N389" s="5">
        <f t="shared" si="292"/>
        <v>2</v>
      </c>
      <c r="O389" s="4">
        <f t="shared" si="293"/>
        <v>648.20000000000005</v>
      </c>
      <c r="P389" s="5">
        <f t="shared" si="297"/>
        <v>2</v>
      </c>
      <c r="Q389" s="42">
        <v>647.70000000000005</v>
      </c>
      <c r="R389" s="2">
        <f t="shared" si="296"/>
        <v>0</v>
      </c>
      <c r="T389" s="2">
        <f t="shared" ref="T389:T452" si="325">L389</f>
        <v>0</v>
      </c>
      <c r="V389" s="5">
        <f t="shared" si="294"/>
        <v>2</v>
      </c>
      <c r="W389" s="4">
        <f t="shared" si="295"/>
        <v>647.70000000000005</v>
      </c>
      <c r="X389" s="14">
        <f t="shared" si="298"/>
        <v>-0.5</v>
      </c>
      <c r="Y389" s="5">
        <f t="shared" si="299"/>
        <v>-1</v>
      </c>
      <c r="Z389" s="2">
        <f t="shared" si="300"/>
        <v>0</v>
      </c>
      <c r="AA389" s="4">
        <f t="shared" si="301"/>
        <v>0</v>
      </c>
      <c r="AB389" s="13">
        <f t="shared" si="302"/>
        <v>0.87946712499999991</v>
      </c>
      <c r="AC389" s="10">
        <f>SUM($E$4:E389)</f>
        <v>-13246.678814060077</v>
      </c>
      <c r="AD389" s="20">
        <f>SUM($AB$4:AB389)</f>
        <v>11298.332314060031</v>
      </c>
      <c r="AF389" s="28">
        <f t="shared" si="303"/>
        <v>0.25918000000000002</v>
      </c>
      <c r="AG389" s="2">
        <f t="shared" si="304"/>
        <v>0.32385000000000003</v>
      </c>
      <c r="AH389" s="2">
        <f t="shared" si="305"/>
        <v>8.4233500000000003E-2</v>
      </c>
      <c r="AI389" s="2">
        <f t="shared" ref="AI389:AI452" si="326">AH389+AF389</f>
        <v>0.34341350000000004</v>
      </c>
      <c r="AJ389" s="2">
        <f t="shared" ref="AJ389:AJ452" si="327">0.15*AI389</f>
        <v>5.1512025000000003E-2</v>
      </c>
      <c r="AK389" s="2">
        <f t="shared" si="306"/>
        <v>5.1836E-3</v>
      </c>
      <c r="AL389" s="2">
        <f t="shared" si="307"/>
        <v>0.15550800000000001</v>
      </c>
      <c r="AM389" s="2">
        <f t="shared" ref="AM389:AM452" si="328">SUM(AF389:AH389,AJ389:AL389)</f>
        <v>0.87946712499999991</v>
      </c>
      <c r="AN389" s="2">
        <f t="shared" si="308"/>
        <v>40</v>
      </c>
      <c r="AO389" s="2">
        <f t="shared" si="309"/>
        <v>0.64770000000000005</v>
      </c>
      <c r="AP389" s="2">
        <f t="shared" si="310"/>
        <v>1.3736540000000002</v>
      </c>
      <c r="AQ389" s="2">
        <f t="shared" ref="AQ389:AQ452" si="329">AN389+AP389</f>
        <v>41.373654000000002</v>
      </c>
      <c r="AR389" s="2">
        <f t="shared" ref="AR389:AR452" si="330">0.15*AQ389</f>
        <v>6.2060481000000003</v>
      </c>
      <c r="AS389" s="2">
        <f t="shared" si="311"/>
        <v>5.1836E-3</v>
      </c>
      <c r="AT389" s="2">
        <f t="shared" si="312"/>
        <v>0.15550800000000001</v>
      </c>
      <c r="AU389" s="2">
        <f t="shared" ref="AU389:AU452" si="331">SUM(AN389:AP389,AR389:AT389)</f>
        <v>48.388093700000006</v>
      </c>
      <c r="AV389" s="2">
        <f t="shared" si="313"/>
        <v>0.25918000000000002</v>
      </c>
      <c r="AW389" s="2">
        <f t="shared" si="314"/>
        <v>0.12954000000000002</v>
      </c>
      <c r="AX389" s="2">
        <f t="shared" si="315"/>
        <v>5.4427799999999998E-2</v>
      </c>
      <c r="AY389" s="2">
        <f t="shared" ref="AY389:AY452" si="332">AV389+AX389</f>
        <v>0.31360779999999999</v>
      </c>
      <c r="AZ389" s="2">
        <f t="shared" ref="AZ389:AZ452" si="333">0.15*AY389</f>
        <v>4.704117E-2</v>
      </c>
      <c r="BA389" s="2">
        <f t="shared" si="316"/>
        <v>5.1836E-3</v>
      </c>
      <c r="BB389" s="2">
        <f t="shared" si="317"/>
        <v>0.15550800000000001</v>
      </c>
      <c r="BC389" s="2">
        <f t="shared" ref="BC389:BC452" si="334">SUM(AV389:AX389,AZ389:BB389)</f>
        <v>0.6508805700000001</v>
      </c>
      <c r="BD389" s="2">
        <v>0</v>
      </c>
      <c r="BE389" s="2">
        <f t="shared" si="318"/>
        <v>2.5918000000000001</v>
      </c>
      <c r="BF389" s="2">
        <f t="shared" si="319"/>
        <v>8.4233500000000003E-2</v>
      </c>
      <c r="BG389" s="2">
        <f t="shared" ref="BG389:BG452" si="335">BD389+BF389</f>
        <v>8.4233500000000003E-2</v>
      </c>
      <c r="BH389" s="2">
        <f t="shared" ref="BH389:BH452" si="336">0.15*BG389</f>
        <v>1.2635024999999999E-2</v>
      </c>
      <c r="BI389" s="2">
        <f t="shared" si="320"/>
        <v>5.1836E-3</v>
      </c>
      <c r="BJ389" s="2">
        <f t="shared" si="321"/>
        <v>0.15550800000000001</v>
      </c>
      <c r="BK389" s="2">
        <f t="shared" ref="BK389:BK452" si="337">SUM(BD389:BF389,BH389:BJ389)</f>
        <v>2.849360125</v>
      </c>
      <c r="BL389" s="2">
        <f t="shared" si="322"/>
        <v>1296.4000000000001</v>
      </c>
      <c r="BM389" s="2">
        <f t="shared" si="323"/>
        <v>1295.4000000000001</v>
      </c>
      <c r="BN389" s="2">
        <f t="shared" ref="BN389:BN452" si="338">BM389+BL389</f>
        <v>2591.8000000000002</v>
      </c>
    </row>
    <row r="390" spans="1:66" x14ac:dyDescent="0.25">
      <c r="A390" s="42">
        <v>387</v>
      </c>
      <c r="B390" s="43">
        <v>42870</v>
      </c>
      <c r="C390" s="42" t="s">
        <v>50</v>
      </c>
      <c r="D390" s="42" t="s">
        <v>227</v>
      </c>
      <c r="E390" s="6">
        <f t="shared" si="324"/>
        <v>-8.2439227499999994</v>
      </c>
      <c r="F390" s="5" t="str">
        <f t="shared" ref="F390:F453" si="339">IF(G390&gt;0,"Win",IF(G390=0,"Break Even","Loss"))</f>
        <v>Loss</v>
      </c>
      <c r="G390" s="4">
        <f t="shared" ref="G390:G453" si="340">SUM(Y390,Z390,AA390)</f>
        <v>-7.5</v>
      </c>
      <c r="H390" s="46">
        <v>3</v>
      </c>
      <c r="I390" s="42">
        <v>367.05</v>
      </c>
      <c r="N390" s="5">
        <f t="shared" ref="N390:N453" si="341">SUM(H390,J390,L390)</f>
        <v>3</v>
      </c>
      <c r="O390" s="4">
        <f t="shared" ref="O390:O453" si="342">AVERAGE(M390,K390,I390)</f>
        <v>367.05</v>
      </c>
      <c r="P390" s="5">
        <f t="shared" si="297"/>
        <v>3</v>
      </c>
      <c r="Q390" s="42">
        <v>364.55</v>
      </c>
      <c r="R390" s="2">
        <f t="shared" si="296"/>
        <v>0</v>
      </c>
      <c r="T390" s="2">
        <f t="shared" si="325"/>
        <v>0</v>
      </c>
      <c r="V390" s="5">
        <f t="shared" ref="V390:V453" si="343">SUM(P390,R390,T390)</f>
        <v>3</v>
      </c>
      <c r="W390" s="4">
        <f t="shared" ref="W390:W453" si="344">AVERAGE(Q390,S390,U390)</f>
        <v>364.55</v>
      </c>
      <c r="X390" s="14">
        <f t="shared" si="298"/>
        <v>-2.5</v>
      </c>
      <c r="Y390" s="5">
        <f t="shared" si="299"/>
        <v>-7.5</v>
      </c>
      <c r="Z390" s="2">
        <f t="shared" si="300"/>
        <v>0</v>
      </c>
      <c r="AA390" s="4">
        <f t="shared" si="301"/>
        <v>0</v>
      </c>
      <c r="AB390" s="13">
        <f t="shared" si="302"/>
        <v>0.74392275000000008</v>
      </c>
      <c r="AC390" s="10">
        <f>SUM($E$4:E390)</f>
        <v>-13254.922736810076</v>
      </c>
      <c r="AD390" s="20">
        <f>SUM($AB$4:AB390)</f>
        <v>11299.076236810031</v>
      </c>
      <c r="AF390" s="28">
        <f t="shared" si="303"/>
        <v>0.21948000000000004</v>
      </c>
      <c r="AG390" s="2">
        <f t="shared" si="304"/>
        <v>0.2734125</v>
      </c>
      <c r="AH390" s="2">
        <f t="shared" si="305"/>
        <v>7.1331000000000006E-2</v>
      </c>
      <c r="AI390" s="2">
        <f t="shared" si="326"/>
        <v>0.29081100000000004</v>
      </c>
      <c r="AJ390" s="2">
        <f t="shared" si="327"/>
        <v>4.3621650000000005E-2</v>
      </c>
      <c r="AK390" s="2">
        <f t="shared" si="306"/>
        <v>4.3896000000000004E-3</v>
      </c>
      <c r="AL390" s="2">
        <f t="shared" si="307"/>
        <v>0.13168800000000003</v>
      </c>
      <c r="AM390" s="2">
        <f t="shared" si="328"/>
        <v>0.74392275000000008</v>
      </c>
      <c r="AN390" s="2">
        <f t="shared" si="308"/>
        <v>40</v>
      </c>
      <c r="AO390" s="2">
        <f t="shared" si="309"/>
        <v>0.54682500000000001</v>
      </c>
      <c r="AP390" s="2">
        <f t="shared" si="310"/>
        <v>1.1632439999999999</v>
      </c>
      <c r="AQ390" s="2">
        <f t="shared" si="329"/>
        <v>41.163243999999999</v>
      </c>
      <c r="AR390" s="2">
        <f t="shared" si="330"/>
        <v>6.1744865999999998</v>
      </c>
      <c r="AS390" s="2">
        <f t="shared" si="311"/>
        <v>4.3896000000000004E-3</v>
      </c>
      <c r="AT390" s="2">
        <f t="shared" si="312"/>
        <v>0.13168800000000003</v>
      </c>
      <c r="AU390" s="2">
        <f t="shared" si="331"/>
        <v>48.020633199999999</v>
      </c>
      <c r="AV390" s="2">
        <f t="shared" si="313"/>
        <v>0.21948000000000004</v>
      </c>
      <c r="AW390" s="2">
        <f t="shared" si="314"/>
        <v>0.10936500000000002</v>
      </c>
      <c r="AX390" s="2">
        <f t="shared" si="315"/>
        <v>4.6090800000000001E-2</v>
      </c>
      <c r="AY390" s="2">
        <f t="shared" si="332"/>
        <v>0.26557080000000005</v>
      </c>
      <c r="AZ390" s="2">
        <f t="shared" si="333"/>
        <v>3.9835620000000009E-2</v>
      </c>
      <c r="BA390" s="2">
        <f t="shared" si="316"/>
        <v>4.3896000000000004E-3</v>
      </c>
      <c r="BB390" s="2">
        <f t="shared" si="317"/>
        <v>0.13168800000000003</v>
      </c>
      <c r="BC390" s="2">
        <f t="shared" si="334"/>
        <v>0.55084902000000002</v>
      </c>
      <c r="BD390" s="2">
        <v>0</v>
      </c>
      <c r="BE390" s="2">
        <f t="shared" si="318"/>
        <v>2.1948000000000003</v>
      </c>
      <c r="BF390" s="2">
        <f t="shared" si="319"/>
        <v>7.1331000000000006E-2</v>
      </c>
      <c r="BG390" s="2">
        <f t="shared" si="335"/>
        <v>7.1331000000000006E-2</v>
      </c>
      <c r="BH390" s="2">
        <f t="shared" si="336"/>
        <v>1.069965E-2</v>
      </c>
      <c r="BI390" s="2">
        <f t="shared" si="320"/>
        <v>4.3896000000000004E-3</v>
      </c>
      <c r="BJ390" s="2">
        <f t="shared" si="321"/>
        <v>0.13168800000000003</v>
      </c>
      <c r="BK390" s="2">
        <f t="shared" si="337"/>
        <v>2.4129082500000001</v>
      </c>
      <c r="BL390" s="2">
        <f t="shared" si="322"/>
        <v>1101.1500000000001</v>
      </c>
      <c r="BM390" s="2">
        <f t="shared" si="323"/>
        <v>1093.6500000000001</v>
      </c>
      <c r="BN390" s="2">
        <f t="shared" si="338"/>
        <v>2194.8000000000002</v>
      </c>
    </row>
    <row r="391" spans="1:66" x14ac:dyDescent="0.25">
      <c r="A391" s="42">
        <v>388</v>
      </c>
      <c r="B391" s="43">
        <v>42870</v>
      </c>
      <c r="C391" s="42" t="s">
        <v>50</v>
      </c>
      <c r="D391" s="42" t="s">
        <v>258</v>
      </c>
      <c r="E391" s="6">
        <f t="shared" si="324"/>
        <v>-17.1691873125</v>
      </c>
      <c r="F391" s="5" t="str">
        <f t="shared" si="339"/>
        <v>Loss</v>
      </c>
      <c r="G391" s="4">
        <f t="shared" si="340"/>
        <v>-16.5</v>
      </c>
      <c r="H391" s="46">
        <v>6</v>
      </c>
      <c r="I391" s="42">
        <v>166.2</v>
      </c>
      <c r="N391" s="5">
        <f t="shared" si="341"/>
        <v>6</v>
      </c>
      <c r="O391" s="4">
        <f t="shared" si="342"/>
        <v>166.2</v>
      </c>
      <c r="P391" s="5">
        <f t="shared" si="297"/>
        <v>6</v>
      </c>
      <c r="Q391" s="42">
        <v>163.44999999999999</v>
      </c>
      <c r="R391" s="2">
        <f t="shared" si="296"/>
        <v>0</v>
      </c>
      <c r="T391" s="2">
        <f t="shared" si="325"/>
        <v>0</v>
      </c>
      <c r="V391" s="5">
        <f t="shared" si="343"/>
        <v>6</v>
      </c>
      <c r="W391" s="4">
        <f t="shared" si="344"/>
        <v>163.44999999999999</v>
      </c>
      <c r="X391" s="14">
        <f t="shared" si="298"/>
        <v>-2.75</v>
      </c>
      <c r="Y391" s="5">
        <f t="shared" si="299"/>
        <v>-16.5</v>
      </c>
      <c r="Z391" s="2">
        <f t="shared" si="300"/>
        <v>0</v>
      </c>
      <c r="AA391" s="4">
        <f t="shared" si="301"/>
        <v>0</v>
      </c>
      <c r="AB391" s="13">
        <f t="shared" si="302"/>
        <v>0.66918731249999985</v>
      </c>
      <c r="AC391" s="10">
        <f>SUM($E$4:E391)</f>
        <v>-13272.091924122577</v>
      </c>
      <c r="AD391" s="20">
        <f>SUM($AB$4:AB391)</f>
        <v>11299.745424122531</v>
      </c>
      <c r="AF391" s="28">
        <f t="shared" si="303"/>
        <v>0.19778999999999999</v>
      </c>
      <c r="AG391" s="2">
        <f t="shared" si="304"/>
        <v>0.24517499999999998</v>
      </c>
      <c r="AH391" s="2">
        <f t="shared" si="305"/>
        <v>6.4281749999999985E-2</v>
      </c>
      <c r="AI391" s="2">
        <f t="shared" si="326"/>
        <v>0.26207174999999999</v>
      </c>
      <c r="AJ391" s="2">
        <f t="shared" si="327"/>
        <v>3.9310762499999999E-2</v>
      </c>
      <c r="AK391" s="2">
        <f t="shared" si="306"/>
        <v>3.9557999999999998E-3</v>
      </c>
      <c r="AL391" s="2">
        <f t="shared" si="307"/>
        <v>0.118674</v>
      </c>
      <c r="AM391" s="2">
        <f t="shared" si="328"/>
        <v>0.66918731249999985</v>
      </c>
      <c r="AN391" s="2">
        <f t="shared" si="308"/>
        <v>40</v>
      </c>
      <c r="AO391" s="2">
        <f t="shared" si="309"/>
        <v>0.49034999999999995</v>
      </c>
      <c r="AP391" s="2">
        <f t="shared" si="310"/>
        <v>1.048287</v>
      </c>
      <c r="AQ391" s="2">
        <f t="shared" si="329"/>
        <v>41.048287000000002</v>
      </c>
      <c r="AR391" s="2">
        <f t="shared" si="330"/>
        <v>6.1572430499999999</v>
      </c>
      <c r="AS391" s="2">
        <f t="shared" si="311"/>
        <v>3.9557999999999998E-3</v>
      </c>
      <c r="AT391" s="2">
        <f t="shared" si="312"/>
        <v>0.118674</v>
      </c>
      <c r="AU391" s="2">
        <f t="shared" si="331"/>
        <v>47.818509849999998</v>
      </c>
      <c r="AV391" s="2">
        <f t="shared" si="313"/>
        <v>0.19778999999999999</v>
      </c>
      <c r="AW391" s="2">
        <f t="shared" si="314"/>
        <v>9.8070000000000004E-2</v>
      </c>
      <c r="AX391" s="2">
        <f t="shared" si="315"/>
        <v>4.1535899999999994E-2</v>
      </c>
      <c r="AY391" s="2">
        <f t="shared" si="332"/>
        <v>0.23932589999999998</v>
      </c>
      <c r="AZ391" s="2">
        <f t="shared" si="333"/>
        <v>3.5898884999999998E-2</v>
      </c>
      <c r="BA391" s="2">
        <f t="shared" si="316"/>
        <v>3.9557999999999998E-3</v>
      </c>
      <c r="BB391" s="2">
        <f t="shared" si="317"/>
        <v>0.118674</v>
      </c>
      <c r="BC391" s="2">
        <f t="shared" si="334"/>
        <v>0.49592458500000003</v>
      </c>
      <c r="BD391" s="2">
        <v>0</v>
      </c>
      <c r="BE391" s="2">
        <f t="shared" si="318"/>
        <v>1.9779</v>
      </c>
      <c r="BF391" s="2">
        <f t="shared" si="319"/>
        <v>6.4281749999999985E-2</v>
      </c>
      <c r="BG391" s="2">
        <f t="shared" si="335"/>
        <v>6.4281749999999985E-2</v>
      </c>
      <c r="BH391" s="2">
        <f t="shared" si="336"/>
        <v>9.6422624999999967E-3</v>
      </c>
      <c r="BI391" s="2">
        <f t="shared" si="320"/>
        <v>3.9557999999999998E-3</v>
      </c>
      <c r="BJ391" s="2">
        <f t="shared" si="321"/>
        <v>0.118674</v>
      </c>
      <c r="BK391" s="2">
        <f t="shared" si="337"/>
        <v>2.1744538124999999</v>
      </c>
      <c r="BL391" s="2">
        <f t="shared" si="322"/>
        <v>997.19999999999993</v>
      </c>
      <c r="BM391" s="2">
        <f t="shared" si="323"/>
        <v>980.69999999999993</v>
      </c>
      <c r="BN391" s="2">
        <f t="shared" si="338"/>
        <v>1977.8999999999999</v>
      </c>
    </row>
    <row r="392" spans="1:66" x14ac:dyDescent="0.25">
      <c r="A392" s="42">
        <v>389</v>
      </c>
      <c r="B392" s="43">
        <v>42870</v>
      </c>
      <c r="C392" s="42" t="s">
        <v>50</v>
      </c>
      <c r="D392" s="42" t="s">
        <v>207</v>
      </c>
      <c r="E392" s="6">
        <f t="shared" si="324"/>
        <v>-14.782112062499966</v>
      </c>
      <c r="F392" s="5" t="str">
        <f t="shared" si="339"/>
        <v>Loss</v>
      </c>
      <c r="G392" s="4">
        <f t="shared" si="340"/>
        <v>-14.099999999999966</v>
      </c>
      <c r="H392" s="46">
        <v>6</v>
      </c>
      <c r="I392" s="42">
        <v>169.1</v>
      </c>
      <c r="N392" s="5">
        <f t="shared" si="341"/>
        <v>6</v>
      </c>
      <c r="O392" s="4">
        <f t="shared" si="342"/>
        <v>169.1</v>
      </c>
      <c r="P392" s="5">
        <f t="shared" si="297"/>
        <v>6</v>
      </c>
      <c r="Q392" s="42">
        <v>166.75</v>
      </c>
      <c r="R392" s="2">
        <f t="shared" si="296"/>
        <v>0</v>
      </c>
      <c r="T392" s="2">
        <f t="shared" si="325"/>
        <v>0</v>
      </c>
      <c r="V392" s="5">
        <f t="shared" si="343"/>
        <v>6</v>
      </c>
      <c r="W392" s="4">
        <f t="shared" si="344"/>
        <v>166.75</v>
      </c>
      <c r="X392" s="14">
        <f t="shared" si="298"/>
        <v>-2.3499999999999943</v>
      </c>
      <c r="Y392" s="5">
        <f t="shared" si="299"/>
        <v>-14.099999999999966</v>
      </c>
      <c r="Z392" s="2">
        <f t="shared" si="300"/>
        <v>0</v>
      </c>
      <c r="AA392" s="4">
        <f t="shared" si="301"/>
        <v>0</v>
      </c>
      <c r="AB392" s="13">
        <f t="shared" si="302"/>
        <v>0.68211206249999989</v>
      </c>
      <c r="AC392" s="10">
        <f>SUM($E$4:E392)</f>
        <v>-13286.874036185076</v>
      </c>
      <c r="AD392" s="20">
        <f>SUM($AB$4:AB392)</f>
        <v>11300.427536185032</v>
      </c>
      <c r="AF392" s="28">
        <f t="shared" si="303"/>
        <v>0.20150999999999999</v>
      </c>
      <c r="AG392" s="2">
        <f t="shared" si="304"/>
        <v>0.25012499999999999</v>
      </c>
      <c r="AH392" s="2">
        <f t="shared" si="305"/>
        <v>6.5490749999999986E-2</v>
      </c>
      <c r="AI392" s="2">
        <f t="shared" si="326"/>
        <v>0.26700075000000001</v>
      </c>
      <c r="AJ392" s="2">
        <f t="shared" si="327"/>
        <v>4.0050112499999999E-2</v>
      </c>
      <c r="AK392" s="2">
        <f t="shared" si="306"/>
        <v>4.0301999999999994E-3</v>
      </c>
      <c r="AL392" s="2">
        <f t="shared" si="307"/>
        <v>0.120906</v>
      </c>
      <c r="AM392" s="2">
        <f t="shared" si="328"/>
        <v>0.68211206249999989</v>
      </c>
      <c r="AN392" s="2">
        <f t="shared" si="308"/>
        <v>40</v>
      </c>
      <c r="AO392" s="2">
        <f t="shared" si="309"/>
        <v>0.50024999999999997</v>
      </c>
      <c r="AP392" s="2">
        <f t="shared" si="310"/>
        <v>1.0680029999999998</v>
      </c>
      <c r="AQ392" s="2">
        <f t="shared" si="329"/>
        <v>41.068002999999997</v>
      </c>
      <c r="AR392" s="2">
        <f t="shared" si="330"/>
        <v>6.1602004499999996</v>
      </c>
      <c r="AS392" s="2">
        <f t="shared" si="311"/>
        <v>4.0301999999999994E-3</v>
      </c>
      <c r="AT392" s="2">
        <f t="shared" si="312"/>
        <v>0.120906</v>
      </c>
      <c r="AU392" s="2">
        <f t="shared" si="331"/>
        <v>47.853389649999997</v>
      </c>
      <c r="AV392" s="2">
        <f t="shared" si="313"/>
        <v>0.20150999999999999</v>
      </c>
      <c r="AW392" s="2">
        <f t="shared" si="314"/>
        <v>0.10005000000000001</v>
      </c>
      <c r="AX392" s="2">
        <f t="shared" si="315"/>
        <v>4.2317099999999996E-2</v>
      </c>
      <c r="AY392" s="2">
        <f t="shared" si="332"/>
        <v>0.24382709999999999</v>
      </c>
      <c r="AZ392" s="2">
        <f t="shared" si="333"/>
        <v>3.6574064999999996E-2</v>
      </c>
      <c r="BA392" s="2">
        <f t="shared" si="316"/>
        <v>4.0301999999999994E-3</v>
      </c>
      <c r="BB392" s="2">
        <f t="shared" si="317"/>
        <v>0.120906</v>
      </c>
      <c r="BC392" s="2">
        <f t="shared" si="334"/>
        <v>0.50538736499999992</v>
      </c>
      <c r="BD392" s="2">
        <v>0</v>
      </c>
      <c r="BE392" s="2">
        <f t="shared" si="318"/>
        <v>2.0150999999999999</v>
      </c>
      <c r="BF392" s="2">
        <f t="shared" si="319"/>
        <v>6.5490749999999986E-2</v>
      </c>
      <c r="BG392" s="2">
        <f t="shared" si="335"/>
        <v>6.5490749999999986E-2</v>
      </c>
      <c r="BH392" s="2">
        <f t="shared" si="336"/>
        <v>9.8236124999999969E-3</v>
      </c>
      <c r="BI392" s="2">
        <f t="shared" si="320"/>
        <v>4.0301999999999994E-3</v>
      </c>
      <c r="BJ392" s="2">
        <f t="shared" si="321"/>
        <v>0.120906</v>
      </c>
      <c r="BK392" s="2">
        <f t="shared" si="337"/>
        <v>2.2153505624999998</v>
      </c>
      <c r="BL392" s="2">
        <f t="shared" si="322"/>
        <v>1014.5999999999999</v>
      </c>
      <c r="BM392" s="2">
        <f t="shared" si="323"/>
        <v>1000.5</v>
      </c>
      <c r="BN392" s="2">
        <f t="shared" si="338"/>
        <v>2015.1</v>
      </c>
    </row>
    <row r="393" spans="1:66" x14ac:dyDescent="0.25">
      <c r="A393" s="42">
        <v>390</v>
      </c>
      <c r="B393" s="43">
        <v>42871</v>
      </c>
      <c r="C393" s="42" t="s">
        <v>50</v>
      </c>
      <c r="D393" s="42" t="s">
        <v>248</v>
      </c>
      <c r="E393" s="6">
        <f t="shared" si="324"/>
        <v>-2.6179631249999091</v>
      </c>
      <c r="F393" s="5" t="str">
        <f t="shared" si="339"/>
        <v>Loss</v>
      </c>
      <c r="G393" s="4">
        <f t="shared" si="340"/>
        <v>-2.0999999999999091</v>
      </c>
      <c r="H393" s="46">
        <v>1</v>
      </c>
      <c r="I393" s="42">
        <v>764.55</v>
      </c>
      <c r="N393" s="5">
        <f t="shared" si="341"/>
        <v>1</v>
      </c>
      <c r="O393" s="4">
        <f t="shared" si="342"/>
        <v>764.55</v>
      </c>
      <c r="P393" s="5">
        <f t="shared" si="297"/>
        <v>1</v>
      </c>
      <c r="Q393" s="42">
        <v>762.45</v>
      </c>
      <c r="R393" s="2">
        <f t="shared" si="296"/>
        <v>0</v>
      </c>
      <c r="T393" s="2">
        <f t="shared" si="325"/>
        <v>0</v>
      </c>
      <c r="V393" s="5">
        <f t="shared" si="343"/>
        <v>1</v>
      </c>
      <c r="W393" s="4">
        <f t="shared" si="344"/>
        <v>762.45</v>
      </c>
      <c r="X393" s="14">
        <f t="shared" si="298"/>
        <v>-2.0999999999999091</v>
      </c>
      <c r="Y393" s="5">
        <f t="shared" si="299"/>
        <v>-2.0999999999999091</v>
      </c>
      <c r="Z393" s="2">
        <f t="shared" si="300"/>
        <v>0</v>
      </c>
      <c r="AA393" s="4">
        <f t="shared" si="301"/>
        <v>0</v>
      </c>
      <c r="AB393" s="13">
        <f t="shared" si="302"/>
        <v>0.51796312499999997</v>
      </c>
      <c r="AC393" s="10">
        <f>SUM($E$4:E393)</f>
        <v>-13289.491999310076</v>
      </c>
      <c r="AD393" s="20">
        <f>SUM($AB$4:AB393)</f>
        <v>11300.945499310032</v>
      </c>
      <c r="AF393" s="28">
        <f t="shared" si="303"/>
        <v>0.1527</v>
      </c>
      <c r="AG393" s="2">
        <f t="shared" si="304"/>
        <v>0.19061250000000002</v>
      </c>
      <c r="AH393" s="2">
        <f t="shared" si="305"/>
        <v>4.9627499999999998E-2</v>
      </c>
      <c r="AI393" s="2">
        <f t="shared" si="326"/>
        <v>0.20232749999999999</v>
      </c>
      <c r="AJ393" s="2">
        <f t="shared" si="327"/>
        <v>3.0349124999999998E-2</v>
      </c>
      <c r="AK393" s="2">
        <f t="shared" si="306"/>
        <v>3.0539999999999999E-3</v>
      </c>
      <c r="AL393" s="2">
        <f t="shared" si="307"/>
        <v>9.1620000000000007E-2</v>
      </c>
      <c r="AM393" s="2">
        <f t="shared" si="328"/>
        <v>0.51796312499999997</v>
      </c>
      <c r="AN393" s="2">
        <f t="shared" si="308"/>
        <v>40</v>
      </c>
      <c r="AO393" s="2">
        <f t="shared" si="309"/>
        <v>0.38122500000000004</v>
      </c>
      <c r="AP393" s="2">
        <f t="shared" si="310"/>
        <v>0.80930999999999997</v>
      </c>
      <c r="AQ393" s="2">
        <f t="shared" si="329"/>
        <v>40.809309999999996</v>
      </c>
      <c r="AR393" s="2">
        <f t="shared" si="330"/>
        <v>6.1213964999999995</v>
      </c>
      <c r="AS393" s="2">
        <f t="shared" si="311"/>
        <v>3.0539999999999999E-3</v>
      </c>
      <c r="AT393" s="2">
        <f t="shared" si="312"/>
        <v>9.1620000000000007E-2</v>
      </c>
      <c r="AU393" s="2">
        <f t="shared" si="331"/>
        <v>47.406605499999998</v>
      </c>
      <c r="AV393" s="2">
        <f t="shared" si="313"/>
        <v>0.1527</v>
      </c>
      <c r="AW393" s="2">
        <f t="shared" si="314"/>
        <v>7.6245000000000007E-2</v>
      </c>
      <c r="AX393" s="2">
        <f t="shared" si="315"/>
        <v>3.2066999999999998E-2</v>
      </c>
      <c r="AY393" s="2">
        <f t="shared" si="332"/>
        <v>0.18476700000000001</v>
      </c>
      <c r="AZ393" s="2">
        <f t="shared" si="333"/>
        <v>2.7715050000000001E-2</v>
      </c>
      <c r="BA393" s="2">
        <f t="shared" si="316"/>
        <v>3.0539999999999999E-3</v>
      </c>
      <c r="BB393" s="2">
        <f t="shared" si="317"/>
        <v>9.1620000000000007E-2</v>
      </c>
      <c r="BC393" s="2">
        <f t="shared" si="334"/>
        <v>0.38340105000000002</v>
      </c>
      <c r="BD393" s="2">
        <v>0</v>
      </c>
      <c r="BE393" s="2">
        <f t="shared" si="318"/>
        <v>1.5270000000000001</v>
      </c>
      <c r="BF393" s="2">
        <f t="shared" si="319"/>
        <v>4.9627499999999998E-2</v>
      </c>
      <c r="BG393" s="2">
        <f t="shared" si="335"/>
        <v>4.9627499999999998E-2</v>
      </c>
      <c r="BH393" s="2">
        <f t="shared" si="336"/>
        <v>7.4441249999999994E-3</v>
      </c>
      <c r="BI393" s="2">
        <f t="shared" si="320"/>
        <v>3.0539999999999999E-3</v>
      </c>
      <c r="BJ393" s="2">
        <f t="shared" si="321"/>
        <v>9.1620000000000007E-2</v>
      </c>
      <c r="BK393" s="2">
        <f t="shared" si="337"/>
        <v>1.6787456249999999</v>
      </c>
      <c r="BL393" s="2">
        <f t="shared" si="322"/>
        <v>764.55</v>
      </c>
      <c r="BM393" s="2">
        <f t="shared" si="323"/>
        <v>762.45</v>
      </c>
      <c r="BN393" s="2">
        <f t="shared" si="338"/>
        <v>1527</v>
      </c>
    </row>
    <row r="394" spans="1:66" x14ac:dyDescent="0.25">
      <c r="A394" s="42">
        <v>391</v>
      </c>
      <c r="B394" s="43">
        <v>42871</v>
      </c>
      <c r="C394" s="42" t="s">
        <v>50</v>
      </c>
      <c r="D394" s="42" t="s">
        <v>206</v>
      </c>
      <c r="E394" s="6">
        <f t="shared" si="324"/>
        <v>7.914364062499943</v>
      </c>
      <c r="F394" s="5" t="str">
        <f t="shared" si="339"/>
        <v>Win</v>
      </c>
      <c r="G394" s="4">
        <f t="shared" si="340"/>
        <v>8.4999999999999432</v>
      </c>
      <c r="H394" s="46">
        <v>5</v>
      </c>
      <c r="I394" s="42">
        <v>171.4</v>
      </c>
      <c r="N394" s="5">
        <f t="shared" si="341"/>
        <v>5</v>
      </c>
      <c r="O394" s="4">
        <f t="shared" si="342"/>
        <v>171.4</v>
      </c>
      <c r="P394" s="5">
        <f t="shared" si="297"/>
        <v>5</v>
      </c>
      <c r="Q394" s="42">
        <v>173.1</v>
      </c>
      <c r="R394" s="2">
        <f t="shared" si="296"/>
        <v>0</v>
      </c>
      <c r="T394" s="2">
        <f t="shared" si="325"/>
        <v>0</v>
      </c>
      <c r="V394" s="5">
        <f t="shared" si="343"/>
        <v>5</v>
      </c>
      <c r="W394" s="4">
        <f t="shared" si="344"/>
        <v>173.1</v>
      </c>
      <c r="X394" s="14">
        <f t="shared" si="298"/>
        <v>1.6999999999999886</v>
      </c>
      <c r="Y394" s="5">
        <f t="shared" si="299"/>
        <v>8.4999999999999432</v>
      </c>
      <c r="Z394" s="2">
        <f t="shared" si="300"/>
        <v>0</v>
      </c>
      <c r="AA394" s="4">
        <f t="shared" si="301"/>
        <v>0</v>
      </c>
      <c r="AB394" s="13">
        <f t="shared" si="302"/>
        <v>0.58563593749999998</v>
      </c>
      <c r="AC394" s="10">
        <f>SUM($E$4:E394)</f>
        <v>-13281.577635247575</v>
      </c>
      <c r="AD394" s="20">
        <f>SUM($AB$4:AB394)</f>
        <v>11301.531135247531</v>
      </c>
      <c r="AF394" s="28">
        <f t="shared" si="303"/>
        <v>0.17225000000000001</v>
      </c>
      <c r="AG394" s="2">
        <f t="shared" si="304"/>
        <v>0.21637499999999998</v>
      </c>
      <c r="AH394" s="2">
        <f t="shared" si="305"/>
        <v>5.5981249999999996E-2</v>
      </c>
      <c r="AI394" s="2">
        <f t="shared" si="326"/>
        <v>0.22823125</v>
      </c>
      <c r="AJ394" s="2">
        <f t="shared" si="327"/>
        <v>3.4234687499999999E-2</v>
      </c>
      <c r="AK394" s="2">
        <f t="shared" si="306"/>
        <v>3.4450000000000001E-3</v>
      </c>
      <c r="AL394" s="2">
        <f t="shared" si="307"/>
        <v>0.10335</v>
      </c>
      <c r="AM394" s="2">
        <f t="shared" si="328"/>
        <v>0.58563593749999998</v>
      </c>
      <c r="AN394" s="2">
        <f t="shared" si="308"/>
        <v>40</v>
      </c>
      <c r="AO394" s="2">
        <f t="shared" si="309"/>
        <v>0.43274999999999997</v>
      </c>
      <c r="AP394" s="2">
        <f t="shared" si="310"/>
        <v>0.91292499999999999</v>
      </c>
      <c r="AQ394" s="2">
        <f t="shared" si="329"/>
        <v>40.912925000000001</v>
      </c>
      <c r="AR394" s="2">
        <f t="shared" si="330"/>
        <v>6.1369387499999997</v>
      </c>
      <c r="AS394" s="2">
        <f t="shared" si="311"/>
        <v>3.4450000000000001E-3</v>
      </c>
      <c r="AT394" s="2">
        <f t="shared" si="312"/>
        <v>0.10335</v>
      </c>
      <c r="AU394" s="2">
        <f t="shared" si="331"/>
        <v>47.589408749999997</v>
      </c>
      <c r="AV394" s="2">
        <f t="shared" si="313"/>
        <v>0.17225000000000001</v>
      </c>
      <c r="AW394" s="2">
        <f t="shared" si="314"/>
        <v>8.6550000000000002E-2</v>
      </c>
      <c r="AX394" s="2">
        <f t="shared" si="315"/>
        <v>3.6172499999999996E-2</v>
      </c>
      <c r="AY394" s="2">
        <f t="shared" si="332"/>
        <v>0.20842250000000001</v>
      </c>
      <c r="AZ394" s="2">
        <f t="shared" si="333"/>
        <v>3.1263375000000003E-2</v>
      </c>
      <c r="BA394" s="2">
        <f t="shared" si="316"/>
        <v>3.4450000000000001E-3</v>
      </c>
      <c r="BB394" s="2">
        <f t="shared" si="317"/>
        <v>0.10335</v>
      </c>
      <c r="BC394" s="2">
        <f t="shared" si="334"/>
        <v>0.43303087499999998</v>
      </c>
      <c r="BD394" s="2">
        <v>0</v>
      </c>
      <c r="BE394" s="2">
        <f t="shared" si="318"/>
        <v>1.7225000000000001</v>
      </c>
      <c r="BF394" s="2">
        <f t="shared" si="319"/>
        <v>5.5981249999999996E-2</v>
      </c>
      <c r="BG394" s="2">
        <f t="shared" si="335"/>
        <v>5.5981249999999996E-2</v>
      </c>
      <c r="BH394" s="2">
        <f t="shared" si="336"/>
        <v>8.3971874999999984E-3</v>
      </c>
      <c r="BI394" s="2">
        <f t="shared" si="320"/>
        <v>3.4450000000000001E-3</v>
      </c>
      <c r="BJ394" s="2">
        <f t="shared" si="321"/>
        <v>0.10335</v>
      </c>
      <c r="BK394" s="2">
        <f t="shared" si="337"/>
        <v>1.8936734375000002</v>
      </c>
      <c r="BL394" s="2">
        <f t="shared" si="322"/>
        <v>857</v>
      </c>
      <c r="BM394" s="2">
        <f t="shared" si="323"/>
        <v>865.5</v>
      </c>
      <c r="BN394" s="2">
        <f t="shared" si="338"/>
        <v>1722.5</v>
      </c>
    </row>
    <row r="395" spans="1:66" x14ac:dyDescent="0.25">
      <c r="A395" s="42">
        <v>392</v>
      </c>
      <c r="B395" s="43">
        <v>42871</v>
      </c>
      <c r="C395" s="42" t="s">
        <v>50</v>
      </c>
      <c r="D395" s="42" t="s">
        <v>260</v>
      </c>
      <c r="E395" s="6">
        <f t="shared" si="324"/>
        <v>-2.3895408749999545</v>
      </c>
      <c r="F395" s="5" t="str">
        <f t="shared" si="339"/>
        <v>Loss</v>
      </c>
      <c r="G395" s="4">
        <f t="shared" si="340"/>
        <v>-1.7999999999999545</v>
      </c>
      <c r="H395" s="46">
        <v>4</v>
      </c>
      <c r="I395" s="42">
        <v>217.45</v>
      </c>
      <c r="N395" s="5">
        <f t="shared" si="341"/>
        <v>4</v>
      </c>
      <c r="O395" s="4">
        <f t="shared" si="342"/>
        <v>217.45</v>
      </c>
      <c r="P395" s="5">
        <f t="shared" si="297"/>
        <v>4</v>
      </c>
      <c r="Q395" s="42">
        <v>217</v>
      </c>
      <c r="R395" s="2">
        <f t="shared" si="296"/>
        <v>0</v>
      </c>
      <c r="T395" s="2">
        <f t="shared" si="325"/>
        <v>0</v>
      </c>
      <c r="V395" s="5">
        <f t="shared" si="343"/>
        <v>4</v>
      </c>
      <c r="W395" s="4">
        <f t="shared" si="344"/>
        <v>217</v>
      </c>
      <c r="X395" s="14">
        <f t="shared" si="298"/>
        <v>-0.44999999999998863</v>
      </c>
      <c r="Y395" s="5">
        <f t="shared" si="299"/>
        <v>-1.7999999999999545</v>
      </c>
      <c r="Z395" s="2">
        <f t="shared" si="300"/>
        <v>0</v>
      </c>
      <c r="AA395" s="4">
        <f t="shared" si="301"/>
        <v>0</v>
      </c>
      <c r="AB395" s="13">
        <f t="shared" si="302"/>
        <v>0.58954087500000008</v>
      </c>
      <c r="AC395" s="10">
        <f>SUM($E$4:E395)</f>
        <v>-13283.967176122575</v>
      </c>
      <c r="AD395" s="20">
        <f>SUM($AB$4:AB395)</f>
        <v>11302.120676122531</v>
      </c>
      <c r="AF395" s="28">
        <f t="shared" si="303"/>
        <v>0.17377999999999999</v>
      </c>
      <c r="AG395" s="2">
        <f t="shared" si="304"/>
        <v>0.217</v>
      </c>
      <c r="AH395" s="2">
        <f t="shared" si="305"/>
        <v>5.6478499999999994E-2</v>
      </c>
      <c r="AI395" s="2">
        <f t="shared" si="326"/>
        <v>0.23025849999999998</v>
      </c>
      <c r="AJ395" s="2">
        <f t="shared" si="327"/>
        <v>3.4538774999999994E-2</v>
      </c>
      <c r="AK395" s="2">
        <f t="shared" si="306"/>
        <v>3.4756000000000001E-3</v>
      </c>
      <c r="AL395" s="2">
        <f t="shared" si="307"/>
        <v>0.104268</v>
      </c>
      <c r="AM395" s="2">
        <f t="shared" si="328"/>
        <v>0.58954087500000008</v>
      </c>
      <c r="AN395" s="2">
        <f t="shared" si="308"/>
        <v>40</v>
      </c>
      <c r="AO395" s="2">
        <f t="shared" si="309"/>
        <v>0.434</v>
      </c>
      <c r="AP395" s="2">
        <f t="shared" si="310"/>
        <v>0.92103399999999991</v>
      </c>
      <c r="AQ395" s="2">
        <f t="shared" si="329"/>
        <v>40.921033999999999</v>
      </c>
      <c r="AR395" s="2">
        <f t="shared" si="330"/>
        <v>6.1381550999999996</v>
      </c>
      <c r="AS395" s="2">
        <f t="shared" si="311"/>
        <v>3.4756000000000001E-3</v>
      </c>
      <c r="AT395" s="2">
        <f t="shared" si="312"/>
        <v>0.104268</v>
      </c>
      <c r="AU395" s="2">
        <f t="shared" si="331"/>
        <v>47.600932699999994</v>
      </c>
      <c r="AV395" s="2">
        <f t="shared" si="313"/>
        <v>0.17377999999999999</v>
      </c>
      <c r="AW395" s="2">
        <f t="shared" si="314"/>
        <v>8.6800000000000002E-2</v>
      </c>
      <c r="AX395" s="2">
        <f t="shared" si="315"/>
        <v>3.64938E-2</v>
      </c>
      <c r="AY395" s="2">
        <f t="shared" si="332"/>
        <v>0.21027379999999998</v>
      </c>
      <c r="AZ395" s="2">
        <f t="shared" si="333"/>
        <v>3.1541069999999997E-2</v>
      </c>
      <c r="BA395" s="2">
        <f t="shared" si="316"/>
        <v>3.4756000000000001E-3</v>
      </c>
      <c r="BB395" s="2">
        <f t="shared" si="317"/>
        <v>0.104268</v>
      </c>
      <c r="BC395" s="2">
        <f t="shared" si="334"/>
        <v>0.43635847000000005</v>
      </c>
      <c r="BD395" s="2">
        <v>0</v>
      </c>
      <c r="BE395" s="2">
        <f t="shared" si="318"/>
        <v>1.7378</v>
      </c>
      <c r="BF395" s="2">
        <f t="shared" si="319"/>
        <v>5.6478499999999994E-2</v>
      </c>
      <c r="BG395" s="2">
        <f t="shared" si="335"/>
        <v>5.6478499999999994E-2</v>
      </c>
      <c r="BH395" s="2">
        <f t="shared" si="336"/>
        <v>8.4717749999999991E-3</v>
      </c>
      <c r="BI395" s="2">
        <f t="shared" si="320"/>
        <v>3.4756000000000001E-3</v>
      </c>
      <c r="BJ395" s="2">
        <f t="shared" si="321"/>
        <v>0.104268</v>
      </c>
      <c r="BK395" s="2">
        <f t="shared" si="337"/>
        <v>1.9104938750000002</v>
      </c>
      <c r="BL395" s="2">
        <f t="shared" si="322"/>
        <v>869.8</v>
      </c>
      <c r="BM395" s="2">
        <f t="shared" si="323"/>
        <v>868</v>
      </c>
      <c r="BN395" s="2">
        <f t="shared" si="338"/>
        <v>1737.8</v>
      </c>
    </row>
    <row r="396" spans="1:66" x14ac:dyDescent="0.25">
      <c r="A396" s="42">
        <v>393</v>
      </c>
      <c r="B396" s="43">
        <v>42871</v>
      </c>
      <c r="C396" s="42" t="s">
        <v>50</v>
      </c>
      <c r="D396" s="42" t="s">
        <v>185</v>
      </c>
      <c r="E396" s="6">
        <f t="shared" si="324"/>
        <v>-6.7890455937500001</v>
      </c>
      <c r="F396" s="5" t="str">
        <f t="shared" si="339"/>
        <v>Loss</v>
      </c>
      <c r="G396" s="4">
        <f t="shared" si="340"/>
        <v>-6.25</v>
      </c>
      <c r="H396" s="46">
        <v>1</v>
      </c>
      <c r="I396" s="42">
        <v>798.45</v>
      </c>
      <c r="N396" s="5">
        <f t="shared" si="341"/>
        <v>1</v>
      </c>
      <c r="O396" s="4">
        <f t="shared" si="342"/>
        <v>798.45</v>
      </c>
      <c r="P396" s="5">
        <f t="shared" si="297"/>
        <v>1</v>
      </c>
      <c r="Q396" s="42">
        <v>792.2</v>
      </c>
      <c r="R396" s="2">
        <f t="shared" si="296"/>
        <v>0</v>
      </c>
      <c r="T396" s="2">
        <f t="shared" si="325"/>
        <v>0</v>
      </c>
      <c r="V396" s="5">
        <f t="shared" si="343"/>
        <v>1</v>
      </c>
      <c r="W396" s="4">
        <f t="shared" si="344"/>
        <v>792.2</v>
      </c>
      <c r="X396" s="14">
        <f t="shared" si="298"/>
        <v>-6.25</v>
      </c>
      <c r="Y396" s="5">
        <f t="shared" si="299"/>
        <v>-6.25</v>
      </c>
      <c r="Z396" s="2">
        <f t="shared" si="300"/>
        <v>0</v>
      </c>
      <c r="AA396" s="4">
        <f t="shared" si="301"/>
        <v>0</v>
      </c>
      <c r="AB396" s="13">
        <f t="shared" si="302"/>
        <v>0.53904559375000005</v>
      </c>
      <c r="AC396" s="10">
        <f>SUM($E$4:E396)</f>
        <v>-13290.756221716325</v>
      </c>
      <c r="AD396" s="20">
        <f>SUM($AB$4:AB396)</f>
        <v>11302.659721716282</v>
      </c>
      <c r="AF396" s="28">
        <f t="shared" si="303"/>
        <v>0.15906500000000001</v>
      </c>
      <c r="AG396" s="2">
        <f t="shared" si="304"/>
        <v>0.19805</v>
      </c>
      <c r="AH396" s="2">
        <f t="shared" si="305"/>
        <v>5.1696124999999996E-2</v>
      </c>
      <c r="AI396" s="2">
        <f t="shared" si="326"/>
        <v>0.21076112499999999</v>
      </c>
      <c r="AJ396" s="2">
        <f t="shared" si="327"/>
        <v>3.1614168749999998E-2</v>
      </c>
      <c r="AK396" s="2">
        <f t="shared" si="306"/>
        <v>3.1813000000000002E-3</v>
      </c>
      <c r="AL396" s="2">
        <f t="shared" si="307"/>
        <v>9.543900000000001E-2</v>
      </c>
      <c r="AM396" s="2">
        <f t="shared" si="328"/>
        <v>0.53904559375000005</v>
      </c>
      <c r="AN396" s="2">
        <f t="shared" si="308"/>
        <v>40</v>
      </c>
      <c r="AO396" s="2">
        <f t="shared" si="309"/>
        <v>0.39610000000000001</v>
      </c>
      <c r="AP396" s="2">
        <f t="shared" si="310"/>
        <v>0.84304449999999997</v>
      </c>
      <c r="AQ396" s="2">
        <f t="shared" si="329"/>
        <v>40.843044499999998</v>
      </c>
      <c r="AR396" s="2">
        <f t="shared" si="330"/>
        <v>6.1264566749999991</v>
      </c>
      <c r="AS396" s="2">
        <f t="shared" si="311"/>
        <v>3.1813000000000002E-3</v>
      </c>
      <c r="AT396" s="2">
        <f t="shared" si="312"/>
        <v>9.543900000000001E-2</v>
      </c>
      <c r="AU396" s="2">
        <f t="shared" si="331"/>
        <v>47.464221474999995</v>
      </c>
      <c r="AV396" s="2">
        <f t="shared" si="313"/>
        <v>0.15906500000000001</v>
      </c>
      <c r="AW396" s="2">
        <f t="shared" si="314"/>
        <v>7.9220000000000013E-2</v>
      </c>
      <c r="AX396" s="2">
        <f t="shared" si="315"/>
        <v>3.340365E-2</v>
      </c>
      <c r="AY396" s="2">
        <f t="shared" si="332"/>
        <v>0.19246865000000002</v>
      </c>
      <c r="AZ396" s="2">
        <f t="shared" si="333"/>
        <v>2.8870297500000003E-2</v>
      </c>
      <c r="BA396" s="2">
        <f t="shared" si="316"/>
        <v>3.1813000000000002E-3</v>
      </c>
      <c r="BB396" s="2">
        <f t="shared" si="317"/>
        <v>9.543900000000001E-2</v>
      </c>
      <c r="BC396" s="2">
        <f t="shared" si="334"/>
        <v>0.3991792475</v>
      </c>
      <c r="BD396" s="2">
        <v>0</v>
      </c>
      <c r="BE396" s="2">
        <f t="shared" si="318"/>
        <v>1.5906500000000001</v>
      </c>
      <c r="BF396" s="2">
        <f t="shared" si="319"/>
        <v>5.1696124999999996E-2</v>
      </c>
      <c r="BG396" s="2">
        <f t="shared" si="335"/>
        <v>5.1696124999999996E-2</v>
      </c>
      <c r="BH396" s="2">
        <f t="shared" si="336"/>
        <v>7.7544187499999986E-3</v>
      </c>
      <c r="BI396" s="2">
        <f t="shared" si="320"/>
        <v>3.1813000000000002E-3</v>
      </c>
      <c r="BJ396" s="2">
        <f t="shared" si="321"/>
        <v>9.543900000000001E-2</v>
      </c>
      <c r="BK396" s="2">
        <f t="shared" si="337"/>
        <v>1.7487208437500004</v>
      </c>
      <c r="BL396" s="2">
        <f t="shared" si="322"/>
        <v>798.45</v>
      </c>
      <c r="BM396" s="2">
        <f t="shared" si="323"/>
        <v>792.2</v>
      </c>
      <c r="BN396" s="2">
        <f t="shared" si="338"/>
        <v>1590.65</v>
      </c>
    </row>
    <row r="397" spans="1:66" x14ac:dyDescent="0.25">
      <c r="A397" s="42">
        <v>394</v>
      </c>
      <c r="B397" s="43">
        <v>42871</v>
      </c>
      <c r="C397" s="42" t="s">
        <v>50</v>
      </c>
      <c r="D397" s="42" t="s">
        <v>261</v>
      </c>
      <c r="E397" s="6">
        <f t="shared" si="324"/>
        <v>2.5251732187501195</v>
      </c>
      <c r="F397" s="5" t="str">
        <f t="shared" si="339"/>
        <v>Win</v>
      </c>
      <c r="G397" s="4">
        <f t="shared" si="340"/>
        <v>3.1500000000001194</v>
      </c>
      <c r="H397" s="46">
        <v>7</v>
      </c>
      <c r="I397" s="42">
        <v>131.19999999999999</v>
      </c>
      <c r="N397" s="5">
        <f t="shared" si="341"/>
        <v>7</v>
      </c>
      <c r="O397" s="4">
        <f t="shared" si="342"/>
        <v>131.19999999999999</v>
      </c>
      <c r="P397" s="5">
        <f t="shared" si="297"/>
        <v>7</v>
      </c>
      <c r="Q397" s="42">
        <v>131.65</v>
      </c>
      <c r="R397" s="2">
        <f t="shared" si="296"/>
        <v>0</v>
      </c>
      <c r="T397" s="2">
        <f t="shared" si="325"/>
        <v>0</v>
      </c>
      <c r="V397" s="5">
        <f t="shared" si="343"/>
        <v>7</v>
      </c>
      <c r="W397" s="4">
        <f t="shared" si="344"/>
        <v>131.65</v>
      </c>
      <c r="X397" s="14">
        <f t="shared" si="298"/>
        <v>0.45000000000001705</v>
      </c>
      <c r="Y397" s="5">
        <f t="shared" si="299"/>
        <v>3.1500000000001194</v>
      </c>
      <c r="Z397" s="2">
        <f t="shared" si="300"/>
        <v>0</v>
      </c>
      <c r="AA397" s="4">
        <f t="shared" si="301"/>
        <v>0</v>
      </c>
      <c r="AB397" s="13">
        <f t="shared" si="302"/>
        <v>0.62482678124999991</v>
      </c>
      <c r="AC397" s="10">
        <f>SUM($E$4:E397)</f>
        <v>-13288.231048497575</v>
      </c>
      <c r="AD397" s="20">
        <f>SUM($AB$4:AB397)</f>
        <v>11303.284548497531</v>
      </c>
      <c r="AF397" s="28">
        <f t="shared" si="303"/>
        <v>0.18399499999999999</v>
      </c>
      <c r="AG397" s="2">
        <f t="shared" si="304"/>
        <v>0.23038750000000002</v>
      </c>
      <c r="AH397" s="2">
        <f t="shared" si="305"/>
        <v>5.9798374999999987E-2</v>
      </c>
      <c r="AI397" s="2">
        <f t="shared" si="326"/>
        <v>0.24379337499999998</v>
      </c>
      <c r="AJ397" s="2">
        <f t="shared" si="327"/>
        <v>3.6569006249999994E-2</v>
      </c>
      <c r="AK397" s="2">
        <f t="shared" si="306"/>
        <v>3.6798999999999994E-3</v>
      </c>
      <c r="AL397" s="2">
        <f t="shared" si="307"/>
        <v>0.110397</v>
      </c>
      <c r="AM397" s="2">
        <f t="shared" si="328"/>
        <v>0.62482678124999991</v>
      </c>
      <c r="AN397" s="2">
        <f t="shared" si="308"/>
        <v>40</v>
      </c>
      <c r="AO397" s="2">
        <f t="shared" si="309"/>
        <v>0.46077500000000005</v>
      </c>
      <c r="AP397" s="2">
        <f t="shared" si="310"/>
        <v>0.97517349999999992</v>
      </c>
      <c r="AQ397" s="2">
        <f t="shared" si="329"/>
        <v>40.975173499999997</v>
      </c>
      <c r="AR397" s="2">
        <f t="shared" si="330"/>
        <v>6.1462760249999997</v>
      </c>
      <c r="AS397" s="2">
        <f t="shared" si="311"/>
        <v>3.6798999999999994E-3</v>
      </c>
      <c r="AT397" s="2">
        <f t="shared" si="312"/>
        <v>0.110397</v>
      </c>
      <c r="AU397" s="2">
        <f t="shared" si="331"/>
        <v>47.696301424999994</v>
      </c>
      <c r="AV397" s="2">
        <f t="shared" si="313"/>
        <v>0.18399499999999999</v>
      </c>
      <c r="AW397" s="2">
        <f t="shared" si="314"/>
        <v>9.2155000000000001E-2</v>
      </c>
      <c r="AX397" s="2">
        <f t="shared" si="315"/>
        <v>3.8638949999999991E-2</v>
      </c>
      <c r="AY397" s="2">
        <f t="shared" si="332"/>
        <v>0.22263394999999997</v>
      </c>
      <c r="AZ397" s="2">
        <f t="shared" si="333"/>
        <v>3.3395092499999994E-2</v>
      </c>
      <c r="BA397" s="2">
        <f t="shared" si="316"/>
        <v>3.6798999999999994E-3</v>
      </c>
      <c r="BB397" s="2">
        <f t="shared" si="317"/>
        <v>0.110397</v>
      </c>
      <c r="BC397" s="2">
        <f t="shared" si="334"/>
        <v>0.46226094250000005</v>
      </c>
      <c r="BD397" s="2">
        <v>0</v>
      </c>
      <c r="BE397" s="2">
        <f t="shared" si="318"/>
        <v>1.8399499999999998</v>
      </c>
      <c r="BF397" s="2">
        <f t="shared" si="319"/>
        <v>5.9798374999999987E-2</v>
      </c>
      <c r="BG397" s="2">
        <f t="shared" si="335"/>
        <v>5.9798374999999987E-2</v>
      </c>
      <c r="BH397" s="2">
        <f t="shared" si="336"/>
        <v>8.969756249999997E-3</v>
      </c>
      <c r="BI397" s="2">
        <f t="shared" si="320"/>
        <v>3.6798999999999994E-3</v>
      </c>
      <c r="BJ397" s="2">
        <f t="shared" si="321"/>
        <v>0.110397</v>
      </c>
      <c r="BK397" s="2">
        <f t="shared" si="337"/>
        <v>2.0227950312499998</v>
      </c>
      <c r="BL397" s="2">
        <f t="shared" si="322"/>
        <v>918.39999999999986</v>
      </c>
      <c r="BM397" s="2">
        <f t="shared" si="323"/>
        <v>921.55000000000007</v>
      </c>
      <c r="BN397" s="2">
        <f t="shared" si="338"/>
        <v>1839.9499999999998</v>
      </c>
    </row>
    <row r="398" spans="1:66" x14ac:dyDescent="0.25">
      <c r="A398" s="42">
        <v>395</v>
      </c>
      <c r="B398" s="43">
        <v>42871</v>
      </c>
      <c r="C398" s="42" t="s">
        <v>50</v>
      </c>
      <c r="D398" s="42" t="s">
        <v>191</v>
      </c>
      <c r="E398" s="6">
        <f t="shared" si="324"/>
        <v>7.1464671249999601</v>
      </c>
      <c r="F398" s="5" t="str">
        <f t="shared" si="339"/>
        <v>Win</v>
      </c>
      <c r="G398" s="4">
        <f t="shared" si="340"/>
        <v>7.6999999999999602</v>
      </c>
      <c r="H398" s="46">
        <v>7</v>
      </c>
      <c r="I398" s="42">
        <v>115.75</v>
      </c>
      <c r="N398" s="5">
        <f t="shared" si="341"/>
        <v>7</v>
      </c>
      <c r="O398" s="4">
        <f t="shared" si="342"/>
        <v>115.75</v>
      </c>
      <c r="P398" s="5">
        <f t="shared" si="297"/>
        <v>7</v>
      </c>
      <c r="Q398" s="42">
        <v>116.85</v>
      </c>
      <c r="R398" s="2">
        <f t="shared" si="296"/>
        <v>0</v>
      </c>
      <c r="T398" s="2">
        <f t="shared" si="325"/>
        <v>0</v>
      </c>
      <c r="V398" s="5">
        <f t="shared" si="343"/>
        <v>7</v>
      </c>
      <c r="W398" s="4">
        <f t="shared" si="344"/>
        <v>116.85</v>
      </c>
      <c r="X398" s="14">
        <f t="shared" si="298"/>
        <v>1.0999999999999943</v>
      </c>
      <c r="Y398" s="5">
        <f t="shared" si="299"/>
        <v>7.6999999999999602</v>
      </c>
      <c r="Z398" s="2">
        <f t="shared" si="300"/>
        <v>0</v>
      </c>
      <c r="AA398" s="4">
        <f t="shared" si="301"/>
        <v>0</v>
      </c>
      <c r="AB398" s="13">
        <f t="shared" si="302"/>
        <v>0.55353287499999992</v>
      </c>
      <c r="AC398" s="10">
        <f>SUM($E$4:E398)</f>
        <v>-13281.084581372575</v>
      </c>
      <c r="AD398" s="20">
        <f>SUM($AB$4:AB398)</f>
        <v>11303.838081372531</v>
      </c>
      <c r="AF398" s="28">
        <f t="shared" si="303"/>
        <v>0.16281999999999999</v>
      </c>
      <c r="AG398" s="2">
        <f t="shared" si="304"/>
        <v>0.20448749999999999</v>
      </c>
      <c r="AH398" s="2">
        <f t="shared" si="305"/>
        <v>5.2916499999999991E-2</v>
      </c>
      <c r="AI398" s="2">
        <f t="shared" si="326"/>
        <v>0.2157365</v>
      </c>
      <c r="AJ398" s="2">
        <f t="shared" si="327"/>
        <v>3.2360475E-2</v>
      </c>
      <c r="AK398" s="2">
        <f t="shared" si="306"/>
        <v>3.2563999999999996E-3</v>
      </c>
      <c r="AL398" s="2">
        <f t="shared" si="307"/>
        <v>9.7691999999999987E-2</v>
      </c>
      <c r="AM398" s="2">
        <f t="shared" si="328"/>
        <v>0.55353287499999992</v>
      </c>
      <c r="AN398" s="2">
        <f t="shared" si="308"/>
        <v>40</v>
      </c>
      <c r="AO398" s="2">
        <f t="shared" si="309"/>
        <v>0.40897499999999998</v>
      </c>
      <c r="AP398" s="2">
        <f t="shared" si="310"/>
        <v>0.86294599999999988</v>
      </c>
      <c r="AQ398" s="2">
        <f t="shared" si="329"/>
        <v>40.862946000000001</v>
      </c>
      <c r="AR398" s="2">
        <f t="shared" si="330"/>
        <v>6.1294418999999998</v>
      </c>
      <c r="AS398" s="2">
        <f t="shared" si="311"/>
        <v>3.2563999999999996E-3</v>
      </c>
      <c r="AT398" s="2">
        <f t="shared" si="312"/>
        <v>9.7691999999999987E-2</v>
      </c>
      <c r="AU398" s="2">
        <f t="shared" si="331"/>
        <v>47.502311299999995</v>
      </c>
      <c r="AV398" s="2">
        <f t="shared" si="313"/>
        <v>0.16281999999999999</v>
      </c>
      <c r="AW398" s="2">
        <f t="shared" si="314"/>
        <v>8.1794999999999993E-2</v>
      </c>
      <c r="AX398" s="2">
        <f t="shared" si="315"/>
        <v>3.4192199999999992E-2</v>
      </c>
      <c r="AY398" s="2">
        <f t="shared" si="332"/>
        <v>0.19701219999999997</v>
      </c>
      <c r="AZ398" s="2">
        <f t="shared" si="333"/>
        <v>2.9551829999999994E-2</v>
      </c>
      <c r="BA398" s="2">
        <f t="shared" si="316"/>
        <v>3.2563999999999996E-3</v>
      </c>
      <c r="BB398" s="2">
        <f t="shared" si="317"/>
        <v>9.7691999999999987E-2</v>
      </c>
      <c r="BC398" s="2">
        <f t="shared" si="334"/>
        <v>0.40930742999999997</v>
      </c>
      <c r="BD398" s="2">
        <v>0</v>
      </c>
      <c r="BE398" s="2">
        <f t="shared" si="318"/>
        <v>1.6281999999999999</v>
      </c>
      <c r="BF398" s="2">
        <f t="shared" si="319"/>
        <v>5.2916499999999991E-2</v>
      </c>
      <c r="BG398" s="2">
        <f t="shared" si="335"/>
        <v>5.2916499999999991E-2</v>
      </c>
      <c r="BH398" s="2">
        <f t="shared" si="336"/>
        <v>7.9374749999999977E-3</v>
      </c>
      <c r="BI398" s="2">
        <f t="shared" si="320"/>
        <v>3.2563999999999996E-3</v>
      </c>
      <c r="BJ398" s="2">
        <f t="shared" si="321"/>
        <v>9.7691999999999987E-2</v>
      </c>
      <c r="BK398" s="2">
        <f t="shared" si="337"/>
        <v>1.7900023749999998</v>
      </c>
      <c r="BL398" s="2">
        <f t="shared" si="322"/>
        <v>810.25</v>
      </c>
      <c r="BM398" s="2">
        <f t="shared" si="323"/>
        <v>817.94999999999993</v>
      </c>
      <c r="BN398" s="2">
        <f t="shared" si="338"/>
        <v>1628.1999999999998</v>
      </c>
    </row>
    <row r="399" spans="1:66" x14ac:dyDescent="0.25">
      <c r="A399" s="42">
        <v>396</v>
      </c>
      <c r="B399" s="43">
        <v>42871</v>
      </c>
      <c r="C399" s="42" t="s">
        <v>50</v>
      </c>
      <c r="D399" s="42" t="s">
        <v>196</v>
      </c>
      <c r="E399" s="6">
        <f t="shared" si="324"/>
        <v>-15.451650500000069</v>
      </c>
      <c r="F399" s="5" t="str">
        <f t="shared" si="339"/>
        <v>Loss</v>
      </c>
      <c r="G399" s="4">
        <f t="shared" si="340"/>
        <v>-14.800000000000068</v>
      </c>
      <c r="H399" s="46">
        <v>4</v>
      </c>
      <c r="I399" s="42">
        <v>242.55</v>
      </c>
      <c r="N399" s="5">
        <f t="shared" si="341"/>
        <v>4</v>
      </c>
      <c r="O399" s="4">
        <f t="shared" si="342"/>
        <v>242.55</v>
      </c>
      <c r="P399" s="5">
        <f t="shared" si="297"/>
        <v>4</v>
      </c>
      <c r="Q399" s="42">
        <v>238.85</v>
      </c>
      <c r="R399" s="2">
        <f t="shared" si="296"/>
        <v>0</v>
      </c>
      <c r="T399" s="2">
        <f t="shared" si="325"/>
        <v>0</v>
      </c>
      <c r="V399" s="5">
        <f t="shared" si="343"/>
        <v>4</v>
      </c>
      <c r="W399" s="4">
        <f t="shared" si="344"/>
        <v>238.85</v>
      </c>
      <c r="X399" s="14">
        <f t="shared" si="298"/>
        <v>-3.7000000000000171</v>
      </c>
      <c r="Y399" s="5">
        <f t="shared" si="299"/>
        <v>-14.800000000000068</v>
      </c>
      <c r="Z399" s="2">
        <f t="shared" si="300"/>
        <v>0</v>
      </c>
      <c r="AA399" s="4">
        <f t="shared" si="301"/>
        <v>0</v>
      </c>
      <c r="AB399" s="13">
        <f t="shared" si="302"/>
        <v>0.65165050000000002</v>
      </c>
      <c r="AC399" s="10">
        <f>SUM($E$4:E399)</f>
        <v>-13296.536231872575</v>
      </c>
      <c r="AD399" s="20">
        <f>SUM($AB$4:AB399)</f>
        <v>11304.489731872531</v>
      </c>
      <c r="AF399" s="28">
        <f t="shared" si="303"/>
        <v>0.19256000000000001</v>
      </c>
      <c r="AG399" s="2">
        <f t="shared" si="304"/>
        <v>0.23885000000000001</v>
      </c>
      <c r="AH399" s="2">
        <f t="shared" si="305"/>
        <v>6.2581999999999985E-2</v>
      </c>
      <c r="AI399" s="2">
        <f t="shared" si="326"/>
        <v>0.25514199999999998</v>
      </c>
      <c r="AJ399" s="2">
        <f t="shared" si="327"/>
        <v>3.8271299999999994E-2</v>
      </c>
      <c r="AK399" s="2">
        <f t="shared" si="306"/>
        <v>3.8511999999999999E-3</v>
      </c>
      <c r="AL399" s="2">
        <f t="shared" si="307"/>
        <v>0.115536</v>
      </c>
      <c r="AM399" s="2">
        <f t="shared" si="328"/>
        <v>0.65165050000000002</v>
      </c>
      <c r="AN399" s="2">
        <f t="shared" si="308"/>
        <v>40</v>
      </c>
      <c r="AO399" s="2">
        <f t="shared" si="309"/>
        <v>0.47770000000000001</v>
      </c>
      <c r="AP399" s="2">
        <f t="shared" si="310"/>
        <v>1.0205679999999999</v>
      </c>
      <c r="AQ399" s="2">
        <f t="shared" si="329"/>
        <v>41.020567999999997</v>
      </c>
      <c r="AR399" s="2">
        <f t="shared" si="330"/>
        <v>6.1530851999999996</v>
      </c>
      <c r="AS399" s="2">
        <f t="shared" si="311"/>
        <v>3.8511999999999999E-3</v>
      </c>
      <c r="AT399" s="2">
        <f t="shared" si="312"/>
        <v>0.115536</v>
      </c>
      <c r="AU399" s="2">
        <f t="shared" si="331"/>
        <v>47.770740399999994</v>
      </c>
      <c r="AV399" s="2">
        <f t="shared" si="313"/>
        <v>0.19256000000000001</v>
      </c>
      <c r="AW399" s="2">
        <f t="shared" si="314"/>
        <v>9.554E-2</v>
      </c>
      <c r="AX399" s="2">
        <f t="shared" si="315"/>
        <v>4.0437599999999997E-2</v>
      </c>
      <c r="AY399" s="2">
        <f t="shared" si="332"/>
        <v>0.2329976</v>
      </c>
      <c r="AZ399" s="2">
        <f t="shared" si="333"/>
        <v>3.4949639999999997E-2</v>
      </c>
      <c r="BA399" s="2">
        <f t="shared" si="316"/>
        <v>3.8511999999999999E-3</v>
      </c>
      <c r="BB399" s="2">
        <f t="shared" si="317"/>
        <v>0.115536</v>
      </c>
      <c r="BC399" s="2">
        <f t="shared" si="334"/>
        <v>0.48287444000000002</v>
      </c>
      <c r="BD399" s="2">
        <v>0</v>
      </c>
      <c r="BE399" s="2">
        <f t="shared" si="318"/>
        <v>1.9256</v>
      </c>
      <c r="BF399" s="2">
        <f t="shared" si="319"/>
        <v>6.2581999999999985E-2</v>
      </c>
      <c r="BG399" s="2">
        <f t="shared" si="335"/>
        <v>6.2581999999999985E-2</v>
      </c>
      <c r="BH399" s="2">
        <f t="shared" si="336"/>
        <v>9.3872999999999977E-3</v>
      </c>
      <c r="BI399" s="2">
        <f t="shared" si="320"/>
        <v>3.8511999999999999E-3</v>
      </c>
      <c r="BJ399" s="2">
        <f t="shared" si="321"/>
        <v>0.115536</v>
      </c>
      <c r="BK399" s="2">
        <f t="shared" si="337"/>
        <v>2.1169565000000001</v>
      </c>
      <c r="BL399" s="2">
        <f t="shared" si="322"/>
        <v>970.2</v>
      </c>
      <c r="BM399" s="2">
        <f t="shared" si="323"/>
        <v>955.4</v>
      </c>
      <c r="BN399" s="2">
        <f t="shared" si="338"/>
        <v>1925.6</v>
      </c>
    </row>
    <row r="400" spans="1:66" x14ac:dyDescent="0.25">
      <c r="A400" s="42">
        <v>397</v>
      </c>
      <c r="B400" s="43">
        <v>42871</v>
      </c>
      <c r="C400" s="42" t="s">
        <v>50</v>
      </c>
      <c r="D400" s="42" t="s">
        <v>173</v>
      </c>
      <c r="E400" s="6">
        <f t="shared" si="324"/>
        <v>-5.0638236562499657</v>
      </c>
      <c r="F400" s="5" t="str">
        <f t="shared" si="339"/>
        <v>Loss</v>
      </c>
      <c r="G400" s="4">
        <f t="shared" si="340"/>
        <v>-4.3499999999999659</v>
      </c>
      <c r="H400" s="46">
        <v>3</v>
      </c>
      <c r="I400" s="42">
        <v>351.55</v>
      </c>
      <c r="N400" s="5">
        <f t="shared" si="341"/>
        <v>3</v>
      </c>
      <c r="O400" s="4">
        <f t="shared" si="342"/>
        <v>351.55</v>
      </c>
      <c r="P400" s="5">
        <f t="shared" si="297"/>
        <v>3</v>
      </c>
      <c r="Q400" s="42">
        <v>350.1</v>
      </c>
      <c r="R400" s="2">
        <f t="shared" si="296"/>
        <v>0</v>
      </c>
      <c r="T400" s="2">
        <f t="shared" si="325"/>
        <v>0</v>
      </c>
      <c r="V400" s="5">
        <f t="shared" si="343"/>
        <v>3</v>
      </c>
      <c r="W400" s="4">
        <f t="shared" si="344"/>
        <v>350.1</v>
      </c>
      <c r="X400" s="14">
        <f t="shared" si="298"/>
        <v>-1.4499999999999886</v>
      </c>
      <c r="Y400" s="5">
        <f t="shared" si="299"/>
        <v>-4.3499999999999659</v>
      </c>
      <c r="Z400" s="2">
        <f t="shared" si="300"/>
        <v>0</v>
      </c>
      <c r="AA400" s="4">
        <f t="shared" si="301"/>
        <v>0</v>
      </c>
      <c r="AB400" s="13">
        <f t="shared" si="302"/>
        <v>0.7138236562500001</v>
      </c>
      <c r="AC400" s="10">
        <f>SUM($E$4:E400)</f>
        <v>-13301.600055528825</v>
      </c>
      <c r="AD400" s="20">
        <f>SUM($AB$4:AB400)</f>
        <v>11305.20355552878</v>
      </c>
      <c r="AF400" s="28">
        <f t="shared" si="303"/>
        <v>0.21049500000000004</v>
      </c>
      <c r="AG400" s="2">
        <f t="shared" si="304"/>
        <v>0.262575</v>
      </c>
      <c r="AH400" s="2">
        <f t="shared" si="305"/>
        <v>6.8410874999999996E-2</v>
      </c>
      <c r="AI400" s="2">
        <f t="shared" si="326"/>
        <v>0.27890587500000003</v>
      </c>
      <c r="AJ400" s="2">
        <f t="shared" si="327"/>
        <v>4.1835881250000005E-2</v>
      </c>
      <c r="AK400" s="2">
        <f t="shared" si="306"/>
        <v>4.2099000000000008E-3</v>
      </c>
      <c r="AL400" s="2">
        <f t="shared" si="307"/>
        <v>0.12629700000000002</v>
      </c>
      <c r="AM400" s="2">
        <f t="shared" si="328"/>
        <v>0.7138236562500001</v>
      </c>
      <c r="AN400" s="2">
        <f t="shared" si="308"/>
        <v>40</v>
      </c>
      <c r="AO400" s="2">
        <f t="shared" si="309"/>
        <v>0.52515000000000001</v>
      </c>
      <c r="AP400" s="2">
        <f t="shared" si="310"/>
        <v>1.1156235000000001</v>
      </c>
      <c r="AQ400" s="2">
        <f t="shared" si="329"/>
        <v>41.115623499999998</v>
      </c>
      <c r="AR400" s="2">
        <f t="shared" si="330"/>
        <v>6.1673435249999997</v>
      </c>
      <c r="AS400" s="2">
        <f t="shared" si="311"/>
        <v>4.2099000000000008E-3</v>
      </c>
      <c r="AT400" s="2">
        <f t="shared" si="312"/>
        <v>0.12629700000000002</v>
      </c>
      <c r="AU400" s="2">
        <f t="shared" si="331"/>
        <v>47.938623924999995</v>
      </c>
      <c r="AV400" s="2">
        <f t="shared" si="313"/>
        <v>0.21049500000000004</v>
      </c>
      <c r="AW400" s="2">
        <f t="shared" si="314"/>
        <v>0.10503000000000001</v>
      </c>
      <c r="AX400" s="2">
        <f t="shared" si="315"/>
        <v>4.4203950000000006E-2</v>
      </c>
      <c r="AY400" s="2">
        <f t="shared" si="332"/>
        <v>0.25469895000000004</v>
      </c>
      <c r="AZ400" s="2">
        <f t="shared" si="333"/>
        <v>3.8204842500000002E-2</v>
      </c>
      <c r="BA400" s="2">
        <f t="shared" si="316"/>
        <v>4.2099000000000008E-3</v>
      </c>
      <c r="BB400" s="2">
        <f t="shared" si="317"/>
        <v>0.12629700000000002</v>
      </c>
      <c r="BC400" s="2">
        <f t="shared" si="334"/>
        <v>0.52844069250000003</v>
      </c>
      <c r="BD400" s="2">
        <v>0</v>
      </c>
      <c r="BE400" s="2">
        <f t="shared" si="318"/>
        <v>2.1049500000000001</v>
      </c>
      <c r="BF400" s="2">
        <f t="shared" si="319"/>
        <v>6.8410874999999996E-2</v>
      </c>
      <c r="BG400" s="2">
        <f t="shared" si="335"/>
        <v>6.8410874999999996E-2</v>
      </c>
      <c r="BH400" s="2">
        <f t="shared" si="336"/>
        <v>1.0261631249999998E-2</v>
      </c>
      <c r="BI400" s="2">
        <f t="shared" si="320"/>
        <v>4.2099000000000008E-3</v>
      </c>
      <c r="BJ400" s="2">
        <f t="shared" si="321"/>
        <v>0.12629700000000002</v>
      </c>
      <c r="BK400" s="2">
        <f t="shared" si="337"/>
        <v>2.3141294062500006</v>
      </c>
      <c r="BL400" s="2">
        <f t="shared" si="322"/>
        <v>1054.6500000000001</v>
      </c>
      <c r="BM400" s="2">
        <f t="shared" si="323"/>
        <v>1050.3000000000002</v>
      </c>
      <c r="BN400" s="2">
        <f t="shared" si="338"/>
        <v>2104.9500000000003</v>
      </c>
    </row>
    <row r="401" spans="1:66" x14ac:dyDescent="0.25">
      <c r="A401" s="42">
        <v>398</v>
      </c>
      <c r="B401" s="43">
        <v>42872</v>
      </c>
      <c r="C401" s="42" t="s">
        <v>50</v>
      </c>
      <c r="D401" s="42" t="s">
        <v>187</v>
      </c>
      <c r="E401" s="6">
        <f t="shared" si="324"/>
        <v>-0.79446581249998305</v>
      </c>
      <c r="F401" s="5" t="str">
        <f t="shared" si="339"/>
        <v>Loss</v>
      </c>
      <c r="G401" s="4">
        <f t="shared" si="340"/>
        <v>-0.29999999999998295</v>
      </c>
      <c r="H401" s="46">
        <v>6</v>
      </c>
      <c r="I401" s="42">
        <v>121.45</v>
      </c>
      <c r="N401" s="5">
        <f t="shared" si="341"/>
        <v>6</v>
      </c>
      <c r="O401" s="4">
        <f t="shared" si="342"/>
        <v>121.45</v>
      </c>
      <c r="P401" s="5">
        <f t="shared" si="297"/>
        <v>6</v>
      </c>
      <c r="Q401" s="42">
        <v>121.4</v>
      </c>
      <c r="R401" s="2">
        <f t="shared" si="296"/>
        <v>0</v>
      </c>
      <c r="T401" s="2">
        <f t="shared" si="325"/>
        <v>0</v>
      </c>
      <c r="V401" s="5">
        <f t="shared" si="343"/>
        <v>6</v>
      </c>
      <c r="W401" s="4">
        <f t="shared" si="344"/>
        <v>121.4</v>
      </c>
      <c r="X401" s="14">
        <f t="shared" si="298"/>
        <v>-4.9999999999997158E-2</v>
      </c>
      <c r="Y401" s="5">
        <f t="shared" si="299"/>
        <v>-0.29999999999998295</v>
      </c>
      <c r="Z401" s="2">
        <f t="shared" si="300"/>
        <v>0</v>
      </c>
      <c r="AA401" s="4">
        <f t="shared" si="301"/>
        <v>0</v>
      </c>
      <c r="AB401" s="13">
        <f t="shared" si="302"/>
        <v>0.49446581250000005</v>
      </c>
      <c r="AC401" s="10">
        <f>SUM($E$4:E401)</f>
        <v>-13302.394521341324</v>
      </c>
      <c r="AD401" s="20">
        <f>SUM($AB$4:AB401)</f>
        <v>11305.698021341281</v>
      </c>
      <c r="AF401" s="28">
        <f t="shared" si="303"/>
        <v>0.14571000000000003</v>
      </c>
      <c r="AG401" s="2">
        <f t="shared" si="304"/>
        <v>0.18210000000000001</v>
      </c>
      <c r="AH401" s="2">
        <f t="shared" si="305"/>
        <v>4.7355750000000002E-2</v>
      </c>
      <c r="AI401" s="2">
        <f t="shared" si="326"/>
        <v>0.19306575000000004</v>
      </c>
      <c r="AJ401" s="2">
        <f t="shared" si="327"/>
        <v>2.8959862500000003E-2</v>
      </c>
      <c r="AK401" s="2">
        <f t="shared" si="306"/>
        <v>2.9142000000000005E-3</v>
      </c>
      <c r="AL401" s="2">
        <f t="shared" si="307"/>
        <v>8.7426000000000004E-2</v>
      </c>
      <c r="AM401" s="2">
        <f t="shared" si="328"/>
        <v>0.49446581250000005</v>
      </c>
      <c r="AN401" s="2">
        <f t="shared" si="308"/>
        <v>40</v>
      </c>
      <c r="AO401" s="2">
        <f t="shared" si="309"/>
        <v>0.36420000000000002</v>
      </c>
      <c r="AP401" s="2">
        <f t="shared" si="310"/>
        <v>0.77226300000000003</v>
      </c>
      <c r="AQ401" s="2">
        <f t="shared" si="329"/>
        <v>40.772263000000002</v>
      </c>
      <c r="AR401" s="2">
        <f t="shared" si="330"/>
        <v>6.1158394500000002</v>
      </c>
      <c r="AS401" s="2">
        <f t="shared" si="311"/>
        <v>2.9142000000000005E-3</v>
      </c>
      <c r="AT401" s="2">
        <f t="shared" si="312"/>
        <v>8.7426000000000004E-2</v>
      </c>
      <c r="AU401" s="2">
        <f t="shared" si="331"/>
        <v>47.342642650000002</v>
      </c>
      <c r="AV401" s="2">
        <f t="shared" si="313"/>
        <v>0.14571000000000003</v>
      </c>
      <c r="AW401" s="2">
        <f t="shared" si="314"/>
        <v>7.2840000000000016E-2</v>
      </c>
      <c r="AX401" s="2">
        <f t="shared" si="315"/>
        <v>3.0599100000000001E-2</v>
      </c>
      <c r="AY401" s="2">
        <f t="shared" si="332"/>
        <v>0.17630910000000002</v>
      </c>
      <c r="AZ401" s="2">
        <f t="shared" si="333"/>
        <v>2.6446365000000003E-2</v>
      </c>
      <c r="BA401" s="2">
        <f t="shared" si="316"/>
        <v>2.9142000000000005E-3</v>
      </c>
      <c r="BB401" s="2">
        <f t="shared" si="317"/>
        <v>8.7426000000000004E-2</v>
      </c>
      <c r="BC401" s="2">
        <f t="shared" si="334"/>
        <v>0.36593566500000002</v>
      </c>
      <c r="BD401" s="2">
        <v>0</v>
      </c>
      <c r="BE401" s="2">
        <f t="shared" si="318"/>
        <v>1.4571000000000001</v>
      </c>
      <c r="BF401" s="2">
        <f t="shared" si="319"/>
        <v>4.7355750000000002E-2</v>
      </c>
      <c r="BG401" s="2">
        <f t="shared" si="335"/>
        <v>4.7355750000000002E-2</v>
      </c>
      <c r="BH401" s="2">
        <f t="shared" si="336"/>
        <v>7.1033625E-3</v>
      </c>
      <c r="BI401" s="2">
        <f t="shared" si="320"/>
        <v>2.9142000000000005E-3</v>
      </c>
      <c r="BJ401" s="2">
        <f t="shared" si="321"/>
        <v>8.7426000000000004E-2</v>
      </c>
      <c r="BK401" s="2">
        <f t="shared" si="337"/>
        <v>1.6018993125000001</v>
      </c>
      <c r="BL401" s="2">
        <f t="shared" si="322"/>
        <v>728.7</v>
      </c>
      <c r="BM401" s="2">
        <f t="shared" si="323"/>
        <v>728.40000000000009</v>
      </c>
      <c r="BN401" s="2">
        <f t="shared" si="338"/>
        <v>1457.1000000000001</v>
      </c>
    </row>
    <row r="402" spans="1:66" x14ac:dyDescent="0.25">
      <c r="A402" s="42">
        <v>399</v>
      </c>
      <c r="B402" s="43">
        <v>42872</v>
      </c>
      <c r="C402" s="42" t="s">
        <v>50</v>
      </c>
      <c r="D402" s="42" t="s">
        <v>188</v>
      </c>
      <c r="E402" s="6">
        <f t="shared" si="324"/>
        <v>6.0996773437501135</v>
      </c>
      <c r="F402" s="5" t="str">
        <f t="shared" si="339"/>
        <v>Win</v>
      </c>
      <c r="G402" s="4">
        <f t="shared" si="340"/>
        <v>6.7500000000001137</v>
      </c>
      <c r="H402" s="46">
        <v>5</v>
      </c>
      <c r="I402" s="42">
        <v>190.7</v>
      </c>
      <c r="N402" s="5">
        <f t="shared" si="341"/>
        <v>5</v>
      </c>
      <c r="O402" s="4">
        <f t="shared" si="342"/>
        <v>190.7</v>
      </c>
      <c r="P402" s="5">
        <f t="shared" si="297"/>
        <v>5</v>
      </c>
      <c r="Q402" s="42">
        <v>192.05</v>
      </c>
      <c r="R402" s="2">
        <f t="shared" si="296"/>
        <v>0</v>
      </c>
      <c r="T402" s="2">
        <f t="shared" si="325"/>
        <v>0</v>
      </c>
      <c r="V402" s="5">
        <f t="shared" si="343"/>
        <v>5</v>
      </c>
      <c r="W402" s="4">
        <f t="shared" si="344"/>
        <v>192.05</v>
      </c>
      <c r="X402" s="14">
        <f t="shared" si="298"/>
        <v>1.3500000000000227</v>
      </c>
      <c r="Y402" s="5">
        <f t="shared" si="299"/>
        <v>6.7500000000001137</v>
      </c>
      <c r="Z402" s="2">
        <f t="shared" si="300"/>
        <v>0</v>
      </c>
      <c r="AA402" s="4">
        <f t="shared" si="301"/>
        <v>0</v>
      </c>
      <c r="AB402" s="13">
        <f t="shared" si="302"/>
        <v>0.65032265624999996</v>
      </c>
      <c r="AC402" s="10">
        <f>SUM($E$4:E402)</f>
        <v>-13296.294843997573</v>
      </c>
      <c r="AD402" s="20">
        <f>SUM($AB$4:AB402)</f>
        <v>11306.348343997532</v>
      </c>
      <c r="AF402" s="28">
        <f t="shared" si="303"/>
        <v>0.19137500000000002</v>
      </c>
      <c r="AG402" s="2">
        <f t="shared" si="304"/>
        <v>0.24006250000000001</v>
      </c>
      <c r="AH402" s="2">
        <f t="shared" si="305"/>
        <v>6.2196874999999992E-2</v>
      </c>
      <c r="AI402" s="2">
        <f t="shared" si="326"/>
        <v>0.253571875</v>
      </c>
      <c r="AJ402" s="2">
        <f t="shared" si="327"/>
        <v>3.8035781249999998E-2</v>
      </c>
      <c r="AK402" s="2">
        <f t="shared" si="306"/>
        <v>3.8275000000000002E-3</v>
      </c>
      <c r="AL402" s="2">
        <f t="shared" si="307"/>
        <v>0.114825</v>
      </c>
      <c r="AM402" s="2">
        <f t="shared" si="328"/>
        <v>0.65032265624999996</v>
      </c>
      <c r="AN402" s="2">
        <f t="shared" si="308"/>
        <v>40</v>
      </c>
      <c r="AO402" s="2">
        <f t="shared" si="309"/>
        <v>0.48012500000000002</v>
      </c>
      <c r="AP402" s="2">
        <f t="shared" si="310"/>
        <v>1.0142875</v>
      </c>
      <c r="AQ402" s="2">
        <f t="shared" si="329"/>
        <v>41.014287500000002</v>
      </c>
      <c r="AR402" s="2">
        <f t="shared" si="330"/>
        <v>6.1521431250000003</v>
      </c>
      <c r="AS402" s="2">
        <f t="shared" si="311"/>
        <v>3.8275000000000002E-3</v>
      </c>
      <c r="AT402" s="2">
        <f t="shared" si="312"/>
        <v>0.114825</v>
      </c>
      <c r="AU402" s="2">
        <f t="shared" si="331"/>
        <v>47.765208125000008</v>
      </c>
      <c r="AV402" s="2">
        <f t="shared" si="313"/>
        <v>0.19137500000000002</v>
      </c>
      <c r="AW402" s="2">
        <f t="shared" si="314"/>
        <v>9.6025000000000013E-2</v>
      </c>
      <c r="AX402" s="2">
        <f t="shared" si="315"/>
        <v>4.0188749999999995E-2</v>
      </c>
      <c r="AY402" s="2">
        <f t="shared" si="332"/>
        <v>0.23156375000000001</v>
      </c>
      <c r="AZ402" s="2">
        <f t="shared" si="333"/>
        <v>3.4734562500000003E-2</v>
      </c>
      <c r="BA402" s="2">
        <f t="shared" si="316"/>
        <v>3.8275000000000002E-3</v>
      </c>
      <c r="BB402" s="2">
        <f t="shared" si="317"/>
        <v>0.114825</v>
      </c>
      <c r="BC402" s="2">
        <f t="shared" si="334"/>
        <v>0.48097581250000004</v>
      </c>
      <c r="BD402" s="2">
        <v>0</v>
      </c>
      <c r="BE402" s="2">
        <f t="shared" si="318"/>
        <v>1.9137500000000001</v>
      </c>
      <c r="BF402" s="2">
        <f t="shared" si="319"/>
        <v>6.2196874999999992E-2</v>
      </c>
      <c r="BG402" s="2">
        <f t="shared" si="335"/>
        <v>6.2196874999999992E-2</v>
      </c>
      <c r="BH402" s="2">
        <f t="shared" si="336"/>
        <v>9.3295312499999984E-3</v>
      </c>
      <c r="BI402" s="2">
        <f t="shared" si="320"/>
        <v>3.8275000000000002E-3</v>
      </c>
      <c r="BJ402" s="2">
        <f t="shared" si="321"/>
        <v>0.114825</v>
      </c>
      <c r="BK402" s="2">
        <f t="shared" si="337"/>
        <v>2.1039289062500002</v>
      </c>
      <c r="BL402" s="2">
        <f t="shared" si="322"/>
        <v>953.5</v>
      </c>
      <c r="BM402" s="2">
        <f t="shared" si="323"/>
        <v>960.25</v>
      </c>
      <c r="BN402" s="2">
        <f t="shared" si="338"/>
        <v>1913.75</v>
      </c>
    </row>
    <row r="403" spans="1:66" x14ac:dyDescent="0.25">
      <c r="A403" s="42">
        <v>400</v>
      </c>
      <c r="B403" s="43">
        <v>42872</v>
      </c>
      <c r="C403" s="42" t="s">
        <v>50</v>
      </c>
      <c r="D403" s="42" t="s">
        <v>248</v>
      </c>
      <c r="E403" s="6">
        <f t="shared" si="324"/>
        <v>1.5564791562499545</v>
      </c>
      <c r="F403" s="5" t="str">
        <f t="shared" si="339"/>
        <v>Win</v>
      </c>
      <c r="G403" s="4">
        <f t="shared" si="340"/>
        <v>2.0499999999999545</v>
      </c>
      <c r="H403" s="46">
        <v>1</v>
      </c>
      <c r="I403" s="42">
        <v>725.7</v>
      </c>
      <c r="N403" s="5">
        <f t="shared" si="341"/>
        <v>1</v>
      </c>
      <c r="O403" s="4">
        <f t="shared" si="342"/>
        <v>725.7</v>
      </c>
      <c r="P403" s="5">
        <f t="shared" si="297"/>
        <v>1</v>
      </c>
      <c r="Q403" s="42">
        <v>727.75</v>
      </c>
      <c r="R403" s="2">
        <f t="shared" si="296"/>
        <v>0</v>
      </c>
      <c r="T403" s="2">
        <f t="shared" si="325"/>
        <v>0</v>
      </c>
      <c r="V403" s="5">
        <f t="shared" si="343"/>
        <v>1</v>
      </c>
      <c r="W403" s="4">
        <f t="shared" si="344"/>
        <v>727.75</v>
      </c>
      <c r="X403" s="14">
        <f t="shared" si="298"/>
        <v>2.0499999999999545</v>
      </c>
      <c r="Y403" s="5">
        <f t="shared" si="299"/>
        <v>2.0499999999999545</v>
      </c>
      <c r="Z403" s="2">
        <f t="shared" si="300"/>
        <v>0</v>
      </c>
      <c r="AA403" s="4">
        <f t="shared" si="301"/>
        <v>0</v>
      </c>
      <c r="AB403" s="13">
        <f t="shared" si="302"/>
        <v>0.49352084375000005</v>
      </c>
      <c r="AC403" s="10">
        <f>SUM($E$4:E403)</f>
        <v>-13294.738364841323</v>
      </c>
      <c r="AD403" s="20">
        <f>SUM($AB$4:AB403)</f>
        <v>11306.841864841281</v>
      </c>
      <c r="AF403" s="28">
        <f t="shared" si="303"/>
        <v>0.145345</v>
      </c>
      <c r="AG403" s="2">
        <f t="shared" si="304"/>
        <v>0.1819375</v>
      </c>
      <c r="AH403" s="2">
        <f t="shared" si="305"/>
        <v>4.7237124999999998E-2</v>
      </c>
      <c r="AI403" s="2">
        <f t="shared" si="326"/>
        <v>0.19258212499999999</v>
      </c>
      <c r="AJ403" s="2">
        <f t="shared" si="327"/>
        <v>2.8887318749999998E-2</v>
      </c>
      <c r="AK403" s="2">
        <f t="shared" si="306"/>
        <v>2.9069000000000005E-3</v>
      </c>
      <c r="AL403" s="2">
        <f t="shared" si="307"/>
        <v>8.7207000000000007E-2</v>
      </c>
      <c r="AM403" s="2">
        <f t="shared" si="328"/>
        <v>0.49352084375000005</v>
      </c>
      <c r="AN403" s="2">
        <f t="shared" si="308"/>
        <v>40</v>
      </c>
      <c r="AO403" s="2">
        <f t="shared" si="309"/>
        <v>0.363875</v>
      </c>
      <c r="AP403" s="2">
        <f t="shared" si="310"/>
        <v>0.77032849999999997</v>
      </c>
      <c r="AQ403" s="2">
        <f t="shared" si="329"/>
        <v>40.770328499999998</v>
      </c>
      <c r="AR403" s="2">
        <f t="shared" si="330"/>
        <v>6.1155492749999993</v>
      </c>
      <c r="AS403" s="2">
        <f t="shared" si="311"/>
        <v>2.9069000000000005E-3</v>
      </c>
      <c r="AT403" s="2">
        <f t="shared" si="312"/>
        <v>8.7207000000000007E-2</v>
      </c>
      <c r="AU403" s="2">
        <f t="shared" si="331"/>
        <v>47.339866674999996</v>
      </c>
      <c r="AV403" s="2">
        <f t="shared" si="313"/>
        <v>0.145345</v>
      </c>
      <c r="AW403" s="2">
        <f t="shared" si="314"/>
        <v>7.2775000000000006E-2</v>
      </c>
      <c r="AX403" s="2">
        <f t="shared" si="315"/>
        <v>3.052245E-2</v>
      </c>
      <c r="AY403" s="2">
        <f t="shared" si="332"/>
        <v>0.17586745000000001</v>
      </c>
      <c r="AZ403" s="2">
        <f t="shared" si="333"/>
        <v>2.6380117500000001E-2</v>
      </c>
      <c r="BA403" s="2">
        <f t="shared" si="316"/>
        <v>2.9069000000000005E-3</v>
      </c>
      <c r="BB403" s="2">
        <f t="shared" si="317"/>
        <v>8.7207000000000007E-2</v>
      </c>
      <c r="BC403" s="2">
        <f t="shared" si="334"/>
        <v>0.36513646750000006</v>
      </c>
      <c r="BD403" s="2">
        <v>0</v>
      </c>
      <c r="BE403" s="2">
        <f t="shared" si="318"/>
        <v>1.4534500000000001</v>
      </c>
      <c r="BF403" s="2">
        <f t="shared" si="319"/>
        <v>4.7237124999999998E-2</v>
      </c>
      <c r="BG403" s="2">
        <f t="shared" si="335"/>
        <v>4.7237124999999998E-2</v>
      </c>
      <c r="BH403" s="2">
        <f t="shared" si="336"/>
        <v>7.0855687499999992E-3</v>
      </c>
      <c r="BI403" s="2">
        <f t="shared" si="320"/>
        <v>2.9069000000000005E-3</v>
      </c>
      <c r="BJ403" s="2">
        <f t="shared" si="321"/>
        <v>8.7207000000000007E-2</v>
      </c>
      <c r="BK403" s="2">
        <f t="shared" si="337"/>
        <v>1.5978865937500002</v>
      </c>
      <c r="BL403" s="2">
        <f t="shared" si="322"/>
        <v>725.7</v>
      </c>
      <c r="BM403" s="2">
        <f t="shared" si="323"/>
        <v>727.75</v>
      </c>
      <c r="BN403" s="2">
        <f t="shared" si="338"/>
        <v>1453.45</v>
      </c>
    </row>
    <row r="404" spans="1:66" x14ac:dyDescent="0.25">
      <c r="A404" s="42">
        <v>401</v>
      </c>
      <c r="B404" s="43">
        <v>42872</v>
      </c>
      <c r="C404" s="42" t="s">
        <v>50</v>
      </c>
      <c r="D404" s="42" t="s">
        <v>124</v>
      </c>
      <c r="E404" s="6">
        <f t="shared" si="324"/>
        <v>9.0772429687499425</v>
      </c>
      <c r="F404" s="5" t="str">
        <f t="shared" si="339"/>
        <v>Win</v>
      </c>
      <c r="G404" s="4">
        <f t="shared" si="340"/>
        <v>9.7499999999999432</v>
      </c>
      <c r="H404" s="46">
        <v>5</v>
      </c>
      <c r="I404" s="42">
        <v>196.9</v>
      </c>
      <c r="N404" s="5">
        <f t="shared" si="341"/>
        <v>5</v>
      </c>
      <c r="O404" s="4">
        <f t="shared" si="342"/>
        <v>196.9</v>
      </c>
      <c r="P404" s="5">
        <f t="shared" si="297"/>
        <v>5</v>
      </c>
      <c r="Q404" s="42">
        <v>198.85</v>
      </c>
      <c r="R404" s="2">
        <f t="shared" si="296"/>
        <v>0</v>
      </c>
      <c r="T404" s="2">
        <f t="shared" si="325"/>
        <v>0</v>
      </c>
      <c r="V404" s="5">
        <f t="shared" si="343"/>
        <v>5</v>
      </c>
      <c r="W404" s="4">
        <f t="shared" si="344"/>
        <v>198.85</v>
      </c>
      <c r="X404" s="14">
        <f t="shared" si="298"/>
        <v>1.9499999999999886</v>
      </c>
      <c r="Y404" s="5">
        <f t="shared" si="299"/>
        <v>9.7499999999999432</v>
      </c>
      <c r="Z404" s="2">
        <f t="shared" si="300"/>
        <v>0</v>
      </c>
      <c r="AA404" s="4">
        <f t="shared" si="301"/>
        <v>0</v>
      </c>
      <c r="AB404" s="13">
        <f t="shared" si="302"/>
        <v>0.67275703124999997</v>
      </c>
      <c r="AC404" s="10">
        <f>SUM($E$4:E404)</f>
        <v>-13285.661121872574</v>
      </c>
      <c r="AD404" s="20">
        <f>SUM($AB$4:AB404)</f>
        <v>11307.514621872531</v>
      </c>
      <c r="AF404" s="28">
        <f t="shared" si="303"/>
        <v>0.19787500000000002</v>
      </c>
      <c r="AG404" s="2">
        <f t="shared" si="304"/>
        <v>0.24856249999999999</v>
      </c>
      <c r="AH404" s="2">
        <f t="shared" si="305"/>
        <v>6.4309374999999988E-2</v>
      </c>
      <c r="AI404" s="2">
        <f t="shared" si="326"/>
        <v>0.26218437500000003</v>
      </c>
      <c r="AJ404" s="2">
        <f t="shared" si="327"/>
        <v>3.9327656250000002E-2</v>
      </c>
      <c r="AK404" s="2">
        <f t="shared" si="306"/>
        <v>3.9575000000000001E-3</v>
      </c>
      <c r="AL404" s="2">
        <f t="shared" si="307"/>
        <v>0.118725</v>
      </c>
      <c r="AM404" s="2">
        <f t="shared" si="328"/>
        <v>0.67275703124999997</v>
      </c>
      <c r="AN404" s="2">
        <f t="shared" si="308"/>
        <v>40</v>
      </c>
      <c r="AO404" s="2">
        <f t="shared" si="309"/>
        <v>0.49712499999999998</v>
      </c>
      <c r="AP404" s="2">
        <f t="shared" si="310"/>
        <v>1.0487374999999999</v>
      </c>
      <c r="AQ404" s="2">
        <f t="shared" si="329"/>
        <v>41.048737500000001</v>
      </c>
      <c r="AR404" s="2">
        <f t="shared" si="330"/>
        <v>6.157310625</v>
      </c>
      <c r="AS404" s="2">
        <f t="shared" si="311"/>
        <v>3.9575000000000001E-3</v>
      </c>
      <c r="AT404" s="2">
        <f t="shared" si="312"/>
        <v>0.118725</v>
      </c>
      <c r="AU404" s="2">
        <f t="shared" si="331"/>
        <v>47.825855624999996</v>
      </c>
      <c r="AV404" s="2">
        <f t="shared" si="313"/>
        <v>0.19787500000000002</v>
      </c>
      <c r="AW404" s="2">
        <f t="shared" si="314"/>
        <v>9.9424999999999999E-2</v>
      </c>
      <c r="AX404" s="2">
        <f t="shared" si="315"/>
        <v>4.155375E-2</v>
      </c>
      <c r="AY404" s="2">
        <f t="shared" si="332"/>
        <v>0.23942875000000002</v>
      </c>
      <c r="AZ404" s="2">
        <f t="shared" si="333"/>
        <v>3.5914312500000004E-2</v>
      </c>
      <c r="BA404" s="2">
        <f t="shared" si="316"/>
        <v>3.9575000000000001E-3</v>
      </c>
      <c r="BB404" s="2">
        <f t="shared" si="317"/>
        <v>0.118725</v>
      </c>
      <c r="BC404" s="2">
        <f t="shared" si="334"/>
        <v>0.49745056249999997</v>
      </c>
      <c r="BD404" s="2">
        <v>0</v>
      </c>
      <c r="BE404" s="2">
        <f t="shared" si="318"/>
        <v>1.97875</v>
      </c>
      <c r="BF404" s="2">
        <f t="shared" si="319"/>
        <v>6.4309374999999988E-2</v>
      </c>
      <c r="BG404" s="2">
        <f t="shared" si="335"/>
        <v>6.4309374999999988E-2</v>
      </c>
      <c r="BH404" s="2">
        <f t="shared" si="336"/>
        <v>9.6464062499999979E-3</v>
      </c>
      <c r="BI404" s="2">
        <f t="shared" si="320"/>
        <v>3.9575000000000001E-3</v>
      </c>
      <c r="BJ404" s="2">
        <f t="shared" si="321"/>
        <v>0.118725</v>
      </c>
      <c r="BK404" s="2">
        <f t="shared" si="337"/>
        <v>2.1753882812499996</v>
      </c>
      <c r="BL404" s="2">
        <f t="shared" si="322"/>
        <v>984.5</v>
      </c>
      <c r="BM404" s="2">
        <f t="shared" si="323"/>
        <v>994.25</v>
      </c>
      <c r="BN404" s="2">
        <f t="shared" si="338"/>
        <v>1978.75</v>
      </c>
    </row>
    <row r="405" spans="1:66" x14ac:dyDescent="0.25">
      <c r="A405" s="42">
        <v>402</v>
      </c>
      <c r="B405" s="43">
        <v>42872</v>
      </c>
      <c r="C405" s="42" t="s">
        <v>50</v>
      </c>
      <c r="D405" s="42" t="s">
        <v>242</v>
      </c>
      <c r="E405" s="6">
        <f t="shared" si="324"/>
        <v>-12.128246500000023</v>
      </c>
      <c r="F405" s="5" t="str">
        <f t="shared" si="339"/>
        <v>Loss</v>
      </c>
      <c r="G405" s="4">
        <f t="shared" si="340"/>
        <v>-11.600000000000023</v>
      </c>
      <c r="H405" s="46">
        <v>4</v>
      </c>
      <c r="I405" s="42">
        <v>196.55</v>
      </c>
      <c r="N405" s="5">
        <f t="shared" si="341"/>
        <v>4</v>
      </c>
      <c r="O405" s="4">
        <f t="shared" si="342"/>
        <v>196.55</v>
      </c>
      <c r="P405" s="5">
        <f t="shared" si="297"/>
        <v>4</v>
      </c>
      <c r="Q405" s="42">
        <v>193.65</v>
      </c>
      <c r="R405" s="2">
        <f t="shared" si="296"/>
        <v>0</v>
      </c>
      <c r="T405" s="2">
        <f t="shared" si="325"/>
        <v>0</v>
      </c>
      <c r="V405" s="5">
        <f t="shared" si="343"/>
        <v>4</v>
      </c>
      <c r="W405" s="4">
        <f t="shared" si="344"/>
        <v>193.65</v>
      </c>
      <c r="X405" s="14">
        <f t="shared" si="298"/>
        <v>-2.9000000000000057</v>
      </c>
      <c r="Y405" s="5">
        <f t="shared" si="299"/>
        <v>-11.600000000000023</v>
      </c>
      <c r="Z405" s="2">
        <f t="shared" si="300"/>
        <v>0</v>
      </c>
      <c r="AA405" s="4">
        <f t="shared" si="301"/>
        <v>0</v>
      </c>
      <c r="AB405" s="13">
        <f t="shared" si="302"/>
        <v>0.52824650000000006</v>
      </c>
      <c r="AC405" s="10">
        <f>SUM($E$4:E405)</f>
        <v>-13297.789368372574</v>
      </c>
      <c r="AD405" s="20">
        <f>SUM($AB$4:AB405)</f>
        <v>11308.042868372531</v>
      </c>
      <c r="AF405" s="28">
        <f t="shared" si="303"/>
        <v>0.15608000000000002</v>
      </c>
      <c r="AG405" s="2">
        <f t="shared" si="304"/>
        <v>0.19365000000000002</v>
      </c>
      <c r="AH405" s="2">
        <f t="shared" si="305"/>
        <v>5.0726E-2</v>
      </c>
      <c r="AI405" s="2">
        <f t="shared" si="326"/>
        <v>0.20680600000000002</v>
      </c>
      <c r="AJ405" s="2">
        <f t="shared" si="327"/>
        <v>3.1020900000000001E-2</v>
      </c>
      <c r="AK405" s="2">
        <f t="shared" si="306"/>
        <v>3.1216000000000004E-3</v>
      </c>
      <c r="AL405" s="2">
        <f t="shared" si="307"/>
        <v>9.3648000000000009E-2</v>
      </c>
      <c r="AM405" s="2">
        <f t="shared" si="328"/>
        <v>0.52824650000000006</v>
      </c>
      <c r="AN405" s="2">
        <f t="shared" si="308"/>
        <v>40</v>
      </c>
      <c r="AO405" s="2">
        <f t="shared" si="309"/>
        <v>0.38730000000000003</v>
      </c>
      <c r="AP405" s="2">
        <f t="shared" si="310"/>
        <v>0.82722400000000007</v>
      </c>
      <c r="AQ405" s="2">
        <f t="shared" si="329"/>
        <v>40.827224000000001</v>
      </c>
      <c r="AR405" s="2">
        <f t="shared" si="330"/>
        <v>6.1240835999999996</v>
      </c>
      <c r="AS405" s="2">
        <f t="shared" si="311"/>
        <v>3.1216000000000004E-3</v>
      </c>
      <c r="AT405" s="2">
        <f t="shared" si="312"/>
        <v>9.3648000000000009E-2</v>
      </c>
      <c r="AU405" s="2">
        <f t="shared" si="331"/>
        <v>47.435377200000005</v>
      </c>
      <c r="AV405" s="2">
        <f t="shared" si="313"/>
        <v>0.15608000000000002</v>
      </c>
      <c r="AW405" s="2">
        <f t="shared" si="314"/>
        <v>7.7460000000000001E-2</v>
      </c>
      <c r="AX405" s="2">
        <f t="shared" si="315"/>
        <v>3.2776800000000002E-2</v>
      </c>
      <c r="AY405" s="2">
        <f t="shared" si="332"/>
        <v>0.18885680000000002</v>
      </c>
      <c r="AZ405" s="2">
        <f t="shared" si="333"/>
        <v>2.8328520000000003E-2</v>
      </c>
      <c r="BA405" s="2">
        <f t="shared" si="316"/>
        <v>3.1216000000000004E-3</v>
      </c>
      <c r="BB405" s="2">
        <f t="shared" si="317"/>
        <v>9.3648000000000009E-2</v>
      </c>
      <c r="BC405" s="2">
        <f t="shared" si="334"/>
        <v>0.39141492000000006</v>
      </c>
      <c r="BD405" s="2">
        <v>0</v>
      </c>
      <c r="BE405" s="2">
        <f t="shared" si="318"/>
        <v>1.5608000000000002</v>
      </c>
      <c r="BF405" s="2">
        <f t="shared" si="319"/>
        <v>5.0726E-2</v>
      </c>
      <c r="BG405" s="2">
        <f t="shared" si="335"/>
        <v>5.0726E-2</v>
      </c>
      <c r="BH405" s="2">
        <f t="shared" si="336"/>
        <v>7.6089E-3</v>
      </c>
      <c r="BI405" s="2">
        <f t="shared" si="320"/>
        <v>3.1216000000000004E-3</v>
      </c>
      <c r="BJ405" s="2">
        <f t="shared" si="321"/>
        <v>9.3648000000000009E-2</v>
      </c>
      <c r="BK405" s="2">
        <f t="shared" si="337"/>
        <v>1.7159045000000002</v>
      </c>
      <c r="BL405" s="2">
        <f t="shared" si="322"/>
        <v>786.2</v>
      </c>
      <c r="BM405" s="2">
        <f t="shared" si="323"/>
        <v>774.6</v>
      </c>
      <c r="BN405" s="2">
        <f t="shared" si="338"/>
        <v>1560.8000000000002</v>
      </c>
    </row>
    <row r="406" spans="1:66" x14ac:dyDescent="0.25">
      <c r="A406" s="42">
        <v>403</v>
      </c>
      <c r="B406" s="43">
        <v>42872</v>
      </c>
      <c r="C406" s="42" t="s">
        <v>50</v>
      </c>
      <c r="D406" s="42" t="s">
        <v>207</v>
      </c>
      <c r="E406" s="6">
        <f t="shared" si="324"/>
        <v>-12.311469531250113</v>
      </c>
      <c r="F406" s="5" t="str">
        <f t="shared" si="339"/>
        <v>Loss</v>
      </c>
      <c r="G406" s="4">
        <f t="shared" si="340"/>
        <v>-11.750000000000114</v>
      </c>
      <c r="H406" s="46">
        <v>5</v>
      </c>
      <c r="I406" s="42">
        <v>167.05</v>
      </c>
      <c r="N406" s="5">
        <f t="shared" si="341"/>
        <v>5</v>
      </c>
      <c r="O406" s="4">
        <f t="shared" si="342"/>
        <v>167.05</v>
      </c>
      <c r="P406" s="5">
        <f t="shared" si="297"/>
        <v>5</v>
      </c>
      <c r="Q406" s="42">
        <v>164.7</v>
      </c>
      <c r="R406" s="2">
        <f t="shared" si="296"/>
        <v>0</v>
      </c>
      <c r="T406" s="2">
        <f t="shared" si="325"/>
        <v>0</v>
      </c>
      <c r="V406" s="5">
        <f t="shared" si="343"/>
        <v>5</v>
      </c>
      <c r="W406" s="4">
        <f t="shared" si="344"/>
        <v>164.7</v>
      </c>
      <c r="X406" s="14">
        <f t="shared" si="298"/>
        <v>-2.3500000000000227</v>
      </c>
      <c r="Y406" s="5">
        <f t="shared" si="299"/>
        <v>-11.750000000000114</v>
      </c>
      <c r="Z406" s="2">
        <f t="shared" si="300"/>
        <v>0</v>
      </c>
      <c r="AA406" s="4">
        <f t="shared" si="301"/>
        <v>0</v>
      </c>
      <c r="AB406" s="13">
        <f t="shared" si="302"/>
        <v>0.56146953124999999</v>
      </c>
      <c r="AC406" s="10">
        <f>SUM($E$4:E406)</f>
        <v>-13310.100837903825</v>
      </c>
      <c r="AD406" s="20">
        <f>SUM($AB$4:AB406)</f>
        <v>11308.604337903782</v>
      </c>
      <c r="AF406" s="28">
        <f t="shared" si="303"/>
        <v>0.16587499999999999</v>
      </c>
      <c r="AG406" s="2">
        <f t="shared" si="304"/>
        <v>0.205875</v>
      </c>
      <c r="AH406" s="2">
        <f t="shared" si="305"/>
        <v>5.3909374999999995E-2</v>
      </c>
      <c r="AI406" s="2">
        <f t="shared" si="326"/>
        <v>0.21978437499999998</v>
      </c>
      <c r="AJ406" s="2">
        <f t="shared" si="327"/>
        <v>3.2967656249999998E-2</v>
      </c>
      <c r="AK406" s="2">
        <f t="shared" si="306"/>
        <v>3.3175000000000001E-3</v>
      </c>
      <c r="AL406" s="2">
        <f t="shared" si="307"/>
        <v>9.9525000000000002E-2</v>
      </c>
      <c r="AM406" s="2">
        <f t="shared" si="328"/>
        <v>0.56146953124999999</v>
      </c>
      <c r="AN406" s="2">
        <f t="shared" si="308"/>
        <v>40</v>
      </c>
      <c r="AO406" s="2">
        <f t="shared" si="309"/>
        <v>0.41175</v>
      </c>
      <c r="AP406" s="2">
        <f t="shared" si="310"/>
        <v>0.87913750000000002</v>
      </c>
      <c r="AQ406" s="2">
        <f t="shared" si="329"/>
        <v>40.879137499999999</v>
      </c>
      <c r="AR406" s="2">
        <f t="shared" si="330"/>
        <v>6.1318706249999995</v>
      </c>
      <c r="AS406" s="2">
        <f t="shared" si="311"/>
        <v>3.3175000000000001E-3</v>
      </c>
      <c r="AT406" s="2">
        <f t="shared" si="312"/>
        <v>9.9525000000000002E-2</v>
      </c>
      <c r="AU406" s="2">
        <f t="shared" si="331"/>
        <v>47.525600624999996</v>
      </c>
      <c r="AV406" s="2">
        <f t="shared" si="313"/>
        <v>0.16587499999999999</v>
      </c>
      <c r="AW406" s="2">
        <f t="shared" si="314"/>
        <v>8.2349999999999993E-2</v>
      </c>
      <c r="AX406" s="2">
        <f t="shared" si="315"/>
        <v>3.4833749999999997E-2</v>
      </c>
      <c r="AY406" s="2">
        <f t="shared" si="332"/>
        <v>0.20070874999999999</v>
      </c>
      <c r="AZ406" s="2">
        <f t="shared" si="333"/>
        <v>3.0106312499999996E-2</v>
      </c>
      <c r="BA406" s="2">
        <f t="shared" si="316"/>
        <v>3.3175000000000001E-3</v>
      </c>
      <c r="BB406" s="2">
        <f t="shared" si="317"/>
        <v>9.9525000000000002E-2</v>
      </c>
      <c r="BC406" s="2">
        <f t="shared" si="334"/>
        <v>0.41600756249999993</v>
      </c>
      <c r="BD406" s="2">
        <v>0</v>
      </c>
      <c r="BE406" s="2">
        <f t="shared" si="318"/>
        <v>1.6587499999999999</v>
      </c>
      <c r="BF406" s="2">
        <f t="shared" si="319"/>
        <v>5.3909374999999995E-2</v>
      </c>
      <c r="BG406" s="2">
        <f t="shared" si="335"/>
        <v>5.3909374999999995E-2</v>
      </c>
      <c r="BH406" s="2">
        <f t="shared" si="336"/>
        <v>8.086406249999999E-3</v>
      </c>
      <c r="BI406" s="2">
        <f t="shared" si="320"/>
        <v>3.3175000000000001E-3</v>
      </c>
      <c r="BJ406" s="2">
        <f t="shared" si="321"/>
        <v>9.9525000000000002E-2</v>
      </c>
      <c r="BK406" s="2">
        <f t="shared" si="337"/>
        <v>1.8235882812499999</v>
      </c>
      <c r="BL406" s="2">
        <f t="shared" si="322"/>
        <v>835.25</v>
      </c>
      <c r="BM406" s="2">
        <f t="shared" si="323"/>
        <v>823.5</v>
      </c>
      <c r="BN406" s="2">
        <f t="shared" si="338"/>
        <v>1658.75</v>
      </c>
    </row>
    <row r="407" spans="1:66" x14ac:dyDescent="0.25">
      <c r="A407" s="42">
        <v>404</v>
      </c>
      <c r="B407" s="43">
        <v>42872</v>
      </c>
      <c r="C407" s="42" t="s">
        <v>50</v>
      </c>
      <c r="D407" s="42" t="s">
        <v>191</v>
      </c>
      <c r="E407" s="6">
        <f t="shared" si="324"/>
        <v>-1.9851526874999998</v>
      </c>
      <c r="F407" s="5" t="str">
        <f t="shared" si="339"/>
        <v>Loss</v>
      </c>
      <c r="G407" s="4">
        <f t="shared" si="340"/>
        <v>-1.5</v>
      </c>
      <c r="H407" s="46">
        <v>6</v>
      </c>
      <c r="I407" s="42">
        <v>119.3</v>
      </c>
      <c r="N407" s="5">
        <f t="shared" si="341"/>
        <v>6</v>
      </c>
      <c r="O407" s="4">
        <f t="shared" si="342"/>
        <v>119.3</v>
      </c>
      <c r="P407" s="5">
        <f t="shared" si="297"/>
        <v>6</v>
      </c>
      <c r="Q407" s="42">
        <v>119.05</v>
      </c>
      <c r="R407" s="2">
        <f t="shared" si="296"/>
        <v>0</v>
      </c>
      <c r="T407" s="2">
        <f t="shared" si="325"/>
        <v>0</v>
      </c>
      <c r="V407" s="5">
        <f t="shared" si="343"/>
        <v>6</v>
      </c>
      <c r="W407" s="4">
        <f t="shared" si="344"/>
        <v>119.05</v>
      </c>
      <c r="X407" s="14">
        <f t="shared" si="298"/>
        <v>-0.25</v>
      </c>
      <c r="Y407" s="5">
        <f t="shared" si="299"/>
        <v>-1.5</v>
      </c>
      <c r="Z407" s="2">
        <f t="shared" si="300"/>
        <v>0</v>
      </c>
      <c r="AA407" s="4">
        <f t="shared" si="301"/>
        <v>0</v>
      </c>
      <c r="AB407" s="13">
        <f t="shared" si="302"/>
        <v>0.48515268749999996</v>
      </c>
      <c r="AC407" s="10">
        <f>SUM($E$4:E407)</f>
        <v>-13312.085990591326</v>
      </c>
      <c r="AD407" s="20">
        <f>SUM($AB$4:AB407)</f>
        <v>11309.089490591283</v>
      </c>
      <c r="AF407" s="28">
        <f t="shared" si="303"/>
        <v>0.14301</v>
      </c>
      <c r="AG407" s="2">
        <f t="shared" si="304"/>
        <v>0.17857500000000001</v>
      </c>
      <c r="AH407" s="2">
        <f t="shared" si="305"/>
        <v>4.6478249999999992E-2</v>
      </c>
      <c r="AI407" s="2">
        <f t="shared" si="326"/>
        <v>0.18948825</v>
      </c>
      <c r="AJ407" s="2">
        <f t="shared" si="327"/>
        <v>2.8423237499999997E-2</v>
      </c>
      <c r="AK407" s="2">
        <f t="shared" si="306"/>
        <v>2.8602000000000002E-3</v>
      </c>
      <c r="AL407" s="2">
        <f t="shared" si="307"/>
        <v>8.5805999999999993E-2</v>
      </c>
      <c r="AM407" s="2">
        <f t="shared" si="328"/>
        <v>0.48515268749999996</v>
      </c>
      <c r="AN407" s="2">
        <f t="shared" si="308"/>
        <v>40</v>
      </c>
      <c r="AO407" s="2">
        <f t="shared" si="309"/>
        <v>0.35715000000000002</v>
      </c>
      <c r="AP407" s="2">
        <f t="shared" si="310"/>
        <v>0.75795299999999988</v>
      </c>
      <c r="AQ407" s="2">
        <f t="shared" si="329"/>
        <v>40.757953000000001</v>
      </c>
      <c r="AR407" s="2">
        <f t="shared" si="330"/>
        <v>6.1136929499999999</v>
      </c>
      <c r="AS407" s="2">
        <f t="shared" si="311"/>
        <v>2.8602000000000002E-3</v>
      </c>
      <c r="AT407" s="2">
        <f t="shared" si="312"/>
        <v>8.5805999999999993E-2</v>
      </c>
      <c r="AU407" s="2">
        <f t="shared" si="331"/>
        <v>47.317462149999997</v>
      </c>
      <c r="AV407" s="2">
        <f t="shared" si="313"/>
        <v>0.14301</v>
      </c>
      <c r="AW407" s="2">
        <f t="shared" si="314"/>
        <v>7.1430000000000007E-2</v>
      </c>
      <c r="AX407" s="2">
        <f t="shared" si="315"/>
        <v>3.0032099999999996E-2</v>
      </c>
      <c r="AY407" s="2">
        <f t="shared" si="332"/>
        <v>0.1730421</v>
      </c>
      <c r="AZ407" s="2">
        <f t="shared" si="333"/>
        <v>2.5956315000000001E-2</v>
      </c>
      <c r="BA407" s="2">
        <f t="shared" si="316"/>
        <v>2.8602000000000002E-3</v>
      </c>
      <c r="BB407" s="2">
        <f t="shared" si="317"/>
        <v>8.5805999999999993E-2</v>
      </c>
      <c r="BC407" s="2">
        <f t="shared" si="334"/>
        <v>0.35909461500000001</v>
      </c>
      <c r="BD407" s="2">
        <v>0</v>
      </c>
      <c r="BE407" s="2">
        <f t="shared" si="318"/>
        <v>1.4300999999999999</v>
      </c>
      <c r="BF407" s="2">
        <f t="shared" si="319"/>
        <v>4.6478249999999992E-2</v>
      </c>
      <c r="BG407" s="2">
        <f t="shared" si="335"/>
        <v>4.6478249999999992E-2</v>
      </c>
      <c r="BH407" s="2">
        <f t="shared" si="336"/>
        <v>6.9717374999999984E-3</v>
      </c>
      <c r="BI407" s="2">
        <f t="shared" si="320"/>
        <v>2.8602000000000002E-3</v>
      </c>
      <c r="BJ407" s="2">
        <f t="shared" si="321"/>
        <v>8.5805999999999993E-2</v>
      </c>
      <c r="BK407" s="2">
        <f t="shared" si="337"/>
        <v>1.5722161875</v>
      </c>
      <c r="BL407" s="2">
        <f t="shared" si="322"/>
        <v>715.8</v>
      </c>
      <c r="BM407" s="2">
        <f t="shared" si="323"/>
        <v>714.3</v>
      </c>
      <c r="BN407" s="2">
        <f t="shared" si="338"/>
        <v>1430.1</v>
      </c>
    </row>
    <row r="408" spans="1:66" x14ac:dyDescent="0.25">
      <c r="A408" s="42">
        <v>405</v>
      </c>
      <c r="B408" s="43">
        <v>42872</v>
      </c>
      <c r="C408" s="42" t="s">
        <v>50</v>
      </c>
      <c r="D408" s="42" t="s">
        <v>262</v>
      </c>
      <c r="E408" s="6">
        <f t="shared" si="324"/>
        <v>-9.1664541874999994</v>
      </c>
      <c r="F408" s="5" t="str">
        <f t="shared" si="339"/>
        <v>Loss</v>
      </c>
      <c r="G408" s="4">
        <f t="shared" si="340"/>
        <v>-8.5</v>
      </c>
      <c r="H408" s="46">
        <v>2</v>
      </c>
      <c r="I408" s="42">
        <v>493.85</v>
      </c>
      <c r="N408" s="5">
        <f t="shared" si="341"/>
        <v>2</v>
      </c>
      <c r="O408" s="4">
        <f t="shared" si="342"/>
        <v>493.85</v>
      </c>
      <c r="P408" s="5">
        <f t="shared" si="297"/>
        <v>2</v>
      </c>
      <c r="Q408" s="42">
        <v>489.6</v>
      </c>
      <c r="R408" s="2">
        <f t="shared" si="296"/>
        <v>0</v>
      </c>
      <c r="T408" s="2">
        <f t="shared" si="325"/>
        <v>0</v>
      </c>
      <c r="V408" s="5">
        <f t="shared" si="343"/>
        <v>2</v>
      </c>
      <c r="W408" s="4">
        <f t="shared" si="344"/>
        <v>489.6</v>
      </c>
      <c r="X408" s="14">
        <f t="shared" si="298"/>
        <v>-4.25</v>
      </c>
      <c r="Y408" s="5">
        <f t="shared" si="299"/>
        <v>-8.5</v>
      </c>
      <c r="Z408" s="2">
        <f t="shared" si="300"/>
        <v>0</v>
      </c>
      <c r="AA408" s="4">
        <f t="shared" si="301"/>
        <v>0</v>
      </c>
      <c r="AB408" s="13">
        <f t="shared" si="302"/>
        <v>0.66645418750000007</v>
      </c>
      <c r="AC408" s="10">
        <f>SUM($E$4:E408)</f>
        <v>-13321.252444778826</v>
      </c>
      <c r="AD408" s="20">
        <f>SUM($AB$4:AB408)</f>
        <v>11309.755944778783</v>
      </c>
      <c r="AF408" s="28">
        <f t="shared" si="303"/>
        <v>0.19669000000000003</v>
      </c>
      <c r="AG408" s="2">
        <f t="shared" si="304"/>
        <v>0.24480000000000002</v>
      </c>
      <c r="AH408" s="2">
        <f t="shared" si="305"/>
        <v>6.3924250000000002E-2</v>
      </c>
      <c r="AI408" s="2">
        <f t="shared" si="326"/>
        <v>0.26061425000000005</v>
      </c>
      <c r="AJ408" s="2">
        <f t="shared" si="327"/>
        <v>3.9092137500000006E-2</v>
      </c>
      <c r="AK408" s="2">
        <f t="shared" si="306"/>
        <v>3.9338000000000003E-3</v>
      </c>
      <c r="AL408" s="2">
        <f t="shared" si="307"/>
        <v>0.11801400000000001</v>
      </c>
      <c r="AM408" s="2">
        <f t="shared" si="328"/>
        <v>0.66645418750000007</v>
      </c>
      <c r="AN408" s="2">
        <f t="shared" si="308"/>
        <v>40</v>
      </c>
      <c r="AO408" s="2">
        <f t="shared" si="309"/>
        <v>0.48960000000000004</v>
      </c>
      <c r="AP408" s="2">
        <f t="shared" si="310"/>
        <v>1.042457</v>
      </c>
      <c r="AQ408" s="2">
        <f t="shared" si="329"/>
        <v>41.042456999999999</v>
      </c>
      <c r="AR408" s="2">
        <f t="shared" si="330"/>
        <v>6.1563685499999998</v>
      </c>
      <c r="AS408" s="2">
        <f t="shared" si="311"/>
        <v>3.9338000000000003E-3</v>
      </c>
      <c r="AT408" s="2">
        <f t="shared" si="312"/>
        <v>0.11801400000000001</v>
      </c>
      <c r="AU408" s="2">
        <f t="shared" si="331"/>
        <v>47.810373350000006</v>
      </c>
      <c r="AV408" s="2">
        <f t="shared" si="313"/>
        <v>0.19669000000000003</v>
      </c>
      <c r="AW408" s="2">
        <f t="shared" si="314"/>
        <v>9.7920000000000007E-2</v>
      </c>
      <c r="AX408" s="2">
        <f t="shared" si="315"/>
        <v>4.1304899999999999E-2</v>
      </c>
      <c r="AY408" s="2">
        <f t="shared" si="332"/>
        <v>0.23799490000000004</v>
      </c>
      <c r="AZ408" s="2">
        <f t="shared" si="333"/>
        <v>3.5699235000000003E-2</v>
      </c>
      <c r="BA408" s="2">
        <f t="shared" si="316"/>
        <v>3.9338000000000003E-3</v>
      </c>
      <c r="BB408" s="2">
        <f t="shared" si="317"/>
        <v>0.11801400000000001</v>
      </c>
      <c r="BC408" s="2">
        <f t="shared" si="334"/>
        <v>0.49356193500000001</v>
      </c>
      <c r="BD408" s="2">
        <v>0</v>
      </c>
      <c r="BE408" s="2">
        <f t="shared" si="318"/>
        <v>1.9669000000000001</v>
      </c>
      <c r="BF408" s="2">
        <f t="shared" si="319"/>
        <v>6.3924250000000002E-2</v>
      </c>
      <c r="BG408" s="2">
        <f t="shared" si="335"/>
        <v>6.3924250000000002E-2</v>
      </c>
      <c r="BH408" s="2">
        <f t="shared" si="336"/>
        <v>9.5886375000000003E-3</v>
      </c>
      <c r="BI408" s="2">
        <f t="shared" si="320"/>
        <v>3.9338000000000003E-3</v>
      </c>
      <c r="BJ408" s="2">
        <f t="shared" si="321"/>
        <v>0.11801400000000001</v>
      </c>
      <c r="BK408" s="2">
        <f t="shared" si="337"/>
        <v>2.1623606875000001</v>
      </c>
      <c r="BL408" s="2">
        <f t="shared" si="322"/>
        <v>987.7</v>
      </c>
      <c r="BM408" s="2">
        <f t="shared" si="323"/>
        <v>979.2</v>
      </c>
      <c r="BN408" s="2">
        <f t="shared" si="338"/>
        <v>1966.9</v>
      </c>
    </row>
    <row r="409" spans="1:66" x14ac:dyDescent="0.25">
      <c r="A409" s="42">
        <v>406</v>
      </c>
      <c r="B409" s="43">
        <v>42873</v>
      </c>
      <c r="C409" s="42" t="s">
        <v>50</v>
      </c>
      <c r="D409" s="42" t="s">
        <v>191</v>
      </c>
      <c r="E409" s="6">
        <f t="shared" si="324"/>
        <v>-7.0793227500000508</v>
      </c>
      <c r="F409" s="5" t="str">
        <f t="shared" si="339"/>
        <v>Loss</v>
      </c>
      <c r="G409" s="4">
        <f t="shared" si="340"/>
        <v>-6.6000000000000512</v>
      </c>
      <c r="H409" s="46">
        <v>6</v>
      </c>
      <c r="I409" s="42">
        <v>118.45</v>
      </c>
      <c r="N409" s="5">
        <f t="shared" si="341"/>
        <v>6</v>
      </c>
      <c r="O409" s="4">
        <f t="shared" si="342"/>
        <v>118.45</v>
      </c>
      <c r="P409" s="5">
        <f t="shared" si="297"/>
        <v>6</v>
      </c>
      <c r="Q409" s="42">
        <v>117.35</v>
      </c>
      <c r="R409" s="2">
        <f t="shared" si="296"/>
        <v>0</v>
      </c>
      <c r="T409" s="2">
        <f t="shared" si="325"/>
        <v>0</v>
      </c>
      <c r="V409" s="5">
        <f t="shared" si="343"/>
        <v>6</v>
      </c>
      <c r="W409" s="4">
        <f t="shared" si="344"/>
        <v>117.35</v>
      </c>
      <c r="X409" s="14">
        <f t="shared" si="298"/>
        <v>-1.1000000000000085</v>
      </c>
      <c r="Y409" s="5">
        <f t="shared" si="299"/>
        <v>-6.6000000000000512</v>
      </c>
      <c r="Z409" s="2">
        <f t="shared" si="300"/>
        <v>0</v>
      </c>
      <c r="AA409" s="4">
        <f t="shared" si="301"/>
        <v>0</v>
      </c>
      <c r="AB409" s="13">
        <f t="shared" si="302"/>
        <v>0.47932274999999996</v>
      </c>
      <c r="AC409" s="10">
        <f>SUM($E$4:E409)</f>
        <v>-13328.331767528825</v>
      </c>
      <c r="AD409" s="20">
        <f>SUM($AB$4:AB409)</f>
        <v>11310.235267528782</v>
      </c>
      <c r="AF409" s="28">
        <f t="shared" si="303"/>
        <v>0.14147999999999999</v>
      </c>
      <c r="AG409" s="2">
        <f t="shared" si="304"/>
        <v>0.17602499999999999</v>
      </c>
      <c r="AH409" s="2">
        <f t="shared" si="305"/>
        <v>4.5980999999999994E-2</v>
      </c>
      <c r="AI409" s="2">
        <f t="shared" si="326"/>
        <v>0.18746099999999999</v>
      </c>
      <c r="AJ409" s="2">
        <f t="shared" si="327"/>
        <v>2.8119149999999996E-2</v>
      </c>
      <c r="AK409" s="2">
        <f t="shared" si="306"/>
        <v>2.8296000000000003E-3</v>
      </c>
      <c r="AL409" s="2">
        <f t="shared" si="307"/>
        <v>8.4888000000000005E-2</v>
      </c>
      <c r="AM409" s="2">
        <f t="shared" si="328"/>
        <v>0.47932274999999996</v>
      </c>
      <c r="AN409" s="2">
        <f t="shared" si="308"/>
        <v>40</v>
      </c>
      <c r="AO409" s="2">
        <f t="shared" si="309"/>
        <v>0.35204999999999997</v>
      </c>
      <c r="AP409" s="2">
        <f t="shared" si="310"/>
        <v>0.74984399999999996</v>
      </c>
      <c r="AQ409" s="2">
        <f t="shared" si="329"/>
        <v>40.749844000000003</v>
      </c>
      <c r="AR409" s="2">
        <f t="shared" si="330"/>
        <v>6.1124765999999999</v>
      </c>
      <c r="AS409" s="2">
        <f t="shared" si="311"/>
        <v>2.8296000000000003E-3</v>
      </c>
      <c r="AT409" s="2">
        <f t="shared" si="312"/>
        <v>8.4888000000000005E-2</v>
      </c>
      <c r="AU409" s="2">
        <f t="shared" si="331"/>
        <v>47.3020882</v>
      </c>
      <c r="AV409" s="2">
        <f t="shared" si="313"/>
        <v>0.14147999999999999</v>
      </c>
      <c r="AW409" s="2">
        <f t="shared" si="314"/>
        <v>7.041E-2</v>
      </c>
      <c r="AX409" s="2">
        <f t="shared" si="315"/>
        <v>2.9710799999999999E-2</v>
      </c>
      <c r="AY409" s="2">
        <f t="shared" si="332"/>
        <v>0.1711908</v>
      </c>
      <c r="AZ409" s="2">
        <f t="shared" si="333"/>
        <v>2.5678619999999999E-2</v>
      </c>
      <c r="BA409" s="2">
        <f t="shared" si="316"/>
        <v>2.8296000000000003E-3</v>
      </c>
      <c r="BB409" s="2">
        <f t="shared" si="317"/>
        <v>8.4888000000000005E-2</v>
      </c>
      <c r="BC409" s="2">
        <f t="shared" si="334"/>
        <v>0.35499702</v>
      </c>
      <c r="BD409" s="2">
        <v>0</v>
      </c>
      <c r="BE409" s="2">
        <f t="shared" si="318"/>
        <v>1.4148000000000001</v>
      </c>
      <c r="BF409" s="2">
        <f t="shared" si="319"/>
        <v>4.5980999999999994E-2</v>
      </c>
      <c r="BG409" s="2">
        <f t="shared" si="335"/>
        <v>4.5980999999999994E-2</v>
      </c>
      <c r="BH409" s="2">
        <f t="shared" si="336"/>
        <v>6.8971499999999986E-3</v>
      </c>
      <c r="BI409" s="2">
        <f t="shared" si="320"/>
        <v>2.8296000000000003E-3</v>
      </c>
      <c r="BJ409" s="2">
        <f t="shared" si="321"/>
        <v>8.4888000000000005E-2</v>
      </c>
      <c r="BK409" s="2">
        <f t="shared" si="337"/>
        <v>1.5553957500000002</v>
      </c>
      <c r="BL409" s="2">
        <f t="shared" si="322"/>
        <v>710.7</v>
      </c>
      <c r="BM409" s="2">
        <f t="shared" si="323"/>
        <v>704.09999999999991</v>
      </c>
      <c r="BN409" s="2">
        <f t="shared" si="338"/>
        <v>1414.8</v>
      </c>
    </row>
    <row r="410" spans="1:66" x14ac:dyDescent="0.25">
      <c r="A410" s="42">
        <v>407</v>
      </c>
      <c r="B410" s="43">
        <v>42873</v>
      </c>
      <c r="C410" s="42" t="s">
        <v>50</v>
      </c>
      <c r="D410" s="42" t="s">
        <v>186</v>
      </c>
      <c r="E410" s="6">
        <f t="shared" si="324"/>
        <v>-7.3622825624999493</v>
      </c>
      <c r="F410" s="5" t="str">
        <f t="shared" si="339"/>
        <v>Loss</v>
      </c>
      <c r="G410" s="4">
        <f t="shared" si="340"/>
        <v>-6.8999999999999488</v>
      </c>
      <c r="H410" s="46">
        <v>6</v>
      </c>
      <c r="I410" s="42">
        <v>114.3</v>
      </c>
      <c r="N410" s="5">
        <f t="shared" si="341"/>
        <v>6</v>
      </c>
      <c r="O410" s="4">
        <f t="shared" si="342"/>
        <v>114.3</v>
      </c>
      <c r="P410" s="5">
        <f t="shared" si="297"/>
        <v>6</v>
      </c>
      <c r="Q410" s="42">
        <v>113.15</v>
      </c>
      <c r="R410" s="2">
        <f t="shared" si="296"/>
        <v>0</v>
      </c>
      <c r="T410" s="2">
        <f t="shared" si="325"/>
        <v>0</v>
      </c>
      <c r="V410" s="5">
        <f t="shared" si="343"/>
        <v>6</v>
      </c>
      <c r="W410" s="4">
        <f t="shared" si="344"/>
        <v>113.15</v>
      </c>
      <c r="X410" s="14">
        <f t="shared" si="298"/>
        <v>-1.1499999999999915</v>
      </c>
      <c r="Y410" s="5">
        <f t="shared" si="299"/>
        <v>-6.8999999999999488</v>
      </c>
      <c r="Z410" s="2">
        <f t="shared" si="300"/>
        <v>0</v>
      </c>
      <c r="AA410" s="4">
        <f t="shared" si="301"/>
        <v>0</v>
      </c>
      <c r="AB410" s="13">
        <f t="shared" si="302"/>
        <v>0.46228256249999999</v>
      </c>
      <c r="AC410" s="10">
        <f>SUM($E$4:E410)</f>
        <v>-13335.694050091326</v>
      </c>
      <c r="AD410" s="20">
        <f>SUM($AB$4:AB410)</f>
        <v>11310.697550091281</v>
      </c>
      <c r="AF410" s="28">
        <f t="shared" si="303"/>
        <v>0.13647000000000001</v>
      </c>
      <c r="AG410" s="2">
        <f t="shared" si="304"/>
        <v>0.16972500000000001</v>
      </c>
      <c r="AH410" s="2">
        <f t="shared" si="305"/>
        <v>4.4352749999999996E-2</v>
      </c>
      <c r="AI410" s="2">
        <f t="shared" si="326"/>
        <v>0.18082275</v>
      </c>
      <c r="AJ410" s="2">
        <f t="shared" si="327"/>
        <v>2.7123412499999999E-2</v>
      </c>
      <c r="AK410" s="2">
        <f t="shared" si="306"/>
        <v>2.7293999999999999E-3</v>
      </c>
      <c r="AL410" s="2">
        <f t="shared" si="307"/>
        <v>8.188200000000001E-2</v>
      </c>
      <c r="AM410" s="2">
        <f t="shared" si="328"/>
        <v>0.46228256249999999</v>
      </c>
      <c r="AN410" s="2">
        <f t="shared" si="308"/>
        <v>40</v>
      </c>
      <c r="AO410" s="2">
        <f t="shared" si="309"/>
        <v>0.33945000000000003</v>
      </c>
      <c r="AP410" s="2">
        <f t="shared" si="310"/>
        <v>0.72329100000000002</v>
      </c>
      <c r="AQ410" s="2">
        <f t="shared" si="329"/>
        <v>40.723291000000003</v>
      </c>
      <c r="AR410" s="2">
        <f t="shared" si="330"/>
        <v>6.1084936500000007</v>
      </c>
      <c r="AS410" s="2">
        <f t="shared" si="311"/>
        <v>2.7293999999999999E-3</v>
      </c>
      <c r="AT410" s="2">
        <f t="shared" si="312"/>
        <v>8.188200000000001E-2</v>
      </c>
      <c r="AU410" s="2">
        <f t="shared" si="331"/>
        <v>47.255846050000002</v>
      </c>
      <c r="AV410" s="2">
        <f t="shared" si="313"/>
        <v>0.13647000000000001</v>
      </c>
      <c r="AW410" s="2">
        <f t="shared" si="314"/>
        <v>6.7890000000000006E-2</v>
      </c>
      <c r="AX410" s="2">
        <f t="shared" si="315"/>
        <v>2.8658699999999999E-2</v>
      </c>
      <c r="AY410" s="2">
        <f t="shared" si="332"/>
        <v>0.16512870000000002</v>
      </c>
      <c r="AZ410" s="2">
        <f t="shared" si="333"/>
        <v>2.4769305000000002E-2</v>
      </c>
      <c r="BA410" s="2">
        <f t="shared" si="316"/>
        <v>2.7293999999999999E-3</v>
      </c>
      <c r="BB410" s="2">
        <f t="shared" si="317"/>
        <v>8.188200000000001E-2</v>
      </c>
      <c r="BC410" s="2">
        <f t="shared" si="334"/>
        <v>0.34239940500000005</v>
      </c>
      <c r="BD410" s="2">
        <v>0</v>
      </c>
      <c r="BE410" s="2">
        <f t="shared" si="318"/>
        <v>1.3647</v>
      </c>
      <c r="BF410" s="2">
        <f t="shared" si="319"/>
        <v>4.4352749999999996E-2</v>
      </c>
      <c r="BG410" s="2">
        <f t="shared" si="335"/>
        <v>4.4352749999999996E-2</v>
      </c>
      <c r="BH410" s="2">
        <f t="shared" si="336"/>
        <v>6.6529124999999993E-3</v>
      </c>
      <c r="BI410" s="2">
        <f t="shared" si="320"/>
        <v>2.7293999999999999E-3</v>
      </c>
      <c r="BJ410" s="2">
        <f t="shared" si="321"/>
        <v>8.188200000000001E-2</v>
      </c>
      <c r="BK410" s="2">
        <f t="shared" si="337"/>
        <v>1.5003170625000002</v>
      </c>
      <c r="BL410" s="2">
        <f t="shared" si="322"/>
        <v>685.8</v>
      </c>
      <c r="BM410" s="2">
        <f t="shared" si="323"/>
        <v>678.90000000000009</v>
      </c>
      <c r="BN410" s="2">
        <f t="shared" si="338"/>
        <v>1364.7</v>
      </c>
    </row>
    <row r="411" spans="1:66" x14ac:dyDescent="0.25">
      <c r="A411" s="42">
        <v>408</v>
      </c>
      <c r="B411" s="43">
        <v>42873</v>
      </c>
      <c r="C411" s="42" t="s">
        <v>50</v>
      </c>
      <c r="D411" s="42" t="s">
        <v>235</v>
      </c>
      <c r="E411" s="6">
        <f t="shared" si="324"/>
        <v>-8.6414445000000519</v>
      </c>
      <c r="F411" s="5" t="str">
        <f t="shared" si="339"/>
        <v>Loss</v>
      </c>
      <c r="G411" s="4">
        <f t="shared" si="340"/>
        <v>-8.1000000000000512</v>
      </c>
      <c r="H411" s="46">
        <v>9</v>
      </c>
      <c r="I411" s="42">
        <v>89.25</v>
      </c>
      <c r="N411" s="5">
        <f t="shared" si="341"/>
        <v>9</v>
      </c>
      <c r="O411" s="4">
        <f t="shared" si="342"/>
        <v>89.25</v>
      </c>
      <c r="P411" s="5">
        <f t="shared" si="297"/>
        <v>9</v>
      </c>
      <c r="Q411" s="42">
        <v>88.35</v>
      </c>
      <c r="R411" s="2">
        <f t="shared" si="296"/>
        <v>0</v>
      </c>
      <c r="T411" s="2">
        <f t="shared" si="325"/>
        <v>0</v>
      </c>
      <c r="V411" s="5">
        <f t="shared" si="343"/>
        <v>9</v>
      </c>
      <c r="W411" s="4">
        <f t="shared" si="344"/>
        <v>88.35</v>
      </c>
      <c r="X411" s="14">
        <f t="shared" si="298"/>
        <v>-0.90000000000000568</v>
      </c>
      <c r="Y411" s="5">
        <f t="shared" si="299"/>
        <v>-8.1000000000000512</v>
      </c>
      <c r="Z411" s="2">
        <f t="shared" si="300"/>
        <v>0</v>
      </c>
      <c r="AA411" s="4">
        <f t="shared" si="301"/>
        <v>0</v>
      </c>
      <c r="AB411" s="13">
        <f t="shared" si="302"/>
        <v>0.5414445</v>
      </c>
      <c r="AC411" s="10">
        <f>SUM($E$4:E411)</f>
        <v>-13344.335494591327</v>
      </c>
      <c r="AD411" s="20">
        <f>SUM($AB$4:AB411)</f>
        <v>11311.238994591282</v>
      </c>
      <c r="AF411" s="28">
        <f t="shared" si="303"/>
        <v>0.15984000000000001</v>
      </c>
      <c r="AG411" s="2">
        <f t="shared" si="304"/>
        <v>0.19878750000000001</v>
      </c>
      <c r="AH411" s="2">
        <f t="shared" si="305"/>
        <v>5.1948000000000001E-2</v>
      </c>
      <c r="AI411" s="2">
        <f t="shared" si="326"/>
        <v>0.211788</v>
      </c>
      <c r="AJ411" s="2">
        <f t="shared" si="327"/>
        <v>3.1768199999999996E-2</v>
      </c>
      <c r="AK411" s="2">
        <f t="shared" si="306"/>
        <v>3.1968000000000005E-3</v>
      </c>
      <c r="AL411" s="2">
        <f t="shared" si="307"/>
        <v>9.5904000000000003E-2</v>
      </c>
      <c r="AM411" s="2">
        <f t="shared" si="328"/>
        <v>0.5414445</v>
      </c>
      <c r="AN411" s="2">
        <f t="shared" si="308"/>
        <v>40</v>
      </c>
      <c r="AO411" s="2">
        <f t="shared" si="309"/>
        <v>0.39757500000000001</v>
      </c>
      <c r="AP411" s="2">
        <f t="shared" si="310"/>
        <v>0.84715200000000002</v>
      </c>
      <c r="AQ411" s="2">
        <f t="shared" si="329"/>
        <v>40.847152000000001</v>
      </c>
      <c r="AR411" s="2">
        <f t="shared" si="330"/>
        <v>6.1270727999999997</v>
      </c>
      <c r="AS411" s="2">
        <f t="shared" si="311"/>
        <v>3.1968000000000005E-3</v>
      </c>
      <c r="AT411" s="2">
        <f t="shared" si="312"/>
        <v>9.5904000000000003E-2</v>
      </c>
      <c r="AU411" s="2">
        <f t="shared" si="331"/>
        <v>47.4709006</v>
      </c>
      <c r="AV411" s="2">
        <f t="shared" si="313"/>
        <v>0.15984000000000001</v>
      </c>
      <c r="AW411" s="2">
        <f t="shared" si="314"/>
        <v>7.9515000000000002E-2</v>
      </c>
      <c r="AX411" s="2">
        <f t="shared" si="315"/>
        <v>3.3566400000000003E-2</v>
      </c>
      <c r="AY411" s="2">
        <f t="shared" si="332"/>
        <v>0.19340640000000001</v>
      </c>
      <c r="AZ411" s="2">
        <f t="shared" si="333"/>
        <v>2.9010959999999999E-2</v>
      </c>
      <c r="BA411" s="2">
        <f t="shared" si="316"/>
        <v>3.1968000000000005E-3</v>
      </c>
      <c r="BB411" s="2">
        <f t="shared" si="317"/>
        <v>9.5904000000000003E-2</v>
      </c>
      <c r="BC411" s="2">
        <f t="shared" si="334"/>
        <v>0.40103316</v>
      </c>
      <c r="BD411" s="2">
        <v>0</v>
      </c>
      <c r="BE411" s="2">
        <f t="shared" si="318"/>
        <v>1.5984</v>
      </c>
      <c r="BF411" s="2">
        <f t="shared" si="319"/>
        <v>5.1948000000000001E-2</v>
      </c>
      <c r="BG411" s="2">
        <f t="shared" si="335"/>
        <v>5.1948000000000001E-2</v>
      </c>
      <c r="BH411" s="2">
        <f t="shared" si="336"/>
        <v>7.7922E-3</v>
      </c>
      <c r="BI411" s="2">
        <f t="shared" si="320"/>
        <v>3.1968000000000005E-3</v>
      </c>
      <c r="BJ411" s="2">
        <f t="shared" si="321"/>
        <v>9.5904000000000003E-2</v>
      </c>
      <c r="BK411" s="2">
        <f t="shared" si="337"/>
        <v>1.7572410000000001</v>
      </c>
      <c r="BL411" s="2">
        <f t="shared" si="322"/>
        <v>803.25</v>
      </c>
      <c r="BM411" s="2">
        <f t="shared" si="323"/>
        <v>795.15</v>
      </c>
      <c r="BN411" s="2">
        <f t="shared" si="338"/>
        <v>1598.4</v>
      </c>
    </row>
    <row r="412" spans="1:66" x14ac:dyDescent="0.25">
      <c r="A412" s="42">
        <v>409</v>
      </c>
      <c r="B412" s="43">
        <v>42873</v>
      </c>
      <c r="C412" s="42" t="s">
        <v>50</v>
      </c>
      <c r="D412" s="42" t="s">
        <v>173</v>
      </c>
      <c r="E412" s="6">
        <f t="shared" si="324"/>
        <v>-36.301103437499776</v>
      </c>
      <c r="F412" s="5" t="str">
        <f t="shared" si="339"/>
        <v>Loss</v>
      </c>
      <c r="G412" s="4">
        <f t="shared" si="340"/>
        <v>-31.499999999999773</v>
      </c>
      <c r="H412" s="46">
        <v>10</v>
      </c>
      <c r="I412" s="42">
        <v>355</v>
      </c>
      <c r="J412" s="42">
        <v>10</v>
      </c>
      <c r="K412" s="42">
        <v>354.5</v>
      </c>
      <c r="N412" s="5">
        <f t="shared" si="341"/>
        <v>20</v>
      </c>
      <c r="O412" s="4">
        <f t="shared" si="342"/>
        <v>354.75</v>
      </c>
      <c r="P412" s="5">
        <f t="shared" si="297"/>
        <v>10</v>
      </c>
      <c r="Q412" s="42">
        <v>354</v>
      </c>
      <c r="R412" s="2">
        <f t="shared" si="296"/>
        <v>10</v>
      </c>
      <c r="S412" s="42">
        <v>352.35</v>
      </c>
      <c r="T412" s="2">
        <f t="shared" si="325"/>
        <v>0</v>
      </c>
      <c r="V412" s="5">
        <f t="shared" si="343"/>
        <v>20</v>
      </c>
      <c r="W412" s="4">
        <f t="shared" si="344"/>
        <v>353.17500000000001</v>
      </c>
      <c r="X412" s="14">
        <f t="shared" si="298"/>
        <v>-0.5</v>
      </c>
      <c r="Y412" s="5">
        <f t="shared" si="299"/>
        <v>-10</v>
      </c>
      <c r="Z412" s="2">
        <f t="shared" si="300"/>
        <v>-21.499999999999773</v>
      </c>
      <c r="AA412" s="4">
        <f t="shared" si="301"/>
        <v>0</v>
      </c>
      <c r="AB412" s="13">
        <f t="shared" si="302"/>
        <v>4.8011034375000001</v>
      </c>
      <c r="AC412" s="10">
        <f>SUM($E$4:E412)</f>
        <v>-13380.636598028826</v>
      </c>
      <c r="AD412" s="20">
        <f>SUM($AB$4:AB412)</f>
        <v>11316.040098028781</v>
      </c>
      <c r="AF412" s="28">
        <f t="shared" si="303"/>
        <v>1.4158500000000001</v>
      </c>
      <c r="AG412" s="2">
        <f t="shared" si="304"/>
        <v>1.7658750000000001</v>
      </c>
      <c r="AH412" s="2">
        <f t="shared" si="305"/>
        <v>0.46015124999999996</v>
      </c>
      <c r="AI412" s="2">
        <f t="shared" si="326"/>
        <v>1.8760012500000001</v>
      </c>
      <c r="AJ412" s="2">
        <f t="shared" si="327"/>
        <v>0.28140018750000001</v>
      </c>
      <c r="AK412" s="2">
        <f t="shared" si="306"/>
        <v>2.8316999999999998E-2</v>
      </c>
      <c r="AL412" s="2">
        <f t="shared" si="307"/>
        <v>0.84950999999999999</v>
      </c>
      <c r="AM412" s="2">
        <f t="shared" si="328"/>
        <v>4.8011034375000001</v>
      </c>
      <c r="AN412" s="2">
        <f t="shared" si="308"/>
        <v>80</v>
      </c>
      <c r="AO412" s="2">
        <f t="shared" si="309"/>
        <v>3.5317500000000002</v>
      </c>
      <c r="AP412" s="2">
        <f t="shared" si="310"/>
        <v>7.5040049999999994</v>
      </c>
      <c r="AQ412" s="2">
        <f t="shared" si="329"/>
        <v>87.504005000000006</v>
      </c>
      <c r="AR412" s="2">
        <f t="shared" si="330"/>
        <v>13.12560075</v>
      </c>
      <c r="AS412" s="2">
        <f t="shared" si="311"/>
        <v>2.8316999999999998E-2</v>
      </c>
      <c r="AT412" s="2">
        <f t="shared" si="312"/>
        <v>0.84950999999999999</v>
      </c>
      <c r="AU412" s="2">
        <f t="shared" si="331"/>
        <v>105.03918274999999</v>
      </c>
      <c r="AV412" s="2">
        <f t="shared" si="313"/>
        <v>1.4158500000000001</v>
      </c>
      <c r="AW412" s="2">
        <f t="shared" si="314"/>
        <v>0.70635000000000003</v>
      </c>
      <c r="AX412" s="2">
        <f t="shared" si="315"/>
        <v>0.2973285</v>
      </c>
      <c r="AY412" s="2">
        <f t="shared" si="332"/>
        <v>1.7131785000000002</v>
      </c>
      <c r="AZ412" s="2">
        <f t="shared" si="333"/>
        <v>0.25697677499999999</v>
      </c>
      <c r="BA412" s="2">
        <f t="shared" si="316"/>
        <v>2.8316999999999998E-2</v>
      </c>
      <c r="BB412" s="2">
        <f t="shared" si="317"/>
        <v>0.84950999999999999</v>
      </c>
      <c r="BC412" s="2">
        <f t="shared" si="334"/>
        <v>3.5543322750000002</v>
      </c>
      <c r="BD412" s="2">
        <v>0</v>
      </c>
      <c r="BE412" s="2">
        <f t="shared" si="318"/>
        <v>14.1585</v>
      </c>
      <c r="BF412" s="2">
        <f t="shared" si="319"/>
        <v>0.46015124999999996</v>
      </c>
      <c r="BG412" s="2">
        <f t="shared" si="335"/>
        <v>0.46015124999999996</v>
      </c>
      <c r="BH412" s="2">
        <f t="shared" si="336"/>
        <v>6.9022687499999985E-2</v>
      </c>
      <c r="BI412" s="2">
        <f t="shared" si="320"/>
        <v>2.8316999999999998E-2</v>
      </c>
      <c r="BJ412" s="2">
        <f t="shared" si="321"/>
        <v>0.84950999999999999</v>
      </c>
      <c r="BK412" s="2">
        <f t="shared" si="337"/>
        <v>15.5655009375</v>
      </c>
      <c r="BL412" s="2">
        <f t="shared" si="322"/>
        <v>7095</v>
      </c>
      <c r="BM412" s="2">
        <f t="shared" si="323"/>
        <v>7063.5</v>
      </c>
      <c r="BN412" s="2">
        <f t="shared" si="338"/>
        <v>14158.5</v>
      </c>
    </row>
    <row r="413" spans="1:66" x14ac:dyDescent="0.25">
      <c r="A413" s="42">
        <v>410</v>
      </c>
      <c r="B413" s="43">
        <v>42873</v>
      </c>
      <c r="C413" s="42" t="s">
        <v>50</v>
      </c>
      <c r="D413" s="42" t="s">
        <v>204</v>
      </c>
      <c r="E413" s="6">
        <f t="shared" si="324"/>
        <v>48.636249999999997</v>
      </c>
      <c r="F413" s="5" t="str">
        <f t="shared" si="339"/>
        <v>Win</v>
      </c>
      <c r="G413" s="4">
        <f t="shared" si="340"/>
        <v>50</v>
      </c>
      <c r="H413" s="46">
        <v>10</v>
      </c>
      <c r="I413" s="42">
        <v>197.5</v>
      </c>
      <c r="N413" s="5">
        <f t="shared" si="341"/>
        <v>10</v>
      </c>
      <c r="O413" s="4">
        <f t="shared" si="342"/>
        <v>197.5</v>
      </c>
      <c r="P413" s="5">
        <f t="shared" si="297"/>
        <v>10</v>
      </c>
      <c r="Q413" s="42">
        <v>202.5</v>
      </c>
      <c r="R413" s="2">
        <f t="shared" si="296"/>
        <v>0</v>
      </c>
      <c r="T413" s="2">
        <f t="shared" si="325"/>
        <v>0</v>
      </c>
      <c r="V413" s="5">
        <f t="shared" si="343"/>
        <v>10</v>
      </c>
      <c r="W413" s="4">
        <f t="shared" si="344"/>
        <v>202.5</v>
      </c>
      <c r="X413" s="14">
        <f t="shared" si="298"/>
        <v>5</v>
      </c>
      <c r="Y413" s="5">
        <f t="shared" si="299"/>
        <v>50</v>
      </c>
      <c r="Z413" s="2">
        <f t="shared" si="300"/>
        <v>0</v>
      </c>
      <c r="AA413" s="4">
        <f t="shared" si="301"/>
        <v>0</v>
      </c>
      <c r="AB413" s="13">
        <f t="shared" si="302"/>
        <v>1.3637499999999998</v>
      </c>
      <c r="AC413" s="10">
        <f>SUM($E$4:E413)</f>
        <v>-13332.000348028827</v>
      </c>
      <c r="AD413" s="20">
        <f>SUM($AB$4:AB413)</f>
        <v>11317.403848028782</v>
      </c>
      <c r="AF413" s="28">
        <f t="shared" si="303"/>
        <v>0.4</v>
      </c>
      <c r="AG413" s="2">
        <f t="shared" si="304"/>
        <v>0.50624999999999998</v>
      </c>
      <c r="AH413" s="2">
        <f t="shared" si="305"/>
        <v>0.12999999999999998</v>
      </c>
      <c r="AI413" s="2">
        <f t="shared" si="326"/>
        <v>0.53</v>
      </c>
      <c r="AJ413" s="2">
        <f t="shared" si="327"/>
        <v>7.9500000000000001E-2</v>
      </c>
      <c r="AK413" s="2">
        <f t="shared" si="306"/>
        <v>8.0000000000000002E-3</v>
      </c>
      <c r="AL413" s="2">
        <f t="shared" si="307"/>
        <v>0.24000000000000002</v>
      </c>
      <c r="AM413" s="2">
        <f t="shared" si="328"/>
        <v>1.3637499999999998</v>
      </c>
      <c r="AN413" s="2">
        <f t="shared" si="308"/>
        <v>40</v>
      </c>
      <c r="AO413" s="2">
        <f t="shared" si="309"/>
        <v>1.0125</v>
      </c>
      <c r="AP413" s="2">
        <f t="shared" si="310"/>
        <v>2.12</v>
      </c>
      <c r="AQ413" s="2">
        <f t="shared" si="329"/>
        <v>42.12</v>
      </c>
      <c r="AR413" s="2">
        <f t="shared" si="330"/>
        <v>6.3179999999999996</v>
      </c>
      <c r="AS413" s="2">
        <f t="shared" si="311"/>
        <v>8.0000000000000002E-3</v>
      </c>
      <c r="AT413" s="2">
        <f t="shared" si="312"/>
        <v>0.24000000000000002</v>
      </c>
      <c r="AU413" s="2">
        <f t="shared" si="331"/>
        <v>49.698500000000003</v>
      </c>
      <c r="AV413" s="2">
        <f t="shared" si="313"/>
        <v>0.4</v>
      </c>
      <c r="AW413" s="2">
        <f t="shared" si="314"/>
        <v>0.20250000000000001</v>
      </c>
      <c r="AX413" s="2">
        <f t="shared" si="315"/>
        <v>8.3999999999999991E-2</v>
      </c>
      <c r="AY413" s="2">
        <f t="shared" si="332"/>
        <v>0.48399999999999999</v>
      </c>
      <c r="AZ413" s="2">
        <f t="shared" si="333"/>
        <v>7.2599999999999998E-2</v>
      </c>
      <c r="BA413" s="2">
        <f t="shared" si="316"/>
        <v>8.0000000000000002E-3</v>
      </c>
      <c r="BB413" s="2">
        <f t="shared" si="317"/>
        <v>0.24000000000000002</v>
      </c>
      <c r="BC413" s="2">
        <f t="shared" si="334"/>
        <v>1.0071000000000001</v>
      </c>
      <c r="BD413" s="2">
        <v>0</v>
      </c>
      <c r="BE413" s="2">
        <f t="shared" si="318"/>
        <v>4</v>
      </c>
      <c r="BF413" s="2">
        <f t="shared" si="319"/>
        <v>0.12999999999999998</v>
      </c>
      <c r="BG413" s="2">
        <f t="shared" si="335"/>
        <v>0.12999999999999998</v>
      </c>
      <c r="BH413" s="2">
        <f t="shared" si="336"/>
        <v>1.9499999999999997E-2</v>
      </c>
      <c r="BI413" s="2">
        <f t="shared" si="320"/>
        <v>8.0000000000000002E-3</v>
      </c>
      <c r="BJ413" s="2">
        <f t="shared" si="321"/>
        <v>0.24000000000000002</v>
      </c>
      <c r="BK413" s="2">
        <f t="shared" si="337"/>
        <v>4.3975</v>
      </c>
      <c r="BL413" s="2">
        <f t="shared" si="322"/>
        <v>1975</v>
      </c>
      <c r="BM413" s="2">
        <f t="shared" si="323"/>
        <v>2025</v>
      </c>
      <c r="BN413" s="2">
        <f t="shared" si="338"/>
        <v>4000</v>
      </c>
    </row>
    <row r="414" spans="1:66" x14ac:dyDescent="0.25">
      <c r="A414" s="42">
        <v>411</v>
      </c>
      <c r="B414" s="43">
        <v>42873</v>
      </c>
      <c r="C414" s="42" t="s">
        <v>50</v>
      </c>
      <c r="D414" s="42" t="s">
        <v>204</v>
      </c>
      <c r="E414" s="6">
        <f t="shared" si="324"/>
        <v>3.6978718750000001</v>
      </c>
      <c r="F414" s="5" t="str">
        <f t="shared" si="339"/>
        <v>Win</v>
      </c>
      <c r="G414" s="4">
        <f t="shared" si="340"/>
        <v>5</v>
      </c>
      <c r="H414" s="46">
        <v>10</v>
      </c>
      <c r="I414" s="42">
        <v>191.5</v>
      </c>
      <c r="N414" s="5">
        <f t="shared" si="341"/>
        <v>10</v>
      </c>
      <c r="O414" s="4">
        <f t="shared" si="342"/>
        <v>191.5</v>
      </c>
      <c r="P414" s="5">
        <f t="shared" si="297"/>
        <v>10</v>
      </c>
      <c r="Q414" s="42">
        <v>192</v>
      </c>
      <c r="R414" s="2">
        <f t="shared" si="296"/>
        <v>0</v>
      </c>
      <c r="T414" s="2">
        <f t="shared" si="325"/>
        <v>0</v>
      </c>
      <c r="V414" s="5">
        <f t="shared" si="343"/>
        <v>10</v>
      </c>
      <c r="W414" s="4">
        <f t="shared" si="344"/>
        <v>192</v>
      </c>
      <c r="X414" s="14">
        <f t="shared" si="298"/>
        <v>0.5</v>
      </c>
      <c r="Y414" s="5">
        <f t="shared" si="299"/>
        <v>5</v>
      </c>
      <c r="Z414" s="2">
        <f t="shared" si="300"/>
        <v>0</v>
      </c>
      <c r="AA414" s="4">
        <f t="shared" si="301"/>
        <v>0</v>
      </c>
      <c r="AB414" s="13">
        <f t="shared" si="302"/>
        <v>1.3021281249999999</v>
      </c>
      <c r="AC414" s="10">
        <f>SUM($E$4:E414)</f>
        <v>-13328.302476153827</v>
      </c>
      <c r="AD414" s="20">
        <f>SUM($AB$4:AB414)</f>
        <v>11318.705976153782</v>
      </c>
      <c r="AF414" s="28">
        <f t="shared" si="303"/>
        <v>0.38350000000000001</v>
      </c>
      <c r="AG414" s="2">
        <f t="shared" si="304"/>
        <v>0.48</v>
      </c>
      <c r="AH414" s="2">
        <f t="shared" si="305"/>
        <v>0.12463749999999998</v>
      </c>
      <c r="AI414" s="2">
        <f t="shared" si="326"/>
        <v>0.50813750000000002</v>
      </c>
      <c r="AJ414" s="2">
        <f t="shared" si="327"/>
        <v>7.6220625E-2</v>
      </c>
      <c r="AK414" s="2">
        <f t="shared" si="306"/>
        <v>7.6699999999999997E-3</v>
      </c>
      <c r="AL414" s="2">
        <f t="shared" si="307"/>
        <v>0.2301</v>
      </c>
      <c r="AM414" s="2">
        <f t="shared" si="328"/>
        <v>1.3021281249999999</v>
      </c>
      <c r="AN414" s="2">
        <f t="shared" si="308"/>
        <v>40</v>
      </c>
      <c r="AO414" s="2">
        <f t="shared" si="309"/>
        <v>0.96</v>
      </c>
      <c r="AP414" s="2">
        <f t="shared" si="310"/>
        <v>2.0325500000000001</v>
      </c>
      <c r="AQ414" s="2">
        <f t="shared" si="329"/>
        <v>42.032550000000001</v>
      </c>
      <c r="AR414" s="2">
        <f t="shared" si="330"/>
        <v>6.3048824999999997</v>
      </c>
      <c r="AS414" s="2">
        <f t="shared" si="311"/>
        <v>7.6699999999999997E-3</v>
      </c>
      <c r="AT414" s="2">
        <f t="shared" si="312"/>
        <v>0.2301</v>
      </c>
      <c r="AU414" s="2">
        <f t="shared" si="331"/>
        <v>49.535202499999997</v>
      </c>
      <c r="AV414" s="2">
        <f t="shared" si="313"/>
        <v>0.38350000000000001</v>
      </c>
      <c r="AW414" s="2">
        <f t="shared" si="314"/>
        <v>0.192</v>
      </c>
      <c r="AX414" s="2">
        <f t="shared" si="315"/>
        <v>8.0534999999999995E-2</v>
      </c>
      <c r="AY414" s="2">
        <f t="shared" si="332"/>
        <v>0.46403499999999998</v>
      </c>
      <c r="AZ414" s="2">
        <f t="shared" si="333"/>
        <v>6.9605249999999994E-2</v>
      </c>
      <c r="BA414" s="2">
        <f t="shared" si="316"/>
        <v>7.6699999999999997E-3</v>
      </c>
      <c r="BB414" s="2">
        <f t="shared" si="317"/>
        <v>0.2301</v>
      </c>
      <c r="BC414" s="2">
        <f t="shared" si="334"/>
        <v>0.96341024999999991</v>
      </c>
      <c r="BD414" s="2">
        <v>0</v>
      </c>
      <c r="BE414" s="2">
        <f t="shared" si="318"/>
        <v>3.835</v>
      </c>
      <c r="BF414" s="2">
        <f t="shared" si="319"/>
        <v>0.12463749999999998</v>
      </c>
      <c r="BG414" s="2">
        <f t="shared" si="335"/>
        <v>0.12463749999999998</v>
      </c>
      <c r="BH414" s="2">
        <f t="shared" si="336"/>
        <v>1.8695624999999997E-2</v>
      </c>
      <c r="BI414" s="2">
        <f t="shared" si="320"/>
        <v>7.6699999999999997E-3</v>
      </c>
      <c r="BJ414" s="2">
        <f t="shared" si="321"/>
        <v>0.2301</v>
      </c>
      <c r="BK414" s="2">
        <f t="shared" si="337"/>
        <v>4.2161031250000001</v>
      </c>
      <c r="BL414" s="2">
        <f t="shared" si="322"/>
        <v>1915</v>
      </c>
      <c r="BM414" s="2">
        <f t="shared" si="323"/>
        <v>1920</v>
      </c>
      <c r="BN414" s="2">
        <f t="shared" si="338"/>
        <v>3835</v>
      </c>
    </row>
    <row r="415" spans="1:66" x14ac:dyDescent="0.25">
      <c r="A415" s="42">
        <v>412</v>
      </c>
      <c r="B415" s="43">
        <v>42874</v>
      </c>
      <c r="C415" s="42" t="s">
        <v>50</v>
      </c>
      <c r="D415" s="42" t="s">
        <v>263</v>
      </c>
      <c r="E415" s="6">
        <f t="shared" si="324"/>
        <v>-8.1008125</v>
      </c>
      <c r="F415" s="5" t="str">
        <f t="shared" si="339"/>
        <v>Loss</v>
      </c>
      <c r="G415" s="4">
        <f t="shared" si="340"/>
        <v>-8</v>
      </c>
      <c r="H415" s="46">
        <v>2</v>
      </c>
      <c r="I415" s="42">
        <v>77</v>
      </c>
      <c r="N415" s="5">
        <f t="shared" si="341"/>
        <v>2</v>
      </c>
      <c r="O415" s="4">
        <f t="shared" si="342"/>
        <v>77</v>
      </c>
      <c r="P415" s="5">
        <f t="shared" si="297"/>
        <v>2</v>
      </c>
      <c r="Q415" s="42">
        <v>73</v>
      </c>
      <c r="R415" s="2">
        <f t="shared" si="296"/>
        <v>0</v>
      </c>
      <c r="T415" s="2">
        <f t="shared" si="325"/>
        <v>0</v>
      </c>
      <c r="V415" s="5">
        <f t="shared" si="343"/>
        <v>2</v>
      </c>
      <c r="W415" s="4">
        <f t="shared" si="344"/>
        <v>73</v>
      </c>
      <c r="X415" s="14">
        <f t="shared" si="298"/>
        <v>-4</v>
      </c>
      <c r="Y415" s="5">
        <f t="shared" si="299"/>
        <v>-8</v>
      </c>
      <c r="Z415" s="2">
        <f t="shared" si="300"/>
        <v>0</v>
      </c>
      <c r="AA415" s="4">
        <f t="shared" si="301"/>
        <v>0</v>
      </c>
      <c r="AB415" s="13">
        <f t="shared" si="302"/>
        <v>0.1008125</v>
      </c>
      <c r="AC415" s="10">
        <f>SUM($E$4:E415)</f>
        <v>-13336.403288653828</v>
      </c>
      <c r="AD415" s="20">
        <f>SUM($AB$4:AB415)</f>
        <v>11318.806788653783</v>
      </c>
      <c r="AF415" s="28">
        <f t="shared" si="303"/>
        <v>3.0000000000000002E-2</v>
      </c>
      <c r="AG415" s="2">
        <f t="shared" si="304"/>
        <v>3.6499999999999998E-2</v>
      </c>
      <c r="AH415" s="2">
        <f t="shared" si="305"/>
        <v>9.75E-3</v>
      </c>
      <c r="AI415" s="2">
        <f t="shared" si="326"/>
        <v>3.9750000000000001E-2</v>
      </c>
      <c r="AJ415" s="2">
        <f t="shared" si="327"/>
        <v>5.9624999999999999E-3</v>
      </c>
      <c r="AK415" s="2">
        <f t="shared" si="306"/>
        <v>6.0000000000000006E-4</v>
      </c>
      <c r="AL415" s="2">
        <f t="shared" si="307"/>
        <v>1.8000000000000002E-2</v>
      </c>
      <c r="AM415" s="2">
        <f t="shared" si="328"/>
        <v>0.1008125</v>
      </c>
      <c r="AN415" s="2">
        <f t="shared" si="308"/>
        <v>40</v>
      </c>
      <c r="AO415" s="2">
        <f t="shared" si="309"/>
        <v>7.2999999999999995E-2</v>
      </c>
      <c r="AP415" s="2">
        <f t="shared" si="310"/>
        <v>0.159</v>
      </c>
      <c r="AQ415" s="2">
        <f t="shared" si="329"/>
        <v>40.158999999999999</v>
      </c>
      <c r="AR415" s="2">
        <f t="shared" si="330"/>
        <v>6.0238499999999995</v>
      </c>
      <c r="AS415" s="2">
        <f t="shared" si="311"/>
        <v>6.0000000000000006E-4</v>
      </c>
      <c r="AT415" s="2">
        <f t="shared" si="312"/>
        <v>1.8000000000000002E-2</v>
      </c>
      <c r="AU415" s="2">
        <f t="shared" si="331"/>
        <v>46.274449999999995</v>
      </c>
      <c r="AV415" s="2">
        <f t="shared" si="313"/>
        <v>3.0000000000000002E-2</v>
      </c>
      <c r="AW415" s="2">
        <f t="shared" si="314"/>
        <v>1.46E-2</v>
      </c>
      <c r="AX415" s="2">
        <f t="shared" si="315"/>
        <v>6.3E-3</v>
      </c>
      <c r="AY415" s="2">
        <f t="shared" si="332"/>
        <v>3.6299999999999999E-2</v>
      </c>
      <c r="AZ415" s="2">
        <f t="shared" si="333"/>
        <v>5.4449999999999993E-3</v>
      </c>
      <c r="BA415" s="2">
        <f t="shared" si="316"/>
        <v>6.0000000000000006E-4</v>
      </c>
      <c r="BB415" s="2">
        <f t="shared" si="317"/>
        <v>1.8000000000000002E-2</v>
      </c>
      <c r="BC415" s="2">
        <f t="shared" si="334"/>
        <v>7.4945000000000012E-2</v>
      </c>
      <c r="BD415" s="2">
        <v>0</v>
      </c>
      <c r="BE415" s="2">
        <f t="shared" si="318"/>
        <v>0.3</v>
      </c>
      <c r="BF415" s="2">
        <f t="shared" si="319"/>
        <v>9.75E-3</v>
      </c>
      <c r="BG415" s="2">
        <f t="shared" si="335"/>
        <v>9.75E-3</v>
      </c>
      <c r="BH415" s="2">
        <f t="shared" si="336"/>
        <v>1.4625E-3</v>
      </c>
      <c r="BI415" s="2">
        <f t="shared" si="320"/>
        <v>6.0000000000000006E-4</v>
      </c>
      <c r="BJ415" s="2">
        <f t="shared" si="321"/>
        <v>1.8000000000000002E-2</v>
      </c>
      <c r="BK415" s="2">
        <f t="shared" si="337"/>
        <v>0.32981249999999995</v>
      </c>
      <c r="BL415" s="2">
        <f t="shared" si="322"/>
        <v>154</v>
      </c>
      <c r="BM415" s="2">
        <f t="shared" si="323"/>
        <v>146</v>
      </c>
      <c r="BN415" s="2">
        <f t="shared" si="338"/>
        <v>300</v>
      </c>
    </row>
    <row r="416" spans="1:66" x14ac:dyDescent="0.25">
      <c r="A416" s="42">
        <v>413</v>
      </c>
      <c r="B416" s="43">
        <v>42884</v>
      </c>
      <c r="C416" s="42" t="s">
        <v>50</v>
      </c>
      <c r="D416" s="42" t="s">
        <v>191</v>
      </c>
      <c r="E416" s="6">
        <f t="shared" si="324"/>
        <v>-4.4200200000003909</v>
      </c>
      <c r="F416" s="5" t="str">
        <f t="shared" si="339"/>
        <v>Loss</v>
      </c>
      <c r="G416" s="4">
        <f t="shared" si="340"/>
        <v>-3.907985046680551E-13</v>
      </c>
      <c r="H416" s="46">
        <v>110</v>
      </c>
      <c r="I416" s="42">
        <v>29.6</v>
      </c>
      <c r="J416" s="42">
        <v>110</v>
      </c>
      <c r="K416" s="42">
        <v>29.6</v>
      </c>
      <c r="N416" s="5">
        <f t="shared" si="341"/>
        <v>220</v>
      </c>
      <c r="O416" s="4">
        <f t="shared" si="342"/>
        <v>29.6</v>
      </c>
      <c r="P416" s="5">
        <f t="shared" si="297"/>
        <v>110</v>
      </c>
      <c r="Q416" s="42">
        <v>29.95</v>
      </c>
      <c r="R416" s="2">
        <f t="shared" si="296"/>
        <v>110</v>
      </c>
      <c r="S416" s="42">
        <v>29.25</v>
      </c>
      <c r="T416" s="2">
        <f t="shared" si="325"/>
        <v>0</v>
      </c>
      <c r="V416" s="5">
        <f t="shared" si="343"/>
        <v>220</v>
      </c>
      <c r="W416" s="4">
        <f t="shared" si="344"/>
        <v>29.6</v>
      </c>
      <c r="X416" s="14">
        <f t="shared" si="298"/>
        <v>0.34999999999999787</v>
      </c>
      <c r="Y416" s="5">
        <f t="shared" si="299"/>
        <v>38.499999999999766</v>
      </c>
      <c r="Z416" s="2">
        <f t="shared" si="300"/>
        <v>-38.500000000000156</v>
      </c>
      <c r="AA416" s="4">
        <f t="shared" si="301"/>
        <v>0</v>
      </c>
      <c r="AB416" s="13">
        <f t="shared" si="302"/>
        <v>4.4200200000000001</v>
      </c>
      <c r="AC416" s="10">
        <f>SUM($E$4:E416)</f>
        <v>-13340.823308653828</v>
      </c>
      <c r="AD416" s="20">
        <f>SUM($AB$4:AB416)</f>
        <v>11323.226808653782</v>
      </c>
      <c r="AF416" s="28">
        <f t="shared" si="303"/>
        <v>1.3024</v>
      </c>
      <c r="AG416" s="2">
        <f t="shared" si="304"/>
        <v>1.6280000000000001</v>
      </c>
      <c r="AH416" s="2">
        <f t="shared" si="305"/>
        <v>0.42327999999999999</v>
      </c>
      <c r="AI416" s="2">
        <f t="shared" si="326"/>
        <v>1.7256800000000001</v>
      </c>
      <c r="AJ416" s="2">
        <f t="shared" si="327"/>
        <v>0.25885200000000003</v>
      </c>
      <c r="AK416" s="2">
        <f t="shared" si="306"/>
        <v>2.6048000000000002E-2</v>
      </c>
      <c r="AL416" s="2">
        <f t="shared" si="307"/>
        <v>0.78144000000000002</v>
      </c>
      <c r="AM416" s="2">
        <f t="shared" si="328"/>
        <v>4.4200200000000001</v>
      </c>
      <c r="AN416" s="2">
        <f t="shared" si="308"/>
        <v>80</v>
      </c>
      <c r="AO416" s="2">
        <f t="shared" si="309"/>
        <v>3.2560000000000002</v>
      </c>
      <c r="AP416" s="2">
        <f t="shared" si="310"/>
        <v>6.9027199999999995</v>
      </c>
      <c r="AQ416" s="2">
        <f t="shared" si="329"/>
        <v>86.902720000000002</v>
      </c>
      <c r="AR416" s="2">
        <f t="shared" si="330"/>
        <v>13.035408</v>
      </c>
      <c r="AS416" s="2">
        <f t="shared" si="311"/>
        <v>2.6048000000000002E-2</v>
      </c>
      <c r="AT416" s="2">
        <f t="shared" si="312"/>
        <v>0.78144000000000002</v>
      </c>
      <c r="AU416" s="2">
        <f t="shared" si="331"/>
        <v>104.00161600000001</v>
      </c>
      <c r="AV416" s="2">
        <f t="shared" si="313"/>
        <v>1.3024</v>
      </c>
      <c r="AW416" s="2">
        <f t="shared" si="314"/>
        <v>0.65120000000000011</v>
      </c>
      <c r="AX416" s="2">
        <f t="shared" si="315"/>
        <v>0.27350399999999997</v>
      </c>
      <c r="AY416" s="2">
        <f t="shared" si="332"/>
        <v>1.575904</v>
      </c>
      <c r="AZ416" s="2">
        <f t="shared" si="333"/>
        <v>0.23638559999999997</v>
      </c>
      <c r="BA416" s="2">
        <f t="shared" si="316"/>
        <v>2.6048000000000002E-2</v>
      </c>
      <c r="BB416" s="2">
        <f t="shared" si="317"/>
        <v>0.78144000000000002</v>
      </c>
      <c r="BC416" s="2">
        <f t="shared" si="334"/>
        <v>3.2709775999999997</v>
      </c>
      <c r="BD416" s="2">
        <v>0</v>
      </c>
      <c r="BE416" s="2">
        <f t="shared" si="318"/>
        <v>13.024000000000001</v>
      </c>
      <c r="BF416" s="2">
        <f t="shared" si="319"/>
        <v>0.42327999999999999</v>
      </c>
      <c r="BG416" s="2">
        <f t="shared" si="335"/>
        <v>0.42327999999999999</v>
      </c>
      <c r="BH416" s="2">
        <f t="shared" si="336"/>
        <v>6.3491999999999993E-2</v>
      </c>
      <c r="BI416" s="2">
        <f t="shared" si="320"/>
        <v>2.6048000000000002E-2</v>
      </c>
      <c r="BJ416" s="2">
        <f t="shared" si="321"/>
        <v>0.78144000000000002</v>
      </c>
      <c r="BK416" s="2">
        <f t="shared" si="337"/>
        <v>14.31826</v>
      </c>
      <c r="BL416" s="2">
        <f t="shared" si="322"/>
        <v>6512</v>
      </c>
      <c r="BM416" s="2">
        <f t="shared" si="323"/>
        <v>6512</v>
      </c>
      <c r="BN416" s="2">
        <f t="shared" si="338"/>
        <v>13024</v>
      </c>
    </row>
    <row r="417" spans="1:66" x14ac:dyDescent="0.25">
      <c r="A417" s="42">
        <v>414</v>
      </c>
      <c r="B417" s="43">
        <v>42884</v>
      </c>
      <c r="C417" s="42" t="s">
        <v>50</v>
      </c>
      <c r="D417" s="42" t="s">
        <v>182</v>
      </c>
      <c r="E417" s="6">
        <f t="shared" si="324"/>
        <v>-95.841714078499422</v>
      </c>
      <c r="F417" s="5" t="str">
        <f t="shared" si="339"/>
        <v>Loss</v>
      </c>
      <c r="G417" s="4">
        <f t="shared" si="340"/>
        <v>-87.599199999999428</v>
      </c>
      <c r="H417" s="46">
        <v>26</v>
      </c>
      <c r="I417" s="42">
        <v>469.36919999999998</v>
      </c>
      <c r="N417" s="5">
        <f t="shared" si="341"/>
        <v>26</v>
      </c>
      <c r="O417" s="4">
        <f t="shared" si="342"/>
        <v>469.36919999999998</v>
      </c>
      <c r="P417" s="5">
        <f t="shared" si="297"/>
        <v>26</v>
      </c>
      <c r="Q417" s="42">
        <v>466</v>
      </c>
      <c r="R417" s="2">
        <f t="shared" si="296"/>
        <v>0</v>
      </c>
      <c r="T417" s="2">
        <f t="shared" si="325"/>
        <v>0</v>
      </c>
      <c r="V417" s="5">
        <f t="shared" si="343"/>
        <v>26</v>
      </c>
      <c r="W417" s="4">
        <f t="shared" si="344"/>
        <v>466</v>
      </c>
      <c r="X417" s="14">
        <f t="shared" si="298"/>
        <v>-3.369199999999978</v>
      </c>
      <c r="Y417" s="5">
        <f t="shared" si="299"/>
        <v>-87.599199999999428</v>
      </c>
      <c r="Z417" s="2">
        <f t="shared" si="300"/>
        <v>0</v>
      </c>
      <c r="AA417" s="4">
        <f t="shared" si="301"/>
        <v>0</v>
      </c>
      <c r="AB417" s="13">
        <f t="shared" si="302"/>
        <v>8.2425140785000011</v>
      </c>
      <c r="AC417" s="10">
        <f>SUM($E$4:E417)</f>
        <v>-13436.665022732326</v>
      </c>
      <c r="AD417" s="20">
        <f>SUM($AB$4:AB417)</f>
        <v>11331.469322732282</v>
      </c>
      <c r="AF417" s="28">
        <f t="shared" si="303"/>
        <v>2.4319599199999997</v>
      </c>
      <c r="AG417" s="2">
        <f t="shared" si="304"/>
        <v>3.0290000000000004</v>
      </c>
      <c r="AH417" s="2">
        <f t="shared" si="305"/>
        <v>0.7903869739999998</v>
      </c>
      <c r="AI417" s="2">
        <f t="shared" si="326"/>
        <v>3.2223468939999993</v>
      </c>
      <c r="AJ417" s="2">
        <f t="shared" si="327"/>
        <v>0.48335203409999988</v>
      </c>
      <c r="AK417" s="2">
        <f t="shared" si="306"/>
        <v>4.86391984E-2</v>
      </c>
      <c r="AL417" s="2">
        <f t="shared" si="307"/>
        <v>1.4591759519999998</v>
      </c>
      <c r="AM417" s="2">
        <f t="shared" si="328"/>
        <v>8.2425140785000011</v>
      </c>
      <c r="AN417" s="2">
        <f t="shared" si="308"/>
        <v>40</v>
      </c>
      <c r="AO417" s="2">
        <f t="shared" si="309"/>
        <v>6.0580000000000007</v>
      </c>
      <c r="AP417" s="2">
        <f t="shared" si="310"/>
        <v>12.889387575999997</v>
      </c>
      <c r="AQ417" s="2">
        <f t="shared" si="329"/>
        <v>52.889387575999997</v>
      </c>
      <c r="AR417" s="2">
        <f t="shared" si="330"/>
        <v>7.9334081363999989</v>
      </c>
      <c r="AS417" s="2">
        <f t="shared" si="311"/>
        <v>4.86391984E-2</v>
      </c>
      <c r="AT417" s="2">
        <f t="shared" si="312"/>
        <v>1.4591759519999998</v>
      </c>
      <c r="AU417" s="2">
        <f t="shared" si="331"/>
        <v>68.388610862799993</v>
      </c>
      <c r="AV417" s="2">
        <f t="shared" si="313"/>
        <v>2.4319599199999997</v>
      </c>
      <c r="AW417" s="2">
        <f t="shared" si="314"/>
        <v>1.2116000000000002</v>
      </c>
      <c r="AX417" s="2">
        <f t="shared" si="315"/>
        <v>0.51071158319999987</v>
      </c>
      <c r="AY417" s="2">
        <f t="shared" si="332"/>
        <v>2.9426715031999997</v>
      </c>
      <c r="AZ417" s="2">
        <f t="shared" si="333"/>
        <v>0.44140072547999992</v>
      </c>
      <c r="BA417" s="2">
        <f t="shared" si="316"/>
        <v>4.86391984E-2</v>
      </c>
      <c r="BB417" s="2">
        <f t="shared" si="317"/>
        <v>1.4591759519999998</v>
      </c>
      <c r="BC417" s="2">
        <f t="shared" si="334"/>
        <v>6.1034873790799997</v>
      </c>
      <c r="BD417" s="2">
        <v>0</v>
      </c>
      <c r="BE417" s="2">
        <f t="shared" si="318"/>
        <v>24.319599199999999</v>
      </c>
      <c r="BF417" s="2">
        <f t="shared" si="319"/>
        <v>0.7903869739999998</v>
      </c>
      <c r="BG417" s="2">
        <f t="shared" si="335"/>
        <v>0.7903869739999998</v>
      </c>
      <c r="BH417" s="2">
        <f t="shared" si="336"/>
        <v>0.11855804609999997</v>
      </c>
      <c r="BI417" s="2">
        <f t="shared" si="320"/>
        <v>4.86391984E-2</v>
      </c>
      <c r="BJ417" s="2">
        <f t="shared" si="321"/>
        <v>1.4591759519999998</v>
      </c>
      <c r="BK417" s="2">
        <f t="shared" si="337"/>
        <v>26.736359370499997</v>
      </c>
      <c r="BL417" s="2">
        <f t="shared" si="322"/>
        <v>12203.599199999999</v>
      </c>
      <c r="BM417" s="2">
        <f t="shared" si="323"/>
        <v>12116</v>
      </c>
      <c r="BN417" s="2">
        <f t="shared" si="338"/>
        <v>24319.599199999997</v>
      </c>
    </row>
    <row r="418" spans="1:66" x14ac:dyDescent="0.25">
      <c r="A418" s="42">
        <v>415</v>
      </c>
      <c r="B418" s="43">
        <v>42884</v>
      </c>
      <c r="C418" s="42" t="s">
        <v>50</v>
      </c>
      <c r="D418" s="42" t="s">
        <v>202</v>
      </c>
      <c r="E418" s="6">
        <f t="shared" si="324"/>
        <v>-123.485950625</v>
      </c>
      <c r="F418" s="5" t="str">
        <f t="shared" si="339"/>
        <v>Loss</v>
      </c>
      <c r="G418" s="4">
        <f t="shared" si="340"/>
        <v>-115</v>
      </c>
      <c r="H418" s="46">
        <v>23</v>
      </c>
      <c r="I418" s="42">
        <v>547</v>
      </c>
      <c r="N418" s="5">
        <f t="shared" si="341"/>
        <v>23</v>
      </c>
      <c r="O418" s="4">
        <f t="shared" si="342"/>
        <v>547</v>
      </c>
      <c r="P418" s="5">
        <f t="shared" si="297"/>
        <v>23</v>
      </c>
      <c r="Q418" s="42">
        <v>542</v>
      </c>
      <c r="R418" s="2">
        <f t="shared" si="296"/>
        <v>0</v>
      </c>
      <c r="T418" s="2">
        <f t="shared" si="325"/>
        <v>0</v>
      </c>
      <c r="V418" s="5">
        <f t="shared" si="343"/>
        <v>23</v>
      </c>
      <c r="W418" s="4">
        <f t="shared" si="344"/>
        <v>542</v>
      </c>
      <c r="X418" s="14">
        <f t="shared" si="298"/>
        <v>-5</v>
      </c>
      <c r="Y418" s="5">
        <f t="shared" si="299"/>
        <v>-115</v>
      </c>
      <c r="Z418" s="2">
        <f t="shared" si="300"/>
        <v>0</v>
      </c>
      <c r="AA418" s="4">
        <f t="shared" si="301"/>
        <v>0</v>
      </c>
      <c r="AB418" s="13">
        <f t="shared" si="302"/>
        <v>8.4859506249999992</v>
      </c>
      <c r="AC418" s="10">
        <f>SUM($E$4:E418)</f>
        <v>-13560.150973357326</v>
      </c>
      <c r="AD418" s="20">
        <f>SUM($AB$4:AB418)</f>
        <v>11339.955273357282</v>
      </c>
      <c r="AF418" s="28">
        <f t="shared" si="303"/>
        <v>2.5047000000000001</v>
      </c>
      <c r="AG418" s="2">
        <f t="shared" si="304"/>
        <v>3.1164999999999998</v>
      </c>
      <c r="AH418" s="2">
        <f t="shared" si="305"/>
        <v>0.8140274999999999</v>
      </c>
      <c r="AI418" s="2">
        <f t="shared" si="326"/>
        <v>3.3187275000000001</v>
      </c>
      <c r="AJ418" s="2">
        <f t="shared" si="327"/>
        <v>0.49780912499999996</v>
      </c>
      <c r="AK418" s="2">
        <f t="shared" si="306"/>
        <v>5.0094E-2</v>
      </c>
      <c r="AL418" s="2">
        <f t="shared" si="307"/>
        <v>1.50282</v>
      </c>
      <c r="AM418" s="2">
        <f t="shared" si="328"/>
        <v>8.4859506249999992</v>
      </c>
      <c r="AN418" s="2">
        <f t="shared" si="308"/>
        <v>40</v>
      </c>
      <c r="AO418" s="2">
        <f t="shared" si="309"/>
        <v>6.2329999999999997</v>
      </c>
      <c r="AP418" s="2">
        <f t="shared" si="310"/>
        <v>13.27491</v>
      </c>
      <c r="AQ418" s="2">
        <f t="shared" si="329"/>
        <v>53.274909999999998</v>
      </c>
      <c r="AR418" s="2">
        <f t="shared" si="330"/>
        <v>7.9912364999999994</v>
      </c>
      <c r="AS418" s="2">
        <f t="shared" si="311"/>
        <v>5.0094E-2</v>
      </c>
      <c r="AT418" s="2">
        <f t="shared" si="312"/>
        <v>1.50282</v>
      </c>
      <c r="AU418" s="2">
        <f t="shared" si="331"/>
        <v>69.052060499999996</v>
      </c>
      <c r="AV418" s="2">
        <f t="shared" si="313"/>
        <v>2.5047000000000001</v>
      </c>
      <c r="AW418" s="2">
        <f t="shared" si="314"/>
        <v>1.2465999999999999</v>
      </c>
      <c r="AX418" s="2">
        <f t="shared" si="315"/>
        <v>0.52598699999999998</v>
      </c>
      <c r="AY418" s="2">
        <f t="shared" si="332"/>
        <v>3.0306870000000004</v>
      </c>
      <c r="AZ418" s="2">
        <f t="shared" si="333"/>
        <v>0.45460305000000001</v>
      </c>
      <c r="BA418" s="2">
        <f t="shared" si="316"/>
        <v>5.0094E-2</v>
      </c>
      <c r="BB418" s="2">
        <f t="shared" si="317"/>
        <v>1.50282</v>
      </c>
      <c r="BC418" s="2">
        <f t="shared" si="334"/>
        <v>6.28480405</v>
      </c>
      <c r="BD418" s="2">
        <v>0</v>
      </c>
      <c r="BE418" s="2">
        <f t="shared" si="318"/>
        <v>25.047000000000001</v>
      </c>
      <c r="BF418" s="2">
        <f t="shared" si="319"/>
        <v>0.8140274999999999</v>
      </c>
      <c r="BG418" s="2">
        <f t="shared" si="335"/>
        <v>0.8140274999999999</v>
      </c>
      <c r="BH418" s="2">
        <f t="shared" si="336"/>
        <v>0.12210412499999998</v>
      </c>
      <c r="BI418" s="2">
        <f t="shared" si="320"/>
        <v>5.0094E-2</v>
      </c>
      <c r="BJ418" s="2">
        <f t="shared" si="321"/>
        <v>1.50282</v>
      </c>
      <c r="BK418" s="2">
        <f t="shared" si="337"/>
        <v>27.536045625</v>
      </c>
      <c r="BL418" s="2">
        <f t="shared" si="322"/>
        <v>12581</v>
      </c>
      <c r="BM418" s="2">
        <f t="shared" si="323"/>
        <v>12466</v>
      </c>
      <c r="BN418" s="2">
        <f t="shared" si="338"/>
        <v>25047</v>
      </c>
    </row>
    <row r="419" spans="1:66" x14ac:dyDescent="0.25">
      <c r="A419" s="42">
        <v>416</v>
      </c>
      <c r="B419" s="43">
        <v>42884</v>
      </c>
      <c r="C419" s="42" t="s">
        <v>50</v>
      </c>
      <c r="D419" s="42" t="s">
        <v>176</v>
      </c>
      <c r="E419" s="6">
        <f t="shared" si="324"/>
        <v>-501.84014434999159</v>
      </c>
      <c r="F419" s="5" t="str">
        <f t="shared" si="339"/>
        <v>Loss</v>
      </c>
      <c r="G419" s="4">
        <f t="shared" si="340"/>
        <v>-448.71999999999161</v>
      </c>
      <c r="H419" s="46">
        <v>400</v>
      </c>
      <c r="I419" s="42">
        <v>196.42179999999999</v>
      </c>
      <c r="N419" s="5">
        <f t="shared" si="341"/>
        <v>400</v>
      </c>
      <c r="O419" s="4">
        <f t="shared" si="342"/>
        <v>196.42179999999999</v>
      </c>
      <c r="P419" s="5">
        <f t="shared" si="297"/>
        <v>400</v>
      </c>
      <c r="Q419" s="42">
        <v>195.3</v>
      </c>
      <c r="R419" s="2">
        <f t="shared" si="296"/>
        <v>0</v>
      </c>
      <c r="T419" s="2">
        <f t="shared" si="325"/>
        <v>0</v>
      </c>
      <c r="V419" s="5">
        <f t="shared" si="343"/>
        <v>400</v>
      </c>
      <c r="W419" s="4">
        <f t="shared" si="344"/>
        <v>195.3</v>
      </c>
      <c r="X419" s="14">
        <f t="shared" si="298"/>
        <v>-1.121799999999979</v>
      </c>
      <c r="Y419" s="5">
        <f t="shared" si="299"/>
        <v>-448.71999999999161</v>
      </c>
      <c r="Z419" s="2">
        <f t="shared" si="300"/>
        <v>0</v>
      </c>
      <c r="AA419" s="4">
        <f t="shared" si="301"/>
        <v>0</v>
      </c>
      <c r="AB419" s="13">
        <f t="shared" si="302"/>
        <v>53.120144349999997</v>
      </c>
      <c r="AC419" s="10">
        <f>SUM($E$4:E419)</f>
        <v>-14061.991117707317</v>
      </c>
      <c r="AD419" s="20">
        <f>SUM($AB$4:AB419)</f>
        <v>11393.075417707281</v>
      </c>
      <c r="AF419" s="28">
        <f t="shared" si="303"/>
        <v>15.668872</v>
      </c>
      <c r="AG419" s="2">
        <f t="shared" si="304"/>
        <v>19.53</v>
      </c>
      <c r="AH419" s="2">
        <f t="shared" si="305"/>
        <v>5.0923833999999992</v>
      </c>
      <c r="AI419" s="2">
        <f t="shared" si="326"/>
        <v>20.7612554</v>
      </c>
      <c r="AJ419" s="2">
        <f t="shared" si="327"/>
        <v>3.1141883099999998</v>
      </c>
      <c r="AK419" s="2">
        <f t="shared" si="306"/>
        <v>0.31337744000000001</v>
      </c>
      <c r="AL419" s="2">
        <f t="shared" si="307"/>
        <v>9.4013232000000002</v>
      </c>
      <c r="AM419" s="2">
        <f t="shared" si="328"/>
        <v>53.120144349999997</v>
      </c>
      <c r="AN419" s="2">
        <f t="shared" si="308"/>
        <v>40</v>
      </c>
      <c r="AO419" s="2">
        <f t="shared" si="309"/>
        <v>39.06</v>
      </c>
      <c r="AP419" s="2">
        <f t="shared" si="310"/>
        <v>83.045021599999998</v>
      </c>
      <c r="AQ419" s="2">
        <f t="shared" si="329"/>
        <v>123.0450216</v>
      </c>
      <c r="AR419" s="2">
        <f t="shared" si="330"/>
        <v>18.456753239999998</v>
      </c>
      <c r="AS419" s="2">
        <f t="shared" si="311"/>
        <v>0.31337744000000001</v>
      </c>
      <c r="AT419" s="2">
        <f t="shared" si="312"/>
        <v>9.4013232000000002</v>
      </c>
      <c r="AU419" s="2">
        <f t="shared" si="331"/>
        <v>190.27647548000002</v>
      </c>
      <c r="AV419" s="2">
        <f t="shared" si="313"/>
        <v>15.668872</v>
      </c>
      <c r="AW419" s="2">
        <f t="shared" si="314"/>
        <v>7.8120000000000003</v>
      </c>
      <c r="AX419" s="2">
        <f t="shared" si="315"/>
        <v>3.2904631199999996</v>
      </c>
      <c r="AY419" s="2">
        <f t="shared" si="332"/>
        <v>18.959335119999999</v>
      </c>
      <c r="AZ419" s="2">
        <f t="shared" si="333"/>
        <v>2.8439002679999996</v>
      </c>
      <c r="BA419" s="2">
        <f t="shared" si="316"/>
        <v>0.31337744000000001</v>
      </c>
      <c r="BB419" s="2">
        <f t="shared" si="317"/>
        <v>9.4013232000000002</v>
      </c>
      <c r="BC419" s="2">
        <f t="shared" si="334"/>
        <v>39.329936027999999</v>
      </c>
      <c r="BD419" s="2">
        <v>0</v>
      </c>
      <c r="BE419" s="2">
        <f t="shared" si="318"/>
        <v>156.68872000000002</v>
      </c>
      <c r="BF419" s="2">
        <f t="shared" si="319"/>
        <v>5.0923833999999992</v>
      </c>
      <c r="BG419" s="2">
        <f t="shared" si="335"/>
        <v>5.0923833999999992</v>
      </c>
      <c r="BH419" s="2">
        <f t="shared" si="336"/>
        <v>0.76385750999999991</v>
      </c>
      <c r="BI419" s="2">
        <f t="shared" si="320"/>
        <v>0.31337744000000001</v>
      </c>
      <c r="BJ419" s="2">
        <f t="shared" si="321"/>
        <v>9.4013232000000002</v>
      </c>
      <c r="BK419" s="2">
        <f t="shared" si="337"/>
        <v>172.25966155000003</v>
      </c>
      <c r="BL419" s="2">
        <f t="shared" si="322"/>
        <v>78568.72</v>
      </c>
      <c r="BM419" s="2">
        <f t="shared" si="323"/>
        <v>78120</v>
      </c>
      <c r="BN419" s="2">
        <f t="shared" si="338"/>
        <v>156688.72</v>
      </c>
    </row>
    <row r="420" spans="1:66" x14ac:dyDescent="0.25">
      <c r="A420" s="42">
        <v>417</v>
      </c>
      <c r="B420" s="43">
        <v>42884</v>
      </c>
      <c r="C420" s="42" t="s">
        <v>50</v>
      </c>
      <c r="D420" s="42" t="s">
        <v>264</v>
      </c>
      <c r="E420" s="6">
        <f t="shared" si="324"/>
        <v>-794.82487389000028</v>
      </c>
      <c r="F420" s="5" t="str">
        <f t="shared" si="339"/>
        <v>Loss</v>
      </c>
      <c r="G420" s="4">
        <f t="shared" si="340"/>
        <v>-712.55600000000027</v>
      </c>
      <c r="H420" s="46">
        <v>140</v>
      </c>
      <c r="I420" s="42">
        <v>493</v>
      </c>
      <c r="J420" s="42">
        <v>97</v>
      </c>
      <c r="K420" s="42">
        <v>515</v>
      </c>
      <c r="L420" s="42">
        <v>3</v>
      </c>
      <c r="M420" s="44">
        <v>515</v>
      </c>
      <c r="N420" s="5">
        <f t="shared" si="341"/>
        <v>240</v>
      </c>
      <c r="O420" s="4">
        <f t="shared" si="342"/>
        <v>507.66666666666669</v>
      </c>
      <c r="P420" s="5">
        <f t="shared" si="297"/>
        <v>140</v>
      </c>
      <c r="Q420" s="42">
        <v>489.4246</v>
      </c>
      <c r="R420" s="2">
        <f t="shared" si="296"/>
        <v>97</v>
      </c>
      <c r="S420" s="42">
        <v>513</v>
      </c>
      <c r="T420" s="2">
        <f t="shared" si="325"/>
        <v>3</v>
      </c>
      <c r="U420" s="44">
        <v>509</v>
      </c>
      <c r="V420" s="5">
        <f t="shared" si="343"/>
        <v>240</v>
      </c>
      <c r="W420" s="4">
        <f t="shared" si="344"/>
        <v>503.8082</v>
      </c>
      <c r="X420" s="14">
        <f t="shared" si="298"/>
        <v>20</v>
      </c>
      <c r="Y420" s="5">
        <f t="shared" si="299"/>
        <v>-500.55600000000027</v>
      </c>
      <c r="Z420" s="2">
        <f t="shared" si="300"/>
        <v>-194</v>
      </c>
      <c r="AA420" s="4">
        <f t="shared" si="301"/>
        <v>-18</v>
      </c>
      <c r="AB420" s="13">
        <f t="shared" si="302"/>
        <v>82.268873890000009</v>
      </c>
      <c r="AC420" s="10">
        <f>SUM($E$4:E420)</f>
        <v>-14856.815991597317</v>
      </c>
      <c r="AD420" s="20">
        <f>SUM($AB$4:AB420)</f>
        <v>11475.344291597281</v>
      </c>
      <c r="AF420" s="28">
        <f t="shared" si="303"/>
        <v>24.275396799999999</v>
      </c>
      <c r="AG420" s="2">
        <f t="shared" si="304"/>
        <v>30.228491999999999</v>
      </c>
      <c r="AH420" s="2">
        <f t="shared" si="305"/>
        <v>7.889503959999999</v>
      </c>
      <c r="AI420" s="2">
        <f t="shared" si="326"/>
        <v>32.164900759999995</v>
      </c>
      <c r="AJ420" s="2">
        <f t="shared" si="327"/>
        <v>4.8247351139999992</v>
      </c>
      <c r="AK420" s="2">
        <f t="shared" si="306"/>
        <v>0.48550793599999997</v>
      </c>
      <c r="AL420" s="2">
        <f t="shared" si="307"/>
        <v>14.56523808</v>
      </c>
      <c r="AM420" s="2">
        <f t="shared" si="328"/>
        <v>82.268873890000009</v>
      </c>
      <c r="AN420" s="2">
        <f t="shared" si="308"/>
        <v>120</v>
      </c>
      <c r="AO420" s="2">
        <f t="shared" si="309"/>
        <v>60.456983999999999</v>
      </c>
      <c r="AP420" s="2">
        <f t="shared" si="310"/>
        <v>128.65960303999998</v>
      </c>
      <c r="AQ420" s="2">
        <f t="shared" si="329"/>
        <v>248.65960303999998</v>
      </c>
      <c r="AR420" s="2">
        <f t="shared" si="330"/>
        <v>37.298940455999997</v>
      </c>
      <c r="AS420" s="2">
        <f t="shared" si="311"/>
        <v>0.48550793599999997</v>
      </c>
      <c r="AT420" s="2">
        <f t="shared" si="312"/>
        <v>14.56523808</v>
      </c>
      <c r="AU420" s="2">
        <f t="shared" si="331"/>
        <v>361.46627351199993</v>
      </c>
      <c r="AV420" s="2">
        <f t="shared" si="313"/>
        <v>24.275396799999999</v>
      </c>
      <c r="AW420" s="2">
        <f t="shared" si="314"/>
        <v>12.0913968</v>
      </c>
      <c r="AX420" s="2">
        <f t="shared" si="315"/>
        <v>5.0978333279999992</v>
      </c>
      <c r="AY420" s="2">
        <f t="shared" si="332"/>
        <v>29.373230127999999</v>
      </c>
      <c r="AZ420" s="2">
        <f t="shared" si="333"/>
        <v>4.4059845191999996</v>
      </c>
      <c r="BA420" s="2">
        <f t="shared" si="316"/>
        <v>0.48550793599999997</v>
      </c>
      <c r="BB420" s="2">
        <f t="shared" si="317"/>
        <v>14.56523808</v>
      </c>
      <c r="BC420" s="2">
        <f t="shared" si="334"/>
        <v>60.921357463199996</v>
      </c>
      <c r="BD420" s="2">
        <v>0</v>
      </c>
      <c r="BE420" s="2">
        <f t="shared" si="318"/>
        <v>242.75396799999999</v>
      </c>
      <c r="BF420" s="2">
        <f t="shared" si="319"/>
        <v>7.889503959999999</v>
      </c>
      <c r="BG420" s="2">
        <f t="shared" si="335"/>
        <v>7.889503959999999</v>
      </c>
      <c r="BH420" s="2">
        <f t="shared" si="336"/>
        <v>1.1834255939999998</v>
      </c>
      <c r="BI420" s="2">
        <f t="shared" si="320"/>
        <v>0.48550793599999997</v>
      </c>
      <c r="BJ420" s="2">
        <f t="shared" si="321"/>
        <v>14.56523808</v>
      </c>
      <c r="BK420" s="2">
        <f t="shared" si="337"/>
        <v>266.87764357000003</v>
      </c>
      <c r="BL420" s="2">
        <f t="shared" si="322"/>
        <v>121840</v>
      </c>
      <c r="BM420" s="2">
        <f t="shared" si="323"/>
        <v>120913.96799999999</v>
      </c>
      <c r="BN420" s="2">
        <f t="shared" si="338"/>
        <v>242753.96799999999</v>
      </c>
    </row>
    <row r="421" spans="1:66" x14ac:dyDescent="0.25">
      <c r="A421" s="42">
        <v>418</v>
      </c>
      <c r="B421" s="43">
        <v>42884</v>
      </c>
      <c r="C421" s="42" t="s">
        <v>50</v>
      </c>
      <c r="D421" s="42" t="s">
        <v>164</v>
      </c>
      <c r="E421" s="6">
        <f t="shared" si="324"/>
        <v>-6.0730931250015416</v>
      </c>
      <c r="F421" s="5" t="str">
        <f t="shared" si="339"/>
        <v>Win</v>
      </c>
      <c r="G421" s="4">
        <f t="shared" si="340"/>
        <v>26.999999999998465</v>
      </c>
      <c r="H421" s="46">
        <v>270</v>
      </c>
      <c r="I421" s="42">
        <v>180.4</v>
      </c>
      <c r="N421" s="5">
        <f t="shared" si="341"/>
        <v>270</v>
      </c>
      <c r="O421" s="4">
        <f t="shared" si="342"/>
        <v>180.4</v>
      </c>
      <c r="P421" s="5">
        <f t="shared" si="297"/>
        <v>270</v>
      </c>
      <c r="Q421" s="42">
        <v>180.5</v>
      </c>
      <c r="R421" s="2">
        <f t="shared" si="296"/>
        <v>0</v>
      </c>
      <c r="T421" s="2">
        <f t="shared" si="325"/>
        <v>0</v>
      </c>
      <c r="V421" s="5">
        <f t="shared" si="343"/>
        <v>270</v>
      </c>
      <c r="W421" s="4">
        <f t="shared" si="344"/>
        <v>180.5</v>
      </c>
      <c r="X421" s="14">
        <f t="shared" si="298"/>
        <v>9.9999999999994316E-2</v>
      </c>
      <c r="Y421" s="5">
        <f t="shared" si="299"/>
        <v>26.999999999998465</v>
      </c>
      <c r="Z421" s="2">
        <f t="shared" si="300"/>
        <v>0</v>
      </c>
      <c r="AA421" s="4">
        <f t="shared" si="301"/>
        <v>0</v>
      </c>
      <c r="AB421" s="13">
        <f t="shared" si="302"/>
        <v>33.073093125000007</v>
      </c>
      <c r="AC421" s="10">
        <f>SUM($E$4:E421)</f>
        <v>-14862.889084722319</v>
      </c>
      <c r="AD421" s="20">
        <f>SUM($AB$4:AB421)</f>
        <v>11508.417384722281</v>
      </c>
      <c r="AF421" s="28">
        <f t="shared" si="303"/>
        <v>9.7443000000000008</v>
      </c>
      <c r="AG421" s="2">
        <f t="shared" si="304"/>
        <v>12.183750000000002</v>
      </c>
      <c r="AH421" s="2">
        <f t="shared" si="305"/>
        <v>3.1668974999999997</v>
      </c>
      <c r="AI421" s="2">
        <f t="shared" si="326"/>
        <v>12.9111975</v>
      </c>
      <c r="AJ421" s="2">
        <f t="shared" si="327"/>
        <v>1.936679625</v>
      </c>
      <c r="AK421" s="2">
        <f t="shared" si="306"/>
        <v>0.19488599999999998</v>
      </c>
      <c r="AL421" s="2">
        <f t="shared" si="307"/>
        <v>5.8465800000000003</v>
      </c>
      <c r="AM421" s="2">
        <f t="shared" si="328"/>
        <v>33.073093125000007</v>
      </c>
      <c r="AN421" s="2">
        <f t="shared" si="308"/>
        <v>40</v>
      </c>
      <c r="AO421" s="2">
        <f t="shared" si="309"/>
        <v>24.367500000000003</v>
      </c>
      <c r="AP421" s="2">
        <f t="shared" si="310"/>
        <v>51.64479</v>
      </c>
      <c r="AQ421" s="2">
        <f t="shared" si="329"/>
        <v>91.64479</v>
      </c>
      <c r="AR421" s="2">
        <f t="shared" si="330"/>
        <v>13.7467185</v>
      </c>
      <c r="AS421" s="2">
        <f t="shared" si="311"/>
        <v>0.19488599999999998</v>
      </c>
      <c r="AT421" s="2">
        <f t="shared" si="312"/>
        <v>5.8465800000000003</v>
      </c>
      <c r="AU421" s="2">
        <f t="shared" si="331"/>
        <v>135.80047449999998</v>
      </c>
      <c r="AV421" s="2">
        <f t="shared" si="313"/>
        <v>9.7443000000000008</v>
      </c>
      <c r="AW421" s="2">
        <f t="shared" si="314"/>
        <v>4.8734999999999999</v>
      </c>
      <c r="AX421" s="2">
        <f t="shared" si="315"/>
        <v>2.046303</v>
      </c>
      <c r="AY421" s="2">
        <f t="shared" si="332"/>
        <v>11.790603000000001</v>
      </c>
      <c r="AZ421" s="2">
        <f t="shared" si="333"/>
        <v>1.76859045</v>
      </c>
      <c r="BA421" s="2">
        <f t="shared" si="316"/>
        <v>0.19488599999999998</v>
      </c>
      <c r="BB421" s="2">
        <f t="shared" si="317"/>
        <v>5.8465800000000003</v>
      </c>
      <c r="BC421" s="2">
        <f t="shared" si="334"/>
        <v>24.474159450000002</v>
      </c>
      <c r="BD421" s="2">
        <v>0</v>
      </c>
      <c r="BE421" s="2">
        <f t="shared" si="318"/>
        <v>97.442999999999998</v>
      </c>
      <c r="BF421" s="2">
        <f t="shared" si="319"/>
        <v>3.1668974999999997</v>
      </c>
      <c r="BG421" s="2">
        <f t="shared" si="335"/>
        <v>3.1668974999999997</v>
      </c>
      <c r="BH421" s="2">
        <f t="shared" si="336"/>
        <v>0.47503462499999993</v>
      </c>
      <c r="BI421" s="2">
        <f t="shared" si="320"/>
        <v>0.19488599999999998</v>
      </c>
      <c r="BJ421" s="2">
        <f t="shared" si="321"/>
        <v>5.8465800000000003</v>
      </c>
      <c r="BK421" s="2">
        <f t="shared" si="337"/>
        <v>107.12639812500001</v>
      </c>
      <c r="BL421" s="2">
        <f t="shared" si="322"/>
        <v>48708</v>
      </c>
      <c r="BM421" s="2">
        <f t="shared" si="323"/>
        <v>48735</v>
      </c>
      <c r="BN421" s="2">
        <f t="shared" si="338"/>
        <v>97443</v>
      </c>
    </row>
    <row r="422" spans="1:66" x14ac:dyDescent="0.25">
      <c r="A422" s="42">
        <v>419</v>
      </c>
      <c r="B422" s="43">
        <v>42884</v>
      </c>
      <c r="C422" s="42" t="s">
        <v>50</v>
      </c>
      <c r="D422" s="42" t="s">
        <v>264</v>
      </c>
      <c r="E422" s="6">
        <f t="shared" si="324"/>
        <v>-313.33809687499996</v>
      </c>
      <c r="F422" s="5" t="str">
        <f t="shared" si="339"/>
        <v>Loss</v>
      </c>
      <c r="G422" s="4">
        <f t="shared" si="340"/>
        <v>-278.49999999999994</v>
      </c>
      <c r="H422" s="46">
        <v>95</v>
      </c>
      <c r="I422" s="42">
        <v>516</v>
      </c>
      <c r="J422" s="42">
        <v>5</v>
      </c>
      <c r="K422" s="42">
        <v>511.7</v>
      </c>
      <c r="N422" s="5">
        <f t="shared" si="341"/>
        <v>100</v>
      </c>
      <c r="O422" s="4">
        <f t="shared" si="342"/>
        <v>513.85</v>
      </c>
      <c r="P422" s="5">
        <f t="shared" si="297"/>
        <v>95</v>
      </c>
      <c r="Q422" s="42">
        <v>513</v>
      </c>
      <c r="R422" s="2">
        <f t="shared" si="296"/>
        <v>5</v>
      </c>
      <c r="S422" s="42">
        <v>513</v>
      </c>
      <c r="T422" s="2">
        <f t="shared" si="325"/>
        <v>0</v>
      </c>
      <c r="V422" s="5">
        <f t="shared" si="343"/>
        <v>100</v>
      </c>
      <c r="W422" s="4">
        <f t="shared" si="344"/>
        <v>513</v>
      </c>
      <c r="X422" s="14">
        <f t="shared" si="298"/>
        <v>1.3000000000000114</v>
      </c>
      <c r="Y422" s="5">
        <f t="shared" si="299"/>
        <v>-285</v>
      </c>
      <c r="Z422" s="2">
        <f t="shared" si="300"/>
        <v>6.5000000000000568</v>
      </c>
      <c r="AA422" s="4">
        <f t="shared" si="301"/>
        <v>0</v>
      </c>
      <c r="AB422" s="13">
        <f t="shared" si="302"/>
        <v>34.838096874999998</v>
      </c>
      <c r="AC422" s="10">
        <f>SUM($E$4:E422)</f>
        <v>-15176.22718159732</v>
      </c>
      <c r="AD422" s="20">
        <f>SUM($AB$4:AB422)</f>
        <v>11543.255481597282</v>
      </c>
      <c r="AF422" s="28">
        <f t="shared" si="303"/>
        <v>10.268500000000001</v>
      </c>
      <c r="AG422" s="2">
        <f t="shared" si="304"/>
        <v>12.825000000000001</v>
      </c>
      <c r="AH422" s="2">
        <f t="shared" si="305"/>
        <v>3.3372624999999996</v>
      </c>
      <c r="AI422" s="2">
        <f t="shared" si="326"/>
        <v>13.605762500000001</v>
      </c>
      <c r="AJ422" s="2">
        <f t="shared" si="327"/>
        <v>2.040864375</v>
      </c>
      <c r="AK422" s="2">
        <f t="shared" si="306"/>
        <v>0.20537</v>
      </c>
      <c r="AL422" s="2">
        <f t="shared" si="307"/>
        <v>6.1611000000000002</v>
      </c>
      <c r="AM422" s="2">
        <f t="shared" si="328"/>
        <v>34.838096874999998</v>
      </c>
      <c r="AN422" s="2">
        <f t="shared" si="308"/>
        <v>80</v>
      </c>
      <c r="AO422" s="2">
        <f t="shared" si="309"/>
        <v>25.650000000000002</v>
      </c>
      <c r="AP422" s="2">
        <f t="shared" si="310"/>
        <v>54.423049999999996</v>
      </c>
      <c r="AQ422" s="2">
        <f t="shared" si="329"/>
        <v>134.42304999999999</v>
      </c>
      <c r="AR422" s="2">
        <f t="shared" si="330"/>
        <v>20.163457499999996</v>
      </c>
      <c r="AS422" s="2">
        <f t="shared" si="311"/>
        <v>0.20537</v>
      </c>
      <c r="AT422" s="2">
        <f t="shared" si="312"/>
        <v>6.1611000000000002</v>
      </c>
      <c r="AU422" s="2">
        <f t="shared" si="331"/>
        <v>186.60297749999998</v>
      </c>
      <c r="AV422" s="2">
        <f t="shared" si="313"/>
        <v>10.268500000000001</v>
      </c>
      <c r="AW422" s="2">
        <f t="shared" si="314"/>
        <v>5.13</v>
      </c>
      <c r="AX422" s="2">
        <f t="shared" si="315"/>
        <v>2.1563849999999998</v>
      </c>
      <c r="AY422" s="2">
        <f t="shared" si="332"/>
        <v>12.424885000000002</v>
      </c>
      <c r="AZ422" s="2">
        <f t="shared" si="333"/>
        <v>1.86373275</v>
      </c>
      <c r="BA422" s="2">
        <f t="shared" si="316"/>
        <v>0.20537</v>
      </c>
      <c r="BB422" s="2">
        <f t="shared" si="317"/>
        <v>6.1611000000000002</v>
      </c>
      <c r="BC422" s="2">
        <f t="shared" si="334"/>
        <v>25.785087750000002</v>
      </c>
      <c r="BD422" s="2">
        <v>0</v>
      </c>
      <c r="BE422" s="2">
        <f t="shared" si="318"/>
        <v>102.685</v>
      </c>
      <c r="BF422" s="2">
        <f t="shared" si="319"/>
        <v>3.3372624999999996</v>
      </c>
      <c r="BG422" s="2">
        <f t="shared" si="335"/>
        <v>3.3372624999999996</v>
      </c>
      <c r="BH422" s="2">
        <f t="shared" si="336"/>
        <v>0.50058937499999989</v>
      </c>
      <c r="BI422" s="2">
        <f t="shared" si="320"/>
        <v>0.20537</v>
      </c>
      <c r="BJ422" s="2">
        <f t="shared" si="321"/>
        <v>6.1611000000000002</v>
      </c>
      <c r="BK422" s="2">
        <f t="shared" si="337"/>
        <v>112.88932187500001</v>
      </c>
      <c r="BL422" s="2">
        <f t="shared" si="322"/>
        <v>51385</v>
      </c>
      <c r="BM422" s="2">
        <f t="shared" si="323"/>
        <v>51300</v>
      </c>
      <c r="BN422" s="2">
        <f t="shared" si="338"/>
        <v>102685</v>
      </c>
    </row>
    <row r="423" spans="1:66" x14ac:dyDescent="0.25">
      <c r="A423" s="42">
        <v>420</v>
      </c>
      <c r="B423" s="43">
        <v>42884</v>
      </c>
      <c r="C423" s="42" t="s">
        <v>50</v>
      </c>
      <c r="D423" s="42" t="s">
        <v>264</v>
      </c>
      <c r="E423" s="6">
        <f t="shared" si="324"/>
        <v>-551.52315093790423</v>
      </c>
      <c r="F423" s="5" t="str">
        <f t="shared" si="339"/>
        <v>Loss</v>
      </c>
      <c r="G423" s="4">
        <f t="shared" si="340"/>
        <v>-472.85280000000841</v>
      </c>
      <c r="H423" s="46">
        <v>80</v>
      </c>
      <c r="I423" s="42">
        <v>520.5</v>
      </c>
      <c r="J423" s="42">
        <v>68</v>
      </c>
      <c r="K423" s="42">
        <v>520.14710000000002</v>
      </c>
      <c r="L423" s="42">
        <v>75</v>
      </c>
      <c r="M423" s="44">
        <v>523</v>
      </c>
      <c r="N423" s="5">
        <f t="shared" si="341"/>
        <v>223</v>
      </c>
      <c r="O423" s="4">
        <f t="shared" si="342"/>
        <v>521.21570000000008</v>
      </c>
      <c r="P423" s="5">
        <f t="shared" si="297"/>
        <v>80</v>
      </c>
      <c r="Q423" s="42">
        <v>519.25</v>
      </c>
      <c r="R423" s="2">
        <f t="shared" si="296"/>
        <v>68</v>
      </c>
      <c r="S423" s="42">
        <v>518.04999999999995</v>
      </c>
      <c r="T423" s="2">
        <f t="shared" si="325"/>
        <v>75</v>
      </c>
      <c r="U423" s="44">
        <v>519.92999999999995</v>
      </c>
      <c r="V423" s="5">
        <f t="shared" si="343"/>
        <v>223</v>
      </c>
      <c r="W423" s="4">
        <f t="shared" si="344"/>
        <v>519.07666666666671</v>
      </c>
      <c r="X423" s="14">
        <f t="shared" si="298"/>
        <v>-0.21710000000007312</v>
      </c>
      <c r="Y423" s="5">
        <f t="shared" si="299"/>
        <v>-100</v>
      </c>
      <c r="Z423" s="2">
        <f t="shared" si="300"/>
        <v>-142.60280000000466</v>
      </c>
      <c r="AA423" s="4">
        <f t="shared" si="301"/>
        <v>-230.25000000000375</v>
      </c>
      <c r="AB423" s="13">
        <f t="shared" si="302"/>
        <v>78.670350937895847</v>
      </c>
      <c r="AC423" s="10">
        <f>SUM($E$4:E423)</f>
        <v>-15727.750332535225</v>
      </c>
      <c r="AD423" s="20">
        <f>SUM($AB$4:AB423)</f>
        <v>11621.925832535178</v>
      </c>
      <c r="AF423" s="28">
        <f t="shared" si="303"/>
        <v>23.198519776666672</v>
      </c>
      <c r="AG423" s="2">
        <f t="shared" si="304"/>
        <v>28.938524166666671</v>
      </c>
      <c r="AH423" s="2">
        <f t="shared" si="305"/>
        <v>7.5395189274166672</v>
      </c>
      <c r="AI423" s="2">
        <f t="shared" si="326"/>
        <v>30.738038704083337</v>
      </c>
      <c r="AJ423" s="2">
        <f t="shared" si="327"/>
        <v>4.6107058056125005</v>
      </c>
      <c r="AK423" s="2">
        <f t="shared" si="306"/>
        <v>0.46397039553333341</v>
      </c>
      <c r="AL423" s="2">
        <f t="shared" si="307"/>
        <v>13.919111866000003</v>
      </c>
      <c r="AM423" s="2">
        <f t="shared" si="328"/>
        <v>78.670350937895847</v>
      </c>
      <c r="AN423" s="2">
        <f t="shared" si="308"/>
        <v>120</v>
      </c>
      <c r="AO423" s="2">
        <f t="shared" si="309"/>
        <v>57.877048333333342</v>
      </c>
      <c r="AP423" s="2">
        <f t="shared" si="310"/>
        <v>122.95215481633335</v>
      </c>
      <c r="AQ423" s="2">
        <f t="shared" si="329"/>
        <v>242.95215481633335</v>
      </c>
      <c r="AR423" s="2">
        <f t="shared" si="330"/>
        <v>36.442823222450002</v>
      </c>
      <c r="AS423" s="2">
        <f t="shared" si="311"/>
        <v>0.46397039553333341</v>
      </c>
      <c r="AT423" s="2">
        <f t="shared" si="312"/>
        <v>13.919111866000003</v>
      </c>
      <c r="AU423" s="2">
        <f t="shared" si="331"/>
        <v>351.65510863365</v>
      </c>
      <c r="AV423" s="2">
        <f t="shared" si="313"/>
        <v>23.198519776666672</v>
      </c>
      <c r="AW423" s="2">
        <f t="shared" si="314"/>
        <v>11.575409666666667</v>
      </c>
      <c r="AX423" s="2">
        <f t="shared" si="315"/>
        <v>4.8716891531000002</v>
      </c>
      <c r="AY423" s="2">
        <f t="shared" si="332"/>
        <v>28.070208929766672</v>
      </c>
      <c r="AZ423" s="2">
        <f t="shared" si="333"/>
        <v>4.2105313394650006</v>
      </c>
      <c r="BA423" s="2">
        <f t="shared" si="316"/>
        <v>0.46397039553333341</v>
      </c>
      <c r="BB423" s="2">
        <f t="shared" si="317"/>
        <v>13.919111866000003</v>
      </c>
      <c r="BC423" s="2">
        <f t="shared" si="334"/>
        <v>58.239232197431669</v>
      </c>
      <c r="BD423" s="2">
        <v>0</v>
      </c>
      <c r="BE423" s="2">
        <f t="shared" si="318"/>
        <v>231.98519776666672</v>
      </c>
      <c r="BF423" s="2">
        <f t="shared" si="319"/>
        <v>7.5395189274166672</v>
      </c>
      <c r="BG423" s="2">
        <f t="shared" si="335"/>
        <v>7.5395189274166672</v>
      </c>
      <c r="BH423" s="2">
        <f t="shared" si="336"/>
        <v>1.1309278391124999</v>
      </c>
      <c r="BI423" s="2">
        <f t="shared" si="320"/>
        <v>0.46397039553333341</v>
      </c>
      <c r="BJ423" s="2">
        <f t="shared" si="321"/>
        <v>13.919111866000003</v>
      </c>
      <c r="BK423" s="2">
        <f t="shared" si="337"/>
        <v>255.03872679472923</v>
      </c>
      <c r="BL423" s="2">
        <f t="shared" si="322"/>
        <v>116231.10110000001</v>
      </c>
      <c r="BM423" s="2">
        <f t="shared" si="323"/>
        <v>115754.09666666668</v>
      </c>
      <c r="BN423" s="2">
        <f t="shared" si="338"/>
        <v>231985.19776666671</v>
      </c>
    </row>
    <row r="424" spans="1:66" x14ac:dyDescent="0.25">
      <c r="A424" s="42">
        <v>421</v>
      </c>
      <c r="B424" s="43">
        <v>42884</v>
      </c>
      <c r="C424" s="42" t="s">
        <v>50</v>
      </c>
      <c r="D424" s="42" t="s">
        <v>163</v>
      </c>
      <c r="E424" s="6">
        <f t="shared" si="324"/>
        <v>-125.20344374999901</v>
      </c>
      <c r="F424" s="5" t="str">
        <f t="shared" si="339"/>
        <v>Loss</v>
      </c>
      <c r="G424" s="4">
        <f t="shared" si="340"/>
        <v>-104.99999999999901</v>
      </c>
      <c r="H424" s="46">
        <v>350</v>
      </c>
      <c r="I424" s="42">
        <v>85.25</v>
      </c>
      <c r="N424" s="5">
        <f t="shared" si="341"/>
        <v>350</v>
      </c>
      <c r="O424" s="4">
        <f t="shared" si="342"/>
        <v>85.25</v>
      </c>
      <c r="P424" s="5">
        <f t="shared" si="297"/>
        <v>350</v>
      </c>
      <c r="Q424" s="42">
        <v>84.95</v>
      </c>
      <c r="R424" s="2">
        <f t="shared" ref="R424:R487" si="345">J424</f>
        <v>0</v>
      </c>
      <c r="T424" s="2">
        <f t="shared" si="325"/>
        <v>0</v>
      </c>
      <c r="V424" s="5">
        <f t="shared" si="343"/>
        <v>350</v>
      </c>
      <c r="W424" s="4">
        <f t="shared" si="344"/>
        <v>84.95</v>
      </c>
      <c r="X424" s="14">
        <f t="shared" si="298"/>
        <v>-0.29999999999999716</v>
      </c>
      <c r="Y424" s="5">
        <f t="shared" si="299"/>
        <v>-104.99999999999901</v>
      </c>
      <c r="Z424" s="2">
        <f t="shared" si="300"/>
        <v>0</v>
      </c>
      <c r="AA424" s="4">
        <f t="shared" si="301"/>
        <v>0</v>
      </c>
      <c r="AB424" s="13">
        <f t="shared" si="302"/>
        <v>20.203443750000005</v>
      </c>
      <c r="AC424" s="10">
        <f>SUM($E$4:E424)</f>
        <v>-15852.953776285223</v>
      </c>
      <c r="AD424" s="20">
        <f>SUM($AB$4:AB424)</f>
        <v>11642.129276285179</v>
      </c>
      <c r="AF424" s="28">
        <f t="shared" si="303"/>
        <v>5.9569999999999999</v>
      </c>
      <c r="AG424" s="2">
        <f t="shared" si="304"/>
        <v>7.4331250000000013</v>
      </c>
      <c r="AH424" s="2">
        <f t="shared" si="305"/>
        <v>1.9360249999999999</v>
      </c>
      <c r="AI424" s="2">
        <f t="shared" si="326"/>
        <v>7.8930249999999997</v>
      </c>
      <c r="AJ424" s="2">
        <f t="shared" si="327"/>
        <v>1.1839537499999999</v>
      </c>
      <c r="AK424" s="2">
        <f t="shared" si="306"/>
        <v>0.11914</v>
      </c>
      <c r="AL424" s="2">
        <f t="shared" si="307"/>
        <v>3.5742000000000003</v>
      </c>
      <c r="AM424" s="2">
        <f t="shared" si="328"/>
        <v>20.203443750000005</v>
      </c>
      <c r="AN424" s="2">
        <f t="shared" si="308"/>
        <v>40</v>
      </c>
      <c r="AO424" s="2">
        <f t="shared" si="309"/>
        <v>14.866250000000003</v>
      </c>
      <c r="AP424" s="2">
        <f t="shared" si="310"/>
        <v>31.572099999999999</v>
      </c>
      <c r="AQ424" s="2">
        <f t="shared" si="329"/>
        <v>71.572100000000006</v>
      </c>
      <c r="AR424" s="2">
        <f t="shared" si="330"/>
        <v>10.735815000000001</v>
      </c>
      <c r="AS424" s="2">
        <f t="shared" si="311"/>
        <v>0.11914</v>
      </c>
      <c r="AT424" s="2">
        <f t="shared" si="312"/>
        <v>3.5742000000000003</v>
      </c>
      <c r="AU424" s="2">
        <f t="shared" si="331"/>
        <v>100.86750500000001</v>
      </c>
      <c r="AV424" s="2">
        <f t="shared" si="313"/>
        <v>5.9569999999999999</v>
      </c>
      <c r="AW424" s="2">
        <f t="shared" si="314"/>
        <v>2.9732500000000002</v>
      </c>
      <c r="AX424" s="2">
        <f t="shared" si="315"/>
        <v>1.2509699999999999</v>
      </c>
      <c r="AY424" s="2">
        <f t="shared" si="332"/>
        <v>7.2079699999999995</v>
      </c>
      <c r="AZ424" s="2">
        <f t="shared" si="333"/>
        <v>1.0811955</v>
      </c>
      <c r="BA424" s="2">
        <f t="shared" si="316"/>
        <v>0.11914</v>
      </c>
      <c r="BB424" s="2">
        <f t="shared" si="317"/>
        <v>3.5742000000000003</v>
      </c>
      <c r="BC424" s="2">
        <f t="shared" si="334"/>
        <v>14.955755500000002</v>
      </c>
      <c r="BD424" s="2">
        <v>0</v>
      </c>
      <c r="BE424" s="2">
        <f t="shared" si="318"/>
        <v>59.57</v>
      </c>
      <c r="BF424" s="2">
        <f t="shared" si="319"/>
        <v>1.9360249999999999</v>
      </c>
      <c r="BG424" s="2">
        <f t="shared" si="335"/>
        <v>1.9360249999999999</v>
      </c>
      <c r="BH424" s="2">
        <f t="shared" si="336"/>
        <v>0.29040374999999996</v>
      </c>
      <c r="BI424" s="2">
        <f t="shared" si="320"/>
        <v>0.11914</v>
      </c>
      <c r="BJ424" s="2">
        <f t="shared" si="321"/>
        <v>3.5742000000000003</v>
      </c>
      <c r="BK424" s="2">
        <f t="shared" si="337"/>
        <v>65.48976875000001</v>
      </c>
      <c r="BL424" s="2">
        <f t="shared" si="322"/>
        <v>29837.5</v>
      </c>
      <c r="BM424" s="2">
        <f t="shared" si="323"/>
        <v>29732.5</v>
      </c>
      <c r="BN424" s="2">
        <f t="shared" si="338"/>
        <v>59570</v>
      </c>
    </row>
    <row r="425" spans="1:66" x14ac:dyDescent="0.25">
      <c r="A425" s="42">
        <v>422</v>
      </c>
      <c r="B425" s="43">
        <v>42885</v>
      </c>
      <c r="C425" s="42" t="s">
        <v>50</v>
      </c>
      <c r="D425" s="42" t="s">
        <v>265</v>
      </c>
      <c r="E425" s="6">
        <f t="shared" si="324"/>
        <v>-77.247930375002227</v>
      </c>
      <c r="F425" s="5" t="str">
        <f t="shared" si="339"/>
        <v>Loss</v>
      </c>
      <c r="G425" s="4">
        <f t="shared" si="340"/>
        <v>-58.800000000002228</v>
      </c>
      <c r="H425" s="46">
        <v>49</v>
      </c>
      <c r="I425" s="42">
        <v>555.5</v>
      </c>
      <c r="N425" s="5">
        <f t="shared" si="341"/>
        <v>49</v>
      </c>
      <c r="O425" s="4">
        <f t="shared" si="342"/>
        <v>555.5</v>
      </c>
      <c r="P425" s="5">
        <f t="shared" si="297"/>
        <v>49</v>
      </c>
      <c r="Q425" s="42">
        <v>554.29999999999995</v>
      </c>
      <c r="R425" s="2">
        <f t="shared" si="345"/>
        <v>0</v>
      </c>
      <c r="T425" s="2">
        <f t="shared" si="325"/>
        <v>0</v>
      </c>
      <c r="V425" s="5">
        <f t="shared" si="343"/>
        <v>49</v>
      </c>
      <c r="W425" s="4">
        <f t="shared" si="344"/>
        <v>554.29999999999995</v>
      </c>
      <c r="X425" s="14">
        <f t="shared" si="298"/>
        <v>-1.2000000000000455</v>
      </c>
      <c r="Y425" s="5">
        <f t="shared" si="299"/>
        <v>-58.800000000002228</v>
      </c>
      <c r="Z425" s="2">
        <f t="shared" si="300"/>
        <v>0</v>
      </c>
      <c r="AA425" s="4">
        <f t="shared" si="301"/>
        <v>0</v>
      </c>
      <c r="AB425" s="13">
        <f t="shared" si="302"/>
        <v>18.447930374999999</v>
      </c>
      <c r="AC425" s="10">
        <f>SUM($E$4:E425)</f>
        <v>-15930.201706660226</v>
      </c>
      <c r="AD425" s="20">
        <f>SUM($AB$4:AB425)</f>
        <v>11660.577206660178</v>
      </c>
      <c r="AF425" s="28">
        <f t="shared" si="303"/>
        <v>5.4380199999999999</v>
      </c>
      <c r="AG425" s="2">
        <f t="shared" si="304"/>
        <v>6.7901749999999996</v>
      </c>
      <c r="AH425" s="2">
        <f t="shared" si="305"/>
        <v>1.7673564999999998</v>
      </c>
      <c r="AI425" s="2">
        <f t="shared" si="326"/>
        <v>7.2053764999999999</v>
      </c>
      <c r="AJ425" s="2">
        <f t="shared" si="327"/>
        <v>1.0808064749999999</v>
      </c>
      <c r="AK425" s="2">
        <f t="shared" si="306"/>
        <v>0.10876040000000001</v>
      </c>
      <c r="AL425" s="2">
        <f t="shared" si="307"/>
        <v>3.2628119999999998</v>
      </c>
      <c r="AM425" s="2">
        <f t="shared" si="328"/>
        <v>18.447930374999999</v>
      </c>
      <c r="AN425" s="2">
        <f t="shared" si="308"/>
        <v>40</v>
      </c>
      <c r="AO425" s="2">
        <f t="shared" si="309"/>
        <v>13.580349999999999</v>
      </c>
      <c r="AP425" s="2">
        <f t="shared" si="310"/>
        <v>28.821505999999996</v>
      </c>
      <c r="AQ425" s="2">
        <f t="shared" si="329"/>
        <v>68.821505999999999</v>
      </c>
      <c r="AR425" s="2">
        <f t="shared" si="330"/>
        <v>10.323225899999999</v>
      </c>
      <c r="AS425" s="2">
        <f t="shared" si="311"/>
        <v>0.10876040000000001</v>
      </c>
      <c r="AT425" s="2">
        <f t="shared" si="312"/>
        <v>3.2628119999999998</v>
      </c>
      <c r="AU425" s="2">
        <f t="shared" si="331"/>
        <v>96.096654299999983</v>
      </c>
      <c r="AV425" s="2">
        <f t="shared" si="313"/>
        <v>5.4380199999999999</v>
      </c>
      <c r="AW425" s="2">
        <f t="shared" si="314"/>
        <v>2.7160699999999998</v>
      </c>
      <c r="AX425" s="2">
        <f t="shared" si="315"/>
        <v>1.1419841999999998</v>
      </c>
      <c r="AY425" s="2">
        <f t="shared" si="332"/>
        <v>6.5800041999999994</v>
      </c>
      <c r="AZ425" s="2">
        <f t="shared" si="333"/>
        <v>0.98700062999999982</v>
      </c>
      <c r="BA425" s="2">
        <f t="shared" si="316"/>
        <v>0.10876040000000001</v>
      </c>
      <c r="BB425" s="2">
        <f t="shared" si="317"/>
        <v>3.2628119999999998</v>
      </c>
      <c r="BC425" s="2">
        <f t="shared" si="334"/>
        <v>13.65464723</v>
      </c>
      <c r="BD425" s="2">
        <v>0</v>
      </c>
      <c r="BE425" s="2">
        <f t="shared" si="318"/>
        <v>54.380199999999995</v>
      </c>
      <c r="BF425" s="2">
        <f t="shared" si="319"/>
        <v>1.7673564999999998</v>
      </c>
      <c r="BG425" s="2">
        <f t="shared" si="335"/>
        <v>1.7673564999999998</v>
      </c>
      <c r="BH425" s="2">
        <f t="shared" si="336"/>
        <v>0.26510347499999998</v>
      </c>
      <c r="BI425" s="2">
        <f t="shared" si="320"/>
        <v>0.10876040000000001</v>
      </c>
      <c r="BJ425" s="2">
        <f t="shared" si="321"/>
        <v>3.2628119999999998</v>
      </c>
      <c r="BK425" s="2">
        <f t="shared" si="337"/>
        <v>59.784232374999988</v>
      </c>
      <c r="BL425" s="2">
        <f t="shared" si="322"/>
        <v>27219.5</v>
      </c>
      <c r="BM425" s="2">
        <f t="shared" si="323"/>
        <v>27160.699999999997</v>
      </c>
      <c r="BN425" s="2">
        <f t="shared" si="338"/>
        <v>54380.2</v>
      </c>
    </row>
    <row r="426" spans="1:66" x14ac:dyDescent="0.25">
      <c r="A426" s="42">
        <v>423</v>
      </c>
      <c r="B426" s="43">
        <v>42885</v>
      </c>
      <c r="C426" s="42" t="s">
        <v>50</v>
      </c>
      <c r="D426" s="42" t="s">
        <v>266</v>
      </c>
      <c r="E426" s="6">
        <f t="shared" si="324"/>
        <v>-147.67405312499872</v>
      </c>
      <c r="F426" s="5" t="str">
        <f t="shared" si="339"/>
        <v>Loss</v>
      </c>
      <c r="G426" s="4">
        <f t="shared" si="340"/>
        <v>-134.99999999999872</v>
      </c>
      <c r="H426" s="46">
        <v>150</v>
      </c>
      <c r="I426" s="42">
        <v>125.1</v>
      </c>
      <c r="N426" s="5">
        <f t="shared" si="341"/>
        <v>150</v>
      </c>
      <c r="O426" s="4">
        <f t="shared" si="342"/>
        <v>125.1</v>
      </c>
      <c r="P426" s="5">
        <f t="shared" si="297"/>
        <v>150</v>
      </c>
      <c r="Q426" s="42">
        <v>124.2</v>
      </c>
      <c r="R426" s="2">
        <f t="shared" si="345"/>
        <v>0</v>
      </c>
      <c r="T426" s="2">
        <f t="shared" si="325"/>
        <v>0</v>
      </c>
      <c r="V426" s="5">
        <f t="shared" si="343"/>
        <v>150</v>
      </c>
      <c r="W426" s="4">
        <f t="shared" si="344"/>
        <v>124.2</v>
      </c>
      <c r="X426" s="14">
        <f t="shared" si="298"/>
        <v>-0.89999999999999147</v>
      </c>
      <c r="Y426" s="5">
        <f t="shared" si="299"/>
        <v>-134.99999999999872</v>
      </c>
      <c r="Z426" s="2">
        <f t="shared" si="300"/>
        <v>0</v>
      </c>
      <c r="AA426" s="4">
        <f t="shared" si="301"/>
        <v>0</v>
      </c>
      <c r="AB426" s="13">
        <f t="shared" si="302"/>
        <v>12.674053125</v>
      </c>
      <c r="AC426" s="10">
        <f>SUM($E$4:E426)</f>
        <v>-16077.875759785224</v>
      </c>
      <c r="AD426" s="20">
        <f>SUM($AB$4:AB426)</f>
        <v>11673.251259785178</v>
      </c>
      <c r="AF426" s="28">
        <f t="shared" si="303"/>
        <v>3.7395</v>
      </c>
      <c r="AG426" s="2">
        <f t="shared" si="304"/>
        <v>4.6574999999999998</v>
      </c>
      <c r="AH426" s="2">
        <f t="shared" si="305"/>
        <v>1.2153375</v>
      </c>
      <c r="AI426" s="2">
        <f t="shared" si="326"/>
        <v>4.9548375</v>
      </c>
      <c r="AJ426" s="2">
        <f t="shared" si="327"/>
        <v>0.743225625</v>
      </c>
      <c r="AK426" s="2">
        <f t="shared" si="306"/>
        <v>7.4790000000000009E-2</v>
      </c>
      <c r="AL426" s="2">
        <f t="shared" si="307"/>
        <v>2.2437</v>
      </c>
      <c r="AM426" s="2">
        <f t="shared" si="328"/>
        <v>12.674053125</v>
      </c>
      <c r="AN426" s="2">
        <f t="shared" si="308"/>
        <v>40</v>
      </c>
      <c r="AO426" s="2">
        <f t="shared" si="309"/>
        <v>9.3149999999999995</v>
      </c>
      <c r="AP426" s="2">
        <f t="shared" si="310"/>
        <v>19.81935</v>
      </c>
      <c r="AQ426" s="2">
        <f t="shared" si="329"/>
        <v>59.81935</v>
      </c>
      <c r="AR426" s="2">
        <f t="shared" si="330"/>
        <v>8.9729025</v>
      </c>
      <c r="AS426" s="2">
        <f t="shared" si="311"/>
        <v>7.4790000000000009E-2</v>
      </c>
      <c r="AT426" s="2">
        <f t="shared" si="312"/>
        <v>2.2437</v>
      </c>
      <c r="AU426" s="2">
        <f t="shared" si="331"/>
        <v>80.425742499999998</v>
      </c>
      <c r="AV426" s="2">
        <f t="shared" si="313"/>
        <v>3.7395</v>
      </c>
      <c r="AW426" s="2">
        <f t="shared" si="314"/>
        <v>1.8630000000000002</v>
      </c>
      <c r="AX426" s="2">
        <f t="shared" si="315"/>
        <v>0.78529499999999997</v>
      </c>
      <c r="AY426" s="2">
        <f t="shared" si="332"/>
        <v>4.5247950000000001</v>
      </c>
      <c r="AZ426" s="2">
        <f t="shared" si="333"/>
        <v>0.67871925</v>
      </c>
      <c r="BA426" s="2">
        <f t="shared" si="316"/>
        <v>7.4790000000000009E-2</v>
      </c>
      <c r="BB426" s="2">
        <f t="shared" si="317"/>
        <v>2.2437</v>
      </c>
      <c r="BC426" s="2">
        <f t="shared" si="334"/>
        <v>9.3850042499999997</v>
      </c>
      <c r="BD426" s="2">
        <v>0</v>
      </c>
      <c r="BE426" s="2">
        <f t="shared" si="318"/>
        <v>37.395000000000003</v>
      </c>
      <c r="BF426" s="2">
        <f t="shared" si="319"/>
        <v>1.2153375</v>
      </c>
      <c r="BG426" s="2">
        <f t="shared" si="335"/>
        <v>1.2153375</v>
      </c>
      <c r="BH426" s="2">
        <f t="shared" si="336"/>
        <v>0.18230062499999999</v>
      </c>
      <c r="BI426" s="2">
        <f t="shared" si="320"/>
        <v>7.4790000000000009E-2</v>
      </c>
      <c r="BJ426" s="2">
        <f t="shared" si="321"/>
        <v>2.2437</v>
      </c>
      <c r="BK426" s="2">
        <f t="shared" si="337"/>
        <v>41.111128125</v>
      </c>
      <c r="BL426" s="2">
        <f t="shared" si="322"/>
        <v>18765</v>
      </c>
      <c r="BM426" s="2">
        <f t="shared" si="323"/>
        <v>18630</v>
      </c>
      <c r="BN426" s="2">
        <f t="shared" si="338"/>
        <v>37395</v>
      </c>
    </row>
    <row r="427" spans="1:66" x14ac:dyDescent="0.25">
      <c r="A427" s="42">
        <v>424</v>
      </c>
      <c r="B427" s="43">
        <v>42885</v>
      </c>
      <c r="C427" s="42" t="s">
        <v>50</v>
      </c>
      <c r="D427" s="42" t="s">
        <v>266</v>
      </c>
      <c r="E427" s="6">
        <f t="shared" si="324"/>
        <v>341.81003906249828</v>
      </c>
      <c r="F427" s="5" t="str">
        <f t="shared" si="339"/>
        <v>Win</v>
      </c>
      <c r="G427" s="4">
        <f t="shared" si="340"/>
        <v>367.49999999999829</v>
      </c>
      <c r="H427" s="46">
        <v>150</v>
      </c>
      <c r="I427" s="42">
        <v>125.15</v>
      </c>
      <c r="J427" s="42">
        <v>150</v>
      </c>
      <c r="K427" s="42">
        <v>125.5</v>
      </c>
      <c r="N427" s="5">
        <f t="shared" si="341"/>
        <v>300</v>
      </c>
      <c r="O427" s="4">
        <f t="shared" si="342"/>
        <v>125.325</v>
      </c>
      <c r="P427" s="5">
        <f t="shared" si="297"/>
        <v>150</v>
      </c>
      <c r="Q427" s="42">
        <v>125.6</v>
      </c>
      <c r="R427" s="2">
        <f t="shared" si="345"/>
        <v>150</v>
      </c>
      <c r="S427" s="42">
        <v>127.5</v>
      </c>
      <c r="T427" s="2">
        <f t="shared" si="325"/>
        <v>0</v>
      </c>
      <c r="V427" s="5">
        <f t="shared" si="343"/>
        <v>300</v>
      </c>
      <c r="W427" s="4">
        <f t="shared" si="344"/>
        <v>126.55</v>
      </c>
      <c r="X427" s="14">
        <f t="shared" si="298"/>
        <v>2.3499999999999943</v>
      </c>
      <c r="Y427" s="5">
        <f t="shared" si="299"/>
        <v>67.499999999998295</v>
      </c>
      <c r="Z427" s="2">
        <f t="shared" si="300"/>
        <v>300</v>
      </c>
      <c r="AA427" s="4">
        <f t="shared" si="301"/>
        <v>0</v>
      </c>
      <c r="AB427" s="13">
        <f t="shared" si="302"/>
        <v>25.6899609375</v>
      </c>
      <c r="AC427" s="10">
        <f>SUM($E$4:E427)</f>
        <v>-15736.065720722725</v>
      </c>
      <c r="AD427" s="20">
        <f>SUM($AB$4:AB427)</f>
        <v>11698.941220722678</v>
      </c>
      <c r="AF427" s="28">
        <f t="shared" si="303"/>
        <v>7.5562500000000004</v>
      </c>
      <c r="AG427" s="2">
        <f t="shared" si="304"/>
        <v>9.4912499999999991</v>
      </c>
      <c r="AH427" s="2">
        <f t="shared" si="305"/>
        <v>2.4557812499999998</v>
      </c>
      <c r="AI427" s="2">
        <f t="shared" si="326"/>
        <v>10.01203125</v>
      </c>
      <c r="AJ427" s="2">
        <f t="shared" si="327"/>
        <v>1.5018046875</v>
      </c>
      <c r="AK427" s="2">
        <f t="shared" si="306"/>
        <v>0.15112499999999998</v>
      </c>
      <c r="AL427" s="2">
        <f t="shared" si="307"/>
        <v>4.5337500000000004</v>
      </c>
      <c r="AM427" s="2">
        <f t="shared" si="328"/>
        <v>25.6899609375</v>
      </c>
      <c r="AN427" s="2">
        <f t="shared" si="308"/>
        <v>80</v>
      </c>
      <c r="AO427" s="2">
        <f t="shared" si="309"/>
        <v>18.982499999999998</v>
      </c>
      <c r="AP427" s="2">
        <f t="shared" si="310"/>
        <v>40.048124999999999</v>
      </c>
      <c r="AQ427" s="2">
        <f t="shared" si="329"/>
        <v>120.048125</v>
      </c>
      <c r="AR427" s="2">
        <f t="shared" si="330"/>
        <v>18.00721875</v>
      </c>
      <c r="AS427" s="2">
        <f t="shared" si="311"/>
        <v>0.15112499999999998</v>
      </c>
      <c r="AT427" s="2">
        <f t="shared" si="312"/>
        <v>4.5337500000000004</v>
      </c>
      <c r="AU427" s="2">
        <f t="shared" si="331"/>
        <v>161.72271874999998</v>
      </c>
      <c r="AV427" s="2">
        <f t="shared" si="313"/>
        <v>7.5562500000000004</v>
      </c>
      <c r="AW427" s="2">
        <f t="shared" si="314"/>
        <v>3.7965000000000004</v>
      </c>
      <c r="AX427" s="2">
        <f t="shared" si="315"/>
        <v>1.5868125</v>
      </c>
      <c r="AY427" s="2">
        <f t="shared" si="332"/>
        <v>9.143062500000001</v>
      </c>
      <c r="AZ427" s="2">
        <f t="shared" si="333"/>
        <v>1.3714593750000001</v>
      </c>
      <c r="BA427" s="2">
        <f t="shared" si="316"/>
        <v>0.15112499999999998</v>
      </c>
      <c r="BB427" s="2">
        <f t="shared" si="317"/>
        <v>4.5337500000000004</v>
      </c>
      <c r="BC427" s="2">
        <f t="shared" si="334"/>
        <v>18.995896875000003</v>
      </c>
      <c r="BD427" s="2">
        <v>0</v>
      </c>
      <c r="BE427" s="2">
        <f t="shared" si="318"/>
        <v>75.5625</v>
      </c>
      <c r="BF427" s="2">
        <f t="shared" si="319"/>
        <v>2.4557812499999998</v>
      </c>
      <c r="BG427" s="2">
        <f t="shared" si="335"/>
        <v>2.4557812499999998</v>
      </c>
      <c r="BH427" s="2">
        <f t="shared" si="336"/>
        <v>0.36836718749999997</v>
      </c>
      <c r="BI427" s="2">
        <f t="shared" si="320"/>
        <v>0.15112499999999998</v>
      </c>
      <c r="BJ427" s="2">
        <f t="shared" si="321"/>
        <v>4.5337500000000004</v>
      </c>
      <c r="BK427" s="2">
        <f t="shared" si="337"/>
        <v>83.071523437499991</v>
      </c>
      <c r="BL427" s="2">
        <f t="shared" si="322"/>
        <v>37597.5</v>
      </c>
      <c r="BM427" s="2">
        <f t="shared" si="323"/>
        <v>37965</v>
      </c>
      <c r="BN427" s="2">
        <f t="shared" si="338"/>
        <v>75562.5</v>
      </c>
    </row>
    <row r="428" spans="1:66" x14ac:dyDescent="0.25">
      <c r="A428" s="42">
        <v>425</v>
      </c>
      <c r="B428" s="43">
        <v>42885</v>
      </c>
      <c r="C428" s="42" t="s">
        <v>50</v>
      </c>
      <c r="D428" s="42" t="s">
        <v>265</v>
      </c>
      <c r="E428" s="6">
        <f t="shared" si="324"/>
        <v>-143.97290250000046</v>
      </c>
      <c r="F428" s="5" t="str">
        <f t="shared" si="339"/>
        <v>Loss</v>
      </c>
      <c r="G428" s="4">
        <f t="shared" si="340"/>
        <v>-87.000000000000455</v>
      </c>
      <c r="H428" s="46">
        <v>50</v>
      </c>
      <c r="I428" s="42">
        <v>561.95000000000005</v>
      </c>
      <c r="J428" s="42">
        <v>50</v>
      </c>
      <c r="K428" s="42">
        <v>559.5</v>
      </c>
      <c r="L428" s="42">
        <v>50</v>
      </c>
      <c r="M428" s="44">
        <v>558.5</v>
      </c>
      <c r="N428" s="5">
        <f t="shared" si="341"/>
        <v>150</v>
      </c>
      <c r="O428" s="4">
        <f t="shared" si="342"/>
        <v>559.98333333333335</v>
      </c>
      <c r="P428" s="5">
        <f t="shared" si="297"/>
        <v>50</v>
      </c>
      <c r="Q428" s="42">
        <v>559.80999999999995</v>
      </c>
      <c r="R428" s="2">
        <f t="shared" si="345"/>
        <v>50</v>
      </c>
      <c r="S428" s="42">
        <v>556.45000000000005</v>
      </c>
      <c r="T428" s="2">
        <f t="shared" si="325"/>
        <v>50</v>
      </c>
      <c r="U428" s="44">
        <v>561.95000000000005</v>
      </c>
      <c r="V428" s="5">
        <f t="shared" si="343"/>
        <v>150</v>
      </c>
      <c r="W428" s="4">
        <f t="shared" si="344"/>
        <v>559.40333333333331</v>
      </c>
      <c r="X428" s="14">
        <f t="shared" si="298"/>
        <v>3.4500000000000455</v>
      </c>
      <c r="Y428" s="5">
        <f t="shared" si="299"/>
        <v>-107.000000000005</v>
      </c>
      <c r="Z428" s="2">
        <f t="shared" si="300"/>
        <v>-152.49999999999773</v>
      </c>
      <c r="AA428" s="4">
        <f t="shared" si="301"/>
        <v>172.50000000000227</v>
      </c>
      <c r="AB428" s="13">
        <f t="shared" si="302"/>
        <v>56.972902500000004</v>
      </c>
      <c r="AC428" s="10">
        <f>SUM($E$4:E428)</f>
        <v>-15880.038623222725</v>
      </c>
      <c r="AD428" s="20">
        <f>SUM($AB$4:AB428)</f>
        <v>11755.914123222678</v>
      </c>
      <c r="AF428" s="28">
        <f t="shared" si="303"/>
        <v>16.790800000000001</v>
      </c>
      <c r="AG428" s="2">
        <f t="shared" si="304"/>
        <v>20.977625</v>
      </c>
      <c r="AH428" s="2">
        <f t="shared" si="305"/>
        <v>5.4570099999999995</v>
      </c>
      <c r="AI428" s="2">
        <f t="shared" si="326"/>
        <v>22.247810000000001</v>
      </c>
      <c r="AJ428" s="2">
        <f t="shared" si="327"/>
        <v>3.3371715000000002</v>
      </c>
      <c r="AK428" s="2">
        <f t="shared" si="306"/>
        <v>0.335816</v>
      </c>
      <c r="AL428" s="2">
        <f t="shared" si="307"/>
        <v>10.074479999999999</v>
      </c>
      <c r="AM428" s="2">
        <f t="shared" si="328"/>
        <v>56.972902500000004</v>
      </c>
      <c r="AN428" s="2">
        <f t="shared" si="308"/>
        <v>120</v>
      </c>
      <c r="AO428" s="2">
        <f t="shared" si="309"/>
        <v>41.955249999999999</v>
      </c>
      <c r="AP428" s="2">
        <f t="shared" si="310"/>
        <v>88.991239999999991</v>
      </c>
      <c r="AQ428" s="2">
        <f t="shared" si="329"/>
        <v>208.99124</v>
      </c>
      <c r="AR428" s="2">
        <f t="shared" si="330"/>
        <v>31.348686000000001</v>
      </c>
      <c r="AS428" s="2">
        <f t="shared" si="311"/>
        <v>0.335816</v>
      </c>
      <c r="AT428" s="2">
        <f t="shared" si="312"/>
        <v>10.074479999999999</v>
      </c>
      <c r="AU428" s="2">
        <f t="shared" si="331"/>
        <v>292.70547199999999</v>
      </c>
      <c r="AV428" s="2">
        <f t="shared" si="313"/>
        <v>16.790800000000001</v>
      </c>
      <c r="AW428" s="2">
        <f t="shared" si="314"/>
        <v>8.3910499999999999</v>
      </c>
      <c r="AX428" s="2">
        <f t="shared" si="315"/>
        <v>3.526068</v>
      </c>
      <c r="AY428" s="2">
        <f t="shared" si="332"/>
        <v>20.316867999999999</v>
      </c>
      <c r="AZ428" s="2">
        <f t="shared" si="333"/>
        <v>3.0475301999999997</v>
      </c>
      <c r="BA428" s="2">
        <f t="shared" si="316"/>
        <v>0.335816</v>
      </c>
      <c r="BB428" s="2">
        <f t="shared" si="317"/>
        <v>10.074479999999999</v>
      </c>
      <c r="BC428" s="2">
        <f t="shared" si="334"/>
        <v>42.165744199999999</v>
      </c>
      <c r="BD428" s="2">
        <v>0</v>
      </c>
      <c r="BE428" s="2">
        <f t="shared" si="318"/>
        <v>167.90800000000002</v>
      </c>
      <c r="BF428" s="2">
        <f t="shared" si="319"/>
        <v>5.4570099999999995</v>
      </c>
      <c r="BG428" s="2">
        <f t="shared" si="335"/>
        <v>5.4570099999999995</v>
      </c>
      <c r="BH428" s="2">
        <f t="shared" si="336"/>
        <v>0.81855149999999988</v>
      </c>
      <c r="BI428" s="2">
        <f t="shared" si="320"/>
        <v>0.335816</v>
      </c>
      <c r="BJ428" s="2">
        <f t="shared" si="321"/>
        <v>10.074479999999999</v>
      </c>
      <c r="BK428" s="2">
        <f t="shared" si="337"/>
        <v>184.59385750000001</v>
      </c>
      <c r="BL428" s="2">
        <f t="shared" si="322"/>
        <v>83997.5</v>
      </c>
      <c r="BM428" s="2">
        <f t="shared" si="323"/>
        <v>83910.5</v>
      </c>
      <c r="BN428" s="2">
        <f t="shared" si="338"/>
        <v>167908</v>
      </c>
    </row>
    <row r="429" spans="1:66" x14ac:dyDescent="0.25">
      <c r="A429" s="42">
        <v>426</v>
      </c>
      <c r="B429" s="43">
        <v>42885</v>
      </c>
      <c r="C429" s="42" t="s">
        <v>50</v>
      </c>
      <c r="D429" s="42" t="s">
        <v>265</v>
      </c>
      <c r="E429" s="6">
        <f t="shared" si="324"/>
        <v>466.17552083333334</v>
      </c>
      <c r="F429" s="5" t="str">
        <f t="shared" si="339"/>
        <v>Win</v>
      </c>
      <c r="G429" s="4">
        <f t="shared" si="340"/>
        <v>505</v>
      </c>
      <c r="H429" s="46">
        <v>50</v>
      </c>
      <c r="I429" s="42">
        <v>564</v>
      </c>
      <c r="J429" s="42">
        <v>40</v>
      </c>
      <c r="K429" s="42">
        <v>569.5</v>
      </c>
      <c r="L429" s="42">
        <v>10</v>
      </c>
      <c r="M429" s="44">
        <v>569.5</v>
      </c>
      <c r="N429" s="5">
        <f t="shared" si="341"/>
        <v>100</v>
      </c>
      <c r="O429" s="4">
        <f t="shared" si="342"/>
        <v>567.66666666666663</v>
      </c>
      <c r="P429" s="5">
        <f t="shared" si="297"/>
        <v>50</v>
      </c>
      <c r="Q429" s="42">
        <v>567</v>
      </c>
      <c r="R429" s="2">
        <f t="shared" si="345"/>
        <v>40</v>
      </c>
      <c r="S429" s="42">
        <v>576</v>
      </c>
      <c r="T429" s="2">
        <f t="shared" si="325"/>
        <v>10</v>
      </c>
      <c r="U429" s="44">
        <v>579</v>
      </c>
      <c r="V429" s="5">
        <f t="shared" si="343"/>
        <v>100</v>
      </c>
      <c r="W429" s="4">
        <f t="shared" si="344"/>
        <v>574</v>
      </c>
      <c r="X429" s="14">
        <f t="shared" si="298"/>
        <v>15</v>
      </c>
      <c r="Y429" s="5">
        <f t="shared" si="299"/>
        <v>150</v>
      </c>
      <c r="Z429" s="2">
        <f t="shared" si="300"/>
        <v>260</v>
      </c>
      <c r="AA429" s="4">
        <f t="shared" si="301"/>
        <v>95</v>
      </c>
      <c r="AB429" s="13">
        <f t="shared" si="302"/>
        <v>38.824479166666663</v>
      </c>
      <c r="AC429" s="10">
        <f>SUM($E$4:E429)</f>
        <v>-15413.863102389392</v>
      </c>
      <c r="AD429" s="20">
        <f>SUM($AB$4:AB429)</f>
        <v>11794.738602389345</v>
      </c>
      <c r="AF429" s="28">
        <f t="shared" si="303"/>
        <v>11.416666666666666</v>
      </c>
      <c r="AG429" s="2">
        <f t="shared" si="304"/>
        <v>14.350000000000001</v>
      </c>
      <c r="AH429" s="2">
        <f t="shared" si="305"/>
        <v>3.7104166666666658</v>
      </c>
      <c r="AI429" s="2">
        <f t="shared" si="326"/>
        <v>15.127083333333331</v>
      </c>
      <c r="AJ429" s="2">
        <f t="shared" si="327"/>
        <v>2.2690624999999995</v>
      </c>
      <c r="AK429" s="2">
        <f t="shared" si="306"/>
        <v>0.2283333333333333</v>
      </c>
      <c r="AL429" s="2">
        <f t="shared" si="307"/>
        <v>6.85</v>
      </c>
      <c r="AM429" s="2">
        <f t="shared" si="328"/>
        <v>38.824479166666663</v>
      </c>
      <c r="AN429" s="2">
        <f t="shared" si="308"/>
        <v>120</v>
      </c>
      <c r="AO429" s="2">
        <f t="shared" si="309"/>
        <v>28.700000000000003</v>
      </c>
      <c r="AP429" s="2">
        <f t="shared" si="310"/>
        <v>60.508333333333326</v>
      </c>
      <c r="AQ429" s="2">
        <f t="shared" si="329"/>
        <v>180.50833333333333</v>
      </c>
      <c r="AR429" s="2">
        <f t="shared" si="330"/>
        <v>27.076249999999998</v>
      </c>
      <c r="AS429" s="2">
        <f t="shared" si="311"/>
        <v>0.2283333333333333</v>
      </c>
      <c r="AT429" s="2">
        <f t="shared" si="312"/>
        <v>6.85</v>
      </c>
      <c r="AU429" s="2">
        <f t="shared" si="331"/>
        <v>243.36291666666662</v>
      </c>
      <c r="AV429" s="2">
        <f t="shared" si="313"/>
        <v>11.416666666666666</v>
      </c>
      <c r="AW429" s="2">
        <f t="shared" si="314"/>
        <v>5.74</v>
      </c>
      <c r="AX429" s="2">
        <f t="shared" si="315"/>
        <v>2.3974999999999995</v>
      </c>
      <c r="AY429" s="2">
        <f t="shared" si="332"/>
        <v>13.814166666666665</v>
      </c>
      <c r="AZ429" s="2">
        <f t="shared" si="333"/>
        <v>2.0721249999999998</v>
      </c>
      <c r="BA429" s="2">
        <f t="shared" si="316"/>
        <v>0.2283333333333333</v>
      </c>
      <c r="BB429" s="2">
        <f t="shared" si="317"/>
        <v>6.85</v>
      </c>
      <c r="BC429" s="2">
        <f t="shared" si="334"/>
        <v>28.704625</v>
      </c>
      <c r="BD429" s="2">
        <v>0</v>
      </c>
      <c r="BE429" s="2">
        <f t="shared" si="318"/>
        <v>114.16666666666666</v>
      </c>
      <c r="BF429" s="2">
        <f t="shared" si="319"/>
        <v>3.7104166666666658</v>
      </c>
      <c r="BG429" s="2">
        <f t="shared" si="335"/>
        <v>3.7104166666666658</v>
      </c>
      <c r="BH429" s="2">
        <f t="shared" si="336"/>
        <v>0.55656249999999985</v>
      </c>
      <c r="BI429" s="2">
        <f t="shared" si="320"/>
        <v>0.2283333333333333</v>
      </c>
      <c r="BJ429" s="2">
        <f t="shared" si="321"/>
        <v>6.85</v>
      </c>
      <c r="BK429" s="2">
        <f t="shared" si="337"/>
        <v>125.51197916666665</v>
      </c>
      <c r="BL429" s="2">
        <f t="shared" si="322"/>
        <v>56766.666666666664</v>
      </c>
      <c r="BM429" s="2">
        <f t="shared" si="323"/>
        <v>57400</v>
      </c>
      <c r="BN429" s="2">
        <f t="shared" si="338"/>
        <v>114166.66666666666</v>
      </c>
    </row>
    <row r="430" spans="1:66" x14ac:dyDescent="0.25">
      <c r="A430" s="42">
        <v>427</v>
      </c>
      <c r="B430" s="43">
        <v>42886</v>
      </c>
      <c r="C430" s="42" t="s">
        <v>50</v>
      </c>
      <c r="D430" s="42" t="s">
        <v>267</v>
      </c>
      <c r="E430" s="6">
        <f t="shared" si="324"/>
        <v>-52.273372124998822</v>
      </c>
      <c r="F430" s="5" t="str">
        <f t="shared" si="339"/>
        <v>Loss</v>
      </c>
      <c r="G430" s="4">
        <f t="shared" si="340"/>
        <v>-7.7999999999988177</v>
      </c>
      <c r="H430" s="46">
        <v>26</v>
      </c>
      <c r="I430" s="42">
        <v>1260</v>
      </c>
      <c r="J430" s="42">
        <v>26</v>
      </c>
      <c r="K430" s="42">
        <v>1260.3</v>
      </c>
      <c r="N430" s="5">
        <f t="shared" si="341"/>
        <v>52</v>
      </c>
      <c r="O430" s="4">
        <f t="shared" si="342"/>
        <v>1260.1500000000001</v>
      </c>
      <c r="P430" s="5">
        <f t="shared" si="297"/>
        <v>26</v>
      </c>
      <c r="Q430" s="42">
        <v>1257</v>
      </c>
      <c r="R430" s="2">
        <f t="shared" si="345"/>
        <v>26</v>
      </c>
      <c r="S430" s="42">
        <v>1263</v>
      </c>
      <c r="T430" s="2">
        <f t="shared" si="325"/>
        <v>0</v>
      </c>
      <c r="V430" s="5">
        <f t="shared" si="343"/>
        <v>52</v>
      </c>
      <c r="W430" s="4">
        <f t="shared" si="344"/>
        <v>1260</v>
      </c>
      <c r="X430" s="14">
        <f t="shared" si="298"/>
        <v>3</v>
      </c>
      <c r="Y430" s="5">
        <f t="shared" si="299"/>
        <v>-78</v>
      </c>
      <c r="Z430" s="2">
        <f t="shared" si="300"/>
        <v>70.200000000001182</v>
      </c>
      <c r="AA430" s="4">
        <f t="shared" si="301"/>
        <v>0</v>
      </c>
      <c r="AB430" s="13">
        <f t="shared" si="302"/>
        <v>44.473372125000004</v>
      </c>
      <c r="AC430" s="10">
        <f>SUM($E$4:E430)</f>
        <v>-15466.136474514391</v>
      </c>
      <c r="AD430" s="20">
        <f>SUM($AB$4:AB430)</f>
        <v>11839.211974514345</v>
      </c>
      <c r="AF430" s="28">
        <f t="shared" si="303"/>
        <v>13.104780000000002</v>
      </c>
      <c r="AG430" s="2">
        <f t="shared" si="304"/>
        <v>16.380000000000003</v>
      </c>
      <c r="AH430" s="2">
        <f t="shared" si="305"/>
        <v>4.2590534999999994</v>
      </c>
      <c r="AI430" s="2">
        <f t="shared" si="326"/>
        <v>17.363833500000002</v>
      </c>
      <c r="AJ430" s="2">
        <f t="shared" si="327"/>
        <v>2.6045750250000004</v>
      </c>
      <c r="AK430" s="2">
        <f t="shared" si="306"/>
        <v>0.26209559999999998</v>
      </c>
      <c r="AL430" s="2">
        <f t="shared" si="307"/>
        <v>7.8628680000000006</v>
      </c>
      <c r="AM430" s="2">
        <f t="shared" si="328"/>
        <v>44.473372125000004</v>
      </c>
      <c r="AN430" s="2">
        <f t="shared" si="308"/>
        <v>80</v>
      </c>
      <c r="AO430" s="2">
        <f t="shared" si="309"/>
        <v>32.760000000000005</v>
      </c>
      <c r="AP430" s="2">
        <f t="shared" si="310"/>
        <v>69.455333999999993</v>
      </c>
      <c r="AQ430" s="2">
        <f t="shared" si="329"/>
        <v>149.45533399999999</v>
      </c>
      <c r="AR430" s="2">
        <f t="shared" si="330"/>
        <v>22.4183001</v>
      </c>
      <c r="AS430" s="2">
        <f t="shared" si="311"/>
        <v>0.26209559999999998</v>
      </c>
      <c r="AT430" s="2">
        <f t="shared" si="312"/>
        <v>7.8628680000000006</v>
      </c>
      <c r="AU430" s="2">
        <f t="shared" si="331"/>
        <v>212.7585977</v>
      </c>
      <c r="AV430" s="2">
        <f t="shared" si="313"/>
        <v>13.104780000000002</v>
      </c>
      <c r="AW430" s="2">
        <f t="shared" si="314"/>
        <v>6.5520000000000005</v>
      </c>
      <c r="AX430" s="2">
        <f t="shared" si="315"/>
        <v>2.7520037999999998</v>
      </c>
      <c r="AY430" s="2">
        <f t="shared" si="332"/>
        <v>15.856783800000002</v>
      </c>
      <c r="AZ430" s="2">
        <f t="shared" si="333"/>
        <v>2.3785175700000001</v>
      </c>
      <c r="BA430" s="2">
        <f t="shared" si="316"/>
        <v>0.26209559999999998</v>
      </c>
      <c r="BB430" s="2">
        <f t="shared" si="317"/>
        <v>7.8628680000000006</v>
      </c>
      <c r="BC430" s="2">
        <f t="shared" si="334"/>
        <v>32.912264970000003</v>
      </c>
      <c r="BD430" s="2">
        <v>0</v>
      </c>
      <c r="BE430" s="2">
        <f t="shared" si="318"/>
        <v>131.0478</v>
      </c>
      <c r="BF430" s="2">
        <f t="shared" si="319"/>
        <v>4.2590534999999994</v>
      </c>
      <c r="BG430" s="2">
        <f t="shared" si="335"/>
        <v>4.2590534999999994</v>
      </c>
      <c r="BH430" s="2">
        <f t="shared" si="336"/>
        <v>0.63885802499999989</v>
      </c>
      <c r="BI430" s="2">
        <f t="shared" si="320"/>
        <v>0.26209559999999998</v>
      </c>
      <c r="BJ430" s="2">
        <f t="shared" si="321"/>
        <v>7.8628680000000006</v>
      </c>
      <c r="BK430" s="2">
        <f t="shared" si="337"/>
        <v>144.07067512499998</v>
      </c>
      <c r="BL430" s="2">
        <f t="shared" si="322"/>
        <v>65527.8</v>
      </c>
      <c r="BM430" s="2">
        <f t="shared" si="323"/>
        <v>65520</v>
      </c>
      <c r="BN430" s="2">
        <f t="shared" si="338"/>
        <v>131047.8</v>
      </c>
    </row>
    <row r="431" spans="1:66" x14ac:dyDescent="0.25">
      <c r="A431" s="42">
        <v>428</v>
      </c>
      <c r="B431" s="43">
        <v>42886</v>
      </c>
      <c r="C431" s="42" t="s">
        <v>50</v>
      </c>
      <c r="D431" s="42" t="s">
        <v>267</v>
      </c>
      <c r="E431" s="6">
        <f t="shared" si="324"/>
        <v>-190.8573677083356</v>
      </c>
      <c r="F431" s="5" t="str">
        <f t="shared" si="339"/>
        <v>Loss</v>
      </c>
      <c r="G431" s="4">
        <f t="shared" si="340"/>
        <v>-146.50000000000227</v>
      </c>
      <c r="H431" s="46">
        <v>25</v>
      </c>
      <c r="I431" s="42">
        <v>1259.95</v>
      </c>
      <c r="J431" s="42">
        <v>1</v>
      </c>
      <c r="K431" s="42">
        <v>1260</v>
      </c>
      <c r="L431" s="42">
        <v>26</v>
      </c>
      <c r="M431" s="44">
        <v>1256.25</v>
      </c>
      <c r="N431" s="5">
        <f t="shared" si="341"/>
        <v>52</v>
      </c>
      <c r="O431" s="4">
        <f t="shared" si="342"/>
        <v>1258.7333333333333</v>
      </c>
      <c r="P431" s="5">
        <f t="shared" si="297"/>
        <v>25</v>
      </c>
      <c r="Q431" s="42">
        <v>1256.55</v>
      </c>
      <c r="R431" s="2">
        <f t="shared" si="345"/>
        <v>1</v>
      </c>
      <c r="S431" s="42">
        <v>1257</v>
      </c>
      <c r="T431" s="2">
        <f t="shared" si="325"/>
        <v>26</v>
      </c>
      <c r="U431" s="44">
        <v>1254</v>
      </c>
      <c r="V431" s="5">
        <f t="shared" si="343"/>
        <v>52</v>
      </c>
      <c r="W431" s="4">
        <f t="shared" si="344"/>
        <v>1255.8500000000001</v>
      </c>
      <c r="X431" s="14">
        <f t="shared" si="298"/>
        <v>0.75</v>
      </c>
      <c r="Y431" s="5">
        <f t="shared" si="299"/>
        <v>-85.000000000002274</v>
      </c>
      <c r="Z431" s="2">
        <f t="shared" si="300"/>
        <v>-3</v>
      </c>
      <c r="AA431" s="4">
        <f t="shared" si="301"/>
        <v>-58.5</v>
      </c>
      <c r="AB431" s="13">
        <f t="shared" si="302"/>
        <v>44.357367708333335</v>
      </c>
      <c r="AC431" s="10">
        <f>SUM($E$4:E431)</f>
        <v>-15656.993842222726</v>
      </c>
      <c r="AD431" s="20">
        <f>SUM($AB$4:AB431)</f>
        <v>11883.569342222678</v>
      </c>
      <c r="AF431" s="28">
        <f t="shared" si="303"/>
        <v>13.075833333333335</v>
      </c>
      <c r="AG431" s="2">
        <f t="shared" si="304"/>
        <v>16.326050000000002</v>
      </c>
      <c r="AH431" s="2">
        <f t="shared" si="305"/>
        <v>4.2496458333333331</v>
      </c>
      <c r="AI431" s="2">
        <f t="shared" si="326"/>
        <v>17.325479166666668</v>
      </c>
      <c r="AJ431" s="2">
        <f t="shared" si="327"/>
        <v>2.5988218750000001</v>
      </c>
      <c r="AK431" s="2">
        <f t="shared" si="306"/>
        <v>0.26151666666666673</v>
      </c>
      <c r="AL431" s="2">
        <f t="shared" si="307"/>
        <v>7.8455000000000004</v>
      </c>
      <c r="AM431" s="2">
        <f t="shared" si="328"/>
        <v>44.357367708333335</v>
      </c>
      <c r="AN431" s="2">
        <f t="shared" si="308"/>
        <v>120</v>
      </c>
      <c r="AO431" s="2">
        <f t="shared" si="309"/>
        <v>32.652100000000004</v>
      </c>
      <c r="AP431" s="2">
        <f t="shared" si="310"/>
        <v>69.301916666666671</v>
      </c>
      <c r="AQ431" s="2">
        <f t="shared" si="329"/>
        <v>189.30191666666667</v>
      </c>
      <c r="AR431" s="2">
        <f t="shared" si="330"/>
        <v>28.395287499999998</v>
      </c>
      <c r="AS431" s="2">
        <f t="shared" si="311"/>
        <v>0.26151666666666673</v>
      </c>
      <c r="AT431" s="2">
        <f t="shared" si="312"/>
        <v>7.8455000000000004</v>
      </c>
      <c r="AU431" s="2">
        <f t="shared" si="331"/>
        <v>258.45632083333334</v>
      </c>
      <c r="AV431" s="2">
        <f t="shared" si="313"/>
        <v>13.075833333333335</v>
      </c>
      <c r="AW431" s="2">
        <f t="shared" si="314"/>
        <v>6.5304200000000012</v>
      </c>
      <c r="AX431" s="2">
        <f t="shared" si="315"/>
        <v>2.7459250000000002</v>
      </c>
      <c r="AY431" s="2">
        <f t="shared" si="332"/>
        <v>15.821758333333335</v>
      </c>
      <c r="AZ431" s="2">
        <f t="shared" si="333"/>
        <v>2.37326375</v>
      </c>
      <c r="BA431" s="2">
        <f t="shared" si="316"/>
        <v>0.26151666666666673</v>
      </c>
      <c r="BB431" s="2">
        <f t="shared" si="317"/>
        <v>7.8455000000000004</v>
      </c>
      <c r="BC431" s="2">
        <f t="shared" si="334"/>
        <v>32.832458750000001</v>
      </c>
      <c r="BD431" s="2">
        <v>0</v>
      </c>
      <c r="BE431" s="2">
        <f t="shared" si="318"/>
        <v>130.75833333333335</v>
      </c>
      <c r="BF431" s="2">
        <f t="shared" si="319"/>
        <v>4.2496458333333331</v>
      </c>
      <c r="BG431" s="2">
        <f t="shared" si="335"/>
        <v>4.2496458333333331</v>
      </c>
      <c r="BH431" s="2">
        <f t="shared" si="336"/>
        <v>0.63744687499999997</v>
      </c>
      <c r="BI431" s="2">
        <f t="shared" si="320"/>
        <v>0.26151666666666673</v>
      </c>
      <c r="BJ431" s="2">
        <f t="shared" si="321"/>
        <v>7.8455000000000004</v>
      </c>
      <c r="BK431" s="2">
        <f t="shared" si="337"/>
        <v>143.75244270833335</v>
      </c>
      <c r="BL431" s="2">
        <f t="shared" si="322"/>
        <v>65454.133333333331</v>
      </c>
      <c r="BM431" s="2">
        <f t="shared" si="323"/>
        <v>65304.200000000004</v>
      </c>
      <c r="BN431" s="2">
        <f t="shared" si="338"/>
        <v>130758.33333333334</v>
      </c>
    </row>
    <row r="432" spans="1:66" x14ac:dyDescent="0.25">
      <c r="A432" s="42">
        <v>429</v>
      </c>
      <c r="B432" s="43">
        <v>42886</v>
      </c>
      <c r="C432" s="42" t="s">
        <v>50</v>
      </c>
      <c r="D432" s="42" t="s">
        <v>267</v>
      </c>
      <c r="E432" s="6">
        <f t="shared" si="324"/>
        <v>-107.85093556250118</v>
      </c>
      <c r="F432" s="5" t="str">
        <f t="shared" si="339"/>
        <v>Loss</v>
      </c>
      <c r="G432" s="4">
        <f t="shared" si="340"/>
        <v>-63.700000000001182</v>
      </c>
      <c r="H432" s="46">
        <v>26</v>
      </c>
      <c r="I432" s="42">
        <v>1258.5</v>
      </c>
      <c r="J432" s="42">
        <v>26</v>
      </c>
      <c r="K432" s="42">
        <v>1245</v>
      </c>
      <c r="N432" s="5">
        <f t="shared" si="341"/>
        <v>52</v>
      </c>
      <c r="O432" s="4">
        <f t="shared" si="342"/>
        <v>1251.75</v>
      </c>
      <c r="P432" s="5">
        <f t="shared" si="297"/>
        <v>26</v>
      </c>
      <c r="Q432" s="42">
        <v>1258.05</v>
      </c>
      <c r="R432" s="2">
        <f t="shared" si="345"/>
        <v>26</v>
      </c>
      <c r="S432" s="42">
        <v>1243</v>
      </c>
      <c r="T432" s="2">
        <f t="shared" si="325"/>
        <v>0</v>
      </c>
      <c r="V432" s="5">
        <f t="shared" si="343"/>
        <v>52</v>
      </c>
      <c r="W432" s="4">
        <f t="shared" si="344"/>
        <v>1250.5250000000001</v>
      </c>
      <c r="X432" s="14">
        <f t="shared" si="298"/>
        <v>13.049999999999955</v>
      </c>
      <c r="Y432" s="5">
        <f t="shared" si="299"/>
        <v>-11.700000000001182</v>
      </c>
      <c r="Z432" s="2">
        <f t="shared" si="300"/>
        <v>-52</v>
      </c>
      <c r="AA432" s="4">
        <f t="shared" si="301"/>
        <v>0</v>
      </c>
      <c r="AB432" s="13">
        <f t="shared" si="302"/>
        <v>44.150935562500003</v>
      </c>
      <c r="AC432" s="10">
        <f>SUM($E$4:E432)</f>
        <v>-15764.844777785227</v>
      </c>
      <c r="AD432" s="20">
        <f>SUM($AB$4:AB432)</f>
        <v>11927.720277785178</v>
      </c>
      <c r="AF432" s="28">
        <f t="shared" si="303"/>
        <v>13.011830000000002</v>
      </c>
      <c r="AG432" s="2">
        <f t="shared" si="304"/>
        <v>16.256825000000003</v>
      </c>
      <c r="AH432" s="2">
        <f t="shared" si="305"/>
        <v>4.2288447499999995</v>
      </c>
      <c r="AI432" s="2">
        <f t="shared" si="326"/>
        <v>17.24067475</v>
      </c>
      <c r="AJ432" s="2">
        <f t="shared" si="327"/>
        <v>2.5861012125</v>
      </c>
      <c r="AK432" s="2">
        <f t="shared" si="306"/>
        <v>0.26023659999999998</v>
      </c>
      <c r="AL432" s="2">
        <f t="shared" si="307"/>
        <v>7.8070980000000008</v>
      </c>
      <c r="AM432" s="2">
        <f t="shared" si="328"/>
        <v>44.150935562500003</v>
      </c>
      <c r="AN432" s="2">
        <f t="shared" si="308"/>
        <v>80</v>
      </c>
      <c r="AO432" s="2">
        <f t="shared" si="309"/>
        <v>32.513650000000005</v>
      </c>
      <c r="AP432" s="2">
        <f t="shared" si="310"/>
        <v>68.962699000000001</v>
      </c>
      <c r="AQ432" s="2">
        <f t="shared" si="329"/>
        <v>148.96269899999999</v>
      </c>
      <c r="AR432" s="2">
        <f t="shared" si="330"/>
        <v>22.344404849999997</v>
      </c>
      <c r="AS432" s="2">
        <f t="shared" si="311"/>
        <v>0.26023659999999998</v>
      </c>
      <c r="AT432" s="2">
        <f t="shared" si="312"/>
        <v>7.8070980000000008</v>
      </c>
      <c r="AU432" s="2">
        <f t="shared" si="331"/>
        <v>211.88808845000003</v>
      </c>
      <c r="AV432" s="2">
        <f t="shared" si="313"/>
        <v>13.011830000000002</v>
      </c>
      <c r="AW432" s="2">
        <f t="shared" si="314"/>
        <v>6.5027300000000015</v>
      </c>
      <c r="AX432" s="2">
        <f t="shared" si="315"/>
        <v>2.7324842999999999</v>
      </c>
      <c r="AY432" s="2">
        <f t="shared" si="332"/>
        <v>15.744314300000001</v>
      </c>
      <c r="AZ432" s="2">
        <f t="shared" si="333"/>
        <v>2.3616471450000001</v>
      </c>
      <c r="BA432" s="2">
        <f t="shared" si="316"/>
        <v>0.26023659999999998</v>
      </c>
      <c r="BB432" s="2">
        <f t="shared" si="317"/>
        <v>7.8070980000000008</v>
      </c>
      <c r="BC432" s="2">
        <f t="shared" si="334"/>
        <v>32.676026045</v>
      </c>
      <c r="BD432" s="2">
        <v>0</v>
      </c>
      <c r="BE432" s="2">
        <f t="shared" si="318"/>
        <v>130.1183</v>
      </c>
      <c r="BF432" s="2">
        <f t="shared" si="319"/>
        <v>4.2288447499999995</v>
      </c>
      <c r="BG432" s="2">
        <f t="shared" si="335"/>
        <v>4.2288447499999995</v>
      </c>
      <c r="BH432" s="2">
        <f t="shared" si="336"/>
        <v>0.63432671249999995</v>
      </c>
      <c r="BI432" s="2">
        <f t="shared" si="320"/>
        <v>0.26023659999999998</v>
      </c>
      <c r="BJ432" s="2">
        <f t="shared" si="321"/>
        <v>7.8070980000000008</v>
      </c>
      <c r="BK432" s="2">
        <f t="shared" si="337"/>
        <v>143.04880606250003</v>
      </c>
      <c r="BL432" s="2">
        <f t="shared" si="322"/>
        <v>65091</v>
      </c>
      <c r="BM432" s="2">
        <f t="shared" si="323"/>
        <v>65027.3</v>
      </c>
      <c r="BN432" s="2">
        <f t="shared" si="338"/>
        <v>130118.3</v>
      </c>
    </row>
    <row r="433" spans="1:66" x14ac:dyDescent="0.25">
      <c r="A433" s="42">
        <v>430</v>
      </c>
      <c r="B433" s="43">
        <v>42886</v>
      </c>
      <c r="C433" s="42" t="s">
        <v>50</v>
      </c>
      <c r="D433" s="42" t="s">
        <v>267</v>
      </c>
      <c r="E433" s="6">
        <f t="shared" si="324"/>
        <v>-57.85189866666758</v>
      </c>
      <c r="F433" s="5" t="str">
        <f t="shared" si="339"/>
        <v>Loss</v>
      </c>
      <c r="G433" s="4">
        <f t="shared" si="340"/>
        <v>-43.500000000000909</v>
      </c>
      <c r="H433" s="46">
        <v>4</v>
      </c>
      <c r="I433" s="42">
        <v>1245.45</v>
      </c>
      <c r="J433" s="42">
        <v>5</v>
      </c>
      <c r="K433" s="42">
        <v>1245.5</v>
      </c>
      <c r="L433" s="42">
        <v>8</v>
      </c>
      <c r="M433" s="44">
        <v>1245.6500000000001</v>
      </c>
      <c r="N433" s="5">
        <f t="shared" si="341"/>
        <v>17</v>
      </c>
      <c r="O433" s="4">
        <f t="shared" si="342"/>
        <v>1245.5333333333335</v>
      </c>
      <c r="P433" s="5">
        <f t="shared" si="297"/>
        <v>4</v>
      </c>
      <c r="Q433" s="42">
        <v>1243</v>
      </c>
      <c r="R433" s="2">
        <f t="shared" si="345"/>
        <v>5</v>
      </c>
      <c r="S433" s="42">
        <v>1243</v>
      </c>
      <c r="T433" s="2">
        <f t="shared" si="325"/>
        <v>8</v>
      </c>
      <c r="U433" s="44">
        <v>1243</v>
      </c>
      <c r="V433" s="5">
        <f t="shared" si="343"/>
        <v>17</v>
      </c>
      <c r="W433" s="4">
        <f t="shared" si="344"/>
        <v>1243</v>
      </c>
      <c r="X433" s="14">
        <f t="shared" si="298"/>
        <v>-2.4500000000000455</v>
      </c>
      <c r="Y433" s="5">
        <f t="shared" si="299"/>
        <v>-9.8000000000001819</v>
      </c>
      <c r="Z433" s="2">
        <f t="shared" si="300"/>
        <v>-12.5</v>
      </c>
      <c r="AA433" s="4">
        <f t="shared" si="301"/>
        <v>-21.200000000000728</v>
      </c>
      <c r="AB433" s="13">
        <f t="shared" si="302"/>
        <v>14.351898666666667</v>
      </c>
      <c r="AC433" s="10">
        <f>SUM($E$4:E433)</f>
        <v>-15822.696676451895</v>
      </c>
      <c r="AD433" s="20">
        <f>SUM($AB$4:AB433)</f>
        <v>11942.072176451844</v>
      </c>
      <c r="AF433" s="28">
        <f t="shared" si="303"/>
        <v>4.2305066666666669</v>
      </c>
      <c r="AG433" s="2">
        <f t="shared" si="304"/>
        <v>5.2827500000000001</v>
      </c>
      <c r="AH433" s="2">
        <f t="shared" si="305"/>
        <v>1.3749146666666665</v>
      </c>
      <c r="AI433" s="2">
        <f t="shared" si="326"/>
        <v>5.6054213333333331</v>
      </c>
      <c r="AJ433" s="2">
        <f t="shared" si="327"/>
        <v>0.84081319999999993</v>
      </c>
      <c r="AK433" s="2">
        <f t="shared" si="306"/>
        <v>8.4610133333333337E-2</v>
      </c>
      <c r="AL433" s="2">
        <f t="shared" si="307"/>
        <v>2.5383040000000001</v>
      </c>
      <c r="AM433" s="2">
        <f t="shared" si="328"/>
        <v>14.351898666666667</v>
      </c>
      <c r="AN433" s="2">
        <f t="shared" si="308"/>
        <v>120</v>
      </c>
      <c r="AO433" s="2">
        <f t="shared" si="309"/>
        <v>10.5655</v>
      </c>
      <c r="AP433" s="2">
        <f t="shared" si="310"/>
        <v>22.421685333333333</v>
      </c>
      <c r="AQ433" s="2">
        <f t="shared" si="329"/>
        <v>142.42168533333333</v>
      </c>
      <c r="AR433" s="2">
        <f t="shared" si="330"/>
        <v>21.363252799999998</v>
      </c>
      <c r="AS433" s="2">
        <f t="shared" si="311"/>
        <v>8.4610133333333337E-2</v>
      </c>
      <c r="AT433" s="2">
        <f t="shared" si="312"/>
        <v>2.5383040000000001</v>
      </c>
      <c r="AU433" s="2">
        <f t="shared" si="331"/>
        <v>176.97335226666667</v>
      </c>
      <c r="AV433" s="2">
        <f t="shared" si="313"/>
        <v>4.2305066666666669</v>
      </c>
      <c r="AW433" s="2">
        <f t="shared" si="314"/>
        <v>2.1131000000000002</v>
      </c>
      <c r="AX433" s="2">
        <f t="shared" si="315"/>
        <v>0.88840639999999993</v>
      </c>
      <c r="AY433" s="2">
        <f t="shared" si="332"/>
        <v>5.1189130666666669</v>
      </c>
      <c r="AZ433" s="2">
        <f t="shared" si="333"/>
        <v>0.76783696000000001</v>
      </c>
      <c r="BA433" s="2">
        <f t="shared" si="316"/>
        <v>8.4610133333333337E-2</v>
      </c>
      <c r="BB433" s="2">
        <f t="shared" si="317"/>
        <v>2.5383040000000001</v>
      </c>
      <c r="BC433" s="2">
        <f t="shared" si="334"/>
        <v>10.622764160000001</v>
      </c>
      <c r="BD433" s="2">
        <v>0</v>
      </c>
      <c r="BE433" s="2">
        <f t="shared" si="318"/>
        <v>42.305066666666669</v>
      </c>
      <c r="BF433" s="2">
        <f t="shared" si="319"/>
        <v>1.3749146666666665</v>
      </c>
      <c r="BG433" s="2">
        <f t="shared" si="335"/>
        <v>1.3749146666666665</v>
      </c>
      <c r="BH433" s="2">
        <f t="shared" si="336"/>
        <v>0.20623719999999998</v>
      </c>
      <c r="BI433" s="2">
        <f t="shared" si="320"/>
        <v>8.4610133333333337E-2</v>
      </c>
      <c r="BJ433" s="2">
        <f t="shared" si="321"/>
        <v>2.5383040000000001</v>
      </c>
      <c r="BK433" s="2">
        <f t="shared" si="337"/>
        <v>46.509132666666673</v>
      </c>
      <c r="BL433" s="2">
        <f t="shared" si="322"/>
        <v>21174.066666666669</v>
      </c>
      <c r="BM433" s="2">
        <f t="shared" si="323"/>
        <v>21131</v>
      </c>
      <c r="BN433" s="2">
        <f t="shared" si="338"/>
        <v>42305.066666666666</v>
      </c>
    </row>
    <row r="434" spans="1:66" x14ac:dyDescent="0.25">
      <c r="A434" s="42">
        <v>431</v>
      </c>
      <c r="B434" s="43">
        <v>42886</v>
      </c>
      <c r="C434" s="42" t="s">
        <v>50</v>
      </c>
      <c r="D434" s="42" t="s">
        <v>267</v>
      </c>
      <c r="E434" s="6">
        <f t="shared" si="324"/>
        <v>-32.348482031250001</v>
      </c>
      <c r="F434" s="5" t="str">
        <f t="shared" si="339"/>
        <v>Loss</v>
      </c>
      <c r="G434" s="4">
        <f t="shared" si="340"/>
        <v>-24.75</v>
      </c>
      <c r="H434" s="46">
        <v>9</v>
      </c>
      <c r="I434" s="42">
        <v>1245.75</v>
      </c>
      <c r="N434" s="5">
        <f t="shared" si="341"/>
        <v>9</v>
      </c>
      <c r="O434" s="4">
        <f t="shared" si="342"/>
        <v>1245.75</v>
      </c>
      <c r="P434" s="5">
        <f t="shared" si="297"/>
        <v>9</v>
      </c>
      <c r="Q434" s="42">
        <v>1243</v>
      </c>
      <c r="R434" s="2">
        <f t="shared" si="345"/>
        <v>0</v>
      </c>
      <c r="T434" s="2">
        <f t="shared" si="325"/>
        <v>0</v>
      </c>
      <c r="V434" s="5">
        <f t="shared" si="343"/>
        <v>9</v>
      </c>
      <c r="W434" s="4">
        <f t="shared" si="344"/>
        <v>1243</v>
      </c>
      <c r="X434" s="14">
        <f t="shared" si="298"/>
        <v>-2.75</v>
      </c>
      <c r="Y434" s="5">
        <f t="shared" si="299"/>
        <v>-24.75</v>
      </c>
      <c r="Z434" s="2">
        <f t="shared" si="300"/>
        <v>0</v>
      </c>
      <c r="AA434" s="4">
        <f t="shared" si="301"/>
        <v>0</v>
      </c>
      <c r="AB434" s="13">
        <f t="shared" si="302"/>
        <v>7.5984820312500005</v>
      </c>
      <c r="AC434" s="10">
        <f>SUM($E$4:E434)</f>
        <v>-15855.045158483144</v>
      </c>
      <c r="AD434" s="20">
        <f>SUM($AB$4:AB434)</f>
        <v>11949.670658483094</v>
      </c>
      <c r="AF434" s="28">
        <f t="shared" si="303"/>
        <v>2.2398750000000001</v>
      </c>
      <c r="AG434" s="2">
        <f t="shared" si="304"/>
        <v>2.7967500000000003</v>
      </c>
      <c r="AH434" s="2">
        <f t="shared" si="305"/>
        <v>0.72795937499999996</v>
      </c>
      <c r="AI434" s="2">
        <f t="shared" si="326"/>
        <v>2.9678343749999998</v>
      </c>
      <c r="AJ434" s="2">
        <f t="shared" si="327"/>
        <v>0.44517515624999998</v>
      </c>
      <c r="AK434" s="2">
        <f t="shared" si="306"/>
        <v>4.4797500000000004E-2</v>
      </c>
      <c r="AL434" s="2">
        <f t="shared" si="307"/>
        <v>1.343925</v>
      </c>
      <c r="AM434" s="2">
        <f t="shared" si="328"/>
        <v>7.5984820312500005</v>
      </c>
      <c r="AN434" s="2">
        <f t="shared" si="308"/>
        <v>40</v>
      </c>
      <c r="AO434" s="2">
        <f t="shared" si="309"/>
        <v>5.5935000000000006</v>
      </c>
      <c r="AP434" s="2">
        <f t="shared" si="310"/>
        <v>11.871337499999999</v>
      </c>
      <c r="AQ434" s="2">
        <f t="shared" si="329"/>
        <v>51.871337499999996</v>
      </c>
      <c r="AR434" s="2">
        <f t="shared" si="330"/>
        <v>7.7807006249999988</v>
      </c>
      <c r="AS434" s="2">
        <f t="shared" si="311"/>
        <v>4.4797500000000004E-2</v>
      </c>
      <c r="AT434" s="2">
        <f t="shared" si="312"/>
        <v>1.343925</v>
      </c>
      <c r="AU434" s="2">
        <f t="shared" si="331"/>
        <v>66.634260624999996</v>
      </c>
      <c r="AV434" s="2">
        <f t="shared" si="313"/>
        <v>2.2398750000000001</v>
      </c>
      <c r="AW434" s="2">
        <f t="shared" si="314"/>
        <v>1.1187</v>
      </c>
      <c r="AX434" s="2">
        <f t="shared" si="315"/>
        <v>0.47037374999999998</v>
      </c>
      <c r="AY434" s="2">
        <f t="shared" si="332"/>
        <v>2.7102487499999999</v>
      </c>
      <c r="AZ434" s="2">
        <f t="shared" si="333"/>
        <v>0.40653731249999997</v>
      </c>
      <c r="BA434" s="2">
        <f t="shared" si="316"/>
        <v>4.4797500000000004E-2</v>
      </c>
      <c r="BB434" s="2">
        <f t="shared" si="317"/>
        <v>1.343925</v>
      </c>
      <c r="BC434" s="2">
        <f t="shared" si="334"/>
        <v>5.6242085624999998</v>
      </c>
      <c r="BD434" s="2">
        <v>0</v>
      </c>
      <c r="BE434" s="2">
        <f t="shared" si="318"/>
        <v>22.39875</v>
      </c>
      <c r="BF434" s="2">
        <f t="shared" si="319"/>
        <v>0.72795937499999996</v>
      </c>
      <c r="BG434" s="2">
        <f t="shared" si="335"/>
        <v>0.72795937499999996</v>
      </c>
      <c r="BH434" s="2">
        <f t="shared" si="336"/>
        <v>0.10919390624999999</v>
      </c>
      <c r="BI434" s="2">
        <f t="shared" si="320"/>
        <v>4.4797500000000004E-2</v>
      </c>
      <c r="BJ434" s="2">
        <f t="shared" si="321"/>
        <v>1.343925</v>
      </c>
      <c r="BK434" s="2">
        <f t="shared" si="337"/>
        <v>24.62462578125</v>
      </c>
      <c r="BL434" s="2">
        <f t="shared" si="322"/>
        <v>11211.75</v>
      </c>
      <c r="BM434" s="2">
        <f t="shared" si="323"/>
        <v>11187</v>
      </c>
      <c r="BN434" s="2">
        <f t="shared" si="338"/>
        <v>22398.75</v>
      </c>
    </row>
    <row r="435" spans="1:66" x14ac:dyDescent="0.25">
      <c r="A435" s="42">
        <v>432</v>
      </c>
      <c r="B435" s="43">
        <v>42886</v>
      </c>
      <c r="C435" s="42" t="s">
        <v>50</v>
      </c>
      <c r="D435" s="42" t="s">
        <v>163</v>
      </c>
      <c r="E435" s="6">
        <f t="shared" si="324"/>
        <v>-21.039310624998919</v>
      </c>
      <c r="F435" s="5" t="str">
        <f t="shared" si="339"/>
        <v>Win</v>
      </c>
      <c r="G435" s="4">
        <f t="shared" si="340"/>
        <v>21.00000000000108</v>
      </c>
      <c r="H435" s="46">
        <v>300</v>
      </c>
      <c r="I435" s="42">
        <v>92.7</v>
      </c>
      <c r="J435" s="42">
        <v>380</v>
      </c>
      <c r="K435" s="42">
        <v>89.5</v>
      </c>
      <c r="N435" s="5">
        <f t="shared" si="341"/>
        <v>680</v>
      </c>
      <c r="O435" s="4">
        <f t="shared" si="342"/>
        <v>91.1</v>
      </c>
      <c r="P435" s="5">
        <f t="shared" si="297"/>
        <v>300</v>
      </c>
      <c r="Q435" s="42">
        <v>92.2</v>
      </c>
      <c r="R435" s="2">
        <f t="shared" si="345"/>
        <v>380</v>
      </c>
      <c r="S435" s="42">
        <v>89.95</v>
      </c>
      <c r="T435" s="2">
        <f t="shared" si="325"/>
        <v>0</v>
      </c>
      <c r="V435" s="5">
        <f t="shared" si="343"/>
        <v>680</v>
      </c>
      <c r="W435" s="4">
        <f t="shared" si="344"/>
        <v>91.075000000000003</v>
      </c>
      <c r="X435" s="14">
        <f t="shared" si="298"/>
        <v>2.7000000000000028</v>
      </c>
      <c r="Y435" s="5">
        <f t="shared" si="299"/>
        <v>-150</v>
      </c>
      <c r="Z435" s="2">
        <f t="shared" si="300"/>
        <v>171.00000000000108</v>
      </c>
      <c r="AA435" s="4">
        <f t="shared" si="301"/>
        <v>0</v>
      </c>
      <c r="AB435" s="13">
        <f t="shared" si="302"/>
        <v>42.039310624999999</v>
      </c>
      <c r="AC435" s="10">
        <f>SUM($E$4:E435)</f>
        <v>-15876.084469108144</v>
      </c>
      <c r="AD435" s="20">
        <f>SUM($AB$4:AB435)</f>
        <v>11991.709969108093</v>
      </c>
      <c r="AF435" s="28">
        <f t="shared" si="303"/>
        <v>12.3879</v>
      </c>
      <c r="AG435" s="2">
        <f t="shared" si="304"/>
        <v>15.482750000000001</v>
      </c>
      <c r="AH435" s="2">
        <f t="shared" si="305"/>
        <v>4.0260674999999999</v>
      </c>
      <c r="AI435" s="2">
        <f t="shared" si="326"/>
        <v>16.413967499999998</v>
      </c>
      <c r="AJ435" s="2">
        <f t="shared" si="327"/>
        <v>2.4620951249999998</v>
      </c>
      <c r="AK435" s="2">
        <f t="shared" si="306"/>
        <v>0.24775800000000001</v>
      </c>
      <c r="AL435" s="2">
        <f t="shared" si="307"/>
        <v>7.4327399999999999</v>
      </c>
      <c r="AM435" s="2">
        <f t="shared" si="328"/>
        <v>42.039310624999999</v>
      </c>
      <c r="AN435" s="2">
        <f t="shared" si="308"/>
        <v>80</v>
      </c>
      <c r="AO435" s="2">
        <f t="shared" si="309"/>
        <v>30.965500000000002</v>
      </c>
      <c r="AP435" s="2">
        <f t="shared" si="310"/>
        <v>65.655869999999993</v>
      </c>
      <c r="AQ435" s="2">
        <f t="shared" si="329"/>
        <v>145.65586999999999</v>
      </c>
      <c r="AR435" s="2">
        <f t="shared" si="330"/>
        <v>21.848380499999998</v>
      </c>
      <c r="AS435" s="2">
        <f t="shared" si="311"/>
        <v>0.24775800000000001</v>
      </c>
      <c r="AT435" s="2">
        <f t="shared" si="312"/>
        <v>7.4327399999999999</v>
      </c>
      <c r="AU435" s="2">
        <f t="shared" si="331"/>
        <v>206.1502485</v>
      </c>
      <c r="AV435" s="2">
        <f t="shared" si="313"/>
        <v>12.3879</v>
      </c>
      <c r="AW435" s="2">
        <f t="shared" si="314"/>
        <v>6.1931000000000003</v>
      </c>
      <c r="AX435" s="2">
        <f t="shared" si="315"/>
        <v>2.6014589999999997</v>
      </c>
      <c r="AY435" s="2">
        <f t="shared" si="332"/>
        <v>14.989359</v>
      </c>
      <c r="AZ435" s="2">
        <f t="shared" si="333"/>
        <v>2.2484038499999999</v>
      </c>
      <c r="BA435" s="2">
        <f t="shared" si="316"/>
        <v>0.24775800000000001</v>
      </c>
      <c r="BB435" s="2">
        <f t="shared" si="317"/>
        <v>7.4327399999999999</v>
      </c>
      <c r="BC435" s="2">
        <f t="shared" si="334"/>
        <v>31.111360849999997</v>
      </c>
      <c r="BD435" s="2">
        <v>0</v>
      </c>
      <c r="BE435" s="2">
        <f t="shared" si="318"/>
        <v>123.879</v>
      </c>
      <c r="BF435" s="2">
        <f t="shared" si="319"/>
        <v>4.0260674999999999</v>
      </c>
      <c r="BG435" s="2">
        <f t="shared" si="335"/>
        <v>4.0260674999999999</v>
      </c>
      <c r="BH435" s="2">
        <f t="shared" si="336"/>
        <v>0.60391012499999996</v>
      </c>
      <c r="BI435" s="2">
        <f t="shared" si="320"/>
        <v>0.24775800000000001</v>
      </c>
      <c r="BJ435" s="2">
        <f t="shared" si="321"/>
        <v>7.4327399999999999</v>
      </c>
      <c r="BK435" s="2">
        <f t="shared" si="337"/>
        <v>136.189475625</v>
      </c>
      <c r="BL435" s="2">
        <f t="shared" si="322"/>
        <v>61947.999999999993</v>
      </c>
      <c r="BM435" s="2">
        <f t="shared" si="323"/>
        <v>61931</v>
      </c>
      <c r="BN435" s="2">
        <f t="shared" si="338"/>
        <v>123879</v>
      </c>
    </row>
    <row r="436" spans="1:66" x14ac:dyDescent="0.25">
      <c r="A436" s="42">
        <v>433</v>
      </c>
      <c r="B436" s="43">
        <v>42886</v>
      </c>
      <c r="C436" s="42" t="s">
        <v>50</v>
      </c>
      <c r="D436" s="42" t="s">
        <v>163</v>
      </c>
      <c r="E436" s="6">
        <f t="shared" si="324"/>
        <v>4.155291562497446</v>
      </c>
      <c r="F436" s="5" t="str">
        <f t="shared" si="339"/>
        <v>Win</v>
      </c>
      <c r="G436" s="4">
        <f t="shared" si="340"/>
        <v>44.999999999997442</v>
      </c>
      <c r="H436" s="46">
        <v>300</v>
      </c>
      <c r="I436" s="42">
        <v>92.7</v>
      </c>
      <c r="J436" s="42">
        <v>360</v>
      </c>
      <c r="K436" s="42">
        <v>89.55</v>
      </c>
      <c r="N436" s="5">
        <f t="shared" si="341"/>
        <v>660</v>
      </c>
      <c r="O436" s="4">
        <f t="shared" si="342"/>
        <v>91.125</v>
      </c>
      <c r="P436" s="5">
        <f t="shared" si="297"/>
        <v>300</v>
      </c>
      <c r="Q436" s="42">
        <v>92.85</v>
      </c>
      <c r="R436" s="2">
        <f t="shared" si="345"/>
        <v>360</v>
      </c>
      <c r="S436" s="42">
        <v>89.55</v>
      </c>
      <c r="T436" s="2">
        <f t="shared" si="325"/>
        <v>0</v>
      </c>
      <c r="V436" s="5">
        <f t="shared" si="343"/>
        <v>660</v>
      </c>
      <c r="W436" s="4">
        <f t="shared" si="344"/>
        <v>91.199999999999989</v>
      </c>
      <c r="X436" s="14">
        <f t="shared" si="298"/>
        <v>3.2999999999999972</v>
      </c>
      <c r="Y436" s="5">
        <f t="shared" si="299"/>
        <v>44.999999999997442</v>
      </c>
      <c r="Z436" s="2">
        <f t="shared" si="300"/>
        <v>0</v>
      </c>
      <c r="AA436" s="4">
        <f t="shared" si="301"/>
        <v>0</v>
      </c>
      <c r="AB436" s="13">
        <f t="shared" si="302"/>
        <v>40.844708437499996</v>
      </c>
      <c r="AC436" s="10">
        <f>SUM($E$4:E436)</f>
        <v>-15871.929177545646</v>
      </c>
      <c r="AD436" s="20">
        <f>SUM($AB$4:AB436)</f>
        <v>12032.554677545593</v>
      </c>
      <c r="AF436" s="28">
        <f t="shared" si="303"/>
        <v>12.03345</v>
      </c>
      <c r="AG436" s="2">
        <f t="shared" si="304"/>
        <v>15.047999999999998</v>
      </c>
      <c r="AH436" s="2">
        <f t="shared" si="305"/>
        <v>3.9108712499999996</v>
      </c>
      <c r="AI436" s="2">
        <f t="shared" si="326"/>
        <v>15.94432125</v>
      </c>
      <c r="AJ436" s="2">
        <f t="shared" si="327"/>
        <v>2.3916481875</v>
      </c>
      <c r="AK436" s="2">
        <f t="shared" si="306"/>
        <v>0.24066899999999999</v>
      </c>
      <c r="AL436" s="2">
        <f t="shared" si="307"/>
        <v>7.2200699999999998</v>
      </c>
      <c r="AM436" s="2">
        <f t="shared" si="328"/>
        <v>40.844708437499996</v>
      </c>
      <c r="AN436" s="2">
        <f t="shared" si="308"/>
        <v>80</v>
      </c>
      <c r="AO436" s="2">
        <f t="shared" si="309"/>
        <v>30.095999999999997</v>
      </c>
      <c r="AP436" s="2">
        <f t="shared" si="310"/>
        <v>63.777284999999999</v>
      </c>
      <c r="AQ436" s="2">
        <f t="shared" si="329"/>
        <v>143.77728500000001</v>
      </c>
      <c r="AR436" s="2">
        <f t="shared" si="330"/>
        <v>21.566592750000002</v>
      </c>
      <c r="AS436" s="2">
        <f t="shared" si="311"/>
        <v>0.24066899999999999</v>
      </c>
      <c r="AT436" s="2">
        <f t="shared" si="312"/>
        <v>7.2200699999999998</v>
      </c>
      <c r="AU436" s="2">
        <f t="shared" si="331"/>
        <v>202.90061675000001</v>
      </c>
      <c r="AV436" s="2">
        <f t="shared" si="313"/>
        <v>12.03345</v>
      </c>
      <c r="AW436" s="2">
        <f t="shared" si="314"/>
        <v>6.0191999999999997</v>
      </c>
      <c r="AX436" s="2">
        <f t="shared" si="315"/>
        <v>2.5270245</v>
      </c>
      <c r="AY436" s="2">
        <f t="shared" si="332"/>
        <v>14.5604745</v>
      </c>
      <c r="AZ436" s="2">
        <f t="shared" si="333"/>
        <v>2.1840711749999997</v>
      </c>
      <c r="BA436" s="2">
        <f t="shared" si="316"/>
        <v>0.24066899999999999</v>
      </c>
      <c r="BB436" s="2">
        <f t="shared" si="317"/>
        <v>7.2200699999999998</v>
      </c>
      <c r="BC436" s="2">
        <f t="shared" si="334"/>
        <v>30.224484674999999</v>
      </c>
      <c r="BD436" s="2">
        <v>0</v>
      </c>
      <c r="BE436" s="2">
        <f t="shared" si="318"/>
        <v>120.33450000000001</v>
      </c>
      <c r="BF436" s="2">
        <f t="shared" si="319"/>
        <v>3.9108712499999996</v>
      </c>
      <c r="BG436" s="2">
        <f t="shared" si="335"/>
        <v>3.9108712499999996</v>
      </c>
      <c r="BH436" s="2">
        <f t="shared" si="336"/>
        <v>0.58663068749999991</v>
      </c>
      <c r="BI436" s="2">
        <f t="shared" si="320"/>
        <v>0.24066899999999999</v>
      </c>
      <c r="BJ436" s="2">
        <f t="shared" si="321"/>
        <v>7.2200699999999998</v>
      </c>
      <c r="BK436" s="2">
        <f t="shared" si="337"/>
        <v>132.29274093750001</v>
      </c>
      <c r="BL436" s="2">
        <f t="shared" si="322"/>
        <v>60142.5</v>
      </c>
      <c r="BM436" s="2">
        <f t="shared" si="323"/>
        <v>60191.999999999993</v>
      </c>
      <c r="BN436" s="2">
        <f t="shared" si="338"/>
        <v>120334.5</v>
      </c>
    </row>
    <row r="437" spans="1:66" x14ac:dyDescent="0.25">
      <c r="A437" s="42">
        <v>434</v>
      </c>
      <c r="B437" s="43">
        <v>42888</v>
      </c>
      <c r="C437" s="42" t="s">
        <v>50</v>
      </c>
      <c r="D437" s="42" t="s">
        <v>209</v>
      </c>
      <c r="E437" s="6">
        <f t="shared" si="324"/>
        <v>-25.520446875000214</v>
      </c>
      <c r="F437" s="5" t="str">
        <f t="shared" si="339"/>
        <v>Loss</v>
      </c>
      <c r="G437" s="4">
        <f t="shared" si="340"/>
        <v>-15.000000000000213</v>
      </c>
      <c r="H437" s="46">
        <v>300</v>
      </c>
      <c r="I437" s="42">
        <v>17.2</v>
      </c>
      <c r="J437" s="42">
        <v>300</v>
      </c>
      <c r="K437" s="42">
        <v>17.25</v>
      </c>
      <c r="L437" s="42">
        <v>300</v>
      </c>
      <c r="M437" s="44">
        <v>17.25</v>
      </c>
      <c r="N437" s="5">
        <f t="shared" si="341"/>
        <v>900</v>
      </c>
      <c r="O437" s="4">
        <f t="shared" si="342"/>
        <v>17.233333333333334</v>
      </c>
      <c r="P437" s="5">
        <f t="shared" si="297"/>
        <v>300</v>
      </c>
      <c r="Q437" s="42">
        <v>17.25</v>
      </c>
      <c r="R437" s="2">
        <f t="shared" si="345"/>
        <v>300</v>
      </c>
      <c r="S437" s="42">
        <v>17.25</v>
      </c>
      <c r="T437" s="2">
        <f t="shared" si="325"/>
        <v>300</v>
      </c>
      <c r="U437" s="44">
        <v>17.149999999999999</v>
      </c>
      <c r="V437" s="5">
        <f t="shared" si="343"/>
        <v>900</v>
      </c>
      <c r="W437" s="4">
        <f t="shared" si="344"/>
        <v>17.216666666666665</v>
      </c>
      <c r="X437" s="14">
        <f t="shared" si="298"/>
        <v>5.0000000000000711E-2</v>
      </c>
      <c r="Y437" s="5">
        <f t="shared" si="299"/>
        <v>15.000000000000213</v>
      </c>
      <c r="Z437" s="2">
        <f t="shared" si="300"/>
        <v>0</v>
      </c>
      <c r="AA437" s="4">
        <f t="shared" si="301"/>
        <v>-30.000000000000426</v>
      </c>
      <c r="AB437" s="13">
        <f t="shared" si="302"/>
        <v>10.520446875000001</v>
      </c>
      <c r="AC437" s="10">
        <f>SUM($E$4:E437)</f>
        <v>-15897.449624420646</v>
      </c>
      <c r="AD437" s="20">
        <f>SUM($AB$4:AB437)</f>
        <v>12043.075124420593</v>
      </c>
      <c r="AF437" s="28">
        <f t="shared" si="303"/>
        <v>3.1005000000000003</v>
      </c>
      <c r="AG437" s="2">
        <f t="shared" si="304"/>
        <v>3.8737499999999998</v>
      </c>
      <c r="AH437" s="2">
        <f t="shared" si="305"/>
        <v>1.0076624999999999</v>
      </c>
      <c r="AI437" s="2">
        <f t="shared" si="326"/>
        <v>4.1081625000000006</v>
      </c>
      <c r="AJ437" s="2">
        <f t="shared" si="327"/>
        <v>0.61622437500000005</v>
      </c>
      <c r="AK437" s="2">
        <f t="shared" si="306"/>
        <v>6.2009999999999996E-2</v>
      </c>
      <c r="AL437" s="2">
        <f t="shared" si="307"/>
        <v>1.8603000000000001</v>
      </c>
      <c r="AM437" s="2">
        <f t="shared" si="328"/>
        <v>10.520446875000001</v>
      </c>
      <c r="AN437" s="2">
        <f t="shared" si="308"/>
        <v>120</v>
      </c>
      <c r="AO437" s="2">
        <f t="shared" si="309"/>
        <v>7.7474999999999996</v>
      </c>
      <c r="AP437" s="2">
        <f t="shared" si="310"/>
        <v>16.432649999999999</v>
      </c>
      <c r="AQ437" s="2">
        <f t="shared" si="329"/>
        <v>136.43265</v>
      </c>
      <c r="AR437" s="2">
        <f t="shared" si="330"/>
        <v>20.464897499999999</v>
      </c>
      <c r="AS437" s="2">
        <f t="shared" si="311"/>
        <v>6.2009999999999996E-2</v>
      </c>
      <c r="AT437" s="2">
        <f t="shared" si="312"/>
        <v>1.8603000000000001</v>
      </c>
      <c r="AU437" s="2">
        <f t="shared" si="331"/>
        <v>166.56735749999999</v>
      </c>
      <c r="AV437" s="2">
        <f t="shared" si="313"/>
        <v>3.1005000000000003</v>
      </c>
      <c r="AW437" s="2">
        <f t="shared" si="314"/>
        <v>1.5495000000000001</v>
      </c>
      <c r="AX437" s="2">
        <f t="shared" si="315"/>
        <v>0.65110499999999993</v>
      </c>
      <c r="AY437" s="2">
        <f t="shared" si="332"/>
        <v>3.7516050000000001</v>
      </c>
      <c r="AZ437" s="2">
        <f t="shared" si="333"/>
        <v>0.56274075000000001</v>
      </c>
      <c r="BA437" s="2">
        <f t="shared" si="316"/>
        <v>6.2009999999999996E-2</v>
      </c>
      <c r="BB437" s="2">
        <f t="shared" si="317"/>
        <v>1.8603000000000001</v>
      </c>
      <c r="BC437" s="2">
        <f t="shared" si="334"/>
        <v>7.7861557500000007</v>
      </c>
      <c r="BD437" s="2">
        <v>0</v>
      </c>
      <c r="BE437" s="2">
        <f t="shared" si="318"/>
        <v>31.004999999999999</v>
      </c>
      <c r="BF437" s="2">
        <f t="shared" si="319"/>
        <v>1.0076624999999999</v>
      </c>
      <c r="BG437" s="2">
        <f t="shared" si="335"/>
        <v>1.0076624999999999</v>
      </c>
      <c r="BH437" s="2">
        <f t="shared" si="336"/>
        <v>0.15114937499999997</v>
      </c>
      <c r="BI437" s="2">
        <f t="shared" si="320"/>
        <v>6.2009999999999996E-2</v>
      </c>
      <c r="BJ437" s="2">
        <f t="shared" si="321"/>
        <v>1.8603000000000001</v>
      </c>
      <c r="BK437" s="2">
        <f t="shared" si="337"/>
        <v>34.086121875000003</v>
      </c>
      <c r="BL437" s="2">
        <f t="shared" si="322"/>
        <v>15510</v>
      </c>
      <c r="BM437" s="2">
        <f t="shared" si="323"/>
        <v>15494.999999999998</v>
      </c>
      <c r="BN437" s="2">
        <f t="shared" si="338"/>
        <v>31005</v>
      </c>
    </row>
    <row r="438" spans="1:66" x14ac:dyDescent="0.25">
      <c r="A438" s="42">
        <v>435</v>
      </c>
      <c r="B438" s="43">
        <v>42888</v>
      </c>
      <c r="C438" s="42" t="s">
        <v>50</v>
      </c>
      <c r="D438" s="42" t="s">
        <v>209</v>
      </c>
      <c r="E438" s="6">
        <f t="shared" si="324"/>
        <v>-72.732360937499891</v>
      </c>
      <c r="F438" s="5" t="str">
        <f t="shared" si="339"/>
        <v>Loss</v>
      </c>
      <c r="G438" s="4">
        <f t="shared" si="340"/>
        <v>-67.499999999999886</v>
      </c>
      <c r="H438" s="46">
        <v>150</v>
      </c>
      <c r="I438" s="42">
        <v>17.25</v>
      </c>
      <c r="J438" s="42">
        <v>150</v>
      </c>
      <c r="K438" s="42">
        <v>17.2</v>
      </c>
      <c r="L438" s="42">
        <v>150</v>
      </c>
      <c r="M438" s="44">
        <v>17.25</v>
      </c>
      <c r="N438" s="5">
        <f t="shared" si="341"/>
        <v>450</v>
      </c>
      <c r="O438" s="4">
        <f t="shared" si="342"/>
        <v>17.233333333333334</v>
      </c>
      <c r="P438" s="5">
        <f t="shared" si="297"/>
        <v>150</v>
      </c>
      <c r="Q438" s="42">
        <v>17.05</v>
      </c>
      <c r="R438" s="2">
        <f t="shared" si="345"/>
        <v>150</v>
      </c>
      <c r="S438" s="42">
        <v>17.149999999999999</v>
      </c>
      <c r="T438" s="2">
        <f t="shared" si="325"/>
        <v>150</v>
      </c>
      <c r="U438" s="44">
        <v>17.05</v>
      </c>
      <c r="V438" s="5">
        <f t="shared" si="343"/>
        <v>450</v>
      </c>
      <c r="W438" s="4">
        <f t="shared" si="344"/>
        <v>17.083333333333332</v>
      </c>
      <c r="X438" s="14">
        <f t="shared" si="298"/>
        <v>-5.0000000000000711E-2</v>
      </c>
      <c r="Y438" s="5">
        <f t="shared" si="299"/>
        <v>-29.999999999999893</v>
      </c>
      <c r="Z438" s="2">
        <f t="shared" si="300"/>
        <v>-7.5000000000001066</v>
      </c>
      <c r="AA438" s="4">
        <f t="shared" si="301"/>
        <v>-29.999999999999893</v>
      </c>
      <c r="AB438" s="13">
        <f t="shared" si="302"/>
        <v>5.2323609374999993</v>
      </c>
      <c r="AC438" s="10">
        <f>SUM($E$4:E438)</f>
        <v>-15970.181985358146</v>
      </c>
      <c r="AD438" s="20">
        <f>SUM($AB$4:AB438)</f>
        <v>12048.307485358093</v>
      </c>
      <c r="AF438" s="28">
        <f t="shared" si="303"/>
        <v>1.5442500000000001</v>
      </c>
      <c r="AG438" s="2">
        <f t="shared" si="304"/>
        <v>1.921875</v>
      </c>
      <c r="AH438" s="2">
        <f t="shared" si="305"/>
        <v>0.50188124999999995</v>
      </c>
      <c r="AI438" s="2">
        <f t="shared" si="326"/>
        <v>2.0461312500000002</v>
      </c>
      <c r="AJ438" s="2">
        <f t="shared" si="327"/>
        <v>0.30691968750000004</v>
      </c>
      <c r="AK438" s="2">
        <f t="shared" si="306"/>
        <v>3.0885000000000003E-2</v>
      </c>
      <c r="AL438" s="2">
        <f t="shared" si="307"/>
        <v>0.92654999999999998</v>
      </c>
      <c r="AM438" s="2">
        <f t="shared" si="328"/>
        <v>5.2323609374999993</v>
      </c>
      <c r="AN438" s="2">
        <f t="shared" si="308"/>
        <v>120</v>
      </c>
      <c r="AO438" s="2">
        <f t="shared" si="309"/>
        <v>3.84375</v>
      </c>
      <c r="AP438" s="2">
        <f t="shared" si="310"/>
        <v>8.1845249999999989</v>
      </c>
      <c r="AQ438" s="2">
        <f t="shared" si="329"/>
        <v>128.18452500000001</v>
      </c>
      <c r="AR438" s="2">
        <f t="shared" si="330"/>
        <v>19.227678749999999</v>
      </c>
      <c r="AS438" s="2">
        <f t="shared" si="311"/>
        <v>3.0885000000000003E-2</v>
      </c>
      <c r="AT438" s="2">
        <f t="shared" si="312"/>
        <v>0.92654999999999998</v>
      </c>
      <c r="AU438" s="2">
        <f t="shared" si="331"/>
        <v>152.21338875000001</v>
      </c>
      <c r="AV438" s="2">
        <f t="shared" si="313"/>
        <v>1.5442500000000001</v>
      </c>
      <c r="AW438" s="2">
        <f t="shared" si="314"/>
        <v>0.76875000000000004</v>
      </c>
      <c r="AX438" s="2">
        <f t="shared" si="315"/>
        <v>0.32429249999999998</v>
      </c>
      <c r="AY438" s="2">
        <f t="shared" si="332"/>
        <v>1.8685425000000002</v>
      </c>
      <c r="AZ438" s="2">
        <f t="shared" si="333"/>
        <v>0.280281375</v>
      </c>
      <c r="BA438" s="2">
        <f t="shared" si="316"/>
        <v>3.0885000000000003E-2</v>
      </c>
      <c r="BB438" s="2">
        <f t="shared" si="317"/>
        <v>0.92654999999999998</v>
      </c>
      <c r="BC438" s="2">
        <f t="shared" si="334"/>
        <v>3.8750088749999998</v>
      </c>
      <c r="BD438" s="2">
        <v>0</v>
      </c>
      <c r="BE438" s="2">
        <f t="shared" si="318"/>
        <v>15.442500000000001</v>
      </c>
      <c r="BF438" s="2">
        <f t="shared" si="319"/>
        <v>0.50188124999999995</v>
      </c>
      <c r="BG438" s="2">
        <f t="shared" si="335"/>
        <v>0.50188124999999995</v>
      </c>
      <c r="BH438" s="2">
        <f t="shared" si="336"/>
        <v>7.5282187499999986E-2</v>
      </c>
      <c r="BI438" s="2">
        <f t="shared" si="320"/>
        <v>3.0885000000000003E-2</v>
      </c>
      <c r="BJ438" s="2">
        <f t="shared" si="321"/>
        <v>0.92654999999999998</v>
      </c>
      <c r="BK438" s="2">
        <f t="shared" si="337"/>
        <v>16.9770984375</v>
      </c>
      <c r="BL438" s="2">
        <f t="shared" si="322"/>
        <v>7755</v>
      </c>
      <c r="BM438" s="2">
        <f t="shared" si="323"/>
        <v>7687.4999999999991</v>
      </c>
      <c r="BN438" s="2">
        <f t="shared" si="338"/>
        <v>15442.5</v>
      </c>
    </row>
    <row r="439" spans="1:66" x14ac:dyDescent="0.25">
      <c r="A439" s="42">
        <v>436</v>
      </c>
      <c r="B439" s="43">
        <v>42888</v>
      </c>
      <c r="C439" s="42" t="s">
        <v>50</v>
      </c>
      <c r="D439" s="42" t="s">
        <v>209</v>
      </c>
      <c r="E439" s="6">
        <f t="shared" si="324"/>
        <v>34.309153124999575</v>
      </c>
      <c r="F439" s="5" t="str">
        <f t="shared" si="339"/>
        <v>Win</v>
      </c>
      <c r="G439" s="4">
        <f t="shared" si="340"/>
        <v>44.999999999999574</v>
      </c>
      <c r="H439" s="46">
        <v>300</v>
      </c>
      <c r="I439" s="42">
        <v>17.25</v>
      </c>
      <c r="J439" s="42">
        <v>300</v>
      </c>
      <c r="K439" s="42">
        <v>17.399999999999999</v>
      </c>
      <c r="L439" s="42">
        <v>300</v>
      </c>
      <c r="M439" s="44">
        <v>17.75</v>
      </c>
      <c r="N439" s="5">
        <f t="shared" si="341"/>
        <v>900</v>
      </c>
      <c r="O439" s="4">
        <f t="shared" si="342"/>
        <v>17.466666666666665</v>
      </c>
      <c r="P439" s="5">
        <f t="shared" si="297"/>
        <v>300</v>
      </c>
      <c r="Q439" s="42">
        <v>17.2</v>
      </c>
      <c r="R439" s="2">
        <f t="shared" si="345"/>
        <v>300</v>
      </c>
      <c r="S439" s="42">
        <v>17.45</v>
      </c>
      <c r="T439" s="2">
        <f t="shared" si="325"/>
        <v>300</v>
      </c>
      <c r="U439" s="44">
        <v>17.899999999999999</v>
      </c>
      <c r="V439" s="5">
        <f t="shared" si="343"/>
        <v>900</v>
      </c>
      <c r="W439" s="4">
        <f t="shared" si="344"/>
        <v>17.516666666666666</v>
      </c>
      <c r="X439" s="14">
        <f t="shared" si="298"/>
        <v>0.64999999999999858</v>
      </c>
      <c r="Y439" s="5">
        <f t="shared" si="299"/>
        <v>-15.000000000000213</v>
      </c>
      <c r="Z439" s="2">
        <f t="shared" si="300"/>
        <v>15.000000000000213</v>
      </c>
      <c r="AA439" s="4">
        <f t="shared" si="301"/>
        <v>44.999999999999574</v>
      </c>
      <c r="AB439" s="13">
        <f t="shared" si="302"/>
        <v>10.690846874999998</v>
      </c>
      <c r="AC439" s="10">
        <f>SUM($E$4:E439)</f>
        <v>-15935.872832233146</v>
      </c>
      <c r="AD439" s="20">
        <f>SUM($AB$4:AB439)</f>
        <v>12058.998332233094</v>
      </c>
      <c r="AF439" s="28">
        <f t="shared" si="303"/>
        <v>3.1485000000000003</v>
      </c>
      <c r="AG439" s="2">
        <f t="shared" si="304"/>
        <v>3.9412499999999997</v>
      </c>
      <c r="AH439" s="2">
        <f t="shared" si="305"/>
        <v>1.0232625</v>
      </c>
      <c r="AI439" s="2">
        <f t="shared" si="326"/>
        <v>4.1717624999999998</v>
      </c>
      <c r="AJ439" s="2">
        <f t="shared" si="327"/>
        <v>0.62576437499999993</v>
      </c>
      <c r="AK439" s="2">
        <f t="shared" si="306"/>
        <v>6.2969999999999998E-2</v>
      </c>
      <c r="AL439" s="2">
        <f t="shared" si="307"/>
        <v>1.8891</v>
      </c>
      <c r="AM439" s="2">
        <f t="shared" si="328"/>
        <v>10.690846874999998</v>
      </c>
      <c r="AN439" s="2">
        <f t="shared" si="308"/>
        <v>120</v>
      </c>
      <c r="AO439" s="2">
        <f t="shared" si="309"/>
        <v>7.8824999999999994</v>
      </c>
      <c r="AP439" s="2">
        <f t="shared" si="310"/>
        <v>16.687049999999999</v>
      </c>
      <c r="AQ439" s="2">
        <f t="shared" si="329"/>
        <v>136.68705</v>
      </c>
      <c r="AR439" s="2">
        <f t="shared" si="330"/>
        <v>20.503057500000001</v>
      </c>
      <c r="AS439" s="2">
        <f t="shared" si="311"/>
        <v>6.2969999999999998E-2</v>
      </c>
      <c r="AT439" s="2">
        <f t="shared" si="312"/>
        <v>1.8891</v>
      </c>
      <c r="AU439" s="2">
        <f t="shared" si="331"/>
        <v>167.02467750000002</v>
      </c>
      <c r="AV439" s="2">
        <f t="shared" si="313"/>
        <v>3.1485000000000003</v>
      </c>
      <c r="AW439" s="2">
        <f t="shared" si="314"/>
        <v>1.5765</v>
      </c>
      <c r="AX439" s="2">
        <f t="shared" si="315"/>
        <v>0.66118499999999991</v>
      </c>
      <c r="AY439" s="2">
        <f t="shared" si="332"/>
        <v>3.809685</v>
      </c>
      <c r="AZ439" s="2">
        <f t="shared" si="333"/>
        <v>0.57145274999999995</v>
      </c>
      <c r="BA439" s="2">
        <f t="shared" si="316"/>
        <v>6.2969999999999998E-2</v>
      </c>
      <c r="BB439" s="2">
        <f t="shared" si="317"/>
        <v>1.8891</v>
      </c>
      <c r="BC439" s="2">
        <f t="shared" si="334"/>
        <v>7.9097077499999999</v>
      </c>
      <c r="BD439" s="2">
        <v>0</v>
      </c>
      <c r="BE439" s="2">
        <f t="shared" si="318"/>
        <v>31.484999999999999</v>
      </c>
      <c r="BF439" s="2">
        <f t="shared" si="319"/>
        <v>1.0232625</v>
      </c>
      <c r="BG439" s="2">
        <f t="shared" si="335"/>
        <v>1.0232625</v>
      </c>
      <c r="BH439" s="2">
        <f t="shared" si="336"/>
        <v>0.15348937499999998</v>
      </c>
      <c r="BI439" s="2">
        <f t="shared" si="320"/>
        <v>6.2969999999999998E-2</v>
      </c>
      <c r="BJ439" s="2">
        <f t="shared" si="321"/>
        <v>1.8891</v>
      </c>
      <c r="BK439" s="2">
        <f t="shared" si="337"/>
        <v>34.613821874999999</v>
      </c>
      <c r="BL439" s="2">
        <f t="shared" si="322"/>
        <v>15719.999999999998</v>
      </c>
      <c r="BM439" s="2">
        <f t="shared" si="323"/>
        <v>15765</v>
      </c>
      <c r="BN439" s="2">
        <f t="shared" si="338"/>
        <v>31485</v>
      </c>
    </row>
    <row r="440" spans="1:66" x14ac:dyDescent="0.25">
      <c r="A440" s="42">
        <v>437</v>
      </c>
      <c r="B440" s="43">
        <v>42888</v>
      </c>
      <c r="C440" s="42" t="s">
        <v>50</v>
      </c>
      <c r="D440" s="42" t="s">
        <v>209</v>
      </c>
      <c r="E440" s="6">
        <f t="shared" si="324"/>
        <v>13.227626562500248</v>
      </c>
      <c r="F440" s="5" t="str">
        <f t="shared" si="339"/>
        <v>Win</v>
      </c>
      <c r="G440" s="4">
        <f t="shared" si="340"/>
        <v>17.500000000000249</v>
      </c>
      <c r="H440" s="46">
        <v>350</v>
      </c>
      <c r="I440" s="42">
        <v>17.95</v>
      </c>
      <c r="N440" s="5">
        <f t="shared" si="341"/>
        <v>350</v>
      </c>
      <c r="O440" s="4">
        <f t="shared" si="342"/>
        <v>17.95</v>
      </c>
      <c r="P440" s="5">
        <f t="shared" si="297"/>
        <v>350</v>
      </c>
      <c r="Q440" s="42">
        <v>18</v>
      </c>
      <c r="R440" s="2">
        <f t="shared" si="345"/>
        <v>0</v>
      </c>
      <c r="T440" s="2">
        <f t="shared" si="325"/>
        <v>0</v>
      </c>
      <c r="V440" s="5">
        <f t="shared" si="343"/>
        <v>350</v>
      </c>
      <c r="W440" s="4">
        <f t="shared" si="344"/>
        <v>18</v>
      </c>
      <c r="X440" s="14">
        <f t="shared" si="298"/>
        <v>5.0000000000000711E-2</v>
      </c>
      <c r="Y440" s="5">
        <f t="shared" si="299"/>
        <v>17.500000000000249</v>
      </c>
      <c r="Z440" s="2">
        <f t="shared" si="300"/>
        <v>0</v>
      </c>
      <c r="AA440" s="4">
        <f t="shared" si="301"/>
        <v>0</v>
      </c>
      <c r="AB440" s="13">
        <f t="shared" si="302"/>
        <v>4.2723734375000006</v>
      </c>
      <c r="AC440" s="10">
        <f>SUM($E$4:E440)</f>
        <v>-15922.645205670646</v>
      </c>
      <c r="AD440" s="20">
        <f>SUM($AB$4:AB440)</f>
        <v>12063.270705670593</v>
      </c>
      <c r="AF440" s="28">
        <f t="shared" si="303"/>
        <v>1.2582500000000001</v>
      </c>
      <c r="AG440" s="2">
        <f t="shared" si="304"/>
        <v>1.5750000000000002</v>
      </c>
      <c r="AH440" s="2">
        <f t="shared" si="305"/>
        <v>0.40893124999999997</v>
      </c>
      <c r="AI440" s="2">
        <f t="shared" si="326"/>
        <v>1.6671812500000001</v>
      </c>
      <c r="AJ440" s="2">
        <f t="shared" si="327"/>
        <v>0.25007718750000002</v>
      </c>
      <c r="AK440" s="2">
        <f t="shared" si="306"/>
        <v>2.5165E-2</v>
      </c>
      <c r="AL440" s="2">
        <f t="shared" si="307"/>
        <v>0.75495000000000001</v>
      </c>
      <c r="AM440" s="2">
        <f t="shared" si="328"/>
        <v>4.2723734375000006</v>
      </c>
      <c r="AN440" s="2">
        <f t="shared" si="308"/>
        <v>40</v>
      </c>
      <c r="AO440" s="2">
        <f t="shared" si="309"/>
        <v>3.1500000000000004</v>
      </c>
      <c r="AP440" s="2">
        <f t="shared" si="310"/>
        <v>6.6687249999999993</v>
      </c>
      <c r="AQ440" s="2">
        <f t="shared" si="329"/>
        <v>46.668725000000002</v>
      </c>
      <c r="AR440" s="2">
        <f t="shared" si="330"/>
        <v>7.0003087500000003</v>
      </c>
      <c r="AS440" s="2">
        <f t="shared" si="311"/>
        <v>2.5165E-2</v>
      </c>
      <c r="AT440" s="2">
        <f t="shared" si="312"/>
        <v>0.75495000000000001</v>
      </c>
      <c r="AU440" s="2">
        <f t="shared" si="331"/>
        <v>57.599148750000005</v>
      </c>
      <c r="AV440" s="2">
        <f t="shared" si="313"/>
        <v>1.2582500000000001</v>
      </c>
      <c r="AW440" s="2">
        <f t="shared" si="314"/>
        <v>0.63000000000000012</v>
      </c>
      <c r="AX440" s="2">
        <f t="shared" si="315"/>
        <v>0.26423249999999998</v>
      </c>
      <c r="AY440" s="2">
        <f t="shared" si="332"/>
        <v>1.5224825000000002</v>
      </c>
      <c r="AZ440" s="2">
        <f t="shared" si="333"/>
        <v>0.22837237500000002</v>
      </c>
      <c r="BA440" s="2">
        <f t="shared" si="316"/>
        <v>2.5165E-2</v>
      </c>
      <c r="BB440" s="2">
        <f t="shared" si="317"/>
        <v>0.75495000000000001</v>
      </c>
      <c r="BC440" s="2">
        <f t="shared" si="334"/>
        <v>3.1609698750000002</v>
      </c>
      <c r="BD440" s="2">
        <v>0</v>
      </c>
      <c r="BE440" s="2">
        <f t="shared" si="318"/>
        <v>12.5825</v>
      </c>
      <c r="BF440" s="2">
        <f t="shared" si="319"/>
        <v>0.40893124999999997</v>
      </c>
      <c r="BG440" s="2">
        <f t="shared" si="335"/>
        <v>0.40893124999999997</v>
      </c>
      <c r="BH440" s="2">
        <f t="shared" si="336"/>
        <v>6.133968749999999E-2</v>
      </c>
      <c r="BI440" s="2">
        <f t="shared" si="320"/>
        <v>2.5165E-2</v>
      </c>
      <c r="BJ440" s="2">
        <f t="shared" si="321"/>
        <v>0.75495000000000001</v>
      </c>
      <c r="BK440" s="2">
        <f t="shared" si="337"/>
        <v>13.832885937499999</v>
      </c>
      <c r="BL440" s="2">
        <f t="shared" si="322"/>
        <v>6282.5</v>
      </c>
      <c r="BM440" s="2">
        <f t="shared" si="323"/>
        <v>6300</v>
      </c>
      <c r="BN440" s="2">
        <f t="shared" si="338"/>
        <v>12582.5</v>
      </c>
    </row>
    <row r="441" spans="1:66" x14ac:dyDescent="0.25">
      <c r="A441" s="42">
        <v>438</v>
      </c>
      <c r="B441" s="43">
        <v>42888</v>
      </c>
      <c r="C441" s="42" t="s">
        <v>50</v>
      </c>
      <c r="D441" s="42" t="s">
        <v>247</v>
      </c>
      <c r="E441" s="6">
        <f t="shared" si="324"/>
        <v>-207.16517812500001</v>
      </c>
      <c r="F441" s="5" t="str">
        <f t="shared" si="339"/>
        <v>Loss</v>
      </c>
      <c r="G441" s="4">
        <f t="shared" si="340"/>
        <v>-189</v>
      </c>
      <c r="H441" s="46">
        <v>54</v>
      </c>
      <c r="I441" s="42">
        <v>498</v>
      </c>
      <c r="N441" s="5">
        <f t="shared" si="341"/>
        <v>54</v>
      </c>
      <c r="O441" s="4">
        <f t="shared" si="342"/>
        <v>498</v>
      </c>
      <c r="P441" s="5">
        <f t="shared" si="297"/>
        <v>54</v>
      </c>
      <c r="Q441" s="42">
        <v>494.5</v>
      </c>
      <c r="R441" s="2">
        <f t="shared" si="345"/>
        <v>0</v>
      </c>
      <c r="T441" s="2">
        <f t="shared" si="325"/>
        <v>0</v>
      </c>
      <c r="V441" s="5">
        <f t="shared" si="343"/>
        <v>54</v>
      </c>
      <c r="W441" s="4">
        <f t="shared" si="344"/>
        <v>494.5</v>
      </c>
      <c r="X441" s="14">
        <f t="shared" si="298"/>
        <v>-3.5</v>
      </c>
      <c r="Y441" s="5">
        <f t="shared" si="299"/>
        <v>-189</v>
      </c>
      <c r="Z441" s="2">
        <f t="shared" si="300"/>
        <v>0</v>
      </c>
      <c r="AA441" s="4">
        <f t="shared" si="301"/>
        <v>0</v>
      </c>
      <c r="AB441" s="13">
        <f t="shared" si="302"/>
        <v>18.165178124999997</v>
      </c>
      <c r="AC441" s="10">
        <f>SUM($E$4:E441)</f>
        <v>-16129.810383795646</v>
      </c>
      <c r="AD441" s="20">
        <f>SUM($AB$4:AB441)</f>
        <v>12081.435883795593</v>
      </c>
      <c r="AF441" s="28">
        <f t="shared" si="303"/>
        <v>5.3595000000000006</v>
      </c>
      <c r="AG441" s="2">
        <f t="shared" si="304"/>
        <v>6.6757499999999999</v>
      </c>
      <c r="AH441" s="2">
        <f t="shared" si="305"/>
        <v>1.7418374999999999</v>
      </c>
      <c r="AI441" s="2">
        <f t="shared" si="326"/>
        <v>7.1013375000000005</v>
      </c>
      <c r="AJ441" s="2">
        <f t="shared" si="327"/>
        <v>1.0652006250000001</v>
      </c>
      <c r="AK441" s="2">
        <f t="shared" si="306"/>
        <v>0.10718999999999999</v>
      </c>
      <c r="AL441" s="2">
        <f t="shared" si="307"/>
        <v>3.2157</v>
      </c>
      <c r="AM441" s="2">
        <f t="shared" si="328"/>
        <v>18.165178124999997</v>
      </c>
      <c r="AN441" s="2">
        <f t="shared" si="308"/>
        <v>40</v>
      </c>
      <c r="AO441" s="2">
        <f t="shared" si="309"/>
        <v>13.3515</v>
      </c>
      <c r="AP441" s="2">
        <f t="shared" si="310"/>
        <v>28.405349999999999</v>
      </c>
      <c r="AQ441" s="2">
        <f t="shared" si="329"/>
        <v>68.405349999999999</v>
      </c>
      <c r="AR441" s="2">
        <f t="shared" si="330"/>
        <v>10.260802499999999</v>
      </c>
      <c r="AS441" s="2">
        <f t="shared" si="311"/>
        <v>0.10718999999999999</v>
      </c>
      <c r="AT441" s="2">
        <f t="shared" si="312"/>
        <v>3.2157</v>
      </c>
      <c r="AU441" s="2">
        <f t="shared" si="331"/>
        <v>95.340542499999998</v>
      </c>
      <c r="AV441" s="2">
        <f t="shared" si="313"/>
        <v>5.3595000000000006</v>
      </c>
      <c r="AW441" s="2">
        <f t="shared" si="314"/>
        <v>2.6703000000000001</v>
      </c>
      <c r="AX441" s="2">
        <f t="shared" si="315"/>
        <v>1.1254949999999999</v>
      </c>
      <c r="AY441" s="2">
        <f t="shared" si="332"/>
        <v>6.4849950000000005</v>
      </c>
      <c r="AZ441" s="2">
        <f t="shared" si="333"/>
        <v>0.97274925000000001</v>
      </c>
      <c r="BA441" s="2">
        <f t="shared" si="316"/>
        <v>0.10718999999999999</v>
      </c>
      <c r="BB441" s="2">
        <f t="shared" si="317"/>
        <v>3.2157</v>
      </c>
      <c r="BC441" s="2">
        <f t="shared" si="334"/>
        <v>13.450934250000001</v>
      </c>
      <c r="BD441" s="2">
        <v>0</v>
      </c>
      <c r="BE441" s="2">
        <f t="shared" si="318"/>
        <v>53.594999999999999</v>
      </c>
      <c r="BF441" s="2">
        <f t="shared" si="319"/>
        <v>1.7418374999999999</v>
      </c>
      <c r="BG441" s="2">
        <f t="shared" si="335"/>
        <v>1.7418374999999999</v>
      </c>
      <c r="BH441" s="2">
        <f t="shared" si="336"/>
        <v>0.26127562499999996</v>
      </c>
      <c r="BI441" s="2">
        <f t="shared" si="320"/>
        <v>0.10718999999999999</v>
      </c>
      <c r="BJ441" s="2">
        <f t="shared" si="321"/>
        <v>3.2157</v>
      </c>
      <c r="BK441" s="2">
        <f t="shared" si="337"/>
        <v>58.921003125000006</v>
      </c>
      <c r="BL441" s="2">
        <f t="shared" si="322"/>
        <v>26892</v>
      </c>
      <c r="BM441" s="2">
        <f t="shared" si="323"/>
        <v>26703</v>
      </c>
      <c r="BN441" s="2">
        <f t="shared" si="338"/>
        <v>53595</v>
      </c>
    </row>
    <row r="442" spans="1:66" x14ac:dyDescent="0.25">
      <c r="A442" s="42">
        <v>439</v>
      </c>
      <c r="B442" s="43">
        <v>42891</v>
      </c>
      <c r="C442" s="42" t="s">
        <v>50</v>
      </c>
      <c r="D442" s="42" t="s">
        <v>264</v>
      </c>
      <c r="E442" s="6">
        <f t="shared" si="324"/>
        <v>49.514125</v>
      </c>
      <c r="F442" s="5" t="str">
        <f t="shared" si="339"/>
        <v>Win</v>
      </c>
      <c r="G442" s="4">
        <f t="shared" si="340"/>
        <v>80</v>
      </c>
      <c r="H442" s="46">
        <v>40</v>
      </c>
      <c r="I442" s="42">
        <v>560.5</v>
      </c>
      <c r="J442" s="42">
        <v>40</v>
      </c>
      <c r="K442" s="42">
        <v>561</v>
      </c>
      <c r="N442" s="5">
        <f t="shared" si="341"/>
        <v>80</v>
      </c>
      <c r="O442" s="4">
        <f t="shared" si="342"/>
        <v>560.75</v>
      </c>
      <c r="P442" s="5">
        <f t="shared" si="297"/>
        <v>40</v>
      </c>
      <c r="Q442" s="42">
        <v>563.5</v>
      </c>
      <c r="R442" s="2">
        <f t="shared" si="345"/>
        <v>40</v>
      </c>
      <c r="S442" s="42">
        <v>560</v>
      </c>
      <c r="T442" s="2">
        <f t="shared" si="325"/>
        <v>0</v>
      </c>
      <c r="V442" s="5">
        <f t="shared" si="343"/>
        <v>80</v>
      </c>
      <c r="W442" s="4">
        <f t="shared" si="344"/>
        <v>561.75</v>
      </c>
      <c r="X442" s="14">
        <f t="shared" si="298"/>
        <v>3</v>
      </c>
      <c r="Y442" s="5">
        <f t="shared" si="299"/>
        <v>120</v>
      </c>
      <c r="Z442" s="2">
        <f t="shared" si="300"/>
        <v>-40</v>
      </c>
      <c r="AA442" s="4">
        <f t="shared" si="301"/>
        <v>0</v>
      </c>
      <c r="AB442" s="13">
        <f t="shared" si="302"/>
        <v>30.485875</v>
      </c>
      <c r="AC442" s="10">
        <f>SUM($E$4:E442)</f>
        <v>-16080.296258795646</v>
      </c>
      <c r="AD442" s="20">
        <f>SUM($AB$4:AB442)</f>
        <v>12111.921758795594</v>
      </c>
      <c r="AF442" s="28">
        <f t="shared" si="303"/>
        <v>8.98</v>
      </c>
      <c r="AG442" s="2">
        <f t="shared" si="304"/>
        <v>11.234999999999999</v>
      </c>
      <c r="AH442" s="2">
        <f t="shared" si="305"/>
        <v>2.9184999999999999</v>
      </c>
      <c r="AI442" s="2">
        <f t="shared" si="326"/>
        <v>11.8985</v>
      </c>
      <c r="AJ442" s="2">
        <f t="shared" si="327"/>
        <v>1.784775</v>
      </c>
      <c r="AK442" s="2">
        <f t="shared" si="306"/>
        <v>0.17960000000000001</v>
      </c>
      <c r="AL442" s="2">
        <f t="shared" si="307"/>
        <v>5.3879999999999999</v>
      </c>
      <c r="AM442" s="2">
        <f t="shared" si="328"/>
        <v>30.485875</v>
      </c>
      <c r="AN442" s="2">
        <f t="shared" si="308"/>
        <v>80</v>
      </c>
      <c r="AO442" s="2">
        <f t="shared" si="309"/>
        <v>22.47</v>
      </c>
      <c r="AP442" s="2">
        <f t="shared" si="310"/>
        <v>47.594000000000001</v>
      </c>
      <c r="AQ442" s="2">
        <f t="shared" si="329"/>
        <v>127.59399999999999</v>
      </c>
      <c r="AR442" s="2">
        <f t="shared" si="330"/>
        <v>19.139099999999999</v>
      </c>
      <c r="AS442" s="2">
        <f t="shared" si="311"/>
        <v>0.17960000000000001</v>
      </c>
      <c r="AT442" s="2">
        <f t="shared" si="312"/>
        <v>5.3879999999999999</v>
      </c>
      <c r="AU442" s="2">
        <f t="shared" si="331"/>
        <v>174.77070000000001</v>
      </c>
      <c r="AV442" s="2">
        <f t="shared" si="313"/>
        <v>8.98</v>
      </c>
      <c r="AW442" s="2">
        <f t="shared" si="314"/>
        <v>4.4939999999999998</v>
      </c>
      <c r="AX442" s="2">
        <f t="shared" si="315"/>
        <v>1.8857999999999999</v>
      </c>
      <c r="AY442" s="2">
        <f t="shared" si="332"/>
        <v>10.8658</v>
      </c>
      <c r="AZ442" s="2">
        <f t="shared" si="333"/>
        <v>1.6298699999999999</v>
      </c>
      <c r="BA442" s="2">
        <f t="shared" si="316"/>
        <v>0.17960000000000001</v>
      </c>
      <c r="BB442" s="2">
        <f t="shared" si="317"/>
        <v>5.3879999999999999</v>
      </c>
      <c r="BC442" s="2">
        <f t="shared" si="334"/>
        <v>22.557270000000003</v>
      </c>
      <c r="BD442" s="2">
        <v>0</v>
      </c>
      <c r="BE442" s="2">
        <f t="shared" si="318"/>
        <v>89.8</v>
      </c>
      <c r="BF442" s="2">
        <f t="shared" si="319"/>
        <v>2.9184999999999999</v>
      </c>
      <c r="BG442" s="2">
        <f t="shared" si="335"/>
        <v>2.9184999999999999</v>
      </c>
      <c r="BH442" s="2">
        <f t="shared" si="336"/>
        <v>0.43777499999999997</v>
      </c>
      <c r="BI442" s="2">
        <f t="shared" si="320"/>
        <v>0.17960000000000001</v>
      </c>
      <c r="BJ442" s="2">
        <f t="shared" si="321"/>
        <v>5.3879999999999999</v>
      </c>
      <c r="BK442" s="2">
        <f t="shared" si="337"/>
        <v>98.723874999999992</v>
      </c>
      <c r="BL442" s="2">
        <f t="shared" si="322"/>
        <v>44860</v>
      </c>
      <c r="BM442" s="2">
        <f t="shared" si="323"/>
        <v>44940</v>
      </c>
      <c r="BN442" s="2">
        <f t="shared" si="338"/>
        <v>89800</v>
      </c>
    </row>
    <row r="443" spans="1:66" x14ac:dyDescent="0.25">
      <c r="A443" s="42">
        <v>440</v>
      </c>
      <c r="B443" s="43">
        <v>42891</v>
      </c>
      <c r="C443" s="42" t="s">
        <v>50</v>
      </c>
      <c r="D443" s="42" t="s">
        <v>163</v>
      </c>
      <c r="E443" s="6">
        <f t="shared" si="324"/>
        <v>-87.140700000002724</v>
      </c>
      <c r="F443" s="5" t="str">
        <f t="shared" si="339"/>
        <v>Loss</v>
      </c>
      <c r="G443" s="4">
        <f t="shared" si="340"/>
        <v>-72.000000000002728</v>
      </c>
      <c r="H443" s="46">
        <v>240</v>
      </c>
      <c r="I443" s="42">
        <v>93.15</v>
      </c>
      <c r="N443" s="5">
        <f t="shared" si="341"/>
        <v>240</v>
      </c>
      <c r="O443" s="4">
        <f t="shared" si="342"/>
        <v>93.15</v>
      </c>
      <c r="P443" s="5">
        <f t="shared" si="297"/>
        <v>240</v>
      </c>
      <c r="Q443" s="42">
        <v>92.85</v>
      </c>
      <c r="R443" s="2">
        <f t="shared" si="345"/>
        <v>0</v>
      </c>
      <c r="T443" s="2">
        <f t="shared" si="325"/>
        <v>0</v>
      </c>
      <c r="V443" s="5">
        <f t="shared" si="343"/>
        <v>240</v>
      </c>
      <c r="W443" s="4">
        <f t="shared" si="344"/>
        <v>92.85</v>
      </c>
      <c r="X443" s="14">
        <f t="shared" si="298"/>
        <v>-0.30000000000001137</v>
      </c>
      <c r="Y443" s="5">
        <f t="shared" si="299"/>
        <v>-72.000000000002728</v>
      </c>
      <c r="Z443" s="2">
        <f t="shared" si="300"/>
        <v>0</v>
      </c>
      <c r="AA443" s="4">
        <f t="shared" si="301"/>
        <v>0</v>
      </c>
      <c r="AB443" s="13">
        <f t="shared" si="302"/>
        <v>15.140699999999999</v>
      </c>
      <c r="AC443" s="10">
        <f>SUM($E$4:E443)</f>
        <v>-16167.43695879565</v>
      </c>
      <c r="AD443" s="20">
        <f>SUM($AB$4:AB443)</f>
        <v>12127.062458795594</v>
      </c>
      <c r="AF443" s="28">
        <f t="shared" si="303"/>
        <v>4.4640000000000004</v>
      </c>
      <c r="AG443" s="2">
        <f t="shared" si="304"/>
        <v>5.5709999999999997</v>
      </c>
      <c r="AH443" s="2">
        <f t="shared" si="305"/>
        <v>1.4507999999999999</v>
      </c>
      <c r="AI443" s="2">
        <f t="shared" si="326"/>
        <v>5.9148000000000005</v>
      </c>
      <c r="AJ443" s="2">
        <f t="shared" si="327"/>
        <v>0.88722000000000001</v>
      </c>
      <c r="AK443" s="2">
        <f t="shared" si="306"/>
        <v>8.9279999999999998E-2</v>
      </c>
      <c r="AL443" s="2">
        <f t="shared" si="307"/>
        <v>2.6783999999999999</v>
      </c>
      <c r="AM443" s="2">
        <f t="shared" si="328"/>
        <v>15.140699999999999</v>
      </c>
      <c r="AN443" s="2">
        <f t="shared" si="308"/>
        <v>40</v>
      </c>
      <c r="AO443" s="2">
        <f t="shared" si="309"/>
        <v>11.141999999999999</v>
      </c>
      <c r="AP443" s="2">
        <f t="shared" si="310"/>
        <v>23.659199999999998</v>
      </c>
      <c r="AQ443" s="2">
        <f t="shared" si="329"/>
        <v>63.659199999999998</v>
      </c>
      <c r="AR443" s="2">
        <f t="shared" si="330"/>
        <v>9.5488799999999987</v>
      </c>
      <c r="AS443" s="2">
        <f t="shared" si="311"/>
        <v>8.9279999999999998E-2</v>
      </c>
      <c r="AT443" s="2">
        <f t="shared" si="312"/>
        <v>2.6783999999999999</v>
      </c>
      <c r="AU443" s="2">
        <f t="shared" si="331"/>
        <v>87.11775999999999</v>
      </c>
      <c r="AV443" s="2">
        <f t="shared" si="313"/>
        <v>4.4640000000000004</v>
      </c>
      <c r="AW443" s="2">
        <f t="shared" si="314"/>
        <v>2.2283999999999997</v>
      </c>
      <c r="AX443" s="2">
        <f t="shared" si="315"/>
        <v>0.93743999999999994</v>
      </c>
      <c r="AY443" s="2">
        <f t="shared" si="332"/>
        <v>5.40144</v>
      </c>
      <c r="AZ443" s="2">
        <f t="shared" si="333"/>
        <v>0.81021599999999994</v>
      </c>
      <c r="BA443" s="2">
        <f t="shared" si="316"/>
        <v>8.9279999999999998E-2</v>
      </c>
      <c r="BB443" s="2">
        <f t="shared" si="317"/>
        <v>2.6783999999999999</v>
      </c>
      <c r="BC443" s="2">
        <f t="shared" si="334"/>
        <v>11.207736000000001</v>
      </c>
      <c r="BD443" s="2">
        <v>0</v>
      </c>
      <c r="BE443" s="2">
        <f t="shared" si="318"/>
        <v>44.64</v>
      </c>
      <c r="BF443" s="2">
        <f t="shared" si="319"/>
        <v>1.4507999999999999</v>
      </c>
      <c r="BG443" s="2">
        <f t="shared" si="335"/>
        <v>1.4507999999999999</v>
      </c>
      <c r="BH443" s="2">
        <f t="shared" si="336"/>
        <v>0.21761999999999998</v>
      </c>
      <c r="BI443" s="2">
        <f t="shared" si="320"/>
        <v>8.9279999999999998E-2</v>
      </c>
      <c r="BJ443" s="2">
        <f t="shared" si="321"/>
        <v>2.6783999999999999</v>
      </c>
      <c r="BK443" s="2">
        <f t="shared" si="337"/>
        <v>49.076099999999997</v>
      </c>
      <c r="BL443" s="2">
        <f t="shared" si="322"/>
        <v>22356</v>
      </c>
      <c r="BM443" s="2">
        <f t="shared" si="323"/>
        <v>22284</v>
      </c>
      <c r="BN443" s="2">
        <f t="shared" si="338"/>
        <v>44640</v>
      </c>
    </row>
    <row r="444" spans="1:66" x14ac:dyDescent="0.25">
      <c r="A444" s="42">
        <v>441</v>
      </c>
      <c r="B444" s="43">
        <v>42892</v>
      </c>
      <c r="C444" s="42" t="s">
        <v>50</v>
      </c>
      <c r="D444" s="42" t="s">
        <v>163</v>
      </c>
      <c r="E444" s="6">
        <f t="shared" si="324"/>
        <v>320.67798000000136</v>
      </c>
      <c r="F444" s="5" t="str">
        <f t="shared" si="339"/>
        <v>Win</v>
      </c>
      <c r="G444" s="4">
        <f t="shared" si="340"/>
        <v>336.00000000000136</v>
      </c>
      <c r="H444" s="46">
        <v>240</v>
      </c>
      <c r="I444" s="42">
        <v>93.1</v>
      </c>
      <c r="N444" s="5">
        <f t="shared" si="341"/>
        <v>240</v>
      </c>
      <c r="O444" s="4">
        <f t="shared" si="342"/>
        <v>93.1</v>
      </c>
      <c r="P444" s="5">
        <f t="shared" si="297"/>
        <v>240</v>
      </c>
      <c r="Q444" s="42">
        <v>94.5</v>
      </c>
      <c r="R444" s="2">
        <f t="shared" si="345"/>
        <v>0</v>
      </c>
      <c r="T444" s="2">
        <f t="shared" si="325"/>
        <v>0</v>
      </c>
      <c r="V444" s="5">
        <f t="shared" si="343"/>
        <v>240</v>
      </c>
      <c r="W444" s="4">
        <f t="shared" si="344"/>
        <v>94.5</v>
      </c>
      <c r="X444" s="14">
        <f t="shared" si="298"/>
        <v>1.4000000000000057</v>
      </c>
      <c r="Y444" s="5">
        <f t="shared" si="299"/>
        <v>336.00000000000136</v>
      </c>
      <c r="Z444" s="2">
        <f t="shared" si="300"/>
        <v>0</v>
      </c>
      <c r="AA444" s="4">
        <f t="shared" si="301"/>
        <v>0</v>
      </c>
      <c r="AB444" s="13">
        <f t="shared" si="302"/>
        <v>15.322019999999998</v>
      </c>
      <c r="AC444" s="10">
        <f>SUM($E$4:E444)</f>
        <v>-15846.758978795648</v>
      </c>
      <c r="AD444" s="20">
        <f>SUM($AB$4:AB444)</f>
        <v>12142.384478795593</v>
      </c>
      <c r="AF444" s="28">
        <f t="shared" si="303"/>
        <v>4.5024000000000006</v>
      </c>
      <c r="AG444" s="2">
        <f t="shared" si="304"/>
        <v>5.67</v>
      </c>
      <c r="AH444" s="2">
        <f t="shared" si="305"/>
        <v>1.4632799999999999</v>
      </c>
      <c r="AI444" s="2">
        <f t="shared" si="326"/>
        <v>5.9656800000000008</v>
      </c>
      <c r="AJ444" s="2">
        <f t="shared" si="327"/>
        <v>0.89485200000000009</v>
      </c>
      <c r="AK444" s="2">
        <f t="shared" si="306"/>
        <v>9.0048000000000003E-2</v>
      </c>
      <c r="AL444" s="2">
        <f t="shared" si="307"/>
        <v>2.7014400000000003</v>
      </c>
      <c r="AM444" s="2">
        <f t="shared" si="328"/>
        <v>15.322019999999998</v>
      </c>
      <c r="AN444" s="2">
        <f t="shared" si="308"/>
        <v>40</v>
      </c>
      <c r="AO444" s="2">
        <f t="shared" si="309"/>
        <v>11.34</v>
      </c>
      <c r="AP444" s="2">
        <f t="shared" si="310"/>
        <v>23.862719999999999</v>
      </c>
      <c r="AQ444" s="2">
        <f t="shared" si="329"/>
        <v>63.862719999999996</v>
      </c>
      <c r="AR444" s="2">
        <f t="shared" si="330"/>
        <v>9.579407999999999</v>
      </c>
      <c r="AS444" s="2">
        <f t="shared" si="311"/>
        <v>9.0048000000000003E-2</v>
      </c>
      <c r="AT444" s="2">
        <f t="shared" si="312"/>
        <v>2.7014400000000003</v>
      </c>
      <c r="AU444" s="2">
        <f t="shared" si="331"/>
        <v>87.573616000000001</v>
      </c>
      <c r="AV444" s="2">
        <f t="shared" si="313"/>
        <v>4.5024000000000006</v>
      </c>
      <c r="AW444" s="2">
        <f t="shared" si="314"/>
        <v>2.2680000000000002</v>
      </c>
      <c r="AX444" s="2">
        <f t="shared" si="315"/>
        <v>0.9455039999999999</v>
      </c>
      <c r="AY444" s="2">
        <f t="shared" si="332"/>
        <v>5.4479040000000003</v>
      </c>
      <c r="AZ444" s="2">
        <f t="shared" si="333"/>
        <v>0.81718560000000007</v>
      </c>
      <c r="BA444" s="2">
        <f t="shared" si="316"/>
        <v>9.0048000000000003E-2</v>
      </c>
      <c r="BB444" s="2">
        <f t="shared" si="317"/>
        <v>2.7014400000000003</v>
      </c>
      <c r="BC444" s="2">
        <f t="shared" si="334"/>
        <v>11.3245776</v>
      </c>
      <c r="BD444" s="2">
        <v>0</v>
      </c>
      <c r="BE444" s="2">
        <f t="shared" si="318"/>
        <v>45.024000000000001</v>
      </c>
      <c r="BF444" s="2">
        <f t="shared" si="319"/>
        <v>1.4632799999999999</v>
      </c>
      <c r="BG444" s="2">
        <f t="shared" si="335"/>
        <v>1.4632799999999999</v>
      </c>
      <c r="BH444" s="2">
        <f t="shared" si="336"/>
        <v>0.21949199999999999</v>
      </c>
      <c r="BI444" s="2">
        <f t="shared" si="320"/>
        <v>9.0048000000000003E-2</v>
      </c>
      <c r="BJ444" s="2">
        <f t="shared" si="321"/>
        <v>2.7014400000000003</v>
      </c>
      <c r="BK444" s="2">
        <f t="shared" si="337"/>
        <v>49.498260000000002</v>
      </c>
      <c r="BL444" s="2">
        <f t="shared" si="322"/>
        <v>22344</v>
      </c>
      <c r="BM444" s="2">
        <f t="shared" si="323"/>
        <v>22680</v>
      </c>
      <c r="BN444" s="2">
        <f t="shared" si="338"/>
        <v>45024</v>
      </c>
    </row>
    <row r="445" spans="1:66" x14ac:dyDescent="0.25">
      <c r="A445" s="42">
        <v>442</v>
      </c>
      <c r="B445" s="43">
        <v>42893</v>
      </c>
      <c r="C445" s="42" t="s">
        <v>50</v>
      </c>
      <c r="D445" s="42" t="s">
        <v>247</v>
      </c>
      <c r="E445" s="6">
        <f t="shared" si="324"/>
        <v>-132.35936000000001</v>
      </c>
      <c r="F445" s="5" t="str">
        <f t="shared" si="339"/>
        <v>Loss</v>
      </c>
      <c r="G445" s="4">
        <f t="shared" si="340"/>
        <v>-112</v>
      </c>
      <c r="H445" s="46">
        <v>56</v>
      </c>
      <c r="I445" s="42">
        <v>537</v>
      </c>
      <c r="N445" s="5">
        <f t="shared" si="341"/>
        <v>56</v>
      </c>
      <c r="O445" s="4">
        <f t="shared" si="342"/>
        <v>537</v>
      </c>
      <c r="P445" s="5">
        <f t="shared" si="297"/>
        <v>56</v>
      </c>
      <c r="Q445" s="42">
        <v>535</v>
      </c>
      <c r="R445" s="2">
        <f t="shared" si="345"/>
        <v>0</v>
      </c>
      <c r="T445" s="2">
        <f t="shared" si="325"/>
        <v>0</v>
      </c>
      <c r="V445" s="5">
        <f t="shared" si="343"/>
        <v>56</v>
      </c>
      <c r="W445" s="4">
        <f t="shared" si="344"/>
        <v>535</v>
      </c>
      <c r="X445" s="14">
        <f t="shared" si="298"/>
        <v>-2</v>
      </c>
      <c r="Y445" s="5">
        <f t="shared" si="299"/>
        <v>-112</v>
      </c>
      <c r="Z445" s="2">
        <f t="shared" si="300"/>
        <v>0</v>
      </c>
      <c r="AA445" s="4">
        <f t="shared" si="301"/>
        <v>0</v>
      </c>
      <c r="AB445" s="13">
        <f t="shared" si="302"/>
        <v>20.359359999999999</v>
      </c>
      <c r="AC445" s="10">
        <f>SUM($E$4:E445)</f>
        <v>-15979.118338795648</v>
      </c>
      <c r="AD445" s="20">
        <f>SUM($AB$4:AB445)</f>
        <v>12162.743838795594</v>
      </c>
      <c r="AF445" s="28">
        <f t="shared" si="303"/>
        <v>6.0032000000000005</v>
      </c>
      <c r="AG445" s="2">
        <f t="shared" si="304"/>
        <v>7.49</v>
      </c>
      <c r="AH445" s="2">
        <f t="shared" si="305"/>
        <v>1.9510399999999999</v>
      </c>
      <c r="AI445" s="2">
        <f t="shared" si="326"/>
        <v>7.9542400000000004</v>
      </c>
      <c r="AJ445" s="2">
        <f t="shared" si="327"/>
        <v>1.193136</v>
      </c>
      <c r="AK445" s="2">
        <f t="shared" si="306"/>
        <v>0.120064</v>
      </c>
      <c r="AL445" s="2">
        <f t="shared" si="307"/>
        <v>3.6019200000000002</v>
      </c>
      <c r="AM445" s="2">
        <f t="shared" si="328"/>
        <v>20.359359999999999</v>
      </c>
      <c r="AN445" s="2">
        <f t="shared" si="308"/>
        <v>40</v>
      </c>
      <c r="AO445" s="2">
        <f t="shared" si="309"/>
        <v>14.98</v>
      </c>
      <c r="AP445" s="2">
        <f t="shared" si="310"/>
        <v>31.816959999999998</v>
      </c>
      <c r="AQ445" s="2">
        <f t="shared" si="329"/>
        <v>71.816959999999995</v>
      </c>
      <c r="AR445" s="2">
        <f t="shared" si="330"/>
        <v>10.772543999999998</v>
      </c>
      <c r="AS445" s="2">
        <f t="shared" si="311"/>
        <v>0.120064</v>
      </c>
      <c r="AT445" s="2">
        <f t="shared" si="312"/>
        <v>3.6019200000000002</v>
      </c>
      <c r="AU445" s="2">
        <f t="shared" si="331"/>
        <v>101.291488</v>
      </c>
      <c r="AV445" s="2">
        <f t="shared" si="313"/>
        <v>6.0032000000000005</v>
      </c>
      <c r="AW445" s="2">
        <f t="shared" si="314"/>
        <v>2.996</v>
      </c>
      <c r="AX445" s="2">
        <f t="shared" si="315"/>
        <v>1.260672</v>
      </c>
      <c r="AY445" s="2">
        <f t="shared" si="332"/>
        <v>7.263872000000001</v>
      </c>
      <c r="AZ445" s="2">
        <f t="shared" si="333"/>
        <v>1.0895808</v>
      </c>
      <c r="BA445" s="2">
        <f t="shared" si="316"/>
        <v>0.120064</v>
      </c>
      <c r="BB445" s="2">
        <f t="shared" si="317"/>
        <v>3.6019200000000002</v>
      </c>
      <c r="BC445" s="2">
        <f t="shared" si="334"/>
        <v>15.071436799999999</v>
      </c>
      <c r="BD445" s="2">
        <v>0</v>
      </c>
      <c r="BE445" s="2">
        <f t="shared" si="318"/>
        <v>60.032000000000004</v>
      </c>
      <c r="BF445" s="2">
        <f t="shared" si="319"/>
        <v>1.9510399999999999</v>
      </c>
      <c r="BG445" s="2">
        <f t="shared" si="335"/>
        <v>1.9510399999999999</v>
      </c>
      <c r="BH445" s="2">
        <f t="shared" si="336"/>
        <v>0.29265599999999997</v>
      </c>
      <c r="BI445" s="2">
        <f t="shared" si="320"/>
        <v>0.120064</v>
      </c>
      <c r="BJ445" s="2">
        <f t="shared" si="321"/>
        <v>3.6019200000000002</v>
      </c>
      <c r="BK445" s="2">
        <f t="shared" si="337"/>
        <v>65.997680000000003</v>
      </c>
      <c r="BL445" s="2">
        <f t="shared" si="322"/>
        <v>30072</v>
      </c>
      <c r="BM445" s="2">
        <f t="shared" si="323"/>
        <v>29960</v>
      </c>
      <c r="BN445" s="2">
        <f t="shared" si="338"/>
        <v>60032</v>
      </c>
    </row>
    <row r="446" spans="1:66" x14ac:dyDescent="0.25">
      <c r="A446" s="42">
        <v>443</v>
      </c>
      <c r="B446" s="43">
        <v>42893</v>
      </c>
      <c r="C446" s="42" t="s">
        <v>50</v>
      </c>
      <c r="D446" s="42" t="s">
        <v>247</v>
      </c>
      <c r="E446" s="6">
        <f t="shared" si="324"/>
        <v>-122.83453</v>
      </c>
      <c r="F446" s="5" t="str">
        <f t="shared" si="339"/>
        <v>Loss</v>
      </c>
      <c r="G446" s="4">
        <f t="shared" si="340"/>
        <v>-104</v>
      </c>
      <c r="H446" s="46">
        <v>52</v>
      </c>
      <c r="I446" s="42">
        <v>535</v>
      </c>
      <c r="N446" s="5">
        <f t="shared" si="341"/>
        <v>52</v>
      </c>
      <c r="O446" s="4">
        <f t="shared" si="342"/>
        <v>535</v>
      </c>
      <c r="P446" s="5">
        <f t="shared" si="297"/>
        <v>52</v>
      </c>
      <c r="Q446" s="42">
        <v>533</v>
      </c>
      <c r="R446" s="2">
        <f t="shared" si="345"/>
        <v>0</v>
      </c>
      <c r="T446" s="2">
        <f t="shared" si="325"/>
        <v>0</v>
      </c>
      <c r="V446" s="5">
        <f t="shared" si="343"/>
        <v>52</v>
      </c>
      <c r="W446" s="4">
        <f t="shared" si="344"/>
        <v>533</v>
      </c>
      <c r="X446" s="14">
        <f t="shared" si="298"/>
        <v>-2</v>
      </c>
      <c r="Y446" s="5">
        <f t="shared" si="299"/>
        <v>-104</v>
      </c>
      <c r="Z446" s="2">
        <f t="shared" si="300"/>
        <v>0</v>
      </c>
      <c r="AA446" s="4">
        <f t="shared" si="301"/>
        <v>0</v>
      </c>
      <c r="AB446" s="13">
        <f t="shared" si="302"/>
        <v>18.834530000000001</v>
      </c>
      <c r="AC446" s="10">
        <f>SUM($E$4:E446)</f>
        <v>-16101.952868795648</v>
      </c>
      <c r="AD446" s="20">
        <f>SUM($AB$4:AB446)</f>
        <v>12181.578368795594</v>
      </c>
      <c r="AF446" s="28">
        <f t="shared" si="303"/>
        <v>5.5536000000000003</v>
      </c>
      <c r="AG446" s="2">
        <f t="shared" si="304"/>
        <v>6.9290000000000003</v>
      </c>
      <c r="AH446" s="2">
        <f t="shared" si="305"/>
        <v>1.8049199999999999</v>
      </c>
      <c r="AI446" s="2">
        <f t="shared" si="326"/>
        <v>7.3585200000000004</v>
      </c>
      <c r="AJ446" s="2">
        <f t="shared" si="327"/>
        <v>1.1037779999999999</v>
      </c>
      <c r="AK446" s="2">
        <f t="shared" si="306"/>
        <v>0.11107199999999999</v>
      </c>
      <c r="AL446" s="2">
        <f t="shared" si="307"/>
        <v>3.33216</v>
      </c>
      <c r="AM446" s="2">
        <f t="shared" si="328"/>
        <v>18.834530000000001</v>
      </c>
      <c r="AN446" s="2">
        <f t="shared" si="308"/>
        <v>40</v>
      </c>
      <c r="AO446" s="2">
        <f t="shared" si="309"/>
        <v>13.858000000000001</v>
      </c>
      <c r="AP446" s="2">
        <f t="shared" si="310"/>
        <v>29.434079999999998</v>
      </c>
      <c r="AQ446" s="2">
        <f t="shared" si="329"/>
        <v>69.434079999999994</v>
      </c>
      <c r="AR446" s="2">
        <f t="shared" si="330"/>
        <v>10.415111999999999</v>
      </c>
      <c r="AS446" s="2">
        <f t="shared" si="311"/>
        <v>0.11107199999999999</v>
      </c>
      <c r="AT446" s="2">
        <f t="shared" si="312"/>
        <v>3.33216</v>
      </c>
      <c r="AU446" s="2">
        <f t="shared" si="331"/>
        <v>97.150423999999987</v>
      </c>
      <c r="AV446" s="2">
        <f t="shared" si="313"/>
        <v>5.5536000000000003</v>
      </c>
      <c r="AW446" s="2">
        <f t="shared" si="314"/>
        <v>2.7716000000000003</v>
      </c>
      <c r="AX446" s="2">
        <f t="shared" si="315"/>
        <v>1.166256</v>
      </c>
      <c r="AY446" s="2">
        <f t="shared" si="332"/>
        <v>6.7198560000000001</v>
      </c>
      <c r="AZ446" s="2">
        <f t="shared" si="333"/>
        <v>1.0079784000000001</v>
      </c>
      <c r="BA446" s="2">
        <f t="shared" si="316"/>
        <v>0.11107199999999999</v>
      </c>
      <c r="BB446" s="2">
        <f t="shared" si="317"/>
        <v>3.33216</v>
      </c>
      <c r="BC446" s="2">
        <f t="shared" si="334"/>
        <v>13.942666400000002</v>
      </c>
      <c r="BD446" s="2">
        <v>0</v>
      </c>
      <c r="BE446" s="2">
        <f t="shared" si="318"/>
        <v>55.536000000000001</v>
      </c>
      <c r="BF446" s="2">
        <f t="shared" si="319"/>
        <v>1.8049199999999999</v>
      </c>
      <c r="BG446" s="2">
        <f t="shared" si="335"/>
        <v>1.8049199999999999</v>
      </c>
      <c r="BH446" s="2">
        <f t="shared" si="336"/>
        <v>0.27073799999999998</v>
      </c>
      <c r="BI446" s="2">
        <f t="shared" si="320"/>
        <v>0.11107199999999999</v>
      </c>
      <c r="BJ446" s="2">
        <f t="shared" si="321"/>
        <v>3.33216</v>
      </c>
      <c r="BK446" s="2">
        <f t="shared" si="337"/>
        <v>61.054890000000007</v>
      </c>
      <c r="BL446" s="2">
        <f t="shared" si="322"/>
        <v>27820</v>
      </c>
      <c r="BM446" s="2">
        <f t="shared" si="323"/>
        <v>27716</v>
      </c>
      <c r="BN446" s="2">
        <f t="shared" si="338"/>
        <v>55536</v>
      </c>
    </row>
    <row r="447" spans="1:66" x14ac:dyDescent="0.25">
      <c r="A447" s="42">
        <v>444</v>
      </c>
      <c r="B447" s="43">
        <v>42894</v>
      </c>
      <c r="C447" s="42" t="s">
        <v>50</v>
      </c>
      <c r="D447" s="42" t="s">
        <v>202</v>
      </c>
      <c r="E447" s="6">
        <f t="shared" si="324"/>
        <v>-134.7576267187516</v>
      </c>
      <c r="F447" s="5" t="str">
        <f t="shared" si="339"/>
        <v>Loss</v>
      </c>
      <c r="G447" s="4">
        <f t="shared" si="340"/>
        <v>-120.75000000000159</v>
      </c>
      <c r="H447" s="46">
        <v>35</v>
      </c>
      <c r="I447" s="42">
        <v>592</v>
      </c>
      <c r="N447" s="5">
        <f t="shared" si="341"/>
        <v>35</v>
      </c>
      <c r="O447" s="4">
        <f t="shared" si="342"/>
        <v>592</v>
      </c>
      <c r="P447" s="5">
        <f t="shared" si="297"/>
        <v>35</v>
      </c>
      <c r="Q447" s="42">
        <v>588.54999999999995</v>
      </c>
      <c r="R447" s="2">
        <f t="shared" si="345"/>
        <v>0</v>
      </c>
      <c r="T447" s="2">
        <f t="shared" si="325"/>
        <v>0</v>
      </c>
      <c r="V447" s="5">
        <f t="shared" si="343"/>
        <v>35</v>
      </c>
      <c r="W447" s="4">
        <f t="shared" si="344"/>
        <v>588.54999999999995</v>
      </c>
      <c r="X447" s="14">
        <f t="shared" si="298"/>
        <v>-3.4500000000000455</v>
      </c>
      <c r="Y447" s="5">
        <f t="shared" si="299"/>
        <v>-120.75000000000159</v>
      </c>
      <c r="Z447" s="2">
        <f t="shared" si="300"/>
        <v>0</v>
      </c>
      <c r="AA447" s="4">
        <f t="shared" si="301"/>
        <v>0</v>
      </c>
      <c r="AB447" s="13">
        <f t="shared" si="302"/>
        <v>14.00762671875</v>
      </c>
      <c r="AC447" s="10">
        <f>SUM($E$4:E447)</f>
        <v>-16236.7104955144</v>
      </c>
      <c r="AD447" s="20">
        <f>SUM($AB$4:AB447)</f>
        <v>12195.585995514344</v>
      </c>
      <c r="AF447" s="28">
        <f t="shared" si="303"/>
        <v>4.1319249999999998</v>
      </c>
      <c r="AG447" s="2">
        <f t="shared" si="304"/>
        <v>5.1498125000000003</v>
      </c>
      <c r="AH447" s="2">
        <f t="shared" si="305"/>
        <v>1.3428756249999998</v>
      </c>
      <c r="AI447" s="2">
        <f t="shared" si="326"/>
        <v>5.4748006249999994</v>
      </c>
      <c r="AJ447" s="2">
        <f t="shared" si="327"/>
        <v>0.82122009374999994</v>
      </c>
      <c r="AK447" s="2">
        <f t="shared" si="306"/>
        <v>8.2638500000000004E-2</v>
      </c>
      <c r="AL447" s="2">
        <f t="shared" si="307"/>
        <v>2.479155</v>
      </c>
      <c r="AM447" s="2">
        <f t="shared" si="328"/>
        <v>14.00762671875</v>
      </c>
      <c r="AN447" s="2">
        <f t="shared" si="308"/>
        <v>40</v>
      </c>
      <c r="AO447" s="2">
        <f t="shared" si="309"/>
        <v>10.299625000000001</v>
      </c>
      <c r="AP447" s="2">
        <f t="shared" si="310"/>
        <v>21.899202499999998</v>
      </c>
      <c r="AQ447" s="2">
        <f t="shared" si="329"/>
        <v>61.899202500000001</v>
      </c>
      <c r="AR447" s="2">
        <f t="shared" si="330"/>
        <v>9.2848803750000002</v>
      </c>
      <c r="AS447" s="2">
        <f t="shared" si="311"/>
        <v>8.2638500000000004E-2</v>
      </c>
      <c r="AT447" s="2">
        <f t="shared" si="312"/>
        <v>2.479155</v>
      </c>
      <c r="AU447" s="2">
        <f t="shared" si="331"/>
        <v>84.045501375000001</v>
      </c>
      <c r="AV447" s="2">
        <f t="shared" si="313"/>
        <v>4.1319249999999998</v>
      </c>
      <c r="AW447" s="2">
        <f t="shared" si="314"/>
        <v>2.0599249999999998</v>
      </c>
      <c r="AX447" s="2">
        <f t="shared" si="315"/>
        <v>0.86770424999999995</v>
      </c>
      <c r="AY447" s="2">
        <f t="shared" si="332"/>
        <v>4.9996292499999999</v>
      </c>
      <c r="AZ447" s="2">
        <f t="shared" si="333"/>
        <v>0.74994438749999992</v>
      </c>
      <c r="BA447" s="2">
        <f t="shared" si="316"/>
        <v>8.2638500000000004E-2</v>
      </c>
      <c r="BB447" s="2">
        <f t="shared" si="317"/>
        <v>2.479155</v>
      </c>
      <c r="BC447" s="2">
        <f t="shared" si="334"/>
        <v>10.371292137499999</v>
      </c>
      <c r="BD447" s="2">
        <v>0</v>
      </c>
      <c r="BE447" s="2">
        <f t="shared" si="318"/>
        <v>41.319250000000004</v>
      </c>
      <c r="BF447" s="2">
        <f t="shared" si="319"/>
        <v>1.3428756249999998</v>
      </c>
      <c r="BG447" s="2">
        <f t="shared" si="335"/>
        <v>1.3428756249999998</v>
      </c>
      <c r="BH447" s="2">
        <f t="shared" si="336"/>
        <v>0.20143134374999996</v>
      </c>
      <c r="BI447" s="2">
        <f t="shared" si="320"/>
        <v>8.2638500000000004E-2</v>
      </c>
      <c r="BJ447" s="2">
        <f t="shared" si="321"/>
        <v>2.479155</v>
      </c>
      <c r="BK447" s="2">
        <f t="shared" si="337"/>
        <v>45.425350468750004</v>
      </c>
      <c r="BL447" s="2">
        <f t="shared" si="322"/>
        <v>20720</v>
      </c>
      <c r="BM447" s="2">
        <f t="shared" si="323"/>
        <v>20599.25</v>
      </c>
      <c r="BN447" s="2">
        <f t="shared" si="338"/>
        <v>41319.25</v>
      </c>
    </row>
    <row r="448" spans="1:66" x14ac:dyDescent="0.25">
      <c r="A448" s="42">
        <v>445</v>
      </c>
      <c r="B448" s="43">
        <v>42894</v>
      </c>
      <c r="C448" s="42" t="s">
        <v>50</v>
      </c>
      <c r="D448" s="42" t="s">
        <v>163</v>
      </c>
      <c r="E448" s="6">
        <f t="shared" si="324"/>
        <v>386.09410274999937</v>
      </c>
      <c r="F448" s="5" t="str">
        <f t="shared" si="339"/>
        <v>Win</v>
      </c>
      <c r="G448" s="4">
        <f t="shared" si="340"/>
        <v>399.59999999999934</v>
      </c>
      <c r="H448" s="46">
        <v>222</v>
      </c>
      <c r="I448" s="42">
        <v>88.4</v>
      </c>
      <c r="N448" s="5">
        <f t="shared" si="341"/>
        <v>222</v>
      </c>
      <c r="O448" s="4">
        <f t="shared" si="342"/>
        <v>88.4</v>
      </c>
      <c r="P448" s="5">
        <f t="shared" si="297"/>
        <v>222</v>
      </c>
      <c r="Q448" s="42">
        <v>90.2</v>
      </c>
      <c r="R448" s="2">
        <f t="shared" si="345"/>
        <v>0</v>
      </c>
      <c r="T448" s="2">
        <f t="shared" si="325"/>
        <v>0</v>
      </c>
      <c r="V448" s="5">
        <f t="shared" si="343"/>
        <v>222</v>
      </c>
      <c r="W448" s="4">
        <f t="shared" si="344"/>
        <v>90.2</v>
      </c>
      <c r="X448" s="14">
        <f t="shared" si="298"/>
        <v>1.7999999999999972</v>
      </c>
      <c r="Y448" s="5">
        <f t="shared" si="299"/>
        <v>399.59999999999934</v>
      </c>
      <c r="Z448" s="2">
        <f t="shared" si="300"/>
        <v>0</v>
      </c>
      <c r="AA448" s="4">
        <f t="shared" si="301"/>
        <v>0</v>
      </c>
      <c r="AB448" s="13">
        <f t="shared" si="302"/>
        <v>13.505897250000002</v>
      </c>
      <c r="AC448" s="10">
        <f>SUM($E$4:E448)</f>
        <v>-15850.616392764401</v>
      </c>
      <c r="AD448" s="20">
        <f>SUM($AB$4:AB448)</f>
        <v>12209.091892764343</v>
      </c>
      <c r="AF448" s="28">
        <f t="shared" si="303"/>
        <v>3.9649200000000007</v>
      </c>
      <c r="AG448" s="2">
        <f t="shared" si="304"/>
        <v>5.0061</v>
      </c>
      <c r="AH448" s="2">
        <f t="shared" si="305"/>
        <v>1.288599</v>
      </c>
      <c r="AI448" s="2">
        <f t="shared" si="326"/>
        <v>5.2535190000000007</v>
      </c>
      <c r="AJ448" s="2">
        <f t="shared" si="327"/>
        <v>0.78802785000000009</v>
      </c>
      <c r="AK448" s="2">
        <f t="shared" si="306"/>
        <v>7.9298400000000005E-2</v>
      </c>
      <c r="AL448" s="2">
        <f t="shared" si="307"/>
        <v>2.3789520000000004</v>
      </c>
      <c r="AM448" s="2">
        <f t="shared" si="328"/>
        <v>13.505897250000002</v>
      </c>
      <c r="AN448" s="2">
        <f t="shared" si="308"/>
        <v>40</v>
      </c>
      <c r="AO448" s="2">
        <f t="shared" si="309"/>
        <v>10.0122</v>
      </c>
      <c r="AP448" s="2">
        <f t="shared" si="310"/>
        <v>21.014076000000003</v>
      </c>
      <c r="AQ448" s="2">
        <f t="shared" si="329"/>
        <v>61.014076000000003</v>
      </c>
      <c r="AR448" s="2">
        <f t="shared" si="330"/>
        <v>9.1521114000000008</v>
      </c>
      <c r="AS448" s="2">
        <f t="shared" si="311"/>
        <v>7.9298400000000005E-2</v>
      </c>
      <c r="AT448" s="2">
        <f t="shared" si="312"/>
        <v>2.3789520000000004</v>
      </c>
      <c r="AU448" s="2">
        <f t="shared" si="331"/>
        <v>82.636637799999988</v>
      </c>
      <c r="AV448" s="2">
        <f t="shared" si="313"/>
        <v>3.9649200000000007</v>
      </c>
      <c r="AW448" s="2">
        <f t="shared" si="314"/>
        <v>2.00244</v>
      </c>
      <c r="AX448" s="2">
        <f t="shared" si="315"/>
        <v>0.83263320000000007</v>
      </c>
      <c r="AY448" s="2">
        <f t="shared" si="332"/>
        <v>4.7975532000000012</v>
      </c>
      <c r="AZ448" s="2">
        <f t="shared" si="333"/>
        <v>0.7196329800000002</v>
      </c>
      <c r="BA448" s="2">
        <f t="shared" si="316"/>
        <v>7.9298400000000005E-2</v>
      </c>
      <c r="BB448" s="2">
        <f t="shared" si="317"/>
        <v>2.3789520000000004</v>
      </c>
      <c r="BC448" s="2">
        <f t="shared" si="334"/>
        <v>9.977876580000002</v>
      </c>
      <c r="BD448" s="2">
        <v>0</v>
      </c>
      <c r="BE448" s="2">
        <f t="shared" si="318"/>
        <v>39.649200000000008</v>
      </c>
      <c r="BF448" s="2">
        <f t="shared" si="319"/>
        <v>1.288599</v>
      </c>
      <c r="BG448" s="2">
        <f t="shared" si="335"/>
        <v>1.288599</v>
      </c>
      <c r="BH448" s="2">
        <f t="shared" si="336"/>
        <v>0.19328985000000001</v>
      </c>
      <c r="BI448" s="2">
        <f t="shared" si="320"/>
        <v>7.9298400000000005E-2</v>
      </c>
      <c r="BJ448" s="2">
        <f t="shared" si="321"/>
        <v>2.3789520000000004</v>
      </c>
      <c r="BK448" s="2">
        <f t="shared" si="337"/>
        <v>43.589339250000002</v>
      </c>
      <c r="BL448" s="2">
        <f t="shared" si="322"/>
        <v>19624.800000000003</v>
      </c>
      <c r="BM448" s="2">
        <f t="shared" si="323"/>
        <v>20024.400000000001</v>
      </c>
      <c r="BN448" s="2">
        <f t="shared" si="338"/>
        <v>39649.200000000004</v>
      </c>
    </row>
    <row r="449" spans="1:66" x14ac:dyDescent="0.25">
      <c r="A449" s="42">
        <v>446</v>
      </c>
      <c r="B449" s="43">
        <v>42894</v>
      </c>
      <c r="C449" s="42" t="s">
        <v>50</v>
      </c>
      <c r="D449" s="42" t="s">
        <v>202</v>
      </c>
      <c r="E449" s="6">
        <f t="shared" si="324"/>
        <v>-38.507185937501596</v>
      </c>
      <c r="F449" s="5" t="str">
        <f t="shared" si="339"/>
        <v>Loss</v>
      </c>
      <c r="G449" s="4">
        <f t="shared" si="340"/>
        <v>-24.500000000001592</v>
      </c>
      <c r="H449" s="46">
        <v>35</v>
      </c>
      <c r="I449" s="42">
        <v>590.1</v>
      </c>
      <c r="N449" s="5">
        <f t="shared" si="341"/>
        <v>35</v>
      </c>
      <c r="O449" s="4">
        <f t="shared" si="342"/>
        <v>590.1</v>
      </c>
      <c r="P449" s="5">
        <f t="shared" si="297"/>
        <v>35</v>
      </c>
      <c r="Q449" s="42">
        <v>589.4</v>
      </c>
      <c r="R449" s="2">
        <f t="shared" si="345"/>
        <v>0</v>
      </c>
      <c r="T449" s="2">
        <f t="shared" si="325"/>
        <v>0</v>
      </c>
      <c r="V449" s="5">
        <f t="shared" si="343"/>
        <v>35</v>
      </c>
      <c r="W449" s="4">
        <f t="shared" si="344"/>
        <v>589.4</v>
      </c>
      <c r="X449" s="14">
        <f t="shared" si="298"/>
        <v>-0.70000000000004547</v>
      </c>
      <c r="Y449" s="5">
        <f t="shared" si="299"/>
        <v>-24.500000000001592</v>
      </c>
      <c r="Z449" s="2">
        <f t="shared" si="300"/>
        <v>0</v>
      </c>
      <c r="AA449" s="4">
        <f t="shared" si="301"/>
        <v>0</v>
      </c>
      <c r="AB449" s="13">
        <f t="shared" si="302"/>
        <v>14.007185937500003</v>
      </c>
      <c r="AC449" s="10">
        <f>SUM($E$4:E449)</f>
        <v>-15889.123578701903</v>
      </c>
      <c r="AD449" s="20">
        <f>SUM($AB$4:AB449)</f>
        <v>12223.099078701844</v>
      </c>
      <c r="AF449" s="28">
        <f t="shared" si="303"/>
        <v>4.1282500000000004</v>
      </c>
      <c r="AG449" s="2">
        <f t="shared" si="304"/>
        <v>5.1572500000000003</v>
      </c>
      <c r="AH449" s="2">
        <f t="shared" si="305"/>
        <v>1.3416812499999999</v>
      </c>
      <c r="AI449" s="2">
        <f t="shared" si="326"/>
        <v>5.4699312500000001</v>
      </c>
      <c r="AJ449" s="2">
        <f t="shared" si="327"/>
        <v>0.82048968749999995</v>
      </c>
      <c r="AK449" s="2">
        <f t="shared" si="306"/>
        <v>8.2565E-2</v>
      </c>
      <c r="AL449" s="2">
        <f t="shared" si="307"/>
        <v>2.47695</v>
      </c>
      <c r="AM449" s="2">
        <f t="shared" si="328"/>
        <v>14.007185937500003</v>
      </c>
      <c r="AN449" s="2">
        <f t="shared" si="308"/>
        <v>40</v>
      </c>
      <c r="AO449" s="2">
        <f t="shared" si="309"/>
        <v>10.314500000000001</v>
      </c>
      <c r="AP449" s="2">
        <f t="shared" si="310"/>
        <v>21.879725000000001</v>
      </c>
      <c r="AQ449" s="2">
        <f t="shared" si="329"/>
        <v>61.879725000000001</v>
      </c>
      <c r="AR449" s="2">
        <f t="shared" si="330"/>
        <v>9.2819587499999994</v>
      </c>
      <c r="AS449" s="2">
        <f t="shared" si="311"/>
        <v>8.2565E-2</v>
      </c>
      <c r="AT449" s="2">
        <f t="shared" si="312"/>
        <v>2.47695</v>
      </c>
      <c r="AU449" s="2">
        <f t="shared" si="331"/>
        <v>84.035698750000009</v>
      </c>
      <c r="AV449" s="2">
        <f t="shared" si="313"/>
        <v>4.1282500000000004</v>
      </c>
      <c r="AW449" s="2">
        <f t="shared" si="314"/>
        <v>2.0629</v>
      </c>
      <c r="AX449" s="2">
        <f t="shared" si="315"/>
        <v>0.86693249999999999</v>
      </c>
      <c r="AY449" s="2">
        <f t="shared" si="332"/>
        <v>4.9951825000000003</v>
      </c>
      <c r="AZ449" s="2">
        <f t="shared" si="333"/>
        <v>0.74927737500000002</v>
      </c>
      <c r="BA449" s="2">
        <f t="shared" si="316"/>
        <v>8.2565E-2</v>
      </c>
      <c r="BB449" s="2">
        <f t="shared" si="317"/>
        <v>2.47695</v>
      </c>
      <c r="BC449" s="2">
        <f t="shared" si="334"/>
        <v>10.366874875000001</v>
      </c>
      <c r="BD449" s="2">
        <v>0</v>
      </c>
      <c r="BE449" s="2">
        <f t="shared" si="318"/>
        <v>41.282499999999999</v>
      </c>
      <c r="BF449" s="2">
        <f t="shared" si="319"/>
        <v>1.3416812499999999</v>
      </c>
      <c r="BG449" s="2">
        <f t="shared" si="335"/>
        <v>1.3416812499999999</v>
      </c>
      <c r="BH449" s="2">
        <f t="shared" si="336"/>
        <v>0.20125218749999998</v>
      </c>
      <c r="BI449" s="2">
        <f t="shared" si="320"/>
        <v>8.2565E-2</v>
      </c>
      <c r="BJ449" s="2">
        <f t="shared" si="321"/>
        <v>2.47695</v>
      </c>
      <c r="BK449" s="2">
        <f t="shared" si="337"/>
        <v>45.384948437500007</v>
      </c>
      <c r="BL449" s="2">
        <f t="shared" si="322"/>
        <v>20653.5</v>
      </c>
      <c r="BM449" s="2">
        <f t="shared" si="323"/>
        <v>20629</v>
      </c>
      <c r="BN449" s="2">
        <f t="shared" si="338"/>
        <v>41282.5</v>
      </c>
    </row>
    <row r="450" spans="1:66" x14ac:dyDescent="0.25">
      <c r="A450" s="42">
        <v>447</v>
      </c>
      <c r="B450" s="43">
        <v>42895</v>
      </c>
      <c r="C450" s="42" t="s">
        <v>50</v>
      </c>
      <c r="D450" s="42" t="s">
        <v>163</v>
      </c>
      <c r="E450" s="6">
        <f t="shared" si="324"/>
        <v>-107.65794881249737</v>
      </c>
      <c r="F450" s="5" t="str">
        <f t="shared" si="339"/>
        <v>Loss</v>
      </c>
      <c r="G450" s="4">
        <f t="shared" si="340"/>
        <v>-88.799999999997368</v>
      </c>
      <c r="H450" s="46">
        <v>274</v>
      </c>
      <c r="I450" s="42">
        <v>85.35</v>
      </c>
      <c r="J450" s="42">
        <v>52</v>
      </c>
      <c r="K450" s="42">
        <v>85.1</v>
      </c>
      <c r="N450" s="5">
        <f t="shared" si="341"/>
        <v>326</v>
      </c>
      <c r="O450" s="4">
        <f t="shared" si="342"/>
        <v>85.224999999999994</v>
      </c>
      <c r="P450" s="5">
        <f t="shared" si="297"/>
        <v>274</v>
      </c>
      <c r="Q450" s="42">
        <v>84.95</v>
      </c>
      <c r="R450" s="2">
        <f t="shared" si="345"/>
        <v>52</v>
      </c>
      <c r="S450" s="42">
        <v>85.5</v>
      </c>
      <c r="T450" s="2">
        <f t="shared" si="325"/>
        <v>0</v>
      </c>
      <c r="V450" s="5">
        <f t="shared" si="343"/>
        <v>326</v>
      </c>
      <c r="W450" s="4">
        <f t="shared" si="344"/>
        <v>85.224999999999994</v>
      </c>
      <c r="X450" s="14">
        <f t="shared" si="298"/>
        <v>0.40000000000000568</v>
      </c>
      <c r="Y450" s="5">
        <f t="shared" si="299"/>
        <v>-109.59999999999766</v>
      </c>
      <c r="Z450" s="2">
        <f t="shared" si="300"/>
        <v>20.800000000000296</v>
      </c>
      <c r="AA450" s="4">
        <f t="shared" si="301"/>
        <v>0</v>
      </c>
      <c r="AB450" s="13">
        <f t="shared" si="302"/>
        <v>18.857948812499998</v>
      </c>
      <c r="AC450" s="10">
        <f>SUM($E$4:E450)</f>
        <v>-15996.7815275144</v>
      </c>
      <c r="AD450" s="20">
        <f>SUM($AB$4:AB450)</f>
        <v>12241.957027514343</v>
      </c>
      <c r="AF450" s="28">
        <f t="shared" si="303"/>
        <v>5.5566699999999996</v>
      </c>
      <c r="AG450" s="2">
        <f t="shared" si="304"/>
        <v>6.9458374999999997</v>
      </c>
      <c r="AH450" s="2">
        <f t="shared" si="305"/>
        <v>1.8059177499999997</v>
      </c>
      <c r="AI450" s="2">
        <f t="shared" si="326"/>
        <v>7.3625877499999994</v>
      </c>
      <c r="AJ450" s="2">
        <f t="shared" si="327"/>
        <v>1.1043881624999998</v>
      </c>
      <c r="AK450" s="2">
        <f t="shared" si="306"/>
        <v>0.11113339999999999</v>
      </c>
      <c r="AL450" s="2">
        <f t="shared" si="307"/>
        <v>3.3340019999999999</v>
      </c>
      <c r="AM450" s="2">
        <f t="shared" si="328"/>
        <v>18.857948812499998</v>
      </c>
      <c r="AN450" s="2">
        <f t="shared" si="308"/>
        <v>80</v>
      </c>
      <c r="AO450" s="2">
        <f t="shared" si="309"/>
        <v>13.891674999999999</v>
      </c>
      <c r="AP450" s="2">
        <f t="shared" si="310"/>
        <v>29.450350999999998</v>
      </c>
      <c r="AQ450" s="2">
        <f t="shared" si="329"/>
        <v>109.450351</v>
      </c>
      <c r="AR450" s="2">
        <f t="shared" si="330"/>
        <v>16.417552649999998</v>
      </c>
      <c r="AS450" s="2">
        <f t="shared" si="311"/>
        <v>0.11113339999999999</v>
      </c>
      <c r="AT450" s="2">
        <f t="shared" si="312"/>
        <v>3.3340019999999999</v>
      </c>
      <c r="AU450" s="2">
        <f t="shared" si="331"/>
        <v>143.20471404999998</v>
      </c>
      <c r="AV450" s="2">
        <f t="shared" si="313"/>
        <v>5.5566699999999996</v>
      </c>
      <c r="AW450" s="2">
        <f t="shared" si="314"/>
        <v>2.7783350000000002</v>
      </c>
      <c r="AX450" s="2">
        <f t="shared" si="315"/>
        <v>1.1669006999999998</v>
      </c>
      <c r="AY450" s="2">
        <f t="shared" si="332"/>
        <v>6.7235706999999998</v>
      </c>
      <c r="AZ450" s="2">
        <f t="shared" si="333"/>
        <v>1.0085356049999998</v>
      </c>
      <c r="BA450" s="2">
        <f t="shared" si="316"/>
        <v>0.11113339999999999</v>
      </c>
      <c r="BB450" s="2">
        <f t="shared" si="317"/>
        <v>3.3340019999999999</v>
      </c>
      <c r="BC450" s="2">
        <f t="shared" si="334"/>
        <v>13.955576704999999</v>
      </c>
      <c r="BD450" s="2">
        <v>0</v>
      </c>
      <c r="BE450" s="2">
        <f t="shared" si="318"/>
        <v>55.566699999999997</v>
      </c>
      <c r="BF450" s="2">
        <f t="shared" si="319"/>
        <v>1.8059177499999997</v>
      </c>
      <c r="BG450" s="2">
        <f t="shared" si="335"/>
        <v>1.8059177499999997</v>
      </c>
      <c r="BH450" s="2">
        <f t="shared" si="336"/>
        <v>0.27088766249999996</v>
      </c>
      <c r="BI450" s="2">
        <f t="shared" si="320"/>
        <v>0.11113339999999999</v>
      </c>
      <c r="BJ450" s="2">
        <f t="shared" si="321"/>
        <v>3.3340019999999999</v>
      </c>
      <c r="BK450" s="2">
        <f t="shared" si="337"/>
        <v>61.088640812499996</v>
      </c>
      <c r="BL450" s="2">
        <f t="shared" si="322"/>
        <v>27783.35</v>
      </c>
      <c r="BM450" s="2">
        <f t="shared" si="323"/>
        <v>27783.35</v>
      </c>
      <c r="BN450" s="2">
        <f t="shared" si="338"/>
        <v>55566.7</v>
      </c>
    </row>
    <row r="451" spans="1:66" x14ac:dyDescent="0.25">
      <c r="A451" s="42">
        <v>448</v>
      </c>
      <c r="B451" s="43">
        <v>42895</v>
      </c>
      <c r="C451" s="42" t="s">
        <v>50</v>
      </c>
      <c r="D451" s="42" t="s">
        <v>268</v>
      </c>
      <c r="E451" s="6">
        <f t="shared" si="324"/>
        <v>117.08221359375077</v>
      </c>
      <c r="F451" s="5" t="str">
        <f t="shared" si="339"/>
        <v>Win</v>
      </c>
      <c r="G451" s="4">
        <f t="shared" si="340"/>
        <v>155.25000000000077</v>
      </c>
      <c r="H451" s="46">
        <v>135</v>
      </c>
      <c r="I451" s="42">
        <v>206.7</v>
      </c>
      <c r="J451" s="42">
        <v>135</v>
      </c>
      <c r="K451" s="42">
        <v>209.05</v>
      </c>
      <c r="N451" s="5">
        <f t="shared" si="341"/>
        <v>270</v>
      </c>
      <c r="O451" s="4">
        <f t="shared" si="342"/>
        <v>207.875</v>
      </c>
      <c r="P451" s="5">
        <f t="shared" si="297"/>
        <v>135</v>
      </c>
      <c r="Q451" s="42">
        <v>207.4</v>
      </c>
      <c r="R451" s="2">
        <f t="shared" si="345"/>
        <v>135</v>
      </c>
      <c r="S451" s="42">
        <v>209.5</v>
      </c>
      <c r="T451" s="2">
        <f t="shared" si="325"/>
        <v>0</v>
      </c>
      <c r="V451" s="5">
        <f t="shared" si="343"/>
        <v>270</v>
      </c>
      <c r="W451" s="4">
        <f t="shared" si="344"/>
        <v>208.45</v>
      </c>
      <c r="X451" s="14">
        <f t="shared" si="298"/>
        <v>2.8000000000000114</v>
      </c>
      <c r="Y451" s="5">
        <f t="shared" si="299"/>
        <v>94.500000000002302</v>
      </c>
      <c r="Z451" s="2">
        <f t="shared" si="300"/>
        <v>60.749999999998465</v>
      </c>
      <c r="AA451" s="4">
        <f t="shared" si="301"/>
        <v>0</v>
      </c>
      <c r="AB451" s="13">
        <f t="shared" si="302"/>
        <v>38.167786406249995</v>
      </c>
      <c r="AC451" s="10">
        <f>SUM($E$4:E451)</f>
        <v>-15879.69931392065</v>
      </c>
      <c r="AD451" s="20">
        <f>SUM($AB$4:AB451)</f>
        <v>12280.124813920593</v>
      </c>
      <c r="AF451" s="28">
        <f t="shared" si="303"/>
        <v>11.240775000000001</v>
      </c>
      <c r="AG451" s="2">
        <f t="shared" si="304"/>
        <v>14.070375</v>
      </c>
      <c r="AH451" s="2">
        <f t="shared" si="305"/>
        <v>3.6532518749999996</v>
      </c>
      <c r="AI451" s="2">
        <f t="shared" si="326"/>
        <v>14.894026875000002</v>
      </c>
      <c r="AJ451" s="2">
        <f t="shared" si="327"/>
        <v>2.2341040312500002</v>
      </c>
      <c r="AK451" s="2">
        <f t="shared" si="306"/>
        <v>0.2248155</v>
      </c>
      <c r="AL451" s="2">
        <f t="shared" si="307"/>
        <v>6.7444649999999999</v>
      </c>
      <c r="AM451" s="2">
        <f t="shared" si="328"/>
        <v>38.167786406249995</v>
      </c>
      <c r="AN451" s="2">
        <f t="shared" si="308"/>
        <v>80</v>
      </c>
      <c r="AO451" s="2">
        <f t="shared" si="309"/>
        <v>28.140750000000001</v>
      </c>
      <c r="AP451" s="2">
        <f t="shared" si="310"/>
        <v>59.576107499999999</v>
      </c>
      <c r="AQ451" s="2">
        <f t="shared" si="329"/>
        <v>139.57610750000001</v>
      </c>
      <c r="AR451" s="2">
        <f t="shared" si="330"/>
        <v>20.936416125000001</v>
      </c>
      <c r="AS451" s="2">
        <f t="shared" si="311"/>
        <v>0.2248155</v>
      </c>
      <c r="AT451" s="2">
        <f t="shared" si="312"/>
        <v>6.7444649999999999</v>
      </c>
      <c r="AU451" s="2">
        <f t="shared" si="331"/>
        <v>195.62255412499999</v>
      </c>
      <c r="AV451" s="2">
        <f t="shared" si="313"/>
        <v>11.240775000000001</v>
      </c>
      <c r="AW451" s="2">
        <f t="shared" si="314"/>
        <v>5.6281499999999998</v>
      </c>
      <c r="AX451" s="2">
        <f t="shared" si="315"/>
        <v>2.3605627499999997</v>
      </c>
      <c r="AY451" s="2">
        <f t="shared" si="332"/>
        <v>13.601337750000001</v>
      </c>
      <c r="AZ451" s="2">
        <f t="shared" si="333"/>
        <v>2.0402006625000002</v>
      </c>
      <c r="BA451" s="2">
        <f t="shared" si="316"/>
        <v>0.2248155</v>
      </c>
      <c r="BB451" s="2">
        <f t="shared" si="317"/>
        <v>6.7444649999999999</v>
      </c>
      <c r="BC451" s="2">
        <f t="shared" si="334"/>
        <v>28.238968912499999</v>
      </c>
      <c r="BD451" s="2">
        <v>0</v>
      </c>
      <c r="BE451" s="2">
        <f t="shared" si="318"/>
        <v>112.40775000000001</v>
      </c>
      <c r="BF451" s="2">
        <f t="shared" si="319"/>
        <v>3.6532518749999996</v>
      </c>
      <c r="BG451" s="2">
        <f t="shared" si="335"/>
        <v>3.6532518749999996</v>
      </c>
      <c r="BH451" s="2">
        <f t="shared" si="336"/>
        <v>0.54798778124999992</v>
      </c>
      <c r="BI451" s="2">
        <f t="shared" si="320"/>
        <v>0.2248155</v>
      </c>
      <c r="BJ451" s="2">
        <f t="shared" si="321"/>
        <v>6.7444649999999999</v>
      </c>
      <c r="BK451" s="2">
        <f t="shared" si="337"/>
        <v>123.57827015625001</v>
      </c>
      <c r="BL451" s="2">
        <f t="shared" si="322"/>
        <v>56126.25</v>
      </c>
      <c r="BM451" s="2">
        <f t="shared" si="323"/>
        <v>56281.5</v>
      </c>
      <c r="BN451" s="2">
        <f t="shared" si="338"/>
        <v>112407.75</v>
      </c>
    </row>
    <row r="452" spans="1:66" x14ac:dyDescent="0.25">
      <c r="A452" s="42">
        <v>449</v>
      </c>
      <c r="B452" s="43">
        <v>42895</v>
      </c>
      <c r="C452" s="42" t="s">
        <v>50</v>
      </c>
      <c r="D452" s="42" t="s">
        <v>268</v>
      </c>
      <c r="E452" s="6">
        <f t="shared" si="324"/>
        <v>68.918696015622785</v>
      </c>
      <c r="F452" s="5" t="str">
        <f t="shared" si="339"/>
        <v>Win</v>
      </c>
      <c r="G452" s="4">
        <f t="shared" si="340"/>
        <v>87.749999999997783</v>
      </c>
      <c r="H452" s="46">
        <v>75</v>
      </c>
      <c r="I452" s="42">
        <v>205.05</v>
      </c>
      <c r="J452" s="42">
        <v>60</v>
      </c>
      <c r="K452" s="42">
        <v>205.05</v>
      </c>
      <c r="N452" s="5">
        <f t="shared" si="341"/>
        <v>135</v>
      </c>
      <c r="O452" s="4">
        <f t="shared" si="342"/>
        <v>205.05</v>
      </c>
      <c r="P452" s="5">
        <f t="shared" ref="P452:P515" si="346">H452</f>
        <v>75</v>
      </c>
      <c r="Q452" s="42">
        <v>205.5</v>
      </c>
      <c r="R452" s="2">
        <f t="shared" si="345"/>
        <v>60</v>
      </c>
      <c r="S452" s="42">
        <v>205.95</v>
      </c>
      <c r="T452" s="2">
        <f t="shared" si="325"/>
        <v>0</v>
      </c>
      <c r="V452" s="5">
        <f t="shared" si="343"/>
        <v>135</v>
      </c>
      <c r="W452" s="4">
        <f t="shared" si="344"/>
        <v>205.72499999999999</v>
      </c>
      <c r="X452" s="14">
        <f t="shared" ref="X452:X515" si="347">MAX(Q452,S452,U452)-MIN(I452,K452,M452)</f>
        <v>0.89999999999997726</v>
      </c>
      <c r="Y452" s="5">
        <f t="shared" ref="Y452:Y515" si="348">P452*(Q452-I452)</f>
        <v>33.749999999999147</v>
      </c>
      <c r="Z452" s="2">
        <f t="shared" ref="Z452:Z515" si="349">R452*(S452-K452)</f>
        <v>53.999999999998636</v>
      </c>
      <c r="AA452" s="4">
        <f t="shared" ref="AA452:AA515" si="350">T452*(U452-M452)</f>
        <v>0</v>
      </c>
      <c r="AB452" s="13">
        <f t="shared" ref="AB452:AB515" si="351">IF(C452="EQ Intraday",AM452,IF(C452="Index Option",AU452,IF(C452="Index Future",BC452,IF(C452="EQ Delivery",BK452,IF(C452="Stock Option",AU452,IF(C452="Stock Future",BC452,IF(C452="",0,"Error")))))))</f>
        <v>18.831303984375001</v>
      </c>
      <c r="AC452" s="10">
        <f>SUM($E$4:E452)</f>
        <v>-15810.780617905028</v>
      </c>
      <c r="AD452" s="20">
        <f>SUM($AB$4:AB452)</f>
        <v>12298.956117904967</v>
      </c>
      <c r="AF452" s="28">
        <f t="shared" ref="AF452:AF515" si="352">MIN(IF(ISBLANK(U452)=FALSE,120,IF(ISBLANK(S452)=FALSE,80,40)),(((V452*W452)+(N452*O452))*0.0001))</f>
        <v>5.5454625000000002</v>
      </c>
      <c r="AG452" s="2">
        <f t="shared" ref="AG452:AG515" si="353">(0.00025*V452*W452)</f>
        <v>6.9432187500000007</v>
      </c>
      <c r="AH452" s="2">
        <f t="shared" ref="AH452:AH515" si="354">(0.0000325*((V452*W452)+(N452*O452)))</f>
        <v>1.8022753124999999</v>
      </c>
      <c r="AI452" s="2">
        <f t="shared" si="326"/>
        <v>7.3477378125000001</v>
      </c>
      <c r="AJ452" s="2">
        <f t="shared" si="327"/>
        <v>1.1021606718749999</v>
      </c>
      <c r="AK452" s="2">
        <f t="shared" ref="AK452:AK515" si="355">(((V452*W452)+(N452*O452))/10000000)*20</f>
        <v>0.11090925</v>
      </c>
      <c r="AL452" s="2">
        <f t="shared" ref="AL452:AL515" si="356">0.00006*((V452*W452)+(N452*O452))</f>
        <v>3.3272775000000001</v>
      </c>
      <c r="AM452" s="2">
        <f t="shared" si="328"/>
        <v>18.831303984375001</v>
      </c>
      <c r="AN452" s="2">
        <f t="shared" ref="AN452:AN515" si="357">COUNT(H452,J452,L452)*40</f>
        <v>80</v>
      </c>
      <c r="AO452" s="2">
        <f t="shared" ref="AO452:AO515" si="358">0.0005*V452*W452</f>
        <v>13.886437500000001</v>
      </c>
      <c r="AP452" s="2">
        <f t="shared" ref="AP452:AP515" si="359">0.00053*((N452*O452)+(V452*W452))</f>
        <v>29.390951250000001</v>
      </c>
      <c r="AQ452" s="2">
        <f t="shared" si="329"/>
        <v>109.39095125</v>
      </c>
      <c r="AR452" s="2">
        <f t="shared" si="330"/>
        <v>16.408642687499999</v>
      </c>
      <c r="AS452" s="2">
        <f t="shared" ref="AS452:AS515" si="360">(((V452*W452)+(N452*O452))/10000000)*20</f>
        <v>0.11090925</v>
      </c>
      <c r="AT452" s="2">
        <f t="shared" ref="AT452:AT515" si="361">0.00006*((V452*W452)+(N452*O452))</f>
        <v>3.3272775000000001</v>
      </c>
      <c r="AU452" s="2">
        <f t="shared" si="331"/>
        <v>143.12421818749999</v>
      </c>
      <c r="AV452" s="2">
        <f t="shared" ref="AV452:AV515" si="362">MIN(IF(ISBLANK(U452)=FALSE,120,IF(ISBLANK(S452)=FALSE,80,40)),(((V452*W452)+(N452*O452))*0.0001))</f>
        <v>5.5454625000000002</v>
      </c>
      <c r="AW452" s="2">
        <f t="shared" ref="AW452:AW515" si="363">0.0001*V452*W452</f>
        <v>2.7772874999999999</v>
      </c>
      <c r="AX452" s="2">
        <f t="shared" ref="AX452:AX515" si="364">0.000021*((N452*O452)+(V452*W452))</f>
        <v>1.1645471249999999</v>
      </c>
      <c r="AY452" s="2">
        <f t="shared" si="332"/>
        <v>6.7100096249999996</v>
      </c>
      <c r="AZ452" s="2">
        <f t="shared" si="333"/>
        <v>1.0065014437499999</v>
      </c>
      <c r="BA452" s="2">
        <f t="shared" ref="BA452:BA515" si="365">(((V452*W452)+(N452*O452))/10000000)*20</f>
        <v>0.11090925</v>
      </c>
      <c r="BB452" s="2">
        <f t="shared" ref="BB452:BB515" si="366">0.00006*((V452*W452)+(N452*O452))</f>
        <v>3.3272775000000001</v>
      </c>
      <c r="BC452" s="2">
        <f t="shared" si="334"/>
        <v>13.931985318750002</v>
      </c>
      <c r="BD452" s="2">
        <v>0</v>
      </c>
      <c r="BE452" s="2">
        <f t="shared" ref="BE452:BE515" si="367">0.001*((N452*O452)+(V452*W452))</f>
        <v>55.454625</v>
      </c>
      <c r="BF452" s="2">
        <f t="shared" ref="BF452:BF515" si="368">(0.0000325*((V452*W452)+(N452*O452)))</f>
        <v>1.8022753124999999</v>
      </c>
      <c r="BG452" s="2">
        <f t="shared" si="335"/>
        <v>1.8022753124999999</v>
      </c>
      <c r="BH452" s="2">
        <f t="shared" si="336"/>
        <v>0.27034129687499997</v>
      </c>
      <c r="BI452" s="2">
        <f t="shared" ref="BI452:BI515" si="369">(((V452*W452)+(N452*O452))/10000000)*20</f>
        <v>0.11090925</v>
      </c>
      <c r="BJ452" s="2">
        <f t="shared" ref="BJ452:BJ515" si="370">0.00006*((V452*W452)+(N452*O452))</f>
        <v>3.3272775000000001</v>
      </c>
      <c r="BK452" s="2">
        <f t="shared" si="337"/>
        <v>60.965428359375004</v>
      </c>
      <c r="BL452" s="2">
        <f t="shared" ref="BL452:BL515" si="371">N452*O452</f>
        <v>27681.75</v>
      </c>
      <c r="BM452" s="2">
        <f t="shared" ref="BM452:BM515" si="372">V452*W452</f>
        <v>27772.875</v>
      </c>
      <c r="BN452" s="2">
        <f t="shared" si="338"/>
        <v>55454.625</v>
      </c>
    </row>
    <row r="453" spans="1:66" x14ac:dyDescent="0.25">
      <c r="A453" s="42">
        <v>450</v>
      </c>
      <c r="B453" s="43">
        <v>42895</v>
      </c>
      <c r="C453" s="42" t="s">
        <v>50</v>
      </c>
      <c r="D453" s="42" t="s">
        <v>163</v>
      </c>
      <c r="E453" s="6">
        <f t="shared" ref="E453:E516" si="373">G453-AB453</f>
        <v>-91.657712500001139</v>
      </c>
      <c r="F453" s="5" t="str">
        <f t="shared" si="339"/>
        <v>Loss</v>
      </c>
      <c r="G453" s="4">
        <f t="shared" si="340"/>
        <v>-80.000000000001137</v>
      </c>
      <c r="H453" s="46">
        <v>200</v>
      </c>
      <c r="I453" s="42">
        <v>86.15</v>
      </c>
      <c r="N453" s="5">
        <f t="shared" si="341"/>
        <v>200</v>
      </c>
      <c r="O453" s="4">
        <f t="shared" si="342"/>
        <v>86.15</v>
      </c>
      <c r="P453" s="5">
        <f t="shared" si="346"/>
        <v>200</v>
      </c>
      <c r="Q453" s="42">
        <v>85.75</v>
      </c>
      <c r="R453" s="2">
        <f t="shared" si="345"/>
        <v>0</v>
      </c>
      <c r="T453" s="2">
        <f t="shared" ref="T453:T516" si="374">L453</f>
        <v>0</v>
      </c>
      <c r="V453" s="5">
        <f t="shared" si="343"/>
        <v>200</v>
      </c>
      <c r="W453" s="4">
        <f t="shared" si="344"/>
        <v>85.75</v>
      </c>
      <c r="X453" s="14">
        <f t="shared" si="347"/>
        <v>-0.40000000000000568</v>
      </c>
      <c r="Y453" s="5">
        <f t="shared" si="348"/>
        <v>-80.000000000001137</v>
      </c>
      <c r="Z453" s="2">
        <f t="shared" si="349"/>
        <v>0</v>
      </c>
      <c r="AA453" s="4">
        <f t="shared" si="350"/>
        <v>0</v>
      </c>
      <c r="AB453" s="13">
        <f t="shared" si="351"/>
        <v>11.657712499999999</v>
      </c>
      <c r="AC453" s="10">
        <f>SUM($E$4:E453)</f>
        <v>-15902.438330405028</v>
      </c>
      <c r="AD453" s="20">
        <f>SUM($AB$4:AB453)</f>
        <v>12310.613830404967</v>
      </c>
      <c r="AF453" s="28">
        <f t="shared" si="352"/>
        <v>3.4380000000000002</v>
      </c>
      <c r="AG453" s="2">
        <f t="shared" si="353"/>
        <v>4.2875000000000005</v>
      </c>
      <c r="AH453" s="2">
        <f t="shared" si="354"/>
        <v>1.1173499999999998</v>
      </c>
      <c r="AI453" s="2">
        <f t="shared" ref="AI453:AI516" si="375">AH453+AF453</f>
        <v>4.5553499999999998</v>
      </c>
      <c r="AJ453" s="2">
        <f t="shared" ref="AJ453:AJ492" si="376">0.15*AI453</f>
        <v>0.68330249999999992</v>
      </c>
      <c r="AK453" s="2">
        <f t="shared" si="355"/>
        <v>6.8760000000000002E-2</v>
      </c>
      <c r="AL453" s="2">
        <f t="shared" si="356"/>
        <v>2.0628000000000002</v>
      </c>
      <c r="AM453" s="2">
        <f t="shared" ref="AM453:AM516" si="377">SUM(AF453:AH453,AJ453:AL453)</f>
        <v>11.657712499999999</v>
      </c>
      <c r="AN453" s="2">
        <f t="shared" si="357"/>
        <v>40</v>
      </c>
      <c r="AO453" s="2">
        <f t="shared" si="358"/>
        <v>8.5750000000000011</v>
      </c>
      <c r="AP453" s="2">
        <f t="shared" si="359"/>
        <v>18.221399999999999</v>
      </c>
      <c r="AQ453" s="2">
        <f t="shared" ref="AQ453:AQ516" si="378">AN453+AP453</f>
        <v>58.221400000000003</v>
      </c>
      <c r="AR453" s="2">
        <f t="shared" ref="AR453:AR492" si="379">0.15*AQ453</f>
        <v>8.7332099999999997</v>
      </c>
      <c r="AS453" s="2">
        <f t="shared" si="360"/>
        <v>6.8760000000000002E-2</v>
      </c>
      <c r="AT453" s="2">
        <f t="shared" si="361"/>
        <v>2.0628000000000002</v>
      </c>
      <c r="AU453" s="2">
        <f t="shared" ref="AU453:AU516" si="380">SUM(AN453:AP453,AR453:AT453)</f>
        <v>77.661169999999998</v>
      </c>
      <c r="AV453" s="2">
        <f t="shared" si="362"/>
        <v>3.4380000000000002</v>
      </c>
      <c r="AW453" s="2">
        <f t="shared" si="363"/>
        <v>1.7150000000000001</v>
      </c>
      <c r="AX453" s="2">
        <f t="shared" si="364"/>
        <v>0.72197999999999996</v>
      </c>
      <c r="AY453" s="2">
        <f t="shared" ref="AY453:AY516" si="381">AV453+AX453</f>
        <v>4.15998</v>
      </c>
      <c r="AZ453" s="2">
        <f t="shared" ref="AZ453:AZ492" si="382">0.15*AY453</f>
        <v>0.62399700000000002</v>
      </c>
      <c r="BA453" s="2">
        <f t="shared" si="365"/>
        <v>6.8760000000000002E-2</v>
      </c>
      <c r="BB453" s="2">
        <f t="shared" si="366"/>
        <v>2.0628000000000002</v>
      </c>
      <c r="BC453" s="2">
        <f t="shared" ref="BC453:BC516" si="383">SUM(AV453:AX453,AZ453:BB453)</f>
        <v>8.6305370000000003</v>
      </c>
      <c r="BD453" s="2">
        <v>0</v>
      </c>
      <c r="BE453" s="2">
        <f t="shared" si="367"/>
        <v>34.380000000000003</v>
      </c>
      <c r="BF453" s="2">
        <f t="shared" si="368"/>
        <v>1.1173499999999998</v>
      </c>
      <c r="BG453" s="2">
        <f t="shared" ref="BG453:BG516" si="384">BD453+BF453</f>
        <v>1.1173499999999998</v>
      </c>
      <c r="BH453" s="2">
        <f t="shared" ref="BH453:BH492" si="385">0.15*BG453</f>
        <v>0.16760249999999996</v>
      </c>
      <c r="BI453" s="2">
        <f t="shared" si="369"/>
        <v>6.8760000000000002E-2</v>
      </c>
      <c r="BJ453" s="2">
        <f t="shared" si="370"/>
        <v>2.0628000000000002</v>
      </c>
      <c r="BK453" s="2">
        <f t="shared" ref="BK453:BK516" si="386">SUM(BD453:BF453,BH453:BJ453)</f>
        <v>37.796512500000006</v>
      </c>
      <c r="BL453" s="2">
        <f t="shared" si="371"/>
        <v>17230</v>
      </c>
      <c r="BM453" s="2">
        <f t="shared" si="372"/>
        <v>17150</v>
      </c>
      <c r="BN453" s="2">
        <f t="shared" ref="BN453:BN516" si="387">BM453+BL453</f>
        <v>34380</v>
      </c>
    </row>
    <row r="454" spans="1:66" x14ac:dyDescent="0.25">
      <c r="A454" s="42">
        <v>451</v>
      </c>
      <c r="B454" s="43">
        <v>42898</v>
      </c>
      <c r="C454" s="42" t="s">
        <v>50</v>
      </c>
      <c r="D454" s="42" t="s">
        <v>268</v>
      </c>
      <c r="E454" s="6">
        <f t="shared" si="373"/>
        <v>92.690567459997567</v>
      </c>
      <c r="F454" s="5" t="str">
        <f t="shared" ref="F454:F517" si="388">IF(G454&gt;0,"Win",IF(G454=0,"Break Even","Loss"))</f>
        <v>Win</v>
      </c>
      <c r="G454" s="4">
        <f t="shared" ref="G454:G517" si="389">SUM(Y454,Z454,AA454)</f>
        <v>111.34799999999757</v>
      </c>
      <c r="H454" s="46">
        <v>135</v>
      </c>
      <c r="I454" s="42">
        <v>203.05</v>
      </c>
      <c r="N454" s="5">
        <f t="shared" ref="N454:N517" si="390">SUM(H454,J454,L454)</f>
        <v>135</v>
      </c>
      <c r="O454" s="4">
        <f t="shared" ref="O454:O517" si="391">AVERAGE(M454,K454,I454)</f>
        <v>203.05</v>
      </c>
      <c r="P454" s="5">
        <f t="shared" si="346"/>
        <v>135</v>
      </c>
      <c r="Q454" s="42">
        <v>203.87479999999999</v>
      </c>
      <c r="R454" s="2">
        <f t="shared" si="345"/>
        <v>0</v>
      </c>
      <c r="T454" s="2">
        <f t="shared" si="374"/>
        <v>0</v>
      </c>
      <c r="V454" s="5">
        <f t="shared" ref="V454:V517" si="392">SUM(P454,R454,T454)</f>
        <v>135</v>
      </c>
      <c r="W454" s="4">
        <f t="shared" ref="W454:W517" si="393">AVERAGE(Q454,S454,U454)</f>
        <v>203.87479999999999</v>
      </c>
      <c r="X454" s="14">
        <f t="shared" si="347"/>
        <v>0.82479999999998199</v>
      </c>
      <c r="Y454" s="5">
        <f t="shared" si="348"/>
        <v>111.34799999999757</v>
      </c>
      <c r="Z454" s="2">
        <f t="shared" si="349"/>
        <v>0</v>
      </c>
      <c r="AA454" s="4">
        <f t="shared" si="350"/>
        <v>0</v>
      </c>
      <c r="AB454" s="13">
        <f t="shared" si="351"/>
        <v>18.657432540000002</v>
      </c>
      <c r="AC454" s="10">
        <f>SUM($E$4:E454)</f>
        <v>-15809.74776294503</v>
      </c>
      <c r="AD454" s="20">
        <f>SUM($AB$4:AB454)</f>
        <v>12329.271262944967</v>
      </c>
      <c r="AF454" s="28">
        <f t="shared" si="352"/>
        <v>5.4934848000000001</v>
      </c>
      <c r="AG454" s="2">
        <f t="shared" si="353"/>
        <v>6.8807745000000002</v>
      </c>
      <c r="AH454" s="2">
        <f t="shared" si="354"/>
        <v>1.7853825599999997</v>
      </c>
      <c r="AI454" s="2">
        <f t="shared" si="375"/>
        <v>7.2788673599999996</v>
      </c>
      <c r="AJ454" s="2">
        <f t="shared" si="376"/>
        <v>1.0918301039999998</v>
      </c>
      <c r="AK454" s="2">
        <f t="shared" si="355"/>
        <v>0.109869696</v>
      </c>
      <c r="AL454" s="2">
        <f t="shared" si="356"/>
        <v>3.2960908799999999</v>
      </c>
      <c r="AM454" s="2">
        <f t="shared" si="377"/>
        <v>18.657432540000002</v>
      </c>
      <c r="AN454" s="2">
        <f t="shared" si="357"/>
        <v>40</v>
      </c>
      <c r="AO454" s="2">
        <f t="shared" si="358"/>
        <v>13.761549</v>
      </c>
      <c r="AP454" s="2">
        <f t="shared" si="359"/>
        <v>29.115469439999998</v>
      </c>
      <c r="AQ454" s="2">
        <f t="shared" si="378"/>
        <v>69.115469439999998</v>
      </c>
      <c r="AR454" s="2">
        <f t="shared" si="379"/>
        <v>10.367320416</v>
      </c>
      <c r="AS454" s="2">
        <f t="shared" si="360"/>
        <v>0.109869696</v>
      </c>
      <c r="AT454" s="2">
        <f t="shared" si="361"/>
        <v>3.2960908799999999</v>
      </c>
      <c r="AU454" s="2">
        <f t="shared" si="380"/>
        <v>96.650299431999997</v>
      </c>
      <c r="AV454" s="2">
        <f t="shared" si="362"/>
        <v>5.4934848000000001</v>
      </c>
      <c r="AW454" s="2">
        <f t="shared" si="363"/>
        <v>2.7523097999999999</v>
      </c>
      <c r="AX454" s="2">
        <f t="shared" si="364"/>
        <v>1.1536318079999999</v>
      </c>
      <c r="AY454" s="2">
        <f t="shared" si="381"/>
        <v>6.6471166080000001</v>
      </c>
      <c r="AZ454" s="2">
        <f t="shared" si="382"/>
        <v>0.99706749119999993</v>
      </c>
      <c r="BA454" s="2">
        <f t="shared" si="365"/>
        <v>0.109869696</v>
      </c>
      <c r="BB454" s="2">
        <f t="shared" si="366"/>
        <v>3.2960908799999999</v>
      </c>
      <c r="BC454" s="2">
        <f t="shared" si="383"/>
        <v>13.802454475199999</v>
      </c>
      <c r="BD454" s="2">
        <v>0</v>
      </c>
      <c r="BE454" s="2">
        <f t="shared" si="367"/>
        <v>54.934848000000002</v>
      </c>
      <c r="BF454" s="2">
        <f t="shared" si="368"/>
        <v>1.7853825599999997</v>
      </c>
      <c r="BG454" s="2">
        <f t="shared" si="384"/>
        <v>1.7853825599999997</v>
      </c>
      <c r="BH454" s="2">
        <f t="shared" si="385"/>
        <v>0.26780738399999993</v>
      </c>
      <c r="BI454" s="2">
        <f t="shared" si="369"/>
        <v>0.109869696</v>
      </c>
      <c r="BJ454" s="2">
        <f t="shared" si="370"/>
        <v>3.2960908799999999</v>
      </c>
      <c r="BK454" s="2">
        <f t="shared" si="386"/>
        <v>60.393998520000004</v>
      </c>
      <c r="BL454" s="2">
        <f t="shared" si="371"/>
        <v>27411.75</v>
      </c>
      <c r="BM454" s="2">
        <f t="shared" si="372"/>
        <v>27523.097999999998</v>
      </c>
      <c r="BN454" s="2">
        <f t="shared" si="387"/>
        <v>54934.847999999998</v>
      </c>
    </row>
    <row r="455" spans="1:66" x14ac:dyDescent="0.25">
      <c r="A455" s="42">
        <v>452</v>
      </c>
      <c r="B455" s="43">
        <v>42898</v>
      </c>
      <c r="C455" s="42" t="s">
        <v>50</v>
      </c>
      <c r="D455" s="42" t="s">
        <v>268</v>
      </c>
      <c r="E455" s="6">
        <f t="shared" si="373"/>
        <v>-92.816663906251534</v>
      </c>
      <c r="F455" s="5" t="str">
        <f t="shared" si="388"/>
        <v>Loss</v>
      </c>
      <c r="G455" s="4">
        <f t="shared" si="389"/>
        <v>-74.250000000001535</v>
      </c>
      <c r="H455" s="46">
        <v>135</v>
      </c>
      <c r="I455" s="42">
        <v>203</v>
      </c>
      <c r="N455" s="5">
        <f t="shared" si="390"/>
        <v>135</v>
      </c>
      <c r="O455" s="4">
        <f t="shared" si="391"/>
        <v>203</v>
      </c>
      <c r="P455" s="5">
        <f t="shared" si="346"/>
        <v>135</v>
      </c>
      <c r="Q455" s="42">
        <v>202.45</v>
      </c>
      <c r="R455" s="2">
        <f t="shared" si="345"/>
        <v>0</v>
      </c>
      <c r="T455" s="2">
        <f t="shared" si="374"/>
        <v>0</v>
      </c>
      <c r="V455" s="5">
        <f t="shared" si="392"/>
        <v>135</v>
      </c>
      <c r="W455" s="4">
        <f t="shared" si="393"/>
        <v>202.45</v>
      </c>
      <c r="X455" s="14">
        <f t="shared" si="347"/>
        <v>-0.55000000000001137</v>
      </c>
      <c r="Y455" s="5">
        <f t="shared" si="348"/>
        <v>-74.250000000001535</v>
      </c>
      <c r="Z455" s="2">
        <f t="shared" si="349"/>
        <v>0</v>
      </c>
      <c r="AA455" s="4">
        <f t="shared" si="350"/>
        <v>0</v>
      </c>
      <c r="AB455" s="13">
        <f t="shared" si="351"/>
        <v>18.56666390625</v>
      </c>
      <c r="AC455" s="10">
        <f>SUM($E$4:E455)</f>
        <v>-15902.564426851281</v>
      </c>
      <c r="AD455" s="20">
        <f>SUM($AB$4:AB455)</f>
        <v>12347.837926851216</v>
      </c>
      <c r="AF455" s="28">
        <f t="shared" si="352"/>
        <v>5.4735750000000003</v>
      </c>
      <c r="AG455" s="2">
        <f t="shared" si="353"/>
        <v>6.8326875000000005</v>
      </c>
      <c r="AH455" s="2">
        <f t="shared" si="354"/>
        <v>1.7789118749999999</v>
      </c>
      <c r="AI455" s="2">
        <f t="shared" si="375"/>
        <v>7.2524868750000007</v>
      </c>
      <c r="AJ455" s="2">
        <f t="shared" si="376"/>
        <v>1.08787303125</v>
      </c>
      <c r="AK455" s="2">
        <f t="shared" si="355"/>
        <v>0.1094715</v>
      </c>
      <c r="AL455" s="2">
        <f t="shared" si="356"/>
        <v>3.2841450000000001</v>
      </c>
      <c r="AM455" s="2">
        <f t="shared" si="377"/>
        <v>18.56666390625</v>
      </c>
      <c r="AN455" s="2">
        <f t="shared" si="357"/>
        <v>40</v>
      </c>
      <c r="AO455" s="2">
        <f t="shared" si="358"/>
        <v>13.665375000000001</v>
      </c>
      <c r="AP455" s="2">
        <f t="shared" si="359"/>
        <v>29.009947499999999</v>
      </c>
      <c r="AQ455" s="2">
        <f t="shared" si="378"/>
        <v>69.009947499999996</v>
      </c>
      <c r="AR455" s="2">
        <f t="shared" si="379"/>
        <v>10.351492124999998</v>
      </c>
      <c r="AS455" s="2">
        <f t="shared" si="360"/>
        <v>0.1094715</v>
      </c>
      <c r="AT455" s="2">
        <f t="shared" si="361"/>
        <v>3.2841450000000001</v>
      </c>
      <c r="AU455" s="2">
        <f t="shared" si="380"/>
        <v>96.420431124999979</v>
      </c>
      <c r="AV455" s="2">
        <f t="shared" si="362"/>
        <v>5.4735750000000003</v>
      </c>
      <c r="AW455" s="2">
        <f t="shared" si="363"/>
        <v>2.7330749999999999</v>
      </c>
      <c r="AX455" s="2">
        <f t="shared" si="364"/>
        <v>1.14945075</v>
      </c>
      <c r="AY455" s="2">
        <f t="shared" si="381"/>
        <v>6.62302575</v>
      </c>
      <c r="AZ455" s="2">
        <f t="shared" si="382"/>
        <v>0.99345386250000001</v>
      </c>
      <c r="BA455" s="2">
        <f t="shared" si="365"/>
        <v>0.1094715</v>
      </c>
      <c r="BB455" s="2">
        <f t="shared" si="366"/>
        <v>3.2841450000000001</v>
      </c>
      <c r="BC455" s="2">
        <f t="shared" si="383"/>
        <v>13.743171112500001</v>
      </c>
      <c r="BD455" s="2">
        <v>0</v>
      </c>
      <c r="BE455" s="2">
        <f t="shared" si="367"/>
        <v>54.735750000000003</v>
      </c>
      <c r="BF455" s="2">
        <f t="shared" si="368"/>
        <v>1.7789118749999999</v>
      </c>
      <c r="BG455" s="2">
        <f t="shared" si="384"/>
        <v>1.7789118749999999</v>
      </c>
      <c r="BH455" s="2">
        <f t="shared" si="385"/>
        <v>0.26683678124999999</v>
      </c>
      <c r="BI455" s="2">
        <f t="shared" si="369"/>
        <v>0.1094715</v>
      </c>
      <c r="BJ455" s="2">
        <f t="shared" si="370"/>
        <v>3.2841450000000001</v>
      </c>
      <c r="BK455" s="2">
        <f t="shared" si="386"/>
        <v>60.175115156250001</v>
      </c>
      <c r="BL455" s="2">
        <f t="shared" si="371"/>
        <v>27405</v>
      </c>
      <c r="BM455" s="2">
        <f t="shared" si="372"/>
        <v>27330.75</v>
      </c>
      <c r="BN455" s="2">
        <f t="shared" si="387"/>
        <v>54735.75</v>
      </c>
    </row>
    <row r="456" spans="1:66" x14ac:dyDescent="0.25">
      <c r="A456" s="42">
        <v>453</v>
      </c>
      <c r="B456" s="43">
        <v>42898</v>
      </c>
      <c r="C456" s="42" t="s">
        <v>50</v>
      </c>
      <c r="D456" s="42" t="s">
        <v>268</v>
      </c>
      <c r="E456" s="6">
        <f t="shared" si="373"/>
        <v>-238.20964302062222</v>
      </c>
      <c r="F456" s="5" t="str">
        <f t="shared" si="388"/>
        <v>Loss</v>
      </c>
      <c r="G456" s="4">
        <f t="shared" si="389"/>
        <v>-219.57819999999722</v>
      </c>
      <c r="H456" s="46">
        <v>59</v>
      </c>
      <c r="I456" s="42">
        <v>204.45</v>
      </c>
      <c r="J456" s="42">
        <v>25</v>
      </c>
      <c r="K456" s="42">
        <v>204.45</v>
      </c>
      <c r="L456" s="42">
        <v>51</v>
      </c>
      <c r="M456" s="44">
        <v>204.45</v>
      </c>
      <c r="N456" s="5">
        <f t="shared" si="390"/>
        <v>135</v>
      </c>
      <c r="O456" s="4">
        <f t="shared" si="391"/>
        <v>204.44999999999996</v>
      </c>
      <c r="P456" s="5">
        <f t="shared" si="346"/>
        <v>59</v>
      </c>
      <c r="Q456" s="42">
        <v>202.93</v>
      </c>
      <c r="R456" s="2">
        <f t="shared" si="345"/>
        <v>25</v>
      </c>
      <c r="S456" s="42">
        <v>202.8</v>
      </c>
      <c r="T456" s="2">
        <f t="shared" si="374"/>
        <v>51</v>
      </c>
      <c r="U456" s="44">
        <v>202.71180000000001</v>
      </c>
      <c r="V456" s="5">
        <f t="shared" si="392"/>
        <v>135</v>
      </c>
      <c r="W456" s="4">
        <f t="shared" si="393"/>
        <v>202.81393333333335</v>
      </c>
      <c r="X456" s="14">
        <f t="shared" si="347"/>
        <v>-1.5199999999999818</v>
      </c>
      <c r="Y456" s="5">
        <f t="shared" si="348"/>
        <v>-89.679999999998927</v>
      </c>
      <c r="Z456" s="2">
        <f t="shared" si="349"/>
        <v>-41.249999999999432</v>
      </c>
      <c r="AA456" s="4">
        <f t="shared" si="350"/>
        <v>-88.648199999998866</v>
      </c>
      <c r="AB456" s="13">
        <f t="shared" si="351"/>
        <v>18.631443020624999</v>
      </c>
      <c r="AC456" s="10">
        <f>SUM($E$4:E456)</f>
        <v>-16140.774069871903</v>
      </c>
      <c r="AD456" s="20">
        <f>SUM($AB$4:AB456)</f>
        <v>12366.469369871842</v>
      </c>
      <c r="AF456" s="28">
        <f t="shared" si="352"/>
        <v>5.4980630999999995</v>
      </c>
      <c r="AG456" s="2">
        <f t="shared" si="353"/>
        <v>6.8449702500000011</v>
      </c>
      <c r="AH456" s="2">
        <f t="shared" si="354"/>
        <v>1.7868705074999995</v>
      </c>
      <c r="AI456" s="2">
        <f t="shared" si="375"/>
        <v>7.2849336074999993</v>
      </c>
      <c r="AJ456" s="2">
        <f t="shared" si="376"/>
        <v>1.0927400411249999</v>
      </c>
      <c r="AK456" s="2">
        <f t="shared" si="355"/>
        <v>0.10996126199999999</v>
      </c>
      <c r="AL456" s="2">
        <f t="shared" si="356"/>
        <v>3.2988378599999999</v>
      </c>
      <c r="AM456" s="2">
        <f t="shared" si="377"/>
        <v>18.631443020624999</v>
      </c>
      <c r="AN456" s="2">
        <f t="shared" si="357"/>
        <v>120</v>
      </c>
      <c r="AO456" s="2">
        <f t="shared" si="358"/>
        <v>13.689940500000002</v>
      </c>
      <c r="AP456" s="2">
        <f t="shared" si="359"/>
        <v>29.139734429999997</v>
      </c>
      <c r="AQ456" s="2">
        <f t="shared" si="378"/>
        <v>149.13973443</v>
      </c>
      <c r="AR456" s="2">
        <f t="shared" si="379"/>
        <v>22.370960164500001</v>
      </c>
      <c r="AS456" s="2">
        <f t="shared" si="360"/>
        <v>0.10996126199999999</v>
      </c>
      <c r="AT456" s="2">
        <f t="shared" si="361"/>
        <v>3.2988378599999999</v>
      </c>
      <c r="AU456" s="2">
        <f t="shared" si="380"/>
        <v>188.60943421650001</v>
      </c>
      <c r="AV456" s="2">
        <f t="shared" si="362"/>
        <v>5.4980630999999995</v>
      </c>
      <c r="AW456" s="2">
        <f t="shared" si="363"/>
        <v>2.7379881000000004</v>
      </c>
      <c r="AX456" s="2">
        <f t="shared" si="364"/>
        <v>1.1545932509999999</v>
      </c>
      <c r="AY456" s="2">
        <f t="shared" si="381"/>
        <v>6.6526563509999992</v>
      </c>
      <c r="AZ456" s="2">
        <f t="shared" si="382"/>
        <v>0.99789845264999988</v>
      </c>
      <c r="BA456" s="2">
        <f t="shared" si="365"/>
        <v>0.10996126199999999</v>
      </c>
      <c r="BB456" s="2">
        <f t="shared" si="366"/>
        <v>3.2988378599999999</v>
      </c>
      <c r="BC456" s="2">
        <f t="shared" si="383"/>
        <v>13.79734202565</v>
      </c>
      <c r="BD456" s="2">
        <v>0</v>
      </c>
      <c r="BE456" s="2">
        <f t="shared" si="367"/>
        <v>54.980630999999995</v>
      </c>
      <c r="BF456" s="2">
        <f t="shared" si="368"/>
        <v>1.7868705074999995</v>
      </c>
      <c r="BG456" s="2">
        <f t="shared" si="384"/>
        <v>1.7868705074999995</v>
      </c>
      <c r="BH456" s="2">
        <f t="shared" si="385"/>
        <v>0.26803057612499992</v>
      </c>
      <c r="BI456" s="2">
        <f t="shared" si="369"/>
        <v>0.10996126199999999</v>
      </c>
      <c r="BJ456" s="2">
        <f t="shared" si="370"/>
        <v>3.2988378599999999</v>
      </c>
      <c r="BK456" s="2">
        <f t="shared" si="386"/>
        <v>60.444331205624991</v>
      </c>
      <c r="BL456" s="2">
        <f t="shared" si="371"/>
        <v>27600.749999999996</v>
      </c>
      <c r="BM456" s="2">
        <f t="shared" si="372"/>
        <v>27379.881000000001</v>
      </c>
      <c r="BN456" s="2">
        <f t="shared" si="387"/>
        <v>54980.630999999994</v>
      </c>
    </row>
    <row r="457" spans="1:66" x14ac:dyDescent="0.25">
      <c r="A457" s="42">
        <v>454</v>
      </c>
      <c r="B457" s="43">
        <v>42898</v>
      </c>
      <c r="C457" s="42" t="s">
        <v>50</v>
      </c>
      <c r="D457" s="42" t="s">
        <v>206</v>
      </c>
      <c r="E457" s="6">
        <f t="shared" si="373"/>
        <v>-3.3618374999969305</v>
      </c>
      <c r="F457" s="5" t="str">
        <f t="shared" si="388"/>
        <v>Win</v>
      </c>
      <c r="G457" s="4">
        <f t="shared" si="389"/>
        <v>13.50000000000307</v>
      </c>
      <c r="H457" s="46">
        <v>135</v>
      </c>
      <c r="I457" s="42">
        <v>183.95</v>
      </c>
      <c r="N457" s="5">
        <f t="shared" si="390"/>
        <v>135</v>
      </c>
      <c r="O457" s="4">
        <f t="shared" si="391"/>
        <v>183.95</v>
      </c>
      <c r="P457" s="5">
        <f t="shared" si="346"/>
        <v>135</v>
      </c>
      <c r="Q457" s="42">
        <v>184.05</v>
      </c>
      <c r="R457" s="2">
        <f t="shared" si="345"/>
        <v>0</v>
      </c>
      <c r="T457" s="2">
        <f t="shared" si="374"/>
        <v>0</v>
      </c>
      <c r="V457" s="5">
        <f t="shared" si="392"/>
        <v>135</v>
      </c>
      <c r="W457" s="4">
        <f t="shared" si="393"/>
        <v>184.05</v>
      </c>
      <c r="X457" s="14">
        <f t="shared" si="347"/>
        <v>0.10000000000002274</v>
      </c>
      <c r="Y457" s="5">
        <f t="shared" si="348"/>
        <v>13.50000000000307</v>
      </c>
      <c r="Z457" s="2">
        <f t="shared" si="349"/>
        <v>0</v>
      </c>
      <c r="AA457" s="4">
        <f t="shared" si="350"/>
        <v>0</v>
      </c>
      <c r="AB457" s="13">
        <f t="shared" si="351"/>
        <v>16.8618375</v>
      </c>
      <c r="AC457" s="10">
        <f>SUM($E$4:E457)</f>
        <v>-16144.1359073719</v>
      </c>
      <c r="AD457" s="20">
        <f>SUM($AB$4:AB457)</f>
        <v>12383.331207371843</v>
      </c>
      <c r="AF457" s="28">
        <f t="shared" si="352"/>
        <v>4.968</v>
      </c>
      <c r="AG457" s="2">
        <f t="shared" si="353"/>
        <v>6.2116875000000009</v>
      </c>
      <c r="AH457" s="2">
        <f t="shared" si="354"/>
        <v>1.6145999999999998</v>
      </c>
      <c r="AI457" s="2">
        <f t="shared" si="375"/>
        <v>6.5825999999999993</v>
      </c>
      <c r="AJ457" s="2">
        <f t="shared" si="376"/>
        <v>0.98738999999999988</v>
      </c>
      <c r="AK457" s="2">
        <f t="shared" si="355"/>
        <v>9.9360000000000004E-2</v>
      </c>
      <c r="AL457" s="2">
        <f t="shared" si="356"/>
        <v>2.9807999999999999</v>
      </c>
      <c r="AM457" s="2">
        <f t="shared" si="377"/>
        <v>16.8618375</v>
      </c>
      <c r="AN457" s="2">
        <f t="shared" si="357"/>
        <v>40</v>
      </c>
      <c r="AO457" s="2">
        <f t="shared" si="358"/>
        <v>12.423375000000002</v>
      </c>
      <c r="AP457" s="2">
        <f t="shared" si="359"/>
        <v>26.330399999999997</v>
      </c>
      <c r="AQ457" s="2">
        <f t="shared" si="378"/>
        <v>66.330399999999997</v>
      </c>
      <c r="AR457" s="2">
        <f t="shared" si="379"/>
        <v>9.94956</v>
      </c>
      <c r="AS457" s="2">
        <f t="shared" si="360"/>
        <v>9.9360000000000004E-2</v>
      </c>
      <c r="AT457" s="2">
        <f t="shared" si="361"/>
        <v>2.9807999999999999</v>
      </c>
      <c r="AU457" s="2">
        <f t="shared" si="380"/>
        <v>91.783495000000002</v>
      </c>
      <c r="AV457" s="2">
        <f t="shared" si="362"/>
        <v>4.968</v>
      </c>
      <c r="AW457" s="2">
        <f t="shared" si="363"/>
        <v>2.4846750000000002</v>
      </c>
      <c r="AX457" s="2">
        <f t="shared" si="364"/>
        <v>1.04328</v>
      </c>
      <c r="AY457" s="2">
        <f t="shared" si="381"/>
        <v>6.0112800000000002</v>
      </c>
      <c r="AZ457" s="2">
        <f t="shared" si="382"/>
        <v>0.90169199999999994</v>
      </c>
      <c r="BA457" s="2">
        <f t="shared" si="365"/>
        <v>9.9360000000000004E-2</v>
      </c>
      <c r="BB457" s="2">
        <f t="shared" si="366"/>
        <v>2.9807999999999999</v>
      </c>
      <c r="BC457" s="2">
        <f t="shared" si="383"/>
        <v>12.477807000000002</v>
      </c>
      <c r="BD457" s="2">
        <v>0</v>
      </c>
      <c r="BE457" s="2">
        <f t="shared" si="367"/>
        <v>49.68</v>
      </c>
      <c r="BF457" s="2">
        <f t="shared" si="368"/>
        <v>1.6145999999999998</v>
      </c>
      <c r="BG457" s="2">
        <f t="shared" si="384"/>
        <v>1.6145999999999998</v>
      </c>
      <c r="BH457" s="2">
        <f t="shared" si="385"/>
        <v>0.24218999999999996</v>
      </c>
      <c r="BI457" s="2">
        <f t="shared" si="369"/>
        <v>9.9360000000000004E-2</v>
      </c>
      <c r="BJ457" s="2">
        <f t="shared" si="370"/>
        <v>2.9807999999999999</v>
      </c>
      <c r="BK457" s="2">
        <f t="shared" si="386"/>
        <v>54.616950000000003</v>
      </c>
      <c r="BL457" s="2">
        <f t="shared" si="371"/>
        <v>24833.25</v>
      </c>
      <c r="BM457" s="2">
        <f t="shared" si="372"/>
        <v>24846.75</v>
      </c>
      <c r="BN457" s="2">
        <f t="shared" si="387"/>
        <v>49680</v>
      </c>
    </row>
    <row r="458" spans="1:66" x14ac:dyDescent="0.25">
      <c r="A458" s="42">
        <v>455</v>
      </c>
      <c r="B458" s="43">
        <v>42899</v>
      </c>
      <c r="C458" s="42" t="s">
        <v>50</v>
      </c>
      <c r="D458" s="42" t="s">
        <v>269</v>
      </c>
      <c r="E458" s="6">
        <f t="shared" si="373"/>
        <v>120.349147625</v>
      </c>
      <c r="F458" s="5" t="str">
        <f t="shared" si="388"/>
        <v>Win</v>
      </c>
      <c r="G458" s="4">
        <f t="shared" si="389"/>
        <v>136</v>
      </c>
      <c r="H458" s="46">
        <v>34</v>
      </c>
      <c r="I458" s="42">
        <v>675.45</v>
      </c>
      <c r="N458" s="5">
        <f t="shared" si="390"/>
        <v>34</v>
      </c>
      <c r="O458" s="4">
        <f t="shared" si="391"/>
        <v>675.45</v>
      </c>
      <c r="P458" s="5">
        <f t="shared" si="346"/>
        <v>34</v>
      </c>
      <c r="Q458" s="42">
        <v>679.45</v>
      </c>
      <c r="R458" s="2">
        <f t="shared" si="345"/>
        <v>0</v>
      </c>
      <c r="T458" s="2">
        <f t="shared" si="374"/>
        <v>0</v>
      </c>
      <c r="V458" s="5">
        <f t="shared" si="392"/>
        <v>34</v>
      </c>
      <c r="W458" s="4">
        <f t="shared" si="393"/>
        <v>679.45</v>
      </c>
      <c r="X458" s="14">
        <f t="shared" si="347"/>
        <v>4</v>
      </c>
      <c r="Y458" s="5">
        <f t="shared" si="348"/>
        <v>136</v>
      </c>
      <c r="Z458" s="2">
        <f t="shared" si="349"/>
        <v>0</v>
      </c>
      <c r="AA458" s="4">
        <f t="shared" si="350"/>
        <v>0</v>
      </c>
      <c r="AB458" s="13">
        <f t="shared" si="351"/>
        <v>15.650852375000001</v>
      </c>
      <c r="AC458" s="10">
        <f>SUM($E$4:E458)</f>
        <v>-16023.786759746899</v>
      </c>
      <c r="AD458" s="20">
        <f>SUM($AB$4:AB458)</f>
        <v>12398.982059746842</v>
      </c>
      <c r="AF458" s="28">
        <f t="shared" si="352"/>
        <v>4.6066600000000006</v>
      </c>
      <c r="AG458" s="2">
        <f t="shared" si="353"/>
        <v>5.7753250000000005</v>
      </c>
      <c r="AH458" s="2">
        <f t="shared" si="354"/>
        <v>1.4971645</v>
      </c>
      <c r="AI458" s="2">
        <f t="shared" si="375"/>
        <v>6.1038245000000009</v>
      </c>
      <c r="AJ458" s="2">
        <f t="shared" si="376"/>
        <v>0.91557367500000009</v>
      </c>
      <c r="AK458" s="2">
        <f t="shared" si="355"/>
        <v>9.2133199999999998E-2</v>
      </c>
      <c r="AL458" s="2">
        <f t="shared" si="356"/>
        <v>2.7639960000000006</v>
      </c>
      <c r="AM458" s="2">
        <f t="shared" si="377"/>
        <v>15.650852375000001</v>
      </c>
      <c r="AN458" s="2">
        <f t="shared" si="357"/>
        <v>40</v>
      </c>
      <c r="AO458" s="2">
        <f t="shared" si="358"/>
        <v>11.550650000000001</v>
      </c>
      <c r="AP458" s="2">
        <f t="shared" si="359"/>
        <v>24.415298000000003</v>
      </c>
      <c r="AQ458" s="2">
        <f t="shared" si="378"/>
        <v>64.415298000000007</v>
      </c>
      <c r="AR458" s="2">
        <f t="shared" si="379"/>
        <v>9.6622947000000003</v>
      </c>
      <c r="AS458" s="2">
        <f t="shared" si="360"/>
        <v>9.2133199999999998E-2</v>
      </c>
      <c r="AT458" s="2">
        <f t="shared" si="361"/>
        <v>2.7639960000000006</v>
      </c>
      <c r="AU458" s="2">
        <f t="shared" si="380"/>
        <v>88.484371900000028</v>
      </c>
      <c r="AV458" s="2">
        <f t="shared" si="362"/>
        <v>4.6066600000000006</v>
      </c>
      <c r="AW458" s="2">
        <f t="shared" si="363"/>
        <v>2.3101300000000005</v>
      </c>
      <c r="AX458" s="2">
        <f t="shared" si="364"/>
        <v>0.96739860000000011</v>
      </c>
      <c r="AY458" s="2">
        <f t="shared" si="381"/>
        <v>5.5740586000000008</v>
      </c>
      <c r="AZ458" s="2">
        <f t="shared" si="382"/>
        <v>0.83610879000000005</v>
      </c>
      <c r="BA458" s="2">
        <f t="shared" si="365"/>
        <v>9.2133199999999998E-2</v>
      </c>
      <c r="BB458" s="2">
        <f t="shared" si="366"/>
        <v>2.7639960000000006</v>
      </c>
      <c r="BC458" s="2">
        <f t="shared" si="383"/>
        <v>11.576426590000001</v>
      </c>
      <c r="BD458" s="2">
        <v>0</v>
      </c>
      <c r="BE458" s="2">
        <f t="shared" si="367"/>
        <v>46.066600000000008</v>
      </c>
      <c r="BF458" s="2">
        <f t="shared" si="368"/>
        <v>1.4971645</v>
      </c>
      <c r="BG458" s="2">
        <f t="shared" si="384"/>
        <v>1.4971645</v>
      </c>
      <c r="BH458" s="2">
        <f t="shared" si="385"/>
        <v>0.224574675</v>
      </c>
      <c r="BI458" s="2">
        <f t="shared" si="369"/>
        <v>9.2133199999999998E-2</v>
      </c>
      <c r="BJ458" s="2">
        <f t="shared" si="370"/>
        <v>2.7639960000000006</v>
      </c>
      <c r="BK458" s="2">
        <f t="shared" si="386"/>
        <v>50.644468375000002</v>
      </c>
      <c r="BL458" s="2">
        <f t="shared" si="371"/>
        <v>22965.300000000003</v>
      </c>
      <c r="BM458" s="2">
        <f t="shared" si="372"/>
        <v>23101.300000000003</v>
      </c>
      <c r="BN458" s="2">
        <f t="shared" si="387"/>
        <v>46066.600000000006</v>
      </c>
    </row>
    <row r="459" spans="1:66" x14ac:dyDescent="0.25">
      <c r="A459" s="42">
        <v>456</v>
      </c>
      <c r="B459" s="43">
        <v>42900</v>
      </c>
      <c r="C459" s="42" t="s">
        <v>50</v>
      </c>
      <c r="D459" s="42" t="s">
        <v>270</v>
      </c>
      <c r="E459" s="6">
        <f t="shared" si="373"/>
        <v>-366.78115268749923</v>
      </c>
      <c r="F459" s="5" t="str">
        <f t="shared" si="388"/>
        <v>Loss</v>
      </c>
      <c r="G459" s="4">
        <f t="shared" si="389"/>
        <v>-348.39999999999924</v>
      </c>
      <c r="H459" s="46">
        <v>67</v>
      </c>
      <c r="I459" s="42">
        <v>407.75</v>
      </c>
      <c r="N459" s="5">
        <f t="shared" si="390"/>
        <v>67</v>
      </c>
      <c r="O459" s="4">
        <f t="shared" si="391"/>
        <v>407.75</v>
      </c>
      <c r="P459" s="5">
        <f t="shared" si="346"/>
        <v>67</v>
      </c>
      <c r="Q459" s="42">
        <v>402.55</v>
      </c>
      <c r="R459" s="2">
        <f t="shared" si="345"/>
        <v>0</v>
      </c>
      <c r="T459" s="2">
        <f t="shared" si="374"/>
        <v>0</v>
      </c>
      <c r="V459" s="5">
        <f t="shared" si="392"/>
        <v>67</v>
      </c>
      <c r="W459" s="4">
        <f t="shared" si="393"/>
        <v>402.55</v>
      </c>
      <c r="X459" s="14">
        <f t="shared" si="347"/>
        <v>-5.1999999999999886</v>
      </c>
      <c r="Y459" s="5">
        <f t="shared" si="348"/>
        <v>-348.39999999999924</v>
      </c>
      <c r="Z459" s="2">
        <f t="shared" si="349"/>
        <v>0</v>
      </c>
      <c r="AA459" s="4">
        <f t="shared" si="350"/>
        <v>0</v>
      </c>
      <c r="AB459" s="13">
        <f t="shared" si="351"/>
        <v>18.381152687500002</v>
      </c>
      <c r="AC459" s="10">
        <f>SUM($E$4:E459)</f>
        <v>-16390.567912434399</v>
      </c>
      <c r="AD459" s="20">
        <f>SUM($AB$4:AB459)</f>
        <v>12417.363212434342</v>
      </c>
      <c r="AF459" s="28">
        <f t="shared" si="352"/>
        <v>5.4290100000000008</v>
      </c>
      <c r="AG459" s="2">
        <f t="shared" si="353"/>
        <v>6.7427125000000006</v>
      </c>
      <c r="AH459" s="2">
        <f t="shared" si="354"/>
        <v>1.7644282500000001</v>
      </c>
      <c r="AI459" s="2">
        <f t="shared" si="375"/>
        <v>7.1934382500000007</v>
      </c>
      <c r="AJ459" s="2">
        <f t="shared" si="376"/>
        <v>1.0790157375</v>
      </c>
      <c r="AK459" s="2">
        <f t="shared" si="355"/>
        <v>0.10858020000000002</v>
      </c>
      <c r="AL459" s="2">
        <f t="shared" si="356"/>
        <v>3.2574060000000005</v>
      </c>
      <c r="AM459" s="2">
        <f t="shared" si="377"/>
        <v>18.381152687500002</v>
      </c>
      <c r="AN459" s="2">
        <f t="shared" si="357"/>
        <v>40</v>
      </c>
      <c r="AO459" s="2">
        <f t="shared" si="358"/>
        <v>13.485425000000001</v>
      </c>
      <c r="AP459" s="2">
        <f t="shared" si="359"/>
        <v>28.773753000000003</v>
      </c>
      <c r="AQ459" s="2">
        <f t="shared" si="378"/>
        <v>68.773752999999999</v>
      </c>
      <c r="AR459" s="2">
        <f t="shared" si="379"/>
        <v>10.316062949999999</v>
      </c>
      <c r="AS459" s="2">
        <f t="shared" si="360"/>
        <v>0.10858020000000002</v>
      </c>
      <c r="AT459" s="2">
        <f t="shared" si="361"/>
        <v>3.2574060000000005</v>
      </c>
      <c r="AU459" s="2">
        <f t="shared" si="380"/>
        <v>95.941227150000017</v>
      </c>
      <c r="AV459" s="2">
        <f t="shared" si="362"/>
        <v>5.4290100000000008</v>
      </c>
      <c r="AW459" s="2">
        <f t="shared" si="363"/>
        <v>2.697085</v>
      </c>
      <c r="AX459" s="2">
        <f t="shared" si="364"/>
        <v>1.1400921000000002</v>
      </c>
      <c r="AY459" s="2">
        <f t="shared" si="381"/>
        <v>6.5691021000000012</v>
      </c>
      <c r="AZ459" s="2">
        <f t="shared" si="382"/>
        <v>0.98536531500000013</v>
      </c>
      <c r="BA459" s="2">
        <f t="shared" si="365"/>
        <v>0.10858020000000002</v>
      </c>
      <c r="BB459" s="2">
        <f t="shared" si="366"/>
        <v>3.2574060000000005</v>
      </c>
      <c r="BC459" s="2">
        <f t="shared" si="383"/>
        <v>13.617538615000004</v>
      </c>
      <c r="BD459" s="2">
        <v>0</v>
      </c>
      <c r="BE459" s="2">
        <f t="shared" si="367"/>
        <v>54.29010000000001</v>
      </c>
      <c r="BF459" s="2">
        <f t="shared" si="368"/>
        <v>1.7644282500000001</v>
      </c>
      <c r="BG459" s="2">
        <f t="shared" si="384"/>
        <v>1.7644282500000001</v>
      </c>
      <c r="BH459" s="2">
        <f t="shared" si="385"/>
        <v>0.26466423750000001</v>
      </c>
      <c r="BI459" s="2">
        <f t="shared" si="369"/>
        <v>0.10858020000000002</v>
      </c>
      <c r="BJ459" s="2">
        <f t="shared" si="370"/>
        <v>3.2574060000000005</v>
      </c>
      <c r="BK459" s="2">
        <f t="shared" si="386"/>
        <v>59.685178687500013</v>
      </c>
      <c r="BL459" s="2">
        <f t="shared" si="371"/>
        <v>27319.25</v>
      </c>
      <c r="BM459" s="2">
        <f t="shared" si="372"/>
        <v>26970.850000000002</v>
      </c>
      <c r="BN459" s="2">
        <f t="shared" si="387"/>
        <v>54290.100000000006</v>
      </c>
    </row>
    <row r="460" spans="1:66" x14ac:dyDescent="0.25">
      <c r="A460" s="42">
        <v>457</v>
      </c>
      <c r="B460" s="43">
        <v>42900</v>
      </c>
      <c r="C460" s="42" t="s">
        <v>50</v>
      </c>
      <c r="D460" s="42" t="s">
        <v>268</v>
      </c>
      <c r="E460" s="6">
        <f t="shared" si="373"/>
        <v>107.5241401736269</v>
      </c>
      <c r="F460" s="5" t="str">
        <f t="shared" si="388"/>
        <v>Win</v>
      </c>
      <c r="G460" s="4">
        <f t="shared" si="389"/>
        <v>134.97540000000191</v>
      </c>
      <c r="H460" s="46">
        <v>98</v>
      </c>
      <c r="I460" s="42">
        <v>204.7</v>
      </c>
      <c r="J460" s="42">
        <v>98</v>
      </c>
      <c r="K460" s="42">
        <v>207.05</v>
      </c>
      <c r="N460" s="5">
        <f t="shared" si="390"/>
        <v>196</v>
      </c>
      <c r="O460" s="4">
        <f t="shared" si="391"/>
        <v>205.875</v>
      </c>
      <c r="P460" s="5">
        <f t="shared" si="346"/>
        <v>98</v>
      </c>
      <c r="Q460" s="42">
        <v>207.07730000000001</v>
      </c>
      <c r="R460" s="2">
        <f t="shared" si="345"/>
        <v>98</v>
      </c>
      <c r="S460" s="42">
        <v>206.05</v>
      </c>
      <c r="T460" s="2">
        <f t="shared" si="374"/>
        <v>0</v>
      </c>
      <c r="V460" s="5">
        <f t="shared" si="392"/>
        <v>196</v>
      </c>
      <c r="W460" s="4">
        <f t="shared" si="393"/>
        <v>206.56365</v>
      </c>
      <c r="X460" s="14">
        <f t="shared" si="347"/>
        <v>2.3773000000000195</v>
      </c>
      <c r="Y460" s="5">
        <f t="shared" si="348"/>
        <v>232.97540000000191</v>
      </c>
      <c r="Z460" s="2">
        <f t="shared" si="349"/>
        <v>-98</v>
      </c>
      <c r="AA460" s="4">
        <f t="shared" si="350"/>
        <v>0</v>
      </c>
      <c r="AB460" s="13">
        <f t="shared" si="351"/>
        <v>27.451259826375001</v>
      </c>
      <c r="AC460" s="10">
        <f>SUM($E$4:E460)</f>
        <v>-16283.043772260771</v>
      </c>
      <c r="AD460" s="20">
        <f>SUM($AB$4:AB460)</f>
        <v>12444.814472260718</v>
      </c>
      <c r="AF460" s="28">
        <f t="shared" si="352"/>
        <v>8.0837975400000008</v>
      </c>
      <c r="AG460" s="2">
        <f t="shared" si="353"/>
        <v>10.121618850000001</v>
      </c>
      <c r="AH460" s="2">
        <f t="shared" si="354"/>
        <v>2.6272342004999998</v>
      </c>
      <c r="AI460" s="2">
        <f t="shared" si="375"/>
        <v>10.711031740500001</v>
      </c>
      <c r="AJ460" s="2">
        <f t="shared" si="376"/>
        <v>1.6066547610750002</v>
      </c>
      <c r="AK460" s="2">
        <f t="shared" si="355"/>
        <v>0.1616759508</v>
      </c>
      <c r="AL460" s="2">
        <f t="shared" si="356"/>
        <v>4.8502785240000001</v>
      </c>
      <c r="AM460" s="2">
        <f t="shared" si="377"/>
        <v>27.451259826375001</v>
      </c>
      <c r="AN460" s="2">
        <f t="shared" si="357"/>
        <v>80</v>
      </c>
      <c r="AO460" s="2">
        <f t="shared" si="358"/>
        <v>20.243237700000002</v>
      </c>
      <c r="AP460" s="2">
        <f t="shared" si="359"/>
        <v>42.844126961999997</v>
      </c>
      <c r="AQ460" s="2">
        <f t="shared" si="378"/>
        <v>122.84412696199999</v>
      </c>
      <c r="AR460" s="2">
        <f t="shared" si="379"/>
        <v>18.426619044299997</v>
      </c>
      <c r="AS460" s="2">
        <f t="shared" si="360"/>
        <v>0.1616759508</v>
      </c>
      <c r="AT460" s="2">
        <f t="shared" si="361"/>
        <v>4.8502785240000001</v>
      </c>
      <c r="AU460" s="2">
        <f t="shared" si="380"/>
        <v>166.5259381811</v>
      </c>
      <c r="AV460" s="2">
        <f t="shared" si="362"/>
        <v>8.0837975400000008</v>
      </c>
      <c r="AW460" s="2">
        <f t="shared" si="363"/>
        <v>4.0486475400000002</v>
      </c>
      <c r="AX460" s="2">
        <f t="shared" si="364"/>
        <v>1.6975974833999998</v>
      </c>
      <c r="AY460" s="2">
        <f t="shared" si="381"/>
        <v>9.7813950234</v>
      </c>
      <c r="AZ460" s="2">
        <f t="shared" si="382"/>
        <v>1.4672092535099999</v>
      </c>
      <c r="BA460" s="2">
        <f t="shared" si="365"/>
        <v>0.1616759508</v>
      </c>
      <c r="BB460" s="2">
        <f t="shared" si="366"/>
        <v>4.8502785240000001</v>
      </c>
      <c r="BC460" s="2">
        <f t="shared" si="383"/>
        <v>20.309206291709998</v>
      </c>
      <c r="BD460" s="2">
        <v>0</v>
      </c>
      <c r="BE460" s="2">
        <f t="shared" si="367"/>
        <v>80.837975399999991</v>
      </c>
      <c r="BF460" s="2">
        <f t="shared" si="368"/>
        <v>2.6272342004999998</v>
      </c>
      <c r="BG460" s="2">
        <f t="shared" si="384"/>
        <v>2.6272342004999998</v>
      </c>
      <c r="BH460" s="2">
        <f t="shared" si="385"/>
        <v>0.39408513007499996</v>
      </c>
      <c r="BI460" s="2">
        <f t="shared" si="369"/>
        <v>0.1616759508</v>
      </c>
      <c r="BJ460" s="2">
        <f t="shared" si="370"/>
        <v>4.8502785240000001</v>
      </c>
      <c r="BK460" s="2">
        <f t="shared" si="386"/>
        <v>88.871249205374994</v>
      </c>
      <c r="BL460" s="2">
        <f t="shared" si="371"/>
        <v>40351.5</v>
      </c>
      <c r="BM460" s="2">
        <f t="shared" si="372"/>
        <v>40486.475399999996</v>
      </c>
      <c r="BN460" s="2">
        <f t="shared" si="387"/>
        <v>80837.975399999996</v>
      </c>
    </row>
    <row r="461" spans="1:66" x14ac:dyDescent="0.25">
      <c r="A461" s="42">
        <v>458</v>
      </c>
      <c r="B461" s="43">
        <v>42900</v>
      </c>
      <c r="C461" s="42" t="s">
        <v>50</v>
      </c>
      <c r="D461" s="42" t="s">
        <v>271</v>
      </c>
      <c r="E461" s="6">
        <f t="shared" si="373"/>
        <v>-14.894489999999998</v>
      </c>
      <c r="F461" s="5" t="str">
        <f t="shared" si="388"/>
        <v>Break Even</v>
      </c>
      <c r="G461" s="4">
        <f t="shared" si="389"/>
        <v>0</v>
      </c>
      <c r="H461" s="46">
        <v>160</v>
      </c>
      <c r="I461" s="42">
        <v>137.15</v>
      </c>
      <c r="N461" s="5">
        <f t="shared" si="390"/>
        <v>160</v>
      </c>
      <c r="O461" s="4">
        <f t="shared" si="391"/>
        <v>137.15</v>
      </c>
      <c r="P461" s="5">
        <f t="shared" si="346"/>
        <v>160</v>
      </c>
      <c r="Q461" s="42">
        <v>137.15</v>
      </c>
      <c r="R461" s="2">
        <f t="shared" si="345"/>
        <v>0</v>
      </c>
      <c r="T461" s="2">
        <f t="shared" si="374"/>
        <v>0</v>
      </c>
      <c r="V461" s="5">
        <f t="shared" si="392"/>
        <v>160</v>
      </c>
      <c r="W461" s="4">
        <f t="shared" si="393"/>
        <v>137.15</v>
      </c>
      <c r="X461" s="14">
        <f t="shared" si="347"/>
        <v>0</v>
      </c>
      <c r="Y461" s="5">
        <f t="shared" si="348"/>
        <v>0</v>
      </c>
      <c r="Z461" s="2">
        <f t="shared" si="349"/>
        <v>0</v>
      </c>
      <c r="AA461" s="4">
        <f t="shared" si="350"/>
        <v>0</v>
      </c>
      <c r="AB461" s="13">
        <f t="shared" si="351"/>
        <v>14.894489999999998</v>
      </c>
      <c r="AC461" s="10">
        <f>SUM($E$4:E461)</f>
        <v>-16297.938262260772</v>
      </c>
      <c r="AD461" s="20">
        <f>SUM($AB$4:AB461)</f>
        <v>12459.708962260718</v>
      </c>
      <c r="AF461" s="28">
        <f t="shared" si="352"/>
        <v>4.3887999999999998</v>
      </c>
      <c r="AG461" s="2">
        <f t="shared" si="353"/>
        <v>5.4860000000000007</v>
      </c>
      <c r="AH461" s="2">
        <f t="shared" si="354"/>
        <v>1.4263599999999999</v>
      </c>
      <c r="AI461" s="2">
        <f t="shared" si="375"/>
        <v>5.8151599999999997</v>
      </c>
      <c r="AJ461" s="2">
        <f t="shared" si="376"/>
        <v>0.87227399999999988</v>
      </c>
      <c r="AK461" s="2">
        <f t="shared" si="355"/>
        <v>8.7775999999999993E-2</v>
      </c>
      <c r="AL461" s="2">
        <f t="shared" si="356"/>
        <v>2.6332800000000001</v>
      </c>
      <c r="AM461" s="2">
        <f t="shared" si="377"/>
        <v>14.894489999999998</v>
      </c>
      <c r="AN461" s="2">
        <f t="shared" si="357"/>
        <v>40</v>
      </c>
      <c r="AO461" s="2">
        <f t="shared" si="358"/>
        <v>10.972000000000001</v>
      </c>
      <c r="AP461" s="2">
        <f t="shared" si="359"/>
        <v>23.260639999999999</v>
      </c>
      <c r="AQ461" s="2">
        <f t="shared" si="378"/>
        <v>63.260639999999995</v>
      </c>
      <c r="AR461" s="2">
        <f t="shared" si="379"/>
        <v>9.4890959999999982</v>
      </c>
      <c r="AS461" s="2">
        <f t="shared" si="360"/>
        <v>8.7775999999999993E-2</v>
      </c>
      <c r="AT461" s="2">
        <f t="shared" si="361"/>
        <v>2.6332800000000001</v>
      </c>
      <c r="AU461" s="2">
        <f t="shared" si="380"/>
        <v>86.442792000000011</v>
      </c>
      <c r="AV461" s="2">
        <f t="shared" si="362"/>
        <v>4.3887999999999998</v>
      </c>
      <c r="AW461" s="2">
        <f t="shared" si="363"/>
        <v>2.1944000000000004</v>
      </c>
      <c r="AX461" s="2">
        <f t="shared" si="364"/>
        <v>0.92164799999999991</v>
      </c>
      <c r="AY461" s="2">
        <f t="shared" si="381"/>
        <v>5.3104480000000001</v>
      </c>
      <c r="AZ461" s="2">
        <f t="shared" si="382"/>
        <v>0.79656720000000003</v>
      </c>
      <c r="BA461" s="2">
        <f t="shared" si="365"/>
        <v>8.7775999999999993E-2</v>
      </c>
      <c r="BB461" s="2">
        <f t="shared" si="366"/>
        <v>2.6332800000000001</v>
      </c>
      <c r="BC461" s="2">
        <f t="shared" si="383"/>
        <v>11.022471199999998</v>
      </c>
      <c r="BD461" s="2">
        <v>0</v>
      </c>
      <c r="BE461" s="2">
        <f t="shared" si="367"/>
        <v>43.887999999999998</v>
      </c>
      <c r="BF461" s="2">
        <f t="shared" si="368"/>
        <v>1.4263599999999999</v>
      </c>
      <c r="BG461" s="2">
        <f t="shared" si="384"/>
        <v>1.4263599999999999</v>
      </c>
      <c r="BH461" s="2">
        <f t="shared" si="385"/>
        <v>0.21395399999999998</v>
      </c>
      <c r="BI461" s="2">
        <f t="shared" si="369"/>
        <v>8.7775999999999993E-2</v>
      </c>
      <c r="BJ461" s="2">
        <f t="shared" si="370"/>
        <v>2.6332800000000001</v>
      </c>
      <c r="BK461" s="2">
        <f t="shared" si="386"/>
        <v>48.249369999999999</v>
      </c>
      <c r="BL461" s="2">
        <f t="shared" si="371"/>
        <v>21944</v>
      </c>
      <c r="BM461" s="2">
        <f t="shared" si="372"/>
        <v>21944</v>
      </c>
      <c r="BN461" s="2">
        <f t="shared" si="387"/>
        <v>43888</v>
      </c>
    </row>
    <row r="462" spans="1:66" x14ac:dyDescent="0.25">
      <c r="A462" s="42">
        <v>459</v>
      </c>
      <c r="B462" s="43">
        <v>42900</v>
      </c>
      <c r="C462" s="42" t="s">
        <v>50</v>
      </c>
      <c r="D462" s="42" t="s">
        <v>268</v>
      </c>
      <c r="E462" s="6">
        <f t="shared" si="373"/>
        <v>-5.6168529062706085E-2</v>
      </c>
      <c r="F462" s="5" t="str">
        <f t="shared" si="388"/>
        <v>Win</v>
      </c>
      <c r="G462" s="4">
        <f t="shared" si="389"/>
        <v>14.849999999999795</v>
      </c>
      <c r="H462" s="46">
        <v>100</v>
      </c>
      <c r="I462" s="42">
        <v>207.05</v>
      </c>
      <c r="J462" s="42">
        <v>6</v>
      </c>
      <c r="K462" s="42">
        <v>207.05</v>
      </c>
      <c r="N462" s="5">
        <f t="shared" si="390"/>
        <v>106</v>
      </c>
      <c r="O462" s="4">
        <f t="shared" si="391"/>
        <v>207.05</v>
      </c>
      <c r="P462" s="5">
        <f t="shared" si="346"/>
        <v>100</v>
      </c>
      <c r="Q462" s="42">
        <v>207.18350000000001</v>
      </c>
      <c r="R462" s="2">
        <f t="shared" si="345"/>
        <v>6</v>
      </c>
      <c r="S462" s="42">
        <v>207.3</v>
      </c>
      <c r="T462" s="2">
        <f t="shared" si="374"/>
        <v>0</v>
      </c>
      <c r="V462" s="5">
        <f t="shared" si="392"/>
        <v>106</v>
      </c>
      <c r="W462" s="4">
        <f t="shared" si="393"/>
        <v>207.24175000000002</v>
      </c>
      <c r="X462" s="14">
        <f t="shared" si="347"/>
        <v>0.25</v>
      </c>
      <c r="Y462" s="5">
        <f t="shared" si="348"/>
        <v>13.349999999999795</v>
      </c>
      <c r="Z462" s="2">
        <f t="shared" si="349"/>
        <v>1.5</v>
      </c>
      <c r="AA462" s="4">
        <f t="shared" si="350"/>
        <v>0</v>
      </c>
      <c r="AB462" s="13">
        <f t="shared" si="351"/>
        <v>14.906168529062501</v>
      </c>
      <c r="AC462" s="10">
        <f>SUM($E$4:E462)</f>
        <v>-16297.994430789835</v>
      </c>
      <c r="AD462" s="20">
        <f>SUM($AB$4:AB462)</f>
        <v>12474.61513078978</v>
      </c>
      <c r="AF462" s="28">
        <f t="shared" si="352"/>
        <v>4.3914925500000006</v>
      </c>
      <c r="AG462" s="2">
        <f t="shared" si="353"/>
        <v>5.4919063750000001</v>
      </c>
      <c r="AH462" s="2">
        <f t="shared" si="354"/>
        <v>1.4272350787500001</v>
      </c>
      <c r="AI462" s="2">
        <f t="shared" si="375"/>
        <v>5.8187276287500005</v>
      </c>
      <c r="AJ462" s="2">
        <f t="shared" si="376"/>
        <v>0.87280914431250001</v>
      </c>
      <c r="AK462" s="2">
        <f t="shared" si="355"/>
        <v>8.7829851000000014E-2</v>
      </c>
      <c r="AL462" s="2">
        <f t="shared" si="356"/>
        <v>2.6348955300000005</v>
      </c>
      <c r="AM462" s="2">
        <f t="shared" si="377"/>
        <v>14.906168529062501</v>
      </c>
      <c r="AN462" s="2">
        <f t="shared" si="357"/>
        <v>80</v>
      </c>
      <c r="AO462" s="2">
        <f t="shared" si="358"/>
        <v>10.98381275</v>
      </c>
      <c r="AP462" s="2">
        <f t="shared" si="359"/>
        <v>23.274910515000002</v>
      </c>
      <c r="AQ462" s="2">
        <f t="shared" si="378"/>
        <v>103.274910515</v>
      </c>
      <c r="AR462" s="2">
        <f t="shared" si="379"/>
        <v>15.49123657725</v>
      </c>
      <c r="AS462" s="2">
        <f t="shared" si="360"/>
        <v>8.7829851000000014E-2</v>
      </c>
      <c r="AT462" s="2">
        <f t="shared" si="361"/>
        <v>2.6348955300000005</v>
      </c>
      <c r="AU462" s="2">
        <f t="shared" si="380"/>
        <v>132.47268522325001</v>
      </c>
      <c r="AV462" s="2">
        <f t="shared" si="362"/>
        <v>4.3914925500000006</v>
      </c>
      <c r="AW462" s="2">
        <f t="shared" si="363"/>
        <v>2.1967625500000003</v>
      </c>
      <c r="AX462" s="2">
        <f t="shared" si="364"/>
        <v>0.92221343550000001</v>
      </c>
      <c r="AY462" s="2">
        <f t="shared" si="381"/>
        <v>5.3137059855000004</v>
      </c>
      <c r="AZ462" s="2">
        <f t="shared" si="382"/>
        <v>0.79705589782500008</v>
      </c>
      <c r="BA462" s="2">
        <f t="shared" si="365"/>
        <v>8.7829851000000014E-2</v>
      </c>
      <c r="BB462" s="2">
        <f t="shared" si="366"/>
        <v>2.6348955300000005</v>
      </c>
      <c r="BC462" s="2">
        <f t="shared" si="383"/>
        <v>11.030249814325003</v>
      </c>
      <c r="BD462" s="2">
        <v>0</v>
      </c>
      <c r="BE462" s="2">
        <f t="shared" si="367"/>
        <v>43.914925500000003</v>
      </c>
      <c r="BF462" s="2">
        <f t="shared" si="368"/>
        <v>1.4272350787500001</v>
      </c>
      <c r="BG462" s="2">
        <f t="shared" si="384"/>
        <v>1.4272350787500001</v>
      </c>
      <c r="BH462" s="2">
        <f t="shared" si="385"/>
        <v>0.21408526181250001</v>
      </c>
      <c r="BI462" s="2">
        <f t="shared" si="369"/>
        <v>8.7829851000000014E-2</v>
      </c>
      <c r="BJ462" s="2">
        <f t="shared" si="370"/>
        <v>2.6348955300000005</v>
      </c>
      <c r="BK462" s="2">
        <f t="shared" si="386"/>
        <v>48.278971221562507</v>
      </c>
      <c r="BL462" s="2">
        <f t="shared" si="371"/>
        <v>21947.300000000003</v>
      </c>
      <c r="BM462" s="2">
        <f t="shared" si="372"/>
        <v>21967.625500000002</v>
      </c>
      <c r="BN462" s="2">
        <f t="shared" si="387"/>
        <v>43914.925500000005</v>
      </c>
    </row>
    <row r="463" spans="1:66" x14ac:dyDescent="0.25">
      <c r="A463" s="42">
        <v>460</v>
      </c>
      <c r="B463" s="43">
        <v>42900</v>
      </c>
      <c r="C463" s="42" t="s">
        <v>50</v>
      </c>
      <c r="D463" s="42" t="s">
        <v>163</v>
      </c>
      <c r="E463" s="6">
        <f t="shared" si="373"/>
        <v>-39.004192999998608</v>
      </c>
      <c r="F463" s="5" t="str">
        <f t="shared" si="388"/>
        <v>Loss</v>
      </c>
      <c r="G463" s="4">
        <f t="shared" si="389"/>
        <v>-24.399999999998613</v>
      </c>
      <c r="H463" s="46">
        <v>244</v>
      </c>
      <c r="I463" s="42">
        <v>88.25</v>
      </c>
      <c r="N463" s="5">
        <f t="shared" si="390"/>
        <v>244</v>
      </c>
      <c r="O463" s="4">
        <f t="shared" si="391"/>
        <v>88.25</v>
      </c>
      <c r="P463" s="5">
        <f t="shared" si="346"/>
        <v>244</v>
      </c>
      <c r="Q463" s="42">
        <v>88.15</v>
      </c>
      <c r="R463" s="2">
        <f t="shared" si="345"/>
        <v>0</v>
      </c>
      <c r="T463" s="2">
        <f t="shared" si="374"/>
        <v>0</v>
      </c>
      <c r="V463" s="5">
        <f t="shared" si="392"/>
        <v>244</v>
      </c>
      <c r="W463" s="4">
        <f t="shared" si="393"/>
        <v>88.15</v>
      </c>
      <c r="X463" s="14">
        <f t="shared" si="347"/>
        <v>-9.9999999999994316E-2</v>
      </c>
      <c r="Y463" s="5">
        <f t="shared" si="348"/>
        <v>-24.399999999998613</v>
      </c>
      <c r="Z463" s="2">
        <f t="shared" si="349"/>
        <v>0</v>
      </c>
      <c r="AA463" s="4">
        <f t="shared" si="350"/>
        <v>0</v>
      </c>
      <c r="AB463" s="13">
        <f t="shared" si="351"/>
        <v>14.604192999999999</v>
      </c>
      <c r="AC463" s="10">
        <f>SUM($E$4:E463)</f>
        <v>-16336.998623789834</v>
      </c>
      <c r="AD463" s="20">
        <f>SUM($AB$4:AB463)</f>
        <v>12489.219323789779</v>
      </c>
      <c r="AF463" s="28">
        <f t="shared" si="352"/>
        <v>4.3041600000000004</v>
      </c>
      <c r="AG463" s="2">
        <f t="shared" si="353"/>
        <v>5.3771500000000003</v>
      </c>
      <c r="AH463" s="2">
        <f t="shared" si="354"/>
        <v>1.398852</v>
      </c>
      <c r="AI463" s="2">
        <f t="shared" si="375"/>
        <v>5.7030120000000002</v>
      </c>
      <c r="AJ463" s="2">
        <f t="shared" si="376"/>
        <v>0.85545179999999998</v>
      </c>
      <c r="AK463" s="2">
        <f t="shared" si="355"/>
        <v>8.6083200000000012E-2</v>
      </c>
      <c r="AL463" s="2">
        <f t="shared" si="356"/>
        <v>2.5824960000000003</v>
      </c>
      <c r="AM463" s="2">
        <f t="shared" si="377"/>
        <v>14.604192999999999</v>
      </c>
      <c r="AN463" s="2">
        <f t="shared" si="357"/>
        <v>40</v>
      </c>
      <c r="AO463" s="2">
        <f t="shared" si="358"/>
        <v>10.754300000000001</v>
      </c>
      <c r="AP463" s="2">
        <f t="shared" si="359"/>
        <v>22.812048000000001</v>
      </c>
      <c r="AQ463" s="2">
        <f t="shared" si="378"/>
        <v>62.812048000000004</v>
      </c>
      <c r="AR463" s="2">
        <f t="shared" si="379"/>
        <v>9.4218071999999999</v>
      </c>
      <c r="AS463" s="2">
        <f t="shared" si="360"/>
        <v>8.6083200000000012E-2</v>
      </c>
      <c r="AT463" s="2">
        <f t="shared" si="361"/>
        <v>2.5824960000000003</v>
      </c>
      <c r="AU463" s="2">
        <f t="shared" si="380"/>
        <v>85.656734400000019</v>
      </c>
      <c r="AV463" s="2">
        <f t="shared" si="362"/>
        <v>4.3041600000000004</v>
      </c>
      <c r="AW463" s="2">
        <f t="shared" si="363"/>
        <v>2.1508600000000002</v>
      </c>
      <c r="AX463" s="2">
        <f t="shared" si="364"/>
        <v>0.90387360000000005</v>
      </c>
      <c r="AY463" s="2">
        <f t="shared" si="381"/>
        <v>5.2080336000000003</v>
      </c>
      <c r="AZ463" s="2">
        <f t="shared" si="382"/>
        <v>0.78120504000000002</v>
      </c>
      <c r="BA463" s="2">
        <f t="shared" si="365"/>
        <v>8.6083200000000012E-2</v>
      </c>
      <c r="BB463" s="2">
        <f t="shared" si="366"/>
        <v>2.5824960000000003</v>
      </c>
      <c r="BC463" s="2">
        <f t="shared" si="383"/>
        <v>10.808677840000001</v>
      </c>
      <c r="BD463" s="2">
        <v>0</v>
      </c>
      <c r="BE463" s="2">
        <f t="shared" si="367"/>
        <v>43.04160000000001</v>
      </c>
      <c r="BF463" s="2">
        <f t="shared" si="368"/>
        <v>1.398852</v>
      </c>
      <c r="BG463" s="2">
        <f t="shared" si="384"/>
        <v>1.398852</v>
      </c>
      <c r="BH463" s="2">
        <f t="shared" si="385"/>
        <v>0.20982779999999998</v>
      </c>
      <c r="BI463" s="2">
        <f t="shared" si="369"/>
        <v>8.6083200000000012E-2</v>
      </c>
      <c r="BJ463" s="2">
        <f t="shared" si="370"/>
        <v>2.5824960000000003</v>
      </c>
      <c r="BK463" s="2">
        <f t="shared" si="386"/>
        <v>47.318859000000003</v>
      </c>
      <c r="BL463" s="2">
        <f t="shared" si="371"/>
        <v>21533</v>
      </c>
      <c r="BM463" s="2">
        <f t="shared" si="372"/>
        <v>21508.600000000002</v>
      </c>
      <c r="BN463" s="2">
        <f t="shared" si="387"/>
        <v>43041.600000000006</v>
      </c>
    </row>
    <row r="464" spans="1:66" x14ac:dyDescent="0.25">
      <c r="A464" s="42">
        <v>461</v>
      </c>
      <c r="B464" s="43">
        <v>42901</v>
      </c>
      <c r="C464" s="42" t="s">
        <v>50</v>
      </c>
      <c r="D464" s="42" t="s">
        <v>268</v>
      </c>
      <c r="E464" s="6">
        <f t="shared" si="373"/>
        <v>92.892865624999999</v>
      </c>
      <c r="F464" s="5" t="str">
        <f t="shared" si="388"/>
        <v>Win</v>
      </c>
      <c r="G464" s="4">
        <f t="shared" si="389"/>
        <v>100</v>
      </c>
      <c r="H464" s="46">
        <v>50</v>
      </c>
      <c r="I464" s="42">
        <v>208.05</v>
      </c>
      <c r="N464" s="5">
        <f t="shared" si="390"/>
        <v>50</v>
      </c>
      <c r="O464" s="4">
        <f t="shared" si="391"/>
        <v>208.05</v>
      </c>
      <c r="P464" s="5">
        <f t="shared" si="346"/>
        <v>50</v>
      </c>
      <c r="Q464" s="42">
        <v>210.05</v>
      </c>
      <c r="R464" s="2">
        <f t="shared" si="345"/>
        <v>0</v>
      </c>
      <c r="T464" s="2">
        <f t="shared" si="374"/>
        <v>0</v>
      </c>
      <c r="V464" s="5">
        <f t="shared" si="392"/>
        <v>50</v>
      </c>
      <c r="W464" s="4">
        <f t="shared" si="393"/>
        <v>210.05</v>
      </c>
      <c r="X464" s="14">
        <f t="shared" si="347"/>
        <v>2</v>
      </c>
      <c r="Y464" s="5">
        <f t="shared" si="348"/>
        <v>100</v>
      </c>
      <c r="Z464" s="2">
        <f t="shared" si="349"/>
        <v>0</v>
      </c>
      <c r="AA464" s="4">
        <f t="shared" si="350"/>
        <v>0</v>
      </c>
      <c r="AB464" s="13">
        <f t="shared" si="351"/>
        <v>7.1071343749999993</v>
      </c>
      <c r="AC464" s="10">
        <f>SUM($E$4:E464)</f>
        <v>-16244.105758164835</v>
      </c>
      <c r="AD464" s="20">
        <f>SUM($AB$4:AB464)</f>
        <v>12496.32645816478</v>
      </c>
      <c r="AF464" s="28">
        <f t="shared" si="352"/>
        <v>2.0905</v>
      </c>
      <c r="AG464" s="2">
        <f t="shared" si="353"/>
        <v>2.6256250000000003</v>
      </c>
      <c r="AH464" s="2">
        <f t="shared" si="354"/>
        <v>0.67941249999999997</v>
      </c>
      <c r="AI464" s="2">
        <f t="shared" si="375"/>
        <v>2.7699125000000002</v>
      </c>
      <c r="AJ464" s="2">
        <f t="shared" si="376"/>
        <v>0.41548687500000003</v>
      </c>
      <c r="AK464" s="2">
        <f t="shared" si="355"/>
        <v>4.181E-2</v>
      </c>
      <c r="AL464" s="2">
        <f t="shared" si="356"/>
        <v>1.2543</v>
      </c>
      <c r="AM464" s="2">
        <f t="shared" si="377"/>
        <v>7.1071343749999993</v>
      </c>
      <c r="AN464" s="2">
        <f t="shared" si="357"/>
        <v>40</v>
      </c>
      <c r="AO464" s="2">
        <f t="shared" si="358"/>
        <v>5.2512500000000006</v>
      </c>
      <c r="AP464" s="2">
        <f t="shared" si="359"/>
        <v>11.079649999999999</v>
      </c>
      <c r="AQ464" s="2">
        <f t="shared" si="378"/>
        <v>51.079650000000001</v>
      </c>
      <c r="AR464" s="2">
        <f t="shared" si="379"/>
        <v>7.6619475000000001</v>
      </c>
      <c r="AS464" s="2">
        <f t="shared" si="360"/>
        <v>4.181E-2</v>
      </c>
      <c r="AT464" s="2">
        <f t="shared" si="361"/>
        <v>1.2543</v>
      </c>
      <c r="AU464" s="2">
        <f t="shared" si="380"/>
        <v>65.288957499999995</v>
      </c>
      <c r="AV464" s="2">
        <f t="shared" si="362"/>
        <v>2.0905</v>
      </c>
      <c r="AW464" s="2">
        <f t="shared" si="363"/>
        <v>1.0502500000000001</v>
      </c>
      <c r="AX464" s="2">
        <f t="shared" si="364"/>
        <v>0.43900499999999998</v>
      </c>
      <c r="AY464" s="2">
        <f t="shared" si="381"/>
        <v>2.5295049999999999</v>
      </c>
      <c r="AZ464" s="2">
        <f t="shared" si="382"/>
        <v>0.37942574999999995</v>
      </c>
      <c r="BA464" s="2">
        <f t="shared" si="365"/>
        <v>4.181E-2</v>
      </c>
      <c r="BB464" s="2">
        <f t="shared" si="366"/>
        <v>1.2543</v>
      </c>
      <c r="BC464" s="2">
        <f t="shared" si="383"/>
        <v>5.2552907499999995</v>
      </c>
      <c r="BD464" s="2">
        <v>0</v>
      </c>
      <c r="BE464" s="2">
        <f t="shared" si="367"/>
        <v>20.905000000000001</v>
      </c>
      <c r="BF464" s="2">
        <f t="shared" si="368"/>
        <v>0.67941249999999997</v>
      </c>
      <c r="BG464" s="2">
        <f t="shared" si="384"/>
        <v>0.67941249999999997</v>
      </c>
      <c r="BH464" s="2">
        <f t="shared" si="385"/>
        <v>0.101911875</v>
      </c>
      <c r="BI464" s="2">
        <f t="shared" si="369"/>
        <v>4.181E-2</v>
      </c>
      <c r="BJ464" s="2">
        <f t="shared" si="370"/>
        <v>1.2543</v>
      </c>
      <c r="BK464" s="2">
        <f t="shared" si="386"/>
        <v>22.982434375000004</v>
      </c>
      <c r="BL464" s="2">
        <f t="shared" si="371"/>
        <v>10402.5</v>
      </c>
      <c r="BM464" s="2">
        <f t="shared" si="372"/>
        <v>10502.5</v>
      </c>
      <c r="BN464" s="2">
        <f t="shared" si="387"/>
        <v>20905</v>
      </c>
    </row>
    <row r="465" spans="1:66" x14ac:dyDescent="0.25">
      <c r="A465" s="42">
        <v>462</v>
      </c>
      <c r="B465" s="43">
        <v>42901</v>
      </c>
      <c r="C465" s="42" t="s">
        <v>50</v>
      </c>
      <c r="D465" s="42" t="s">
        <v>163</v>
      </c>
      <c r="E465" s="6">
        <f t="shared" si="373"/>
        <v>93.841418750000003</v>
      </c>
      <c r="F465" s="5" t="str">
        <f t="shared" si="388"/>
        <v>Win</v>
      </c>
      <c r="G465" s="4">
        <f t="shared" si="389"/>
        <v>100</v>
      </c>
      <c r="H465" s="46">
        <v>100</v>
      </c>
      <c r="I465" s="42">
        <v>90.05</v>
      </c>
      <c r="N465" s="5">
        <f t="shared" si="390"/>
        <v>100</v>
      </c>
      <c r="O465" s="4">
        <f t="shared" si="391"/>
        <v>90.05</v>
      </c>
      <c r="P465" s="5">
        <f t="shared" si="346"/>
        <v>100</v>
      </c>
      <c r="Q465" s="42">
        <v>91.05</v>
      </c>
      <c r="R465" s="2">
        <f t="shared" si="345"/>
        <v>0</v>
      </c>
      <c r="T465" s="2">
        <f t="shared" si="374"/>
        <v>0</v>
      </c>
      <c r="V465" s="5">
        <f t="shared" si="392"/>
        <v>100</v>
      </c>
      <c r="W465" s="4">
        <f t="shared" si="393"/>
        <v>91.05</v>
      </c>
      <c r="X465" s="14">
        <f t="shared" si="347"/>
        <v>1</v>
      </c>
      <c r="Y465" s="5">
        <f t="shared" si="348"/>
        <v>100</v>
      </c>
      <c r="Z465" s="2">
        <f t="shared" si="349"/>
        <v>0</v>
      </c>
      <c r="AA465" s="4">
        <f t="shared" si="350"/>
        <v>0</v>
      </c>
      <c r="AB465" s="13">
        <f t="shared" si="351"/>
        <v>6.1585812499999992</v>
      </c>
      <c r="AC465" s="10">
        <f>SUM($E$4:E465)</f>
        <v>-16150.264339414834</v>
      </c>
      <c r="AD465" s="20">
        <f>SUM($AB$4:AB465)</f>
        <v>12502.48503941478</v>
      </c>
      <c r="AF465" s="28">
        <f t="shared" si="352"/>
        <v>1.8110000000000002</v>
      </c>
      <c r="AG465" s="2">
        <f t="shared" si="353"/>
        <v>2.2762500000000001</v>
      </c>
      <c r="AH465" s="2">
        <f t="shared" si="354"/>
        <v>0.58857499999999996</v>
      </c>
      <c r="AI465" s="2">
        <f t="shared" si="375"/>
        <v>2.399575</v>
      </c>
      <c r="AJ465" s="2">
        <f t="shared" si="376"/>
        <v>0.35993625000000001</v>
      </c>
      <c r="AK465" s="2">
        <f t="shared" si="355"/>
        <v>3.6219999999999995E-2</v>
      </c>
      <c r="AL465" s="2">
        <f t="shared" si="356"/>
        <v>1.0866</v>
      </c>
      <c r="AM465" s="2">
        <f t="shared" si="377"/>
        <v>6.1585812499999992</v>
      </c>
      <c r="AN465" s="2">
        <f t="shared" si="357"/>
        <v>40</v>
      </c>
      <c r="AO465" s="2">
        <f t="shared" si="358"/>
        <v>4.5525000000000002</v>
      </c>
      <c r="AP465" s="2">
        <f t="shared" si="359"/>
        <v>9.5983000000000001</v>
      </c>
      <c r="AQ465" s="2">
        <f t="shared" si="378"/>
        <v>49.598300000000002</v>
      </c>
      <c r="AR465" s="2">
        <f t="shared" si="379"/>
        <v>7.4397450000000003</v>
      </c>
      <c r="AS465" s="2">
        <f t="shared" si="360"/>
        <v>3.6219999999999995E-2</v>
      </c>
      <c r="AT465" s="2">
        <f t="shared" si="361"/>
        <v>1.0866</v>
      </c>
      <c r="AU465" s="2">
        <f t="shared" si="380"/>
        <v>62.713365000000003</v>
      </c>
      <c r="AV465" s="2">
        <f t="shared" si="362"/>
        <v>1.8110000000000002</v>
      </c>
      <c r="AW465" s="2">
        <f t="shared" si="363"/>
        <v>0.91049999999999998</v>
      </c>
      <c r="AX465" s="2">
        <f t="shared" si="364"/>
        <v>0.38030999999999998</v>
      </c>
      <c r="AY465" s="2">
        <f t="shared" si="381"/>
        <v>2.1913100000000001</v>
      </c>
      <c r="AZ465" s="2">
        <f t="shared" si="382"/>
        <v>0.3286965</v>
      </c>
      <c r="BA465" s="2">
        <f t="shared" si="365"/>
        <v>3.6219999999999995E-2</v>
      </c>
      <c r="BB465" s="2">
        <f t="shared" si="366"/>
        <v>1.0866</v>
      </c>
      <c r="BC465" s="2">
        <f t="shared" si="383"/>
        <v>4.5533265000000007</v>
      </c>
      <c r="BD465" s="2">
        <v>0</v>
      </c>
      <c r="BE465" s="2">
        <f t="shared" si="367"/>
        <v>18.11</v>
      </c>
      <c r="BF465" s="2">
        <f t="shared" si="368"/>
        <v>0.58857499999999996</v>
      </c>
      <c r="BG465" s="2">
        <f t="shared" si="384"/>
        <v>0.58857499999999996</v>
      </c>
      <c r="BH465" s="2">
        <f t="shared" si="385"/>
        <v>8.8286249999999997E-2</v>
      </c>
      <c r="BI465" s="2">
        <f t="shared" si="369"/>
        <v>3.6219999999999995E-2</v>
      </c>
      <c r="BJ465" s="2">
        <f t="shared" si="370"/>
        <v>1.0866</v>
      </c>
      <c r="BK465" s="2">
        <f t="shared" si="386"/>
        <v>19.909681249999998</v>
      </c>
      <c r="BL465" s="2">
        <f t="shared" si="371"/>
        <v>9005</v>
      </c>
      <c r="BM465" s="2">
        <f t="shared" si="372"/>
        <v>9105</v>
      </c>
      <c r="BN465" s="2">
        <f t="shared" si="387"/>
        <v>18110</v>
      </c>
    </row>
    <row r="466" spans="1:66" x14ac:dyDescent="0.25">
      <c r="A466" s="42">
        <v>463</v>
      </c>
      <c r="B466" s="43">
        <v>42901</v>
      </c>
      <c r="C466" s="42" t="s">
        <v>50</v>
      </c>
      <c r="D466" s="42" t="s">
        <v>272</v>
      </c>
      <c r="E466" s="6">
        <f t="shared" si="373"/>
        <v>3.2720703124995278</v>
      </c>
      <c r="F466" s="5" t="str">
        <f t="shared" si="388"/>
        <v>Win</v>
      </c>
      <c r="G466" s="4">
        <f t="shared" si="389"/>
        <v>8.2999999999995282</v>
      </c>
      <c r="H466" s="46">
        <v>17</v>
      </c>
      <c r="I466" s="42">
        <v>148.05000000000001</v>
      </c>
      <c r="J466" s="42">
        <v>33</v>
      </c>
      <c r="K466" s="42">
        <v>148.05000000000001</v>
      </c>
      <c r="N466" s="5">
        <f t="shared" si="390"/>
        <v>50</v>
      </c>
      <c r="O466" s="4">
        <f t="shared" si="391"/>
        <v>148.05000000000001</v>
      </c>
      <c r="P466" s="5">
        <f t="shared" si="346"/>
        <v>17</v>
      </c>
      <c r="Q466" s="42">
        <v>148.15</v>
      </c>
      <c r="R466" s="2">
        <f t="shared" si="345"/>
        <v>33</v>
      </c>
      <c r="S466" s="42">
        <v>148.25</v>
      </c>
      <c r="T466" s="2">
        <f t="shared" si="374"/>
        <v>0</v>
      </c>
      <c r="V466" s="5">
        <f t="shared" si="392"/>
        <v>50</v>
      </c>
      <c r="W466" s="4">
        <f t="shared" si="393"/>
        <v>148.19999999999999</v>
      </c>
      <c r="X466" s="14">
        <f t="shared" si="347"/>
        <v>0.19999999999998863</v>
      </c>
      <c r="Y466" s="5">
        <f t="shared" si="348"/>
        <v>1.6999999999999034</v>
      </c>
      <c r="Z466" s="2">
        <f t="shared" si="349"/>
        <v>6.5999999999996248</v>
      </c>
      <c r="AA466" s="4">
        <f t="shared" si="350"/>
        <v>0</v>
      </c>
      <c r="AB466" s="13">
        <f t="shared" si="351"/>
        <v>5.0279296875000004</v>
      </c>
      <c r="AC466" s="10">
        <f>SUM($E$4:E466)</f>
        <v>-16146.992269102335</v>
      </c>
      <c r="AD466" s="20">
        <f>SUM($AB$4:AB466)</f>
        <v>12507.512969102279</v>
      </c>
      <c r="AF466" s="28">
        <f t="shared" si="352"/>
        <v>1.4812500000000002</v>
      </c>
      <c r="AG466" s="2">
        <f t="shared" si="353"/>
        <v>1.8525</v>
      </c>
      <c r="AH466" s="2">
        <f t="shared" si="354"/>
        <v>0.48140624999999998</v>
      </c>
      <c r="AI466" s="2">
        <f t="shared" si="375"/>
        <v>1.9626562500000002</v>
      </c>
      <c r="AJ466" s="2">
        <f t="shared" si="376"/>
        <v>0.2943984375</v>
      </c>
      <c r="AK466" s="2">
        <f t="shared" si="355"/>
        <v>2.9624999999999999E-2</v>
      </c>
      <c r="AL466" s="2">
        <f t="shared" si="356"/>
        <v>0.88875000000000004</v>
      </c>
      <c r="AM466" s="2">
        <f t="shared" si="377"/>
        <v>5.0279296875000004</v>
      </c>
      <c r="AN466" s="2">
        <f t="shared" si="357"/>
        <v>80</v>
      </c>
      <c r="AO466" s="2">
        <f t="shared" si="358"/>
        <v>3.7050000000000001</v>
      </c>
      <c r="AP466" s="2">
        <f t="shared" si="359"/>
        <v>7.850625</v>
      </c>
      <c r="AQ466" s="2">
        <f t="shared" si="378"/>
        <v>87.850624999999994</v>
      </c>
      <c r="AR466" s="2">
        <f t="shared" si="379"/>
        <v>13.177593749999998</v>
      </c>
      <c r="AS466" s="2">
        <f t="shared" si="360"/>
        <v>2.9624999999999999E-2</v>
      </c>
      <c r="AT466" s="2">
        <f t="shared" si="361"/>
        <v>0.88875000000000004</v>
      </c>
      <c r="AU466" s="2">
        <f t="shared" si="380"/>
        <v>105.65159374999999</v>
      </c>
      <c r="AV466" s="2">
        <f t="shared" si="362"/>
        <v>1.4812500000000002</v>
      </c>
      <c r="AW466" s="2">
        <f t="shared" si="363"/>
        <v>0.74099999999999999</v>
      </c>
      <c r="AX466" s="2">
        <f t="shared" si="364"/>
        <v>0.31106249999999996</v>
      </c>
      <c r="AY466" s="2">
        <f t="shared" si="381"/>
        <v>1.7923125000000002</v>
      </c>
      <c r="AZ466" s="2">
        <f t="shared" si="382"/>
        <v>0.26884687500000004</v>
      </c>
      <c r="BA466" s="2">
        <f t="shared" si="365"/>
        <v>2.9624999999999999E-2</v>
      </c>
      <c r="BB466" s="2">
        <f t="shared" si="366"/>
        <v>0.88875000000000004</v>
      </c>
      <c r="BC466" s="2">
        <f t="shared" si="383"/>
        <v>3.7205343749999997</v>
      </c>
      <c r="BD466" s="2">
        <v>0</v>
      </c>
      <c r="BE466" s="2">
        <f t="shared" si="367"/>
        <v>14.8125</v>
      </c>
      <c r="BF466" s="2">
        <f t="shared" si="368"/>
        <v>0.48140624999999998</v>
      </c>
      <c r="BG466" s="2">
        <f t="shared" si="384"/>
        <v>0.48140624999999998</v>
      </c>
      <c r="BH466" s="2">
        <f t="shared" si="385"/>
        <v>7.2210937499999989E-2</v>
      </c>
      <c r="BI466" s="2">
        <f t="shared" si="369"/>
        <v>2.9624999999999999E-2</v>
      </c>
      <c r="BJ466" s="2">
        <f t="shared" si="370"/>
        <v>0.88875000000000004</v>
      </c>
      <c r="BK466" s="2">
        <f t="shared" si="386"/>
        <v>16.2844921875</v>
      </c>
      <c r="BL466" s="2">
        <f t="shared" si="371"/>
        <v>7402.5000000000009</v>
      </c>
      <c r="BM466" s="2">
        <f t="shared" si="372"/>
        <v>7409.9999999999991</v>
      </c>
      <c r="BN466" s="2">
        <f t="shared" si="387"/>
        <v>14812.5</v>
      </c>
    </row>
    <row r="467" spans="1:66" x14ac:dyDescent="0.25">
      <c r="A467" s="42">
        <v>464</v>
      </c>
      <c r="B467" s="43">
        <v>42902</v>
      </c>
      <c r="C467" s="42" t="s">
        <v>50</v>
      </c>
      <c r="D467" s="42" t="s">
        <v>268</v>
      </c>
      <c r="E467" s="6">
        <f t="shared" si="373"/>
        <v>-47.710503750000456</v>
      </c>
      <c r="F467" s="5" t="str">
        <f t="shared" si="388"/>
        <v>Loss</v>
      </c>
      <c r="G467" s="4">
        <f t="shared" si="389"/>
        <v>-42.000000000000455</v>
      </c>
      <c r="H467" s="46">
        <v>40</v>
      </c>
      <c r="I467" s="42">
        <v>211.05</v>
      </c>
      <c r="N467" s="5">
        <f t="shared" si="390"/>
        <v>40</v>
      </c>
      <c r="O467" s="4">
        <f t="shared" si="391"/>
        <v>211.05</v>
      </c>
      <c r="P467" s="5">
        <f t="shared" si="346"/>
        <v>40</v>
      </c>
      <c r="Q467" s="42">
        <v>210</v>
      </c>
      <c r="R467" s="2">
        <f t="shared" si="345"/>
        <v>0</v>
      </c>
      <c r="T467" s="2">
        <f t="shared" si="374"/>
        <v>0</v>
      </c>
      <c r="V467" s="5">
        <f t="shared" si="392"/>
        <v>40</v>
      </c>
      <c r="W467" s="4">
        <f t="shared" si="393"/>
        <v>210</v>
      </c>
      <c r="X467" s="14">
        <f t="shared" si="347"/>
        <v>-1.0500000000000114</v>
      </c>
      <c r="Y467" s="5">
        <f t="shared" si="348"/>
        <v>-42.000000000000455</v>
      </c>
      <c r="Z467" s="2">
        <f t="shared" si="349"/>
        <v>0</v>
      </c>
      <c r="AA467" s="4">
        <f t="shared" si="350"/>
        <v>0</v>
      </c>
      <c r="AB467" s="13">
        <f t="shared" si="351"/>
        <v>5.7105037500000009</v>
      </c>
      <c r="AC467" s="10">
        <f>SUM($E$4:E467)</f>
        <v>-16194.702772852335</v>
      </c>
      <c r="AD467" s="20">
        <f>SUM($AB$4:AB467)</f>
        <v>12513.22347285228</v>
      </c>
      <c r="AF467" s="28">
        <f t="shared" si="352"/>
        <v>1.6842000000000001</v>
      </c>
      <c r="AG467" s="2">
        <f t="shared" si="353"/>
        <v>2.1</v>
      </c>
      <c r="AH467" s="2">
        <f t="shared" si="354"/>
        <v>0.54736499999999999</v>
      </c>
      <c r="AI467" s="2">
        <f t="shared" si="375"/>
        <v>2.2315650000000002</v>
      </c>
      <c r="AJ467" s="2">
        <f t="shared" si="376"/>
        <v>0.33473475000000003</v>
      </c>
      <c r="AK467" s="2">
        <f t="shared" si="355"/>
        <v>3.3683999999999999E-2</v>
      </c>
      <c r="AL467" s="2">
        <f t="shared" si="356"/>
        <v>1.0105200000000001</v>
      </c>
      <c r="AM467" s="2">
        <f t="shared" si="377"/>
        <v>5.7105037500000009</v>
      </c>
      <c r="AN467" s="2">
        <f t="shared" si="357"/>
        <v>40</v>
      </c>
      <c r="AO467" s="2">
        <f t="shared" si="358"/>
        <v>4.2</v>
      </c>
      <c r="AP467" s="2">
        <f t="shared" si="359"/>
        <v>8.9262599999999992</v>
      </c>
      <c r="AQ467" s="2">
        <f t="shared" si="378"/>
        <v>48.926259999999999</v>
      </c>
      <c r="AR467" s="2">
        <f t="shared" si="379"/>
        <v>7.3389389999999999</v>
      </c>
      <c r="AS467" s="2">
        <f t="shared" si="360"/>
        <v>3.3683999999999999E-2</v>
      </c>
      <c r="AT467" s="2">
        <f t="shared" si="361"/>
        <v>1.0105200000000001</v>
      </c>
      <c r="AU467" s="2">
        <f t="shared" si="380"/>
        <v>61.509402999999999</v>
      </c>
      <c r="AV467" s="2">
        <f t="shared" si="362"/>
        <v>1.6842000000000001</v>
      </c>
      <c r="AW467" s="2">
        <f t="shared" si="363"/>
        <v>0.84</v>
      </c>
      <c r="AX467" s="2">
        <f t="shared" si="364"/>
        <v>0.353682</v>
      </c>
      <c r="AY467" s="2">
        <f t="shared" si="381"/>
        <v>2.0378820000000002</v>
      </c>
      <c r="AZ467" s="2">
        <f t="shared" si="382"/>
        <v>0.30568230000000002</v>
      </c>
      <c r="BA467" s="2">
        <f t="shared" si="365"/>
        <v>3.3683999999999999E-2</v>
      </c>
      <c r="BB467" s="2">
        <f t="shared" si="366"/>
        <v>1.0105200000000001</v>
      </c>
      <c r="BC467" s="2">
        <f t="shared" si="383"/>
        <v>4.2277683000000001</v>
      </c>
      <c r="BD467" s="2">
        <v>0</v>
      </c>
      <c r="BE467" s="2">
        <f t="shared" si="367"/>
        <v>16.841999999999999</v>
      </c>
      <c r="BF467" s="2">
        <f t="shared" si="368"/>
        <v>0.54736499999999999</v>
      </c>
      <c r="BG467" s="2">
        <f t="shared" si="384"/>
        <v>0.54736499999999999</v>
      </c>
      <c r="BH467" s="2">
        <f t="shared" si="385"/>
        <v>8.210474999999999E-2</v>
      </c>
      <c r="BI467" s="2">
        <f t="shared" si="369"/>
        <v>3.3683999999999999E-2</v>
      </c>
      <c r="BJ467" s="2">
        <f t="shared" si="370"/>
        <v>1.0105200000000001</v>
      </c>
      <c r="BK467" s="2">
        <f t="shared" si="386"/>
        <v>18.515673749999998</v>
      </c>
      <c r="BL467" s="2">
        <f t="shared" si="371"/>
        <v>8442</v>
      </c>
      <c r="BM467" s="2">
        <f t="shared" si="372"/>
        <v>8400</v>
      </c>
      <c r="BN467" s="2">
        <f t="shared" si="387"/>
        <v>16842</v>
      </c>
    </row>
    <row r="468" spans="1:66" x14ac:dyDescent="0.25">
      <c r="A468" s="42">
        <v>465</v>
      </c>
      <c r="B468" s="43">
        <v>42902</v>
      </c>
      <c r="C468" s="42" t="s">
        <v>50</v>
      </c>
      <c r="D468" s="42" t="s">
        <v>163</v>
      </c>
      <c r="E468" s="6">
        <f t="shared" si="373"/>
        <v>-14.722156062501362</v>
      </c>
      <c r="F468" s="5" t="str">
        <f t="shared" si="388"/>
        <v>Win</v>
      </c>
      <c r="G468" s="4">
        <f t="shared" si="389"/>
        <v>18.399999999998641</v>
      </c>
      <c r="H468" s="46">
        <v>250</v>
      </c>
      <c r="I468" s="42">
        <v>93.15</v>
      </c>
      <c r="J468" s="42">
        <v>272</v>
      </c>
      <c r="K468" s="42">
        <v>93.75</v>
      </c>
      <c r="N468" s="5">
        <f t="shared" si="390"/>
        <v>522</v>
      </c>
      <c r="O468" s="4">
        <f t="shared" si="391"/>
        <v>93.45</v>
      </c>
      <c r="P468" s="5">
        <f t="shared" si="346"/>
        <v>250</v>
      </c>
      <c r="Q468" s="42">
        <v>93.55</v>
      </c>
      <c r="R468" s="2">
        <f t="shared" si="345"/>
        <v>272</v>
      </c>
      <c r="S468" s="42">
        <v>93.45</v>
      </c>
      <c r="T468" s="2">
        <f t="shared" si="374"/>
        <v>0</v>
      </c>
      <c r="V468" s="5">
        <f t="shared" si="392"/>
        <v>522</v>
      </c>
      <c r="W468" s="4">
        <f t="shared" si="393"/>
        <v>93.5</v>
      </c>
      <c r="X468" s="14">
        <f t="shared" si="347"/>
        <v>0.39999999999999147</v>
      </c>
      <c r="Y468" s="5">
        <f t="shared" si="348"/>
        <v>99.999999999997868</v>
      </c>
      <c r="Z468" s="2">
        <f t="shared" si="349"/>
        <v>-81.599999999999227</v>
      </c>
      <c r="AA468" s="4">
        <f t="shared" si="350"/>
        <v>0</v>
      </c>
      <c r="AB468" s="13">
        <f t="shared" si="351"/>
        <v>33.122156062500004</v>
      </c>
      <c r="AC468" s="10">
        <f>SUM($E$4:E468)</f>
        <v>-16209.424928914837</v>
      </c>
      <c r="AD468" s="20">
        <f>SUM($AB$4:AB468)</f>
        <v>12546.34562891478</v>
      </c>
      <c r="AF468" s="28">
        <f t="shared" si="352"/>
        <v>9.7587899999999994</v>
      </c>
      <c r="AG468" s="2">
        <f t="shared" si="353"/>
        <v>12.201750000000001</v>
      </c>
      <c r="AH468" s="2">
        <f t="shared" si="354"/>
        <v>3.1716067499999996</v>
      </c>
      <c r="AI468" s="2">
        <f t="shared" si="375"/>
        <v>12.93039675</v>
      </c>
      <c r="AJ468" s="2">
        <f t="shared" si="376"/>
        <v>1.9395595124999998</v>
      </c>
      <c r="AK468" s="2">
        <f t="shared" si="355"/>
        <v>0.19517580000000001</v>
      </c>
      <c r="AL468" s="2">
        <f t="shared" si="356"/>
        <v>5.8552739999999996</v>
      </c>
      <c r="AM468" s="2">
        <f t="shared" si="377"/>
        <v>33.122156062500004</v>
      </c>
      <c r="AN468" s="2">
        <f t="shared" si="357"/>
        <v>80</v>
      </c>
      <c r="AO468" s="2">
        <f t="shared" si="358"/>
        <v>24.403500000000001</v>
      </c>
      <c r="AP468" s="2">
        <f t="shared" si="359"/>
        <v>51.721586999999992</v>
      </c>
      <c r="AQ468" s="2">
        <f t="shared" si="378"/>
        <v>131.721587</v>
      </c>
      <c r="AR468" s="2">
        <f t="shared" si="379"/>
        <v>19.758238049999999</v>
      </c>
      <c r="AS468" s="2">
        <f t="shared" si="360"/>
        <v>0.19517580000000001</v>
      </c>
      <c r="AT468" s="2">
        <f t="shared" si="361"/>
        <v>5.8552739999999996</v>
      </c>
      <c r="AU468" s="2">
        <f t="shared" si="380"/>
        <v>181.93377484999999</v>
      </c>
      <c r="AV468" s="2">
        <f t="shared" si="362"/>
        <v>9.7587899999999994</v>
      </c>
      <c r="AW468" s="2">
        <f t="shared" si="363"/>
        <v>4.8807</v>
      </c>
      <c r="AX468" s="2">
        <f t="shared" si="364"/>
        <v>2.0493458999999996</v>
      </c>
      <c r="AY468" s="2">
        <f t="shared" si="381"/>
        <v>11.8081359</v>
      </c>
      <c r="AZ468" s="2">
        <f t="shared" si="382"/>
        <v>1.7712203849999999</v>
      </c>
      <c r="BA468" s="2">
        <f t="shared" si="365"/>
        <v>0.19517580000000001</v>
      </c>
      <c r="BB468" s="2">
        <f t="shared" si="366"/>
        <v>5.8552739999999996</v>
      </c>
      <c r="BC468" s="2">
        <f t="shared" si="383"/>
        <v>24.510506084999996</v>
      </c>
      <c r="BD468" s="2">
        <v>0</v>
      </c>
      <c r="BE468" s="2">
        <f t="shared" si="367"/>
        <v>97.587899999999991</v>
      </c>
      <c r="BF468" s="2">
        <f t="shared" si="368"/>
        <v>3.1716067499999996</v>
      </c>
      <c r="BG468" s="2">
        <f t="shared" si="384"/>
        <v>3.1716067499999996</v>
      </c>
      <c r="BH468" s="2">
        <f t="shared" si="385"/>
        <v>0.47574101249999989</v>
      </c>
      <c r="BI468" s="2">
        <f t="shared" si="369"/>
        <v>0.19517580000000001</v>
      </c>
      <c r="BJ468" s="2">
        <f t="shared" si="370"/>
        <v>5.8552739999999996</v>
      </c>
      <c r="BK468" s="2">
        <f t="shared" si="386"/>
        <v>107.28569756249998</v>
      </c>
      <c r="BL468" s="2">
        <f t="shared" si="371"/>
        <v>48780.9</v>
      </c>
      <c r="BM468" s="2">
        <f t="shared" si="372"/>
        <v>48807</v>
      </c>
      <c r="BN468" s="2">
        <f t="shared" si="387"/>
        <v>97587.9</v>
      </c>
    </row>
    <row r="469" spans="1:66" x14ac:dyDescent="0.25">
      <c r="A469" s="42">
        <v>466</v>
      </c>
      <c r="B469" s="43">
        <v>42902</v>
      </c>
      <c r="C469" s="42" t="s">
        <v>50</v>
      </c>
      <c r="D469" s="42" t="s">
        <v>271</v>
      </c>
      <c r="E469" s="6">
        <f t="shared" si="373"/>
        <v>142.15661912499999</v>
      </c>
      <c r="F469" s="5" t="str">
        <f t="shared" si="388"/>
        <v>Win</v>
      </c>
      <c r="G469" s="4">
        <f t="shared" si="389"/>
        <v>158</v>
      </c>
      <c r="H469" s="46">
        <v>158</v>
      </c>
      <c r="I469" s="42">
        <v>147.05000000000001</v>
      </c>
      <c r="N469" s="5">
        <f t="shared" si="390"/>
        <v>158</v>
      </c>
      <c r="O469" s="4">
        <f t="shared" si="391"/>
        <v>147.05000000000001</v>
      </c>
      <c r="P469" s="5">
        <f t="shared" si="346"/>
        <v>158</v>
      </c>
      <c r="Q469" s="42">
        <v>148.05000000000001</v>
      </c>
      <c r="R469" s="2">
        <f t="shared" si="345"/>
        <v>0</v>
      </c>
      <c r="T469" s="2">
        <f t="shared" si="374"/>
        <v>0</v>
      </c>
      <c r="V469" s="5">
        <f t="shared" si="392"/>
        <v>158</v>
      </c>
      <c r="W469" s="4">
        <f t="shared" si="393"/>
        <v>148.05000000000001</v>
      </c>
      <c r="X469" s="14">
        <f t="shared" si="347"/>
        <v>1</v>
      </c>
      <c r="Y469" s="5">
        <f t="shared" si="348"/>
        <v>158</v>
      </c>
      <c r="Z469" s="2">
        <f t="shared" si="349"/>
        <v>0</v>
      </c>
      <c r="AA469" s="4">
        <f t="shared" si="350"/>
        <v>0</v>
      </c>
      <c r="AB469" s="13">
        <f t="shared" si="351"/>
        <v>15.843380875000001</v>
      </c>
      <c r="AC469" s="10">
        <f>SUM($E$4:E469)</f>
        <v>-16067.268309789837</v>
      </c>
      <c r="AD469" s="20">
        <f>SUM($AB$4:AB469)</f>
        <v>12562.189009789779</v>
      </c>
      <c r="AF469" s="28">
        <f t="shared" si="352"/>
        <v>4.6625800000000002</v>
      </c>
      <c r="AG469" s="2">
        <f t="shared" si="353"/>
        <v>5.8479750000000008</v>
      </c>
      <c r="AH469" s="2">
        <f t="shared" si="354"/>
        <v>1.5153384999999999</v>
      </c>
      <c r="AI469" s="2">
        <f t="shared" si="375"/>
        <v>6.1779185000000005</v>
      </c>
      <c r="AJ469" s="2">
        <f t="shared" si="376"/>
        <v>0.92668777499999999</v>
      </c>
      <c r="AK469" s="2">
        <f t="shared" si="355"/>
        <v>9.3251600000000004E-2</v>
      </c>
      <c r="AL469" s="2">
        <f t="shared" si="356"/>
        <v>2.7975480000000004</v>
      </c>
      <c r="AM469" s="2">
        <f t="shared" si="377"/>
        <v>15.843380875000001</v>
      </c>
      <c r="AN469" s="2">
        <f t="shared" si="357"/>
        <v>40</v>
      </c>
      <c r="AO469" s="2">
        <f t="shared" si="358"/>
        <v>11.695950000000002</v>
      </c>
      <c r="AP469" s="2">
        <f t="shared" si="359"/>
        <v>24.711674000000002</v>
      </c>
      <c r="AQ469" s="2">
        <f t="shared" si="378"/>
        <v>64.711674000000002</v>
      </c>
      <c r="AR469" s="2">
        <f t="shared" si="379"/>
        <v>9.7067511</v>
      </c>
      <c r="AS469" s="2">
        <f t="shared" si="360"/>
        <v>9.3251600000000004E-2</v>
      </c>
      <c r="AT469" s="2">
        <f t="shared" si="361"/>
        <v>2.7975480000000004</v>
      </c>
      <c r="AU469" s="2">
        <f t="shared" si="380"/>
        <v>89.005174700000012</v>
      </c>
      <c r="AV469" s="2">
        <f t="shared" si="362"/>
        <v>4.6625800000000002</v>
      </c>
      <c r="AW469" s="2">
        <f t="shared" si="363"/>
        <v>2.3391900000000003</v>
      </c>
      <c r="AX469" s="2">
        <f t="shared" si="364"/>
        <v>0.97914180000000006</v>
      </c>
      <c r="AY469" s="2">
        <f t="shared" si="381"/>
        <v>5.6417218</v>
      </c>
      <c r="AZ469" s="2">
        <f t="shared" si="382"/>
        <v>0.84625826999999998</v>
      </c>
      <c r="BA469" s="2">
        <f t="shared" si="365"/>
        <v>9.3251600000000004E-2</v>
      </c>
      <c r="BB469" s="2">
        <f t="shared" si="366"/>
        <v>2.7975480000000004</v>
      </c>
      <c r="BC469" s="2">
        <f t="shared" si="383"/>
        <v>11.717969670000002</v>
      </c>
      <c r="BD469" s="2">
        <v>0</v>
      </c>
      <c r="BE469" s="2">
        <f t="shared" si="367"/>
        <v>46.625800000000005</v>
      </c>
      <c r="BF469" s="2">
        <f t="shared" si="368"/>
        <v>1.5153384999999999</v>
      </c>
      <c r="BG469" s="2">
        <f t="shared" si="384"/>
        <v>1.5153384999999999</v>
      </c>
      <c r="BH469" s="2">
        <f t="shared" si="385"/>
        <v>0.22730077499999998</v>
      </c>
      <c r="BI469" s="2">
        <f t="shared" si="369"/>
        <v>9.3251600000000004E-2</v>
      </c>
      <c r="BJ469" s="2">
        <f t="shared" si="370"/>
        <v>2.7975480000000004</v>
      </c>
      <c r="BK469" s="2">
        <f t="shared" si="386"/>
        <v>51.259238875000008</v>
      </c>
      <c r="BL469" s="2">
        <f t="shared" si="371"/>
        <v>23233.9</v>
      </c>
      <c r="BM469" s="2">
        <f t="shared" si="372"/>
        <v>23391.9</v>
      </c>
      <c r="BN469" s="2">
        <f t="shared" si="387"/>
        <v>46625.8</v>
      </c>
    </row>
    <row r="470" spans="1:66" x14ac:dyDescent="0.25">
      <c r="A470" s="42">
        <v>467</v>
      </c>
      <c r="B470" s="43">
        <v>42905</v>
      </c>
      <c r="C470" s="42" t="s">
        <v>50</v>
      </c>
      <c r="D470" s="42" t="s">
        <v>272</v>
      </c>
      <c r="E470" s="6">
        <f t="shared" si="373"/>
        <v>-85.387378124999998</v>
      </c>
      <c r="F470" s="5" t="str">
        <f t="shared" si="388"/>
        <v>Loss</v>
      </c>
      <c r="G470" s="4">
        <f t="shared" si="389"/>
        <v>-75</v>
      </c>
      <c r="H470" s="46">
        <v>100</v>
      </c>
      <c r="I470" s="42">
        <v>153.55000000000001</v>
      </c>
      <c r="N470" s="5">
        <f t="shared" si="390"/>
        <v>100</v>
      </c>
      <c r="O470" s="4">
        <f t="shared" si="391"/>
        <v>153.55000000000001</v>
      </c>
      <c r="P470" s="5">
        <f t="shared" si="346"/>
        <v>100</v>
      </c>
      <c r="Q470" s="42">
        <v>152.80000000000001</v>
      </c>
      <c r="R470" s="2">
        <f t="shared" si="345"/>
        <v>0</v>
      </c>
      <c r="T470" s="2">
        <f t="shared" si="374"/>
        <v>0</v>
      </c>
      <c r="V470" s="5">
        <f t="shared" si="392"/>
        <v>100</v>
      </c>
      <c r="W470" s="4">
        <f t="shared" si="393"/>
        <v>152.80000000000001</v>
      </c>
      <c r="X470" s="14">
        <f t="shared" si="347"/>
        <v>-0.75</v>
      </c>
      <c r="Y470" s="5">
        <f t="shared" si="348"/>
        <v>-75</v>
      </c>
      <c r="Z470" s="2">
        <f t="shared" si="349"/>
        <v>0</v>
      </c>
      <c r="AA470" s="4">
        <f t="shared" si="350"/>
        <v>0</v>
      </c>
      <c r="AB470" s="13">
        <f t="shared" si="351"/>
        <v>10.387378125000001</v>
      </c>
      <c r="AC470" s="10">
        <f>SUM($E$4:E470)</f>
        <v>-16152.655687914837</v>
      </c>
      <c r="AD470" s="20">
        <f>SUM($AB$4:AB470)</f>
        <v>12572.57638791478</v>
      </c>
      <c r="AF470" s="28">
        <f t="shared" si="352"/>
        <v>3.0635000000000003</v>
      </c>
      <c r="AG470" s="2">
        <f t="shared" si="353"/>
        <v>3.8200000000000003</v>
      </c>
      <c r="AH470" s="2">
        <f t="shared" si="354"/>
        <v>0.99563750000000006</v>
      </c>
      <c r="AI470" s="2">
        <f t="shared" si="375"/>
        <v>4.0591375000000003</v>
      </c>
      <c r="AJ470" s="2">
        <f t="shared" si="376"/>
        <v>0.608870625</v>
      </c>
      <c r="AK470" s="2">
        <f t="shared" si="355"/>
        <v>6.1270000000000005E-2</v>
      </c>
      <c r="AL470" s="2">
        <f t="shared" si="356"/>
        <v>1.8381000000000003</v>
      </c>
      <c r="AM470" s="2">
        <f t="shared" si="377"/>
        <v>10.387378125000001</v>
      </c>
      <c r="AN470" s="2">
        <f t="shared" si="357"/>
        <v>40</v>
      </c>
      <c r="AO470" s="2">
        <f t="shared" si="358"/>
        <v>7.6400000000000006</v>
      </c>
      <c r="AP470" s="2">
        <f t="shared" si="359"/>
        <v>16.236550000000001</v>
      </c>
      <c r="AQ470" s="2">
        <f t="shared" si="378"/>
        <v>56.236550000000001</v>
      </c>
      <c r="AR470" s="2">
        <f t="shared" si="379"/>
        <v>8.4354824999999991</v>
      </c>
      <c r="AS470" s="2">
        <f t="shared" si="360"/>
        <v>6.1270000000000005E-2</v>
      </c>
      <c r="AT470" s="2">
        <f t="shared" si="361"/>
        <v>1.8381000000000003</v>
      </c>
      <c r="AU470" s="2">
        <f t="shared" si="380"/>
        <v>74.211402499999991</v>
      </c>
      <c r="AV470" s="2">
        <f t="shared" si="362"/>
        <v>3.0635000000000003</v>
      </c>
      <c r="AW470" s="2">
        <f t="shared" si="363"/>
        <v>1.5280000000000002</v>
      </c>
      <c r="AX470" s="2">
        <f t="shared" si="364"/>
        <v>0.64333499999999999</v>
      </c>
      <c r="AY470" s="2">
        <f t="shared" si="381"/>
        <v>3.7068350000000003</v>
      </c>
      <c r="AZ470" s="2">
        <f t="shared" si="382"/>
        <v>0.55602525000000003</v>
      </c>
      <c r="BA470" s="2">
        <f t="shared" si="365"/>
        <v>6.1270000000000005E-2</v>
      </c>
      <c r="BB470" s="2">
        <f t="shared" si="366"/>
        <v>1.8381000000000003</v>
      </c>
      <c r="BC470" s="2">
        <f t="shared" si="383"/>
        <v>7.6902302500000008</v>
      </c>
      <c r="BD470" s="2">
        <v>0</v>
      </c>
      <c r="BE470" s="2">
        <f t="shared" si="367"/>
        <v>30.635000000000005</v>
      </c>
      <c r="BF470" s="2">
        <f t="shared" si="368"/>
        <v>0.99563750000000006</v>
      </c>
      <c r="BG470" s="2">
        <f t="shared" si="384"/>
        <v>0.99563750000000006</v>
      </c>
      <c r="BH470" s="2">
        <f t="shared" si="385"/>
        <v>0.14934562500000001</v>
      </c>
      <c r="BI470" s="2">
        <f t="shared" si="369"/>
        <v>6.1270000000000005E-2</v>
      </c>
      <c r="BJ470" s="2">
        <f t="shared" si="370"/>
        <v>1.8381000000000003</v>
      </c>
      <c r="BK470" s="2">
        <f t="shared" si="386"/>
        <v>33.679353125000006</v>
      </c>
      <c r="BL470" s="2">
        <f t="shared" si="371"/>
        <v>15355.000000000002</v>
      </c>
      <c r="BM470" s="2">
        <f t="shared" si="372"/>
        <v>15280.000000000002</v>
      </c>
      <c r="BN470" s="2">
        <f t="shared" si="387"/>
        <v>30635.000000000004</v>
      </c>
    </row>
    <row r="471" spans="1:66" x14ac:dyDescent="0.25">
      <c r="A471" s="42">
        <v>468</v>
      </c>
      <c r="B471" s="43">
        <v>42905</v>
      </c>
      <c r="C471" s="42" t="s">
        <v>50</v>
      </c>
      <c r="D471" s="42" t="s">
        <v>163</v>
      </c>
      <c r="E471" s="6">
        <f t="shared" si="373"/>
        <v>-226.40855610937493</v>
      </c>
      <c r="F471" s="5" t="str">
        <f t="shared" si="388"/>
        <v>Loss</v>
      </c>
      <c r="G471" s="4">
        <f t="shared" si="389"/>
        <v>-194.39999999999992</v>
      </c>
      <c r="H471" s="46">
        <v>273</v>
      </c>
      <c r="I471" s="42">
        <v>90.35</v>
      </c>
      <c r="J471" s="42">
        <v>250</v>
      </c>
      <c r="K471" s="42">
        <v>90.5</v>
      </c>
      <c r="N471" s="5">
        <f t="shared" si="390"/>
        <v>523</v>
      </c>
      <c r="O471" s="4">
        <f t="shared" si="391"/>
        <v>90.424999999999997</v>
      </c>
      <c r="P471" s="5">
        <f t="shared" si="346"/>
        <v>273</v>
      </c>
      <c r="Q471" s="42">
        <v>90.05</v>
      </c>
      <c r="R471" s="2">
        <f t="shared" si="345"/>
        <v>250</v>
      </c>
      <c r="S471" s="42">
        <v>90.05</v>
      </c>
      <c r="T471" s="2">
        <f t="shared" si="374"/>
        <v>0</v>
      </c>
      <c r="V471" s="5">
        <f t="shared" si="392"/>
        <v>523</v>
      </c>
      <c r="W471" s="4">
        <f t="shared" si="393"/>
        <v>90.05</v>
      </c>
      <c r="X471" s="14">
        <f t="shared" si="347"/>
        <v>-0.29999999999999716</v>
      </c>
      <c r="Y471" s="5">
        <f t="shared" si="348"/>
        <v>-81.899999999999224</v>
      </c>
      <c r="Z471" s="2">
        <f t="shared" si="349"/>
        <v>-112.50000000000071</v>
      </c>
      <c r="AA471" s="4">
        <f t="shared" si="350"/>
        <v>0</v>
      </c>
      <c r="AB471" s="13">
        <f t="shared" si="351"/>
        <v>32.008556109375</v>
      </c>
      <c r="AC471" s="10">
        <f>SUM($E$4:E471)</f>
        <v>-16379.064244024212</v>
      </c>
      <c r="AD471" s="20">
        <f>SUM($AB$4:AB471)</f>
        <v>12604.584944024155</v>
      </c>
      <c r="AF471" s="28">
        <f t="shared" si="352"/>
        <v>9.4388425000000016</v>
      </c>
      <c r="AG471" s="2">
        <f t="shared" si="353"/>
        <v>11.7740375</v>
      </c>
      <c r="AH471" s="2">
        <f t="shared" si="354"/>
        <v>3.0676238124999999</v>
      </c>
      <c r="AI471" s="2">
        <f t="shared" si="375"/>
        <v>12.506466312500002</v>
      </c>
      <c r="AJ471" s="2">
        <f t="shared" si="376"/>
        <v>1.8759699468750002</v>
      </c>
      <c r="AK471" s="2">
        <f t="shared" si="355"/>
        <v>0.18877685000000002</v>
      </c>
      <c r="AL471" s="2">
        <f t="shared" si="356"/>
        <v>5.6633054999999999</v>
      </c>
      <c r="AM471" s="2">
        <f t="shared" si="377"/>
        <v>32.008556109375</v>
      </c>
      <c r="AN471" s="2">
        <f t="shared" si="357"/>
        <v>80</v>
      </c>
      <c r="AO471" s="2">
        <f t="shared" si="358"/>
        <v>23.548075000000001</v>
      </c>
      <c r="AP471" s="2">
        <f t="shared" si="359"/>
        <v>50.025865250000003</v>
      </c>
      <c r="AQ471" s="2">
        <f t="shared" si="378"/>
        <v>130.02586525000001</v>
      </c>
      <c r="AR471" s="2">
        <f t="shared" si="379"/>
        <v>19.503879787500001</v>
      </c>
      <c r="AS471" s="2">
        <f t="shared" si="360"/>
        <v>0.18877685000000002</v>
      </c>
      <c r="AT471" s="2">
        <f t="shared" si="361"/>
        <v>5.6633054999999999</v>
      </c>
      <c r="AU471" s="2">
        <f t="shared" si="380"/>
        <v>178.92990238750002</v>
      </c>
      <c r="AV471" s="2">
        <f t="shared" si="362"/>
        <v>9.4388425000000016</v>
      </c>
      <c r="AW471" s="2">
        <f t="shared" si="363"/>
        <v>4.7096149999999994</v>
      </c>
      <c r="AX471" s="2">
        <f t="shared" si="364"/>
        <v>1.982156925</v>
      </c>
      <c r="AY471" s="2">
        <f t="shared" si="381"/>
        <v>11.420999425000002</v>
      </c>
      <c r="AZ471" s="2">
        <f t="shared" si="382"/>
        <v>1.7131499137500001</v>
      </c>
      <c r="BA471" s="2">
        <f t="shared" si="365"/>
        <v>0.18877685000000002</v>
      </c>
      <c r="BB471" s="2">
        <f t="shared" si="366"/>
        <v>5.6633054999999999</v>
      </c>
      <c r="BC471" s="2">
        <f t="shared" si="383"/>
        <v>23.695846688750002</v>
      </c>
      <c r="BD471" s="2">
        <v>0</v>
      </c>
      <c r="BE471" s="2">
        <f t="shared" si="367"/>
        <v>94.388424999999998</v>
      </c>
      <c r="BF471" s="2">
        <f t="shared" si="368"/>
        <v>3.0676238124999999</v>
      </c>
      <c r="BG471" s="2">
        <f t="shared" si="384"/>
        <v>3.0676238124999999</v>
      </c>
      <c r="BH471" s="2">
        <f t="shared" si="385"/>
        <v>0.46014357187499999</v>
      </c>
      <c r="BI471" s="2">
        <f t="shared" si="369"/>
        <v>0.18877685000000002</v>
      </c>
      <c r="BJ471" s="2">
        <f t="shared" si="370"/>
        <v>5.6633054999999999</v>
      </c>
      <c r="BK471" s="2">
        <f t="shared" si="386"/>
        <v>103.76827473437498</v>
      </c>
      <c r="BL471" s="2">
        <f t="shared" si="371"/>
        <v>47292.275000000001</v>
      </c>
      <c r="BM471" s="2">
        <f t="shared" si="372"/>
        <v>47096.15</v>
      </c>
      <c r="BN471" s="2">
        <f t="shared" si="387"/>
        <v>94388.425000000003</v>
      </c>
    </row>
    <row r="472" spans="1:66" x14ac:dyDescent="0.25">
      <c r="A472" s="42">
        <v>469</v>
      </c>
      <c r="B472" s="43">
        <v>42905</v>
      </c>
      <c r="C472" s="42" t="s">
        <v>50</v>
      </c>
      <c r="D472" s="42" t="s">
        <v>273</v>
      </c>
      <c r="E472" s="6">
        <f t="shared" si="373"/>
        <v>-137.66827731249919</v>
      </c>
      <c r="F472" s="5" t="str">
        <f t="shared" si="388"/>
        <v>Loss</v>
      </c>
      <c r="G472" s="4">
        <f t="shared" si="389"/>
        <v>-124.09999999999917</v>
      </c>
      <c r="H472" s="46">
        <v>73</v>
      </c>
      <c r="I472" s="42">
        <v>275</v>
      </c>
      <c r="N472" s="5">
        <f t="shared" si="390"/>
        <v>73</v>
      </c>
      <c r="O472" s="4">
        <f t="shared" si="391"/>
        <v>275</v>
      </c>
      <c r="P472" s="5">
        <f t="shared" si="346"/>
        <v>73</v>
      </c>
      <c r="Q472" s="42">
        <v>273.3</v>
      </c>
      <c r="R472" s="2">
        <f t="shared" si="345"/>
        <v>0</v>
      </c>
      <c r="T472" s="2">
        <f t="shared" si="374"/>
        <v>0</v>
      </c>
      <c r="V472" s="5">
        <f t="shared" si="392"/>
        <v>73</v>
      </c>
      <c r="W472" s="4">
        <f t="shared" si="393"/>
        <v>273.3</v>
      </c>
      <c r="X472" s="14">
        <f t="shared" si="347"/>
        <v>-1.6999999999999886</v>
      </c>
      <c r="Y472" s="5">
        <f t="shared" si="348"/>
        <v>-124.09999999999917</v>
      </c>
      <c r="Z472" s="2">
        <f t="shared" si="349"/>
        <v>0</v>
      </c>
      <c r="AA472" s="4">
        <f t="shared" si="350"/>
        <v>0</v>
      </c>
      <c r="AB472" s="13">
        <f t="shared" si="351"/>
        <v>13.568277312500001</v>
      </c>
      <c r="AC472" s="10">
        <f>SUM($E$4:E472)</f>
        <v>-16516.732521336711</v>
      </c>
      <c r="AD472" s="20">
        <f>SUM($AB$4:AB472)</f>
        <v>12618.153221336655</v>
      </c>
      <c r="AF472" s="28">
        <f t="shared" si="352"/>
        <v>4.0025900000000005</v>
      </c>
      <c r="AG472" s="2">
        <f t="shared" si="353"/>
        <v>4.9877250000000002</v>
      </c>
      <c r="AH472" s="2">
        <f t="shared" si="354"/>
        <v>1.30084175</v>
      </c>
      <c r="AI472" s="2">
        <f t="shared" si="375"/>
        <v>5.3034317500000006</v>
      </c>
      <c r="AJ472" s="2">
        <f t="shared" si="376"/>
        <v>0.79551476250000008</v>
      </c>
      <c r="AK472" s="2">
        <f t="shared" si="355"/>
        <v>8.0051800000000006E-2</v>
      </c>
      <c r="AL472" s="2">
        <f t="shared" si="356"/>
        <v>2.401554</v>
      </c>
      <c r="AM472" s="2">
        <f t="shared" si="377"/>
        <v>13.568277312500001</v>
      </c>
      <c r="AN472" s="2">
        <f t="shared" si="357"/>
        <v>40</v>
      </c>
      <c r="AO472" s="2">
        <f t="shared" si="358"/>
        <v>9.9754500000000004</v>
      </c>
      <c r="AP472" s="2">
        <f t="shared" si="359"/>
        <v>21.213726999999999</v>
      </c>
      <c r="AQ472" s="2">
        <f t="shared" si="378"/>
        <v>61.213726999999999</v>
      </c>
      <c r="AR472" s="2">
        <f t="shared" si="379"/>
        <v>9.1820590499999994</v>
      </c>
      <c r="AS472" s="2">
        <f t="shared" si="360"/>
        <v>8.0051800000000006E-2</v>
      </c>
      <c r="AT472" s="2">
        <f t="shared" si="361"/>
        <v>2.401554</v>
      </c>
      <c r="AU472" s="2">
        <f t="shared" si="380"/>
        <v>82.852841850000004</v>
      </c>
      <c r="AV472" s="2">
        <f t="shared" si="362"/>
        <v>4.0025900000000005</v>
      </c>
      <c r="AW472" s="2">
        <f t="shared" si="363"/>
        <v>1.99509</v>
      </c>
      <c r="AX472" s="2">
        <f t="shared" si="364"/>
        <v>0.84054390000000001</v>
      </c>
      <c r="AY472" s="2">
        <f t="shared" si="381"/>
        <v>4.8431339000000007</v>
      </c>
      <c r="AZ472" s="2">
        <f t="shared" si="382"/>
        <v>0.7264700850000001</v>
      </c>
      <c r="BA472" s="2">
        <f t="shared" si="365"/>
        <v>8.0051800000000006E-2</v>
      </c>
      <c r="BB472" s="2">
        <f t="shared" si="366"/>
        <v>2.401554</v>
      </c>
      <c r="BC472" s="2">
        <f t="shared" si="383"/>
        <v>10.046299785</v>
      </c>
      <c r="BD472" s="2">
        <v>0</v>
      </c>
      <c r="BE472" s="2">
        <f t="shared" si="367"/>
        <v>40.0259</v>
      </c>
      <c r="BF472" s="2">
        <f t="shared" si="368"/>
        <v>1.30084175</v>
      </c>
      <c r="BG472" s="2">
        <f t="shared" si="384"/>
        <v>1.30084175</v>
      </c>
      <c r="BH472" s="2">
        <f t="shared" si="385"/>
        <v>0.19512626250000001</v>
      </c>
      <c r="BI472" s="2">
        <f t="shared" si="369"/>
        <v>8.0051800000000006E-2</v>
      </c>
      <c r="BJ472" s="2">
        <f t="shared" si="370"/>
        <v>2.401554</v>
      </c>
      <c r="BK472" s="2">
        <f t="shared" si="386"/>
        <v>44.00347381249999</v>
      </c>
      <c r="BL472" s="2">
        <f t="shared" si="371"/>
        <v>20075</v>
      </c>
      <c r="BM472" s="2">
        <f t="shared" si="372"/>
        <v>19950.900000000001</v>
      </c>
      <c r="BN472" s="2">
        <f t="shared" si="387"/>
        <v>40025.9</v>
      </c>
    </row>
    <row r="473" spans="1:66" x14ac:dyDescent="0.25">
      <c r="A473" s="42">
        <v>470</v>
      </c>
      <c r="B473" s="43">
        <v>42906</v>
      </c>
      <c r="C473" s="42" t="s">
        <v>50</v>
      </c>
      <c r="D473" s="42" t="s">
        <v>163</v>
      </c>
      <c r="E473" s="6">
        <f t="shared" si="373"/>
        <v>140.986115625</v>
      </c>
      <c r="F473" s="5" t="str">
        <f t="shared" si="388"/>
        <v>Win</v>
      </c>
      <c r="G473" s="4">
        <f t="shared" si="389"/>
        <v>150</v>
      </c>
      <c r="H473" s="46">
        <v>150</v>
      </c>
      <c r="I473" s="42">
        <v>87.85</v>
      </c>
      <c r="N473" s="5">
        <f t="shared" si="390"/>
        <v>150</v>
      </c>
      <c r="O473" s="4">
        <f t="shared" si="391"/>
        <v>87.85</v>
      </c>
      <c r="P473" s="5">
        <f t="shared" si="346"/>
        <v>150</v>
      </c>
      <c r="Q473" s="42">
        <v>88.85</v>
      </c>
      <c r="R473" s="2">
        <f t="shared" si="345"/>
        <v>0</v>
      </c>
      <c r="T473" s="2">
        <f t="shared" si="374"/>
        <v>0</v>
      </c>
      <c r="V473" s="5">
        <f t="shared" si="392"/>
        <v>150</v>
      </c>
      <c r="W473" s="4">
        <f t="shared" si="393"/>
        <v>88.85</v>
      </c>
      <c r="X473" s="14">
        <f t="shared" si="347"/>
        <v>1</v>
      </c>
      <c r="Y473" s="5">
        <f t="shared" si="348"/>
        <v>150</v>
      </c>
      <c r="Z473" s="2">
        <f t="shared" si="349"/>
        <v>0</v>
      </c>
      <c r="AA473" s="4">
        <f t="shared" si="350"/>
        <v>0</v>
      </c>
      <c r="AB473" s="13">
        <f t="shared" si="351"/>
        <v>9.0138843749999999</v>
      </c>
      <c r="AC473" s="10">
        <f>SUM($E$4:E473)</f>
        <v>-16375.74640571171</v>
      </c>
      <c r="AD473" s="20">
        <f>SUM($AB$4:AB473)</f>
        <v>12627.167105711655</v>
      </c>
      <c r="AF473" s="28">
        <f t="shared" si="352"/>
        <v>2.6505000000000001</v>
      </c>
      <c r="AG473" s="2">
        <f t="shared" si="353"/>
        <v>3.3318749999999997</v>
      </c>
      <c r="AH473" s="2">
        <f t="shared" si="354"/>
        <v>0.86141249999999991</v>
      </c>
      <c r="AI473" s="2">
        <f t="shared" si="375"/>
        <v>3.5119125000000002</v>
      </c>
      <c r="AJ473" s="2">
        <f t="shared" si="376"/>
        <v>0.52678687499999999</v>
      </c>
      <c r="AK473" s="2">
        <f t="shared" si="355"/>
        <v>5.3010000000000002E-2</v>
      </c>
      <c r="AL473" s="2">
        <f t="shared" si="356"/>
        <v>1.5903</v>
      </c>
      <c r="AM473" s="2">
        <f t="shared" si="377"/>
        <v>9.0138843749999999</v>
      </c>
      <c r="AN473" s="2">
        <f t="shared" si="357"/>
        <v>40</v>
      </c>
      <c r="AO473" s="2">
        <f t="shared" si="358"/>
        <v>6.6637499999999994</v>
      </c>
      <c r="AP473" s="2">
        <f t="shared" si="359"/>
        <v>14.047649999999999</v>
      </c>
      <c r="AQ473" s="2">
        <f t="shared" si="378"/>
        <v>54.047649999999997</v>
      </c>
      <c r="AR473" s="2">
        <f t="shared" si="379"/>
        <v>8.1071475</v>
      </c>
      <c r="AS473" s="2">
        <f t="shared" si="360"/>
        <v>5.3010000000000002E-2</v>
      </c>
      <c r="AT473" s="2">
        <f t="shared" si="361"/>
        <v>1.5903</v>
      </c>
      <c r="AU473" s="2">
        <f t="shared" si="380"/>
        <v>70.461857499999994</v>
      </c>
      <c r="AV473" s="2">
        <f t="shared" si="362"/>
        <v>2.6505000000000001</v>
      </c>
      <c r="AW473" s="2">
        <f t="shared" si="363"/>
        <v>1.3327500000000001</v>
      </c>
      <c r="AX473" s="2">
        <f t="shared" si="364"/>
        <v>0.55660500000000002</v>
      </c>
      <c r="AY473" s="2">
        <f t="shared" si="381"/>
        <v>3.2071050000000003</v>
      </c>
      <c r="AZ473" s="2">
        <f t="shared" si="382"/>
        <v>0.48106575000000001</v>
      </c>
      <c r="BA473" s="2">
        <f t="shared" si="365"/>
        <v>5.3010000000000002E-2</v>
      </c>
      <c r="BB473" s="2">
        <f t="shared" si="366"/>
        <v>1.5903</v>
      </c>
      <c r="BC473" s="2">
        <f t="shared" si="383"/>
        <v>6.6642307500000006</v>
      </c>
      <c r="BD473" s="2">
        <v>0</v>
      </c>
      <c r="BE473" s="2">
        <f t="shared" si="367"/>
        <v>26.504999999999999</v>
      </c>
      <c r="BF473" s="2">
        <f t="shared" si="368"/>
        <v>0.86141249999999991</v>
      </c>
      <c r="BG473" s="2">
        <f t="shared" si="384"/>
        <v>0.86141249999999991</v>
      </c>
      <c r="BH473" s="2">
        <f t="shared" si="385"/>
        <v>0.12921187499999998</v>
      </c>
      <c r="BI473" s="2">
        <f t="shared" si="369"/>
        <v>5.3010000000000002E-2</v>
      </c>
      <c r="BJ473" s="2">
        <f t="shared" si="370"/>
        <v>1.5903</v>
      </c>
      <c r="BK473" s="2">
        <f t="shared" si="386"/>
        <v>29.138934374999998</v>
      </c>
      <c r="BL473" s="2">
        <f t="shared" si="371"/>
        <v>13177.5</v>
      </c>
      <c r="BM473" s="2">
        <f t="shared" si="372"/>
        <v>13327.5</v>
      </c>
      <c r="BN473" s="2">
        <f t="shared" si="387"/>
        <v>26505</v>
      </c>
    </row>
    <row r="474" spans="1:66" x14ac:dyDescent="0.25">
      <c r="A474" s="42">
        <v>471</v>
      </c>
      <c r="B474" s="43">
        <v>42906</v>
      </c>
      <c r="C474" s="42" t="s">
        <v>149</v>
      </c>
      <c r="D474" s="42" t="s">
        <v>155</v>
      </c>
      <c r="E474" s="6">
        <f t="shared" si="373"/>
        <v>-197.90456125</v>
      </c>
      <c r="F474" s="5" t="str">
        <f t="shared" si="388"/>
        <v>Loss</v>
      </c>
      <c r="G474" s="4">
        <f t="shared" si="389"/>
        <v>-150</v>
      </c>
      <c r="H474" s="46">
        <v>75</v>
      </c>
      <c r="I474" s="42">
        <v>15.05</v>
      </c>
      <c r="N474" s="5">
        <f t="shared" si="390"/>
        <v>75</v>
      </c>
      <c r="O474" s="4">
        <f t="shared" si="391"/>
        <v>15.05</v>
      </c>
      <c r="P474" s="5">
        <f t="shared" si="346"/>
        <v>75</v>
      </c>
      <c r="Q474" s="42">
        <v>13.05</v>
      </c>
      <c r="R474" s="2">
        <f t="shared" si="345"/>
        <v>0</v>
      </c>
      <c r="T474" s="2">
        <f t="shared" si="374"/>
        <v>0</v>
      </c>
      <c r="V474" s="5">
        <f t="shared" si="392"/>
        <v>75</v>
      </c>
      <c r="W474" s="4">
        <f t="shared" si="393"/>
        <v>13.05</v>
      </c>
      <c r="X474" s="14">
        <f t="shared" si="347"/>
        <v>-2</v>
      </c>
      <c r="Y474" s="5">
        <f t="shared" si="348"/>
        <v>-150</v>
      </c>
      <c r="Z474" s="2">
        <f t="shared" si="349"/>
        <v>0</v>
      </c>
      <c r="AA474" s="4">
        <f t="shared" si="350"/>
        <v>0</v>
      </c>
      <c r="AB474" s="13">
        <f t="shared" si="351"/>
        <v>47.904561250000008</v>
      </c>
      <c r="AC474" s="10">
        <f>SUM($E$4:E474)</f>
        <v>-16573.650966961712</v>
      </c>
      <c r="AD474" s="20">
        <f>SUM($AB$4:AB474)</f>
        <v>12675.071666961654</v>
      </c>
      <c r="AF474" s="28">
        <f t="shared" si="352"/>
        <v>0.21075000000000002</v>
      </c>
      <c r="AG474" s="2">
        <f t="shared" si="353"/>
        <v>0.2446875</v>
      </c>
      <c r="AH474" s="2">
        <f t="shared" si="354"/>
        <v>6.8493749999999992E-2</v>
      </c>
      <c r="AI474" s="2">
        <f t="shared" si="375"/>
        <v>0.27924375000000001</v>
      </c>
      <c r="AJ474" s="2">
        <f t="shared" si="376"/>
        <v>4.1886562500000002E-2</v>
      </c>
      <c r="AK474" s="2">
        <f t="shared" si="355"/>
        <v>4.215E-3</v>
      </c>
      <c r="AL474" s="2">
        <f t="shared" si="356"/>
        <v>0.12645000000000001</v>
      </c>
      <c r="AM474" s="2">
        <f t="shared" si="377"/>
        <v>0.69648281249999999</v>
      </c>
      <c r="AN474" s="2">
        <f t="shared" si="357"/>
        <v>40</v>
      </c>
      <c r="AO474" s="2">
        <f t="shared" si="358"/>
        <v>0.489375</v>
      </c>
      <c r="AP474" s="2">
        <f t="shared" si="359"/>
        <v>1.1169750000000001</v>
      </c>
      <c r="AQ474" s="2">
        <f t="shared" si="378"/>
        <v>41.116974999999996</v>
      </c>
      <c r="AR474" s="2">
        <f t="shared" si="379"/>
        <v>6.1675462499999991</v>
      </c>
      <c r="AS474" s="2">
        <f t="shared" si="360"/>
        <v>4.215E-3</v>
      </c>
      <c r="AT474" s="2">
        <f t="shared" si="361"/>
        <v>0.12645000000000001</v>
      </c>
      <c r="AU474" s="2">
        <f t="shared" si="380"/>
        <v>47.904561250000008</v>
      </c>
      <c r="AV474" s="2">
        <f t="shared" si="362"/>
        <v>0.21075000000000002</v>
      </c>
      <c r="AW474" s="2">
        <f t="shared" si="363"/>
        <v>9.7875000000000018E-2</v>
      </c>
      <c r="AX474" s="2">
        <f t="shared" si="364"/>
        <v>4.4257499999999998E-2</v>
      </c>
      <c r="AY474" s="2">
        <f t="shared" si="381"/>
        <v>0.2550075</v>
      </c>
      <c r="AZ474" s="2">
        <f t="shared" si="382"/>
        <v>3.8251124999999997E-2</v>
      </c>
      <c r="BA474" s="2">
        <f t="shared" si="365"/>
        <v>4.215E-3</v>
      </c>
      <c r="BB474" s="2">
        <f t="shared" si="366"/>
        <v>0.12645000000000001</v>
      </c>
      <c r="BC474" s="2">
        <f t="shared" si="383"/>
        <v>0.52179862500000007</v>
      </c>
      <c r="BD474" s="2">
        <v>0</v>
      </c>
      <c r="BE474" s="2">
        <f t="shared" si="367"/>
        <v>2.1074999999999999</v>
      </c>
      <c r="BF474" s="2">
        <f t="shared" si="368"/>
        <v>6.8493749999999992E-2</v>
      </c>
      <c r="BG474" s="2">
        <f t="shared" si="384"/>
        <v>6.8493749999999992E-2</v>
      </c>
      <c r="BH474" s="2">
        <f t="shared" si="385"/>
        <v>1.0274062499999998E-2</v>
      </c>
      <c r="BI474" s="2">
        <f t="shared" si="369"/>
        <v>4.215E-3</v>
      </c>
      <c r="BJ474" s="2">
        <f t="shared" si="370"/>
        <v>0.12645000000000001</v>
      </c>
      <c r="BK474" s="2">
        <f t="shared" si="386"/>
        <v>2.3169328125000002</v>
      </c>
      <c r="BL474" s="2">
        <f t="shared" si="371"/>
        <v>1128.75</v>
      </c>
      <c r="BM474" s="2">
        <f t="shared" si="372"/>
        <v>978.75</v>
      </c>
      <c r="BN474" s="2">
        <f t="shared" si="387"/>
        <v>2107.5</v>
      </c>
    </row>
    <row r="475" spans="1:66" x14ac:dyDescent="0.25">
      <c r="A475" s="42">
        <v>472</v>
      </c>
      <c r="B475" s="43">
        <v>42907</v>
      </c>
      <c r="C475" s="42" t="s">
        <v>50</v>
      </c>
      <c r="D475" s="42" t="s">
        <v>163</v>
      </c>
      <c r="E475" s="6">
        <f t="shared" si="373"/>
        <v>-61.674379687499147</v>
      </c>
      <c r="F475" s="5" t="str">
        <f t="shared" si="388"/>
        <v>Loss</v>
      </c>
      <c r="G475" s="4">
        <f t="shared" si="389"/>
        <v>-52.499999999999147</v>
      </c>
      <c r="H475" s="46">
        <v>150</v>
      </c>
      <c r="I475" s="42">
        <v>90.35</v>
      </c>
      <c r="N475" s="5">
        <f t="shared" si="390"/>
        <v>150</v>
      </c>
      <c r="O475" s="4">
        <f t="shared" si="391"/>
        <v>90.35</v>
      </c>
      <c r="P475" s="5">
        <f t="shared" si="346"/>
        <v>150</v>
      </c>
      <c r="Q475" s="42">
        <v>90</v>
      </c>
      <c r="R475" s="2">
        <f t="shared" si="345"/>
        <v>0</v>
      </c>
      <c r="T475" s="2">
        <f t="shared" si="374"/>
        <v>0</v>
      </c>
      <c r="V475" s="5">
        <f t="shared" si="392"/>
        <v>150</v>
      </c>
      <c r="W475" s="4">
        <f t="shared" si="393"/>
        <v>90</v>
      </c>
      <c r="X475" s="14">
        <f t="shared" si="347"/>
        <v>-0.34999999999999432</v>
      </c>
      <c r="Y475" s="5">
        <f t="shared" si="348"/>
        <v>-52.499999999999147</v>
      </c>
      <c r="Z475" s="2">
        <f t="shared" si="349"/>
        <v>0</v>
      </c>
      <c r="AA475" s="4">
        <f t="shared" si="350"/>
        <v>0</v>
      </c>
      <c r="AB475" s="13">
        <f t="shared" si="351"/>
        <v>9.1743796875000001</v>
      </c>
      <c r="AC475" s="10">
        <f>SUM($E$4:E475)</f>
        <v>-16635.32534664921</v>
      </c>
      <c r="AD475" s="20">
        <f>SUM($AB$4:AB475)</f>
        <v>12684.246046649154</v>
      </c>
      <c r="AF475" s="28">
        <f t="shared" si="352"/>
        <v>2.7052499999999999</v>
      </c>
      <c r="AG475" s="2">
        <f t="shared" si="353"/>
        <v>3.375</v>
      </c>
      <c r="AH475" s="2">
        <f t="shared" si="354"/>
        <v>0.87920624999999997</v>
      </c>
      <c r="AI475" s="2">
        <f t="shared" si="375"/>
        <v>3.5844562499999997</v>
      </c>
      <c r="AJ475" s="2">
        <f t="shared" si="376"/>
        <v>0.53766843749999993</v>
      </c>
      <c r="AK475" s="2">
        <f t="shared" si="355"/>
        <v>5.4105E-2</v>
      </c>
      <c r="AL475" s="2">
        <f t="shared" si="356"/>
        <v>1.6231500000000001</v>
      </c>
      <c r="AM475" s="2">
        <f t="shared" si="377"/>
        <v>9.1743796875000001</v>
      </c>
      <c r="AN475" s="2">
        <f t="shared" si="357"/>
        <v>40</v>
      </c>
      <c r="AO475" s="2">
        <f t="shared" si="358"/>
        <v>6.75</v>
      </c>
      <c r="AP475" s="2">
        <f t="shared" si="359"/>
        <v>14.337824999999999</v>
      </c>
      <c r="AQ475" s="2">
        <f t="shared" si="378"/>
        <v>54.337824999999995</v>
      </c>
      <c r="AR475" s="2">
        <f t="shared" si="379"/>
        <v>8.1506737499999993</v>
      </c>
      <c r="AS475" s="2">
        <f t="shared" si="360"/>
        <v>5.4105E-2</v>
      </c>
      <c r="AT475" s="2">
        <f t="shared" si="361"/>
        <v>1.6231500000000001</v>
      </c>
      <c r="AU475" s="2">
        <f t="shared" si="380"/>
        <v>70.915753749999993</v>
      </c>
      <c r="AV475" s="2">
        <f t="shared" si="362"/>
        <v>2.7052499999999999</v>
      </c>
      <c r="AW475" s="2">
        <f t="shared" si="363"/>
        <v>1.35</v>
      </c>
      <c r="AX475" s="2">
        <f t="shared" si="364"/>
        <v>0.56810249999999995</v>
      </c>
      <c r="AY475" s="2">
        <f t="shared" si="381"/>
        <v>3.2733524999999997</v>
      </c>
      <c r="AZ475" s="2">
        <f t="shared" si="382"/>
        <v>0.49100287499999995</v>
      </c>
      <c r="BA475" s="2">
        <f t="shared" si="365"/>
        <v>5.4105E-2</v>
      </c>
      <c r="BB475" s="2">
        <f t="shared" si="366"/>
        <v>1.6231500000000001</v>
      </c>
      <c r="BC475" s="2">
        <f t="shared" si="383"/>
        <v>6.7916103750000003</v>
      </c>
      <c r="BD475" s="2">
        <v>0</v>
      </c>
      <c r="BE475" s="2">
        <f t="shared" si="367"/>
        <v>27.052500000000002</v>
      </c>
      <c r="BF475" s="2">
        <f t="shared" si="368"/>
        <v>0.87920624999999997</v>
      </c>
      <c r="BG475" s="2">
        <f t="shared" si="384"/>
        <v>0.87920624999999997</v>
      </c>
      <c r="BH475" s="2">
        <f t="shared" si="385"/>
        <v>0.13188093749999999</v>
      </c>
      <c r="BI475" s="2">
        <f t="shared" si="369"/>
        <v>5.4105E-2</v>
      </c>
      <c r="BJ475" s="2">
        <f t="shared" si="370"/>
        <v>1.6231500000000001</v>
      </c>
      <c r="BK475" s="2">
        <f t="shared" si="386"/>
        <v>29.7408421875</v>
      </c>
      <c r="BL475" s="2">
        <f t="shared" si="371"/>
        <v>13552.5</v>
      </c>
      <c r="BM475" s="2">
        <f t="shared" si="372"/>
        <v>13500</v>
      </c>
      <c r="BN475" s="2">
        <f t="shared" si="387"/>
        <v>27052.5</v>
      </c>
    </row>
    <row r="476" spans="1:66" x14ac:dyDescent="0.25">
      <c r="A476" s="42">
        <v>473</v>
      </c>
      <c r="B476" s="43">
        <v>42907</v>
      </c>
      <c r="C476" s="42" t="s">
        <v>50</v>
      </c>
      <c r="D476" s="42" t="s">
        <v>268</v>
      </c>
      <c r="E476" s="6">
        <f t="shared" si="373"/>
        <v>-153.0807753125008</v>
      </c>
      <c r="F476" s="5" t="str">
        <f t="shared" si="388"/>
        <v>Loss</v>
      </c>
      <c r="G476" s="4">
        <f t="shared" si="389"/>
        <v>-143.5000000000008</v>
      </c>
      <c r="H476" s="46">
        <v>70</v>
      </c>
      <c r="I476" s="42">
        <v>203.05</v>
      </c>
      <c r="N476" s="5">
        <f t="shared" si="390"/>
        <v>70</v>
      </c>
      <c r="O476" s="4">
        <f t="shared" si="391"/>
        <v>203.05</v>
      </c>
      <c r="P476" s="5">
        <f t="shared" si="346"/>
        <v>70</v>
      </c>
      <c r="Q476" s="42">
        <v>201</v>
      </c>
      <c r="R476" s="2">
        <f t="shared" si="345"/>
        <v>0</v>
      </c>
      <c r="T476" s="2">
        <f t="shared" si="374"/>
        <v>0</v>
      </c>
      <c r="V476" s="5">
        <f t="shared" si="392"/>
        <v>70</v>
      </c>
      <c r="W476" s="4">
        <f t="shared" si="393"/>
        <v>201</v>
      </c>
      <c r="X476" s="14">
        <f t="shared" si="347"/>
        <v>-2.0500000000000114</v>
      </c>
      <c r="Y476" s="5">
        <f t="shared" si="348"/>
        <v>-143.5000000000008</v>
      </c>
      <c r="Z476" s="2">
        <f t="shared" si="349"/>
        <v>0</v>
      </c>
      <c r="AA476" s="4">
        <f t="shared" si="350"/>
        <v>0</v>
      </c>
      <c r="AB476" s="13">
        <f t="shared" si="351"/>
        <v>9.5807753125000001</v>
      </c>
      <c r="AC476" s="10">
        <f>SUM($E$4:E476)</f>
        <v>-16788.406121961711</v>
      </c>
      <c r="AD476" s="20">
        <f>SUM($AB$4:AB476)</f>
        <v>12693.826821961653</v>
      </c>
      <c r="AF476" s="28">
        <f t="shared" si="352"/>
        <v>2.8283499999999999</v>
      </c>
      <c r="AG476" s="2">
        <f t="shared" si="353"/>
        <v>3.5175000000000005</v>
      </c>
      <c r="AH476" s="2">
        <f t="shared" si="354"/>
        <v>0.91921374999999994</v>
      </c>
      <c r="AI476" s="2">
        <f t="shared" si="375"/>
        <v>3.7475637499999999</v>
      </c>
      <c r="AJ476" s="2">
        <f t="shared" si="376"/>
        <v>0.56213456249999993</v>
      </c>
      <c r="AK476" s="2">
        <f t="shared" si="355"/>
        <v>5.6566999999999999E-2</v>
      </c>
      <c r="AL476" s="2">
        <f t="shared" si="356"/>
        <v>1.6970100000000001</v>
      </c>
      <c r="AM476" s="2">
        <f t="shared" si="377"/>
        <v>9.5807753125000001</v>
      </c>
      <c r="AN476" s="2">
        <f t="shared" si="357"/>
        <v>40</v>
      </c>
      <c r="AO476" s="2">
        <f t="shared" si="358"/>
        <v>7.035000000000001</v>
      </c>
      <c r="AP476" s="2">
        <f t="shared" si="359"/>
        <v>14.990254999999999</v>
      </c>
      <c r="AQ476" s="2">
        <f t="shared" si="378"/>
        <v>54.990254999999998</v>
      </c>
      <c r="AR476" s="2">
        <f t="shared" si="379"/>
        <v>8.2485382499999993</v>
      </c>
      <c r="AS476" s="2">
        <f t="shared" si="360"/>
        <v>5.6566999999999999E-2</v>
      </c>
      <c r="AT476" s="2">
        <f t="shared" si="361"/>
        <v>1.6970100000000001</v>
      </c>
      <c r="AU476" s="2">
        <f t="shared" si="380"/>
        <v>72.027370250000004</v>
      </c>
      <c r="AV476" s="2">
        <f t="shared" si="362"/>
        <v>2.8283499999999999</v>
      </c>
      <c r="AW476" s="2">
        <f t="shared" si="363"/>
        <v>1.407</v>
      </c>
      <c r="AX476" s="2">
        <f t="shared" si="364"/>
        <v>0.59395349999999991</v>
      </c>
      <c r="AY476" s="2">
        <f t="shared" si="381"/>
        <v>3.4223034999999999</v>
      </c>
      <c r="AZ476" s="2">
        <f t="shared" si="382"/>
        <v>0.51334552499999997</v>
      </c>
      <c r="BA476" s="2">
        <f t="shared" si="365"/>
        <v>5.6566999999999999E-2</v>
      </c>
      <c r="BB476" s="2">
        <f t="shared" si="366"/>
        <v>1.6970100000000001</v>
      </c>
      <c r="BC476" s="2">
        <f t="shared" si="383"/>
        <v>7.096226025</v>
      </c>
      <c r="BD476" s="2">
        <v>0</v>
      </c>
      <c r="BE476" s="2">
        <f t="shared" si="367"/>
        <v>28.2835</v>
      </c>
      <c r="BF476" s="2">
        <f t="shared" si="368"/>
        <v>0.91921374999999994</v>
      </c>
      <c r="BG476" s="2">
        <f t="shared" si="384"/>
        <v>0.91921374999999994</v>
      </c>
      <c r="BH476" s="2">
        <f t="shared" si="385"/>
        <v>0.13788206249999999</v>
      </c>
      <c r="BI476" s="2">
        <f t="shared" si="369"/>
        <v>5.6566999999999999E-2</v>
      </c>
      <c r="BJ476" s="2">
        <f t="shared" si="370"/>
        <v>1.6970100000000001</v>
      </c>
      <c r="BK476" s="2">
        <f t="shared" si="386"/>
        <v>31.094172812500002</v>
      </c>
      <c r="BL476" s="2">
        <f t="shared" si="371"/>
        <v>14213.5</v>
      </c>
      <c r="BM476" s="2">
        <f t="shared" si="372"/>
        <v>14070</v>
      </c>
      <c r="BN476" s="2">
        <f t="shared" si="387"/>
        <v>28283.5</v>
      </c>
    </row>
    <row r="477" spans="1:66" x14ac:dyDescent="0.25">
      <c r="A477" s="42">
        <v>474</v>
      </c>
      <c r="B477" s="43">
        <v>42908</v>
      </c>
      <c r="C477" s="42" t="s">
        <v>50</v>
      </c>
      <c r="D477" s="42" t="s">
        <v>215</v>
      </c>
      <c r="E477" s="6">
        <f t="shared" si="373"/>
        <v>-13.244883374999137</v>
      </c>
      <c r="F477" s="5" t="str">
        <f t="shared" si="388"/>
        <v>Loss</v>
      </c>
      <c r="G477" s="4">
        <f t="shared" si="389"/>
        <v>-5.699999999999136</v>
      </c>
      <c r="H477" s="46">
        <v>19</v>
      </c>
      <c r="I477" s="42">
        <v>585.25</v>
      </c>
      <c r="N477" s="5">
        <f t="shared" si="390"/>
        <v>19</v>
      </c>
      <c r="O477" s="4">
        <f t="shared" si="391"/>
        <v>585.25</v>
      </c>
      <c r="P477" s="5">
        <f t="shared" si="346"/>
        <v>19</v>
      </c>
      <c r="Q477" s="42">
        <v>584.95000000000005</v>
      </c>
      <c r="R477" s="2">
        <f t="shared" si="345"/>
        <v>0</v>
      </c>
      <c r="T477" s="2">
        <f t="shared" si="374"/>
        <v>0</v>
      </c>
      <c r="V477" s="5">
        <f t="shared" si="392"/>
        <v>19</v>
      </c>
      <c r="W477" s="4">
        <f t="shared" si="393"/>
        <v>584.95000000000005</v>
      </c>
      <c r="X477" s="14">
        <f t="shared" si="347"/>
        <v>-0.29999999999995453</v>
      </c>
      <c r="Y477" s="5">
        <f t="shared" si="348"/>
        <v>-5.699999999999136</v>
      </c>
      <c r="Z477" s="2">
        <f t="shared" si="349"/>
        <v>0</v>
      </c>
      <c r="AA477" s="4">
        <f t="shared" si="350"/>
        <v>0</v>
      </c>
      <c r="AB477" s="13">
        <f t="shared" si="351"/>
        <v>7.5448833750000004</v>
      </c>
      <c r="AC477" s="10">
        <f>SUM($E$4:E477)</f>
        <v>-16801.651005336709</v>
      </c>
      <c r="AD477" s="20">
        <f>SUM($AB$4:AB477)</f>
        <v>12701.371705336653</v>
      </c>
      <c r="AF477" s="28">
        <f t="shared" si="352"/>
        <v>2.2233800000000006</v>
      </c>
      <c r="AG477" s="2">
        <f t="shared" si="353"/>
        <v>2.7785125000000002</v>
      </c>
      <c r="AH477" s="2">
        <f t="shared" si="354"/>
        <v>0.72259850000000003</v>
      </c>
      <c r="AI477" s="2">
        <f t="shared" si="375"/>
        <v>2.9459785000000007</v>
      </c>
      <c r="AJ477" s="2">
        <f t="shared" si="376"/>
        <v>0.44189677500000007</v>
      </c>
      <c r="AK477" s="2">
        <f t="shared" si="355"/>
        <v>4.446760000000001E-2</v>
      </c>
      <c r="AL477" s="2">
        <f t="shared" si="356"/>
        <v>1.3340280000000002</v>
      </c>
      <c r="AM477" s="2">
        <f t="shared" si="377"/>
        <v>7.5448833750000004</v>
      </c>
      <c r="AN477" s="2">
        <f t="shared" si="357"/>
        <v>40</v>
      </c>
      <c r="AO477" s="2">
        <f t="shared" si="358"/>
        <v>5.5570250000000003</v>
      </c>
      <c r="AP477" s="2">
        <f t="shared" si="359"/>
        <v>11.783914000000001</v>
      </c>
      <c r="AQ477" s="2">
        <f t="shared" si="378"/>
        <v>51.783914000000003</v>
      </c>
      <c r="AR477" s="2">
        <f t="shared" si="379"/>
        <v>7.7675871000000001</v>
      </c>
      <c r="AS477" s="2">
        <f t="shared" si="360"/>
        <v>4.446760000000001E-2</v>
      </c>
      <c r="AT477" s="2">
        <f t="shared" si="361"/>
        <v>1.3340280000000002</v>
      </c>
      <c r="AU477" s="2">
        <f t="shared" si="380"/>
        <v>66.487021700000014</v>
      </c>
      <c r="AV477" s="2">
        <f t="shared" si="362"/>
        <v>2.2233800000000006</v>
      </c>
      <c r="AW477" s="2">
        <f t="shared" si="363"/>
        <v>1.111405</v>
      </c>
      <c r="AX477" s="2">
        <f t="shared" si="364"/>
        <v>0.46690980000000004</v>
      </c>
      <c r="AY477" s="2">
        <f t="shared" si="381"/>
        <v>2.6902898000000004</v>
      </c>
      <c r="AZ477" s="2">
        <f t="shared" si="382"/>
        <v>0.40354347000000007</v>
      </c>
      <c r="BA477" s="2">
        <f t="shared" si="365"/>
        <v>4.446760000000001E-2</v>
      </c>
      <c r="BB477" s="2">
        <f t="shared" si="366"/>
        <v>1.3340280000000002</v>
      </c>
      <c r="BC477" s="2">
        <f t="shared" si="383"/>
        <v>5.5837338700000005</v>
      </c>
      <c r="BD477" s="2">
        <v>0</v>
      </c>
      <c r="BE477" s="2">
        <f t="shared" si="367"/>
        <v>22.233800000000002</v>
      </c>
      <c r="BF477" s="2">
        <f t="shared" si="368"/>
        <v>0.72259850000000003</v>
      </c>
      <c r="BG477" s="2">
        <f t="shared" si="384"/>
        <v>0.72259850000000003</v>
      </c>
      <c r="BH477" s="2">
        <f t="shared" si="385"/>
        <v>0.10838977500000001</v>
      </c>
      <c r="BI477" s="2">
        <f t="shared" si="369"/>
        <v>4.446760000000001E-2</v>
      </c>
      <c r="BJ477" s="2">
        <f t="shared" si="370"/>
        <v>1.3340280000000002</v>
      </c>
      <c r="BK477" s="2">
        <f t="shared" si="386"/>
        <v>24.443283875000002</v>
      </c>
      <c r="BL477" s="2">
        <f t="shared" si="371"/>
        <v>11119.75</v>
      </c>
      <c r="BM477" s="2">
        <f t="shared" si="372"/>
        <v>11114.050000000001</v>
      </c>
      <c r="BN477" s="2">
        <f t="shared" si="387"/>
        <v>22233.800000000003</v>
      </c>
    </row>
    <row r="478" spans="1:66" x14ac:dyDescent="0.25">
      <c r="A478" s="42">
        <v>475</v>
      </c>
      <c r="B478" s="43">
        <v>42908</v>
      </c>
      <c r="C478" s="42" t="s">
        <v>50</v>
      </c>
      <c r="D478" s="42" t="s">
        <v>206</v>
      </c>
      <c r="E478" s="6">
        <f t="shared" si="373"/>
        <v>-96.17976250000099</v>
      </c>
      <c r="F478" s="5" t="str">
        <f t="shared" si="388"/>
        <v>Loss</v>
      </c>
      <c r="G478" s="4">
        <f t="shared" si="389"/>
        <v>-82.500000000000995</v>
      </c>
      <c r="H478" s="46">
        <v>55</v>
      </c>
      <c r="I478" s="42">
        <v>201.55</v>
      </c>
      <c r="J478" s="42">
        <v>45</v>
      </c>
      <c r="K478" s="42">
        <v>202.7</v>
      </c>
      <c r="N478" s="5">
        <f t="shared" si="390"/>
        <v>100</v>
      </c>
      <c r="O478" s="4">
        <f t="shared" si="391"/>
        <v>202.125</v>
      </c>
      <c r="P478" s="5">
        <f t="shared" si="346"/>
        <v>55</v>
      </c>
      <c r="Q478" s="42">
        <v>200.95</v>
      </c>
      <c r="R478" s="2">
        <f t="shared" si="345"/>
        <v>45</v>
      </c>
      <c r="S478" s="42">
        <v>201.6</v>
      </c>
      <c r="T478" s="2">
        <f t="shared" si="374"/>
        <v>0</v>
      </c>
      <c r="V478" s="5">
        <f t="shared" si="392"/>
        <v>100</v>
      </c>
      <c r="W478" s="4">
        <f t="shared" si="393"/>
        <v>201.27499999999998</v>
      </c>
      <c r="X478" s="14">
        <f t="shared" si="347"/>
        <v>4.9999999999982947E-2</v>
      </c>
      <c r="Y478" s="5">
        <f t="shared" si="348"/>
        <v>-33.000000000001251</v>
      </c>
      <c r="Z478" s="2">
        <f t="shared" si="349"/>
        <v>-49.499999999999744</v>
      </c>
      <c r="AA478" s="4">
        <f t="shared" si="350"/>
        <v>0</v>
      </c>
      <c r="AB478" s="13">
        <f t="shared" si="351"/>
        <v>13.679762499999995</v>
      </c>
      <c r="AC478" s="10">
        <f>SUM($E$4:E478)</f>
        <v>-16897.830767836709</v>
      </c>
      <c r="AD478" s="20">
        <f>SUM($AB$4:AB478)</f>
        <v>12715.051467836653</v>
      </c>
      <c r="AF478" s="28">
        <f t="shared" si="352"/>
        <v>4.0339999999999998</v>
      </c>
      <c r="AG478" s="2">
        <f t="shared" si="353"/>
        <v>5.0318749999999994</v>
      </c>
      <c r="AH478" s="2">
        <f t="shared" si="354"/>
        <v>1.3110499999999998</v>
      </c>
      <c r="AI478" s="2">
        <f t="shared" si="375"/>
        <v>5.3450499999999996</v>
      </c>
      <c r="AJ478" s="2">
        <f t="shared" si="376"/>
        <v>0.8017574999999999</v>
      </c>
      <c r="AK478" s="2">
        <f t="shared" si="355"/>
        <v>8.0680000000000002E-2</v>
      </c>
      <c r="AL478" s="2">
        <f t="shared" si="356"/>
        <v>2.4203999999999999</v>
      </c>
      <c r="AM478" s="2">
        <f t="shared" si="377"/>
        <v>13.679762499999995</v>
      </c>
      <c r="AN478" s="2">
        <f t="shared" si="357"/>
        <v>80</v>
      </c>
      <c r="AO478" s="2">
        <f t="shared" si="358"/>
        <v>10.063749999999999</v>
      </c>
      <c r="AP478" s="2">
        <f t="shared" si="359"/>
        <v>21.380199999999999</v>
      </c>
      <c r="AQ478" s="2">
        <f t="shared" si="378"/>
        <v>101.3802</v>
      </c>
      <c r="AR478" s="2">
        <f t="shared" si="379"/>
        <v>15.20703</v>
      </c>
      <c r="AS478" s="2">
        <f t="shared" si="360"/>
        <v>8.0680000000000002E-2</v>
      </c>
      <c r="AT478" s="2">
        <f t="shared" si="361"/>
        <v>2.4203999999999999</v>
      </c>
      <c r="AU478" s="2">
        <f t="shared" si="380"/>
        <v>129.15206000000001</v>
      </c>
      <c r="AV478" s="2">
        <f t="shared" si="362"/>
        <v>4.0339999999999998</v>
      </c>
      <c r="AW478" s="2">
        <f t="shared" si="363"/>
        <v>2.0127499999999996</v>
      </c>
      <c r="AX478" s="2">
        <f t="shared" si="364"/>
        <v>0.84714</v>
      </c>
      <c r="AY478" s="2">
        <f t="shared" si="381"/>
        <v>4.8811400000000003</v>
      </c>
      <c r="AZ478" s="2">
        <f t="shared" si="382"/>
        <v>0.73217100000000002</v>
      </c>
      <c r="BA478" s="2">
        <f t="shared" si="365"/>
        <v>8.0680000000000002E-2</v>
      </c>
      <c r="BB478" s="2">
        <f t="shared" si="366"/>
        <v>2.4203999999999999</v>
      </c>
      <c r="BC478" s="2">
        <f t="shared" si="383"/>
        <v>10.127140999999998</v>
      </c>
      <c r="BD478" s="2">
        <v>0</v>
      </c>
      <c r="BE478" s="2">
        <f t="shared" si="367"/>
        <v>40.340000000000003</v>
      </c>
      <c r="BF478" s="2">
        <f t="shared" si="368"/>
        <v>1.3110499999999998</v>
      </c>
      <c r="BG478" s="2">
        <f t="shared" si="384"/>
        <v>1.3110499999999998</v>
      </c>
      <c r="BH478" s="2">
        <f t="shared" si="385"/>
        <v>0.19665749999999996</v>
      </c>
      <c r="BI478" s="2">
        <f t="shared" si="369"/>
        <v>8.0680000000000002E-2</v>
      </c>
      <c r="BJ478" s="2">
        <f t="shared" si="370"/>
        <v>2.4203999999999999</v>
      </c>
      <c r="BK478" s="2">
        <f t="shared" si="386"/>
        <v>44.348787500000007</v>
      </c>
      <c r="BL478" s="2">
        <f t="shared" si="371"/>
        <v>20212.5</v>
      </c>
      <c r="BM478" s="2">
        <f t="shared" si="372"/>
        <v>20127.499999999996</v>
      </c>
      <c r="BN478" s="2">
        <f t="shared" si="387"/>
        <v>40340</v>
      </c>
    </row>
    <row r="479" spans="1:66" x14ac:dyDescent="0.25">
      <c r="A479" s="42">
        <v>476</v>
      </c>
      <c r="B479" s="43">
        <v>42909</v>
      </c>
      <c r="C479" s="42" t="s">
        <v>50</v>
      </c>
      <c r="D479" s="42" t="s">
        <v>274</v>
      </c>
      <c r="E479" s="6">
        <f t="shared" si="373"/>
        <v>-32.2926298750005</v>
      </c>
      <c r="F479" s="5" t="str">
        <f t="shared" si="388"/>
        <v>Loss</v>
      </c>
      <c r="G479" s="4">
        <f t="shared" si="389"/>
        <v>-24.2000000000005</v>
      </c>
      <c r="H479" s="46">
        <v>22</v>
      </c>
      <c r="I479" s="42">
        <v>542.70000000000005</v>
      </c>
      <c r="N479" s="5">
        <f t="shared" si="390"/>
        <v>22</v>
      </c>
      <c r="O479" s="4">
        <f t="shared" si="391"/>
        <v>542.70000000000005</v>
      </c>
      <c r="P479" s="5">
        <f t="shared" si="346"/>
        <v>22</v>
      </c>
      <c r="Q479" s="42">
        <v>541.6</v>
      </c>
      <c r="R479" s="2">
        <f t="shared" si="345"/>
        <v>0</v>
      </c>
      <c r="T479" s="2">
        <f t="shared" si="374"/>
        <v>0</v>
      </c>
      <c r="V479" s="5">
        <f t="shared" si="392"/>
        <v>22</v>
      </c>
      <c r="W479" s="4">
        <f t="shared" si="393"/>
        <v>541.6</v>
      </c>
      <c r="X479" s="14">
        <f t="shared" si="347"/>
        <v>-1.1000000000000227</v>
      </c>
      <c r="Y479" s="5">
        <f t="shared" si="348"/>
        <v>-24.2000000000005</v>
      </c>
      <c r="Z479" s="2">
        <f t="shared" si="349"/>
        <v>0</v>
      </c>
      <c r="AA479" s="4">
        <f t="shared" si="350"/>
        <v>0</v>
      </c>
      <c r="AB479" s="13">
        <f t="shared" si="351"/>
        <v>8.0926298750000001</v>
      </c>
      <c r="AC479" s="10">
        <f>SUM($E$4:E479)</f>
        <v>-16930.123397711708</v>
      </c>
      <c r="AD479" s="20">
        <f>SUM($AB$4:AB479)</f>
        <v>12723.144097711653</v>
      </c>
      <c r="AF479" s="28">
        <f t="shared" si="352"/>
        <v>2.3854600000000001</v>
      </c>
      <c r="AG479" s="2">
        <f t="shared" si="353"/>
        <v>2.9788000000000001</v>
      </c>
      <c r="AH479" s="2">
        <f t="shared" si="354"/>
        <v>0.77527449999999998</v>
      </c>
      <c r="AI479" s="2">
        <f t="shared" si="375"/>
        <v>3.1607345000000002</v>
      </c>
      <c r="AJ479" s="2">
        <f t="shared" si="376"/>
        <v>0.47411017500000002</v>
      </c>
      <c r="AK479" s="2">
        <f t="shared" si="355"/>
        <v>4.7709200000000007E-2</v>
      </c>
      <c r="AL479" s="2">
        <f t="shared" si="356"/>
        <v>1.4312760000000002</v>
      </c>
      <c r="AM479" s="2">
        <f t="shared" si="377"/>
        <v>8.0926298750000001</v>
      </c>
      <c r="AN479" s="2">
        <f t="shared" si="357"/>
        <v>40</v>
      </c>
      <c r="AO479" s="2">
        <f t="shared" si="358"/>
        <v>5.9576000000000002</v>
      </c>
      <c r="AP479" s="2">
        <f t="shared" si="359"/>
        <v>12.642938000000001</v>
      </c>
      <c r="AQ479" s="2">
        <f t="shared" si="378"/>
        <v>52.642938000000001</v>
      </c>
      <c r="AR479" s="2">
        <f t="shared" si="379"/>
        <v>7.8964406999999994</v>
      </c>
      <c r="AS479" s="2">
        <f t="shared" si="360"/>
        <v>4.7709200000000007E-2</v>
      </c>
      <c r="AT479" s="2">
        <f t="shared" si="361"/>
        <v>1.4312760000000002</v>
      </c>
      <c r="AU479" s="2">
        <f t="shared" si="380"/>
        <v>67.975963899999996</v>
      </c>
      <c r="AV479" s="2">
        <f t="shared" si="362"/>
        <v>2.3854600000000001</v>
      </c>
      <c r="AW479" s="2">
        <f t="shared" si="363"/>
        <v>1.1915200000000001</v>
      </c>
      <c r="AX479" s="2">
        <f t="shared" si="364"/>
        <v>0.50094660000000002</v>
      </c>
      <c r="AY479" s="2">
        <f t="shared" si="381"/>
        <v>2.8864065999999999</v>
      </c>
      <c r="AZ479" s="2">
        <f t="shared" si="382"/>
        <v>0.43296098999999999</v>
      </c>
      <c r="BA479" s="2">
        <f t="shared" si="365"/>
        <v>4.7709200000000007E-2</v>
      </c>
      <c r="BB479" s="2">
        <f t="shared" si="366"/>
        <v>1.4312760000000002</v>
      </c>
      <c r="BC479" s="2">
        <f t="shared" si="383"/>
        <v>5.9898727900000006</v>
      </c>
      <c r="BD479" s="2">
        <v>0</v>
      </c>
      <c r="BE479" s="2">
        <f t="shared" si="367"/>
        <v>23.854600000000001</v>
      </c>
      <c r="BF479" s="2">
        <f t="shared" si="368"/>
        <v>0.77527449999999998</v>
      </c>
      <c r="BG479" s="2">
        <f t="shared" si="384"/>
        <v>0.77527449999999998</v>
      </c>
      <c r="BH479" s="2">
        <f t="shared" si="385"/>
        <v>0.116291175</v>
      </c>
      <c r="BI479" s="2">
        <f t="shared" si="369"/>
        <v>4.7709200000000007E-2</v>
      </c>
      <c r="BJ479" s="2">
        <f t="shared" si="370"/>
        <v>1.4312760000000002</v>
      </c>
      <c r="BK479" s="2">
        <f t="shared" si="386"/>
        <v>26.225150875000001</v>
      </c>
      <c r="BL479" s="2">
        <f t="shared" si="371"/>
        <v>11939.400000000001</v>
      </c>
      <c r="BM479" s="2">
        <f t="shared" si="372"/>
        <v>11915.2</v>
      </c>
      <c r="BN479" s="2">
        <f t="shared" si="387"/>
        <v>23854.600000000002</v>
      </c>
    </row>
    <row r="480" spans="1:66" x14ac:dyDescent="0.25">
      <c r="A480" s="42">
        <v>477</v>
      </c>
      <c r="B480" s="43">
        <v>42909</v>
      </c>
      <c r="C480" s="42" t="s">
        <v>50</v>
      </c>
      <c r="D480" s="42" t="s">
        <v>188</v>
      </c>
      <c r="E480" s="6">
        <f t="shared" si="373"/>
        <v>-42.085096687499998</v>
      </c>
      <c r="F480" s="5" t="str">
        <f t="shared" si="388"/>
        <v>Loss</v>
      </c>
      <c r="G480" s="4">
        <f t="shared" si="389"/>
        <v>-34.5</v>
      </c>
      <c r="H480" s="46">
        <v>69</v>
      </c>
      <c r="I480" s="42">
        <v>162.30000000000001</v>
      </c>
      <c r="N480" s="5">
        <f t="shared" si="390"/>
        <v>69</v>
      </c>
      <c r="O480" s="4">
        <f t="shared" si="391"/>
        <v>162.30000000000001</v>
      </c>
      <c r="P480" s="5">
        <f t="shared" si="346"/>
        <v>69</v>
      </c>
      <c r="Q480" s="42">
        <v>161.80000000000001</v>
      </c>
      <c r="R480" s="2">
        <f t="shared" si="345"/>
        <v>0</v>
      </c>
      <c r="T480" s="2">
        <f t="shared" si="374"/>
        <v>0</v>
      </c>
      <c r="V480" s="5">
        <f t="shared" si="392"/>
        <v>69</v>
      </c>
      <c r="W480" s="4">
        <f t="shared" si="393"/>
        <v>161.80000000000001</v>
      </c>
      <c r="X480" s="14">
        <f t="shared" si="347"/>
        <v>-0.5</v>
      </c>
      <c r="Y480" s="5">
        <f t="shared" si="348"/>
        <v>-34.5</v>
      </c>
      <c r="Z480" s="2">
        <f t="shared" si="349"/>
        <v>0</v>
      </c>
      <c r="AA480" s="4">
        <f t="shared" si="350"/>
        <v>0</v>
      </c>
      <c r="AB480" s="13">
        <f t="shared" si="351"/>
        <v>7.585096687500001</v>
      </c>
      <c r="AC480" s="10">
        <f>SUM($E$4:E480)</f>
        <v>-16972.208494399209</v>
      </c>
      <c r="AD480" s="20">
        <f>SUM($AB$4:AB480)</f>
        <v>12730.729194399153</v>
      </c>
      <c r="AF480" s="28">
        <f t="shared" si="352"/>
        <v>2.2362900000000003</v>
      </c>
      <c r="AG480" s="2">
        <f t="shared" si="353"/>
        <v>2.7910500000000003</v>
      </c>
      <c r="AH480" s="2">
        <f t="shared" si="354"/>
        <v>0.72679424999999998</v>
      </c>
      <c r="AI480" s="2">
        <f t="shared" si="375"/>
        <v>2.9630842500000005</v>
      </c>
      <c r="AJ480" s="2">
        <f t="shared" si="376"/>
        <v>0.44446263750000009</v>
      </c>
      <c r="AK480" s="2">
        <f t="shared" si="355"/>
        <v>4.4725800000000003E-2</v>
      </c>
      <c r="AL480" s="2">
        <f t="shared" si="356"/>
        <v>1.341774</v>
      </c>
      <c r="AM480" s="2">
        <f t="shared" si="377"/>
        <v>7.585096687500001</v>
      </c>
      <c r="AN480" s="2">
        <f t="shared" si="357"/>
        <v>40</v>
      </c>
      <c r="AO480" s="2">
        <f t="shared" si="358"/>
        <v>5.5821000000000005</v>
      </c>
      <c r="AP480" s="2">
        <f t="shared" si="359"/>
        <v>11.852337</v>
      </c>
      <c r="AQ480" s="2">
        <f t="shared" si="378"/>
        <v>51.852336999999999</v>
      </c>
      <c r="AR480" s="2">
        <f t="shared" si="379"/>
        <v>7.7778505499999993</v>
      </c>
      <c r="AS480" s="2">
        <f t="shared" si="360"/>
        <v>4.4725800000000003E-2</v>
      </c>
      <c r="AT480" s="2">
        <f t="shared" si="361"/>
        <v>1.341774</v>
      </c>
      <c r="AU480" s="2">
        <f t="shared" si="380"/>
        <v>66.598787349999995</v>
      </c>
      <c r="AV480" s="2">
        <f t="shared" si="362"/>
        <v>2.2362900000000003</v>
      </c>
      <c r="AW480" s="2">
        <f t="shared" si="363"/>
        <v>1.1164200000000002</v>
      </c>
      <c r="AX480" s="2">
        <f t="shared" si="364"/>
        <v>0.46962090000000001</v>
      </c>
      <c r="AY480" s="2">
        <f t="shared" si="381"/>
        <v>2.7059109000000001</v>
      </c>
      <c r="AZ480" s="2">
        <f t="shared" si="382"/>
        <v>0.405886635</v>
      </c>
      <c r="BA480" s="2">
        <f t="shared" si="365"/>
        <v>4.4725800000000003E-2</v>
      </c>
      <c r="BB480" s="2">
        <f t="shared" si="366"/>
        <v>1.341774</v>
      </c>
      <c r="BC480" s="2">
        <f t="shared" si="383"/>
        <v>5.6147173350000008</v>
      </c>
      <c r="BD480" s="2">
        <v>0</v>
      </c>
      <c r="BE480" s="2">
        <f t="shared" si="367"/>
        <v>22.362900000000003</v>
      </c>
      <c r="BF480" s="2">
        <f t="shared" si="368"/>
        <v>0.72679424999999998</v>
      </c>
      <c r="BG480" s="2">
        <f t="shared" si="384"/>
        <v>0.72679424999999998</v>
      </c>
      <c r="BH480" s="2">
        <f t="shared" si="385"/>
        <v>0.10901913749999999</v>
      </c>
      <c r="BI480" s="2">
        <f t="shared" si="369"/>
        <v>4.4725800000000003E-2</v>
      </c>
      <c r="BJ480" s="2">
        <f t="shared" si="370"/>
        <v>1.341774</v>
      </c>
      <c r="BK480" s="2">
        <f t="shared" si="386"/>
        <v>24.585213187500003</v>
      </c>
      <c r="BL480" s="2">
        <f t="shared" si="371"/>
        <v>11198.7</v>
      </c>
      <c r="BM480" s="2">
        <f t="shared" si="372"/>
        <v>11164.2</v>
      </c>
      <c r="BN480" s="2">
        <f t="shared" si="387"/>
        <v>22362.9</v>
      </c>
    </row>
    <row r="481" spans="1:66" x14ac:dyDescent="0.25">
      <c r="A481" s="42">
        <v>478</v>
      </c>
      <c r="B481" s="43">
        <v>42913</v>
      </c>
      <c r="C481" s="42" t="s">
        <v>50</v>
      </c>
      <c r="D481" s="42" t="s">
        <v>209</v>
      </c>
      <c r="E481" s="6">
        <f t="shared" si="373"/>
        <v>-64.488072656250395</v>
      </c>
      <c r="F481" s="5" t="str">
        <f t="shared" si="388"/>
        <v>Loss</v>
      </c>
      <c r="G481" s="4">
        <f t="shared" si="389"/>
        <v>-62.550000000000395</v>
      </c>
      <c r="H481" s="46">
        <v>139</v>
      </c>
      <c r="I481" s="42">
        <v>20.85</v>
      </c>
      <c r="N481" s="5">
        <f t="shared" si="390"/>
        <v>139</v>
      </c>
      <c r="O481" s="4">
        <f t="shared" si="391"/>
        <v>20.85</v>
      </c>
      <c r="P481" s="5">
        <f t="shared" si="346"/>
        <v>139</v>
      </c>
      <c r="Q481" s="42">
        <v>20.399999999999999</v>
      </c>
      <c r="R481" s="2">
        <f t="shared" si="345"/>
        <v>0</v>
      </c>
      <c r="T481" s="2">
        <f t="shared" si="374"/>
        <v>0</v>
      </c>
      <c r="V481" s="5">
        <f t="shared" si="392"/>
        <v>139</v>
      </c>
      <c r="W481" s="4">
        <f t="shared" si="393"/>
        <v>20.399999999999999</v>
      </c>
      <c r="X481" s="14">
        <f t="shared" si="347"/>
        <v>-0.45000000000000284</v>
      </c>
      <c r="Y481" s="5">
        <f t="shared" si="348"/>
        <v>-62.550000000000395</v>
      </c>
      <c r="Z481" s="2">
        <f t="shared" si="349"/>
        <v>0</v>
      </c>
      <c r="AA481" s="4">
        <f t="shared" si="350"/>
        <v>0</v>
      </c>
      <c r="AB481" s="13">
        <f t="shared" si="351"/>
        <v>1.9380726562499999</v>
      </c>
      <c r="AC481" s="10">
        <f>SUM($E$4:E481)</f>
        <v>-17036.69656705546</v>
      </c>
      <c r="AD481" s="20">
        <f>SUM($AB$4:AB481)</f>
        <v>12732.667267055403</v>
      </c>
      <c r="AF481" s="28">
        <f t="shared" si="352"/>
        <v>0.57337500000000008</v>
      </c>
      <c r="AG481" s="2">
        <f t="shared" si="353"/>
        <v>0.70889999999999997</v>
      </c>
      <c r="AH481" s="2">
        <f t="shared" si="354"/>
        <v>0.186346875</v>
      </c>
      <c r="AI481" s="2">
        <f t="shared" si="375"/>
        <v>0.7597218750000001</v>
      </c>
      <c r="AJ481" s="2">
        <f t="shared" si="376"/>
        <v>0.11395828125000002</v>
      </c>
      <c r="AK481" s="2">
        <f t="shared" si="355"/>
        <v>1.14675E-2</v>
      </c>
      <c r="AL481" s="2">
        <f t="shared" si="356"/>
        <v>0.34402500000000003</v>
      </c>
      <c r="AM481" s="2">
        <f t="shared" si="377"/>
        <v>1.9380726562499999</v>
      </c>
      <c r="AN481" s="2">
        <f t="shared" si="357"/>
        <v>40</v>
      </c>
      <c r="AO481" s="2">
        <f t="shared" si="358"/>
        <v>1.4177999999999999</v>
      </c>
      <c r="AP481" s="2">
        <f t="shared" si="359"/>
        <v>3.0388875</v>
      </c>
      <c r="AQ481" s="2">
        <f t="shared" si="378"/>
        <v>43.038887500000001</v>
      </c>
      <c r="AR481" s="2">
        <f t="shared" si="379"/>
        <v>6.4558331249999998</v>
      </c>
      <c r="AS481" s="2">
        <f t="shared" si="360"/>
        <v>1.14675E-2</v>
      </c>
      <c r="AT481" s="2">
        <f t="shared" si="361"/>
        <v>0.34402500000000003</v>
      </c>
      <c r="AU481" s="2">
        <f t="shared" si="380"/>
        <v>51.268013125000003</v>
      </c>
      <c r="AV481" s="2">
        <f t="shared" si="362"/>
        <v>0.57337500000000008</v>
      </c>
      <c r="AW481" s="2">
        <f t="shared" si="363"/>
        <v>0.28355999999999998</v>
      </c>
      <c r="AX481" s="2">
        <f t="shared" si="364"/>
        <v>0.12040874999999999</v>
      </c>
      <c r="AY481" s="2">
        <f t="shared" si="381"/>
        <v>0.69378375000000003</v>
      </c>
      <c r="AZ481" s="2">
        <f t="shared" si="382"/>
        <v>0.1040675625</v>
      </c>
      <c r="BA481" s="2">
        <f t="shared" si="365"/>
        <v>1.14675E-2</v>
      </c>
      <c r="BB481" s="2">
        <f t="shared" si="366"/>
        <v>0.34402500000000003</v>
      </c>
      <c r="BC481" s="2">
        <f t="shared" si="383"/>
        <v>1.4369038125</v>
      </c>
      <c r="BD481" s="2">
        <v>0</v>
      </c>
      <c r="BE481" s="2">
        <f t="shared" si="367"/>
        <v>5.7337499999999997</v>
      </c>
      <c r="BF481" s="2">
        <f t="shared" si="368"/>
        <v>0.186346875</v>
      </c>
      <c r="BG481" s="2">
        <f t="shared" si="384"/>
        <v>0.186346875</v>
      </c>
      <c r="BH481" s="2">
        <f t="shared" si="385"/>
        <v>2.7952031249999999E-2</v>
      </c>
      <c r="BI481" s="2">
        <f t="shared" si="369"/>
        <v>1.14675E-2</v>
      </c>
      <c r="BJ481" s="2">
        <f t="shared" si="370"/>
        <v>0.34402500000000003</v>
      </c>
      <c r="BK481" s="2">
        <f t="shared" si="386"/>
        <v>6.3035414062499999</v>
      </c>
      <c r="BL481" s="2">
        <f t="shared" si="371"/>
        <v>2898.15</v>
      </c>
      <c r="BM481" s="2">
        <f t="shared" si="372"/>
        <v>2835.6</v>
      </c>
      <c r="BN481" s="2">
        <f t="shared" si="387"/>
        <v>5733.75</v>
      </c>
    </row>
    <row r="482" spans="1:66" x14ac:dyDescent="0.25">
      <c r="A482" s="42">
        <v>479</v>
      </c>
      <c r="B482" s="43">
        <v>42914</v>
      </c>
      <c r="C482" s="42" t="s">
        <v>50</v>
      </c>
      <c r="D482" s="42" t="s">
        <v>275</v>
      </c>
      <c r="E482" s="6">
        <f t="shared" si="373"/>
        <v>-4.9010420625000339</v>
      </c>
      <c r="F482" s="5" t="str">
        <f t="shared" si="388"/>
        <v>Loss</v>
      </c>
      <c r="G482" s="4">
        <f t="shared" si="389"/>
        <v>-3.9000000000000341</v>
      </c>
      <c r="H482" s="46">
        <v>6</v>
      </c>
      <c r="I482" s="42">
        <v>246.25</v>
      </c>
      <c r="N482" s="5">
        <f t="shared" si="390"/>
        <v>6</v>
      </c>
      <c r="O482" s="4">
        <f t="shared" si="391"/>
        <v>246.25</v>
      </c>
      <c r="P482" s="5">
        <f t="shared" si="346"/>
        <v>6</v>
      </c>
      <c r="Q482" s="42">
        <v>245.6</v>
      </c>
      <c r="R482" s="2">
        <f t="shared" si="345"/>
        <v>0</v>
      </c>
      <c r="T482" s="2">
        <f t="shared" si="374"/>
        <v>0</v>
      </c>
      <c r="V482" s="5">
        <f t="shared" si="392"/>
        <v>6</v>
      </c>
      <c r="W482" s="4">
        <f t="shared" si="393"/>
        <v>245.6</v>
      </c>
      <c r="X482" s="14">
        <f t="shared" si="347"/>
        <v>-0.65000000000000568</v>
      </c>
      <c r="Y482" s="5">
        <f t="shared" si="348"/>
        <v>-3.9000000000000341</v>
      </c>
      <c r="Z482" s="2">
        <f t="shared" si="349"/>
        <v>0</v>
      </c>
      <c r="AA482" s="4">
        <f t="shared" si="350"/>
        <v>0</v>
      </c>
      <c r="AB482" s="13">
        <f t="shared" si="351"/>
        <v>1.0010420625000001</v>
      </c>
      <c r="AC482" s="10">
        <f>SUM($E$4:E482)</f>
        <v>-17041.597609117962</v>
      </c>
      <c r="AD482" s="20">
        <f>SUM($AB$4:AB482)</f>
        <v>12733.668309117904</v>
      </c>
      <c r="AF482" s="28">
        <f t="shared" si="352"/>
        <v>0.29510999999999998</v>
      </c>
      <c r="AG482" s="2">
        <f t="shared" si="353"/>
        <v>0.36840000000000001</v>
      </c>
      <c r="AH482" s="2">
        <f t="shared" si="354"/>
        <v>9.5910749999999989E-2</v>
      </c>
      <c r="AI482" s="2">
        <f t="shared" si="375"/>
        <v>0.39102074999999997</v>
      </c>
      <c r="AJ482" s="2">
        <f t="shared" si="376"/>
        <v>5.8653112499999993E-2</v>
      </c>
      <c r="AK482" s="2">
        <f t="shared" si="355"/>
        <v>5.9021999999999998E-3</v>
      </c>
      <c r="AL482" s="2">
        <f t="shared" si="356"/>
        <v>0.177066</v>
      </c>
      <c r="AM482" s="2">
        <f t="shared" si="377"/>
        <v>1.0010420625000001</v>
      </c>
      <c r="AN482" s="2">
        <f t="shared" si="357"/>
        <v>40</v>
      </c>
      <c r="AO482" s="2">
        <f t="shared" si="358"/>
        <v>0.73680000000000001</v>
      </c>
      <c r="AP482" s="2">
        <f t="shared" si="359"/>
        <v>1.5640829999999999</v>
      </c>
      <c r="AQ482" s="2">
        <f t="shared" si="378"/>
        <v>41.564082999999997</v>
      </c>
      <c r="AR482" s="2">
        <f t="shared" si="379"/>
        <v>6.2346124499999993</v>
      </c>
      <c r="AS482" s="2">
        <f t="shared" si="360"/>
        <v>5.9021999999999998E-3</v>
      </c>
      <c r="AT482" s="2">
        <f t="shared" si="361"/>
        <v>0.177066</v>
      </c>
      <c r="AU482" s="2">
        <f t="shared" si="380"/>
        <v>48.718463650000004</v>
      </c>
      <c r="AV482" s="2">
        <f t="shared" si="362"/>
        <v>0.29510999999999998</v>
      </c>
      <c r="AW482" s="2">
        <f t="shared" si="363"/>
        <v>0.14736000000000002</v>
      </c>
      <c r="AX482" s="2">
        <f t="shared" si="364"/>
        <v>6.1973099999999996E-2</v>
      </c>
      <c r="AY482" s="2">
        <f t="shared" si="381"/>
        <v>0.35708309999999999</v>
      </c>
      <c r="AZ482" s="2">
        <f t="shared" si="382"/>
        <v>5.3562464999999997E-2</v>
      </c>
      <c r="BA482" s="2">
        <f t="shared" si="365"/>
        <v>5.9021999999999998E-3</v>
      </c>
      <c r="BB482" s="2">
        <f t="shared" si="366"/>
        <v>0.177066</v>
      </c>
      <c r="BC482" s="2">
        <f t="shared" si="383"/>
        <v>0.7409737649999999</v>
      </c>
      <c r="BD482" s="2">
        <v>0</v>
      </c>
      <c r="BE482" s="2">
        <f t="shared" si="367"/>
        <v>2.9510999999999998</v>
      </c>
      <c r="BF482" s="2">
        <f t="shared" si="368"/>
        <v>9.5910749999999989E-2</v>
      </c>
      <c r="BG482" s="2">
        <f t="shared" si="384"/>
        <v>9.5910749999999989E-2</v>
      </c>
      <c r="BH482" s="2">
        <f t="shared" si="385"/>
        <v>1.4386612499999998E-2</v>
      </c>
      <c r="BI482" s="2">
        <f t="shared" si="369"/>
        <v>5.9021999999999998E-3</v>
      </c>
      <c r="BJ482" s="2">
        <f t="shared" si="370"/>
        <v>0.177066</v>
      </c>
      <c r="BK482" s="2">
        <f t="shared" si="386"/>
        <v>3.2443655624999996</v>
      </c>
      <c r="BL482" s="2">
        <f t="shared" si="371"/>
        <v>1477.5</v>
      </c>
      <c r="BM482" s="2">
        <f t="shared" si="372"/>
        <v>1473.6</v>
      </c>
      <c r="BN482" s="2">
        <f t="shared" si="387"/>
        <v>2951.1</v>
      </c>
    </row>
    <row r="483" spans="1:66" x14ac:dyDescent="0.25">
      <c r="A483" s="42">
        <v>480</v>
      </c>
      <c r="B483" s="43">
        <v>42914</v>
      </c>
      <c r="C483" s="42" t="s">
        <v>50</v>
      </c>
      <c r="D483" s="42" t="s">
        <v>268</v>
      </c>
      <c r="E483" s="6">
        <f t="shared" si="373"/>
        <v>-11.2725643125</v>
      </c>
      <c r="F483" s="5" t="str">
        <f t="shared" si="388"/>
        <v>Loss</v>
      </c>
      <c r="G483" s="4">
        <f t="shared" si="389"/>
        <v>-10.5</v>
      </c>
      <c r="H483" s="46">
        <v>6</v>
      </c>
      <c r="I483" s="42">
        <v>190.9</v>
      </c>
      <c r="N483" s="5">
        <f t="shared" si="390"/>
        <v>6</v>
      </c>
      <c r="O483" s="4">
        <f t="shared" si="391"/>
        <v>190.9</v>
      </c>
      <c r="P483" s="5">
        <f t="shared" si="346"/>
        <v>6</v>
      </c>
      <c r="Q483" s="42">
        <v>189.15</v>
      </c>
      <c r="R483" s="2">
        <f t="shared" si="345"/>
        <v>0</v>
      </c>
      <c r="T483" s="2">
        <f t="shared" si="374"/>
        <v>0</v>
      </c>
      <c r="V483" s="5">
        <f t="shared" si="392"/>
        <v>6</v>
      </c>
      <c r="W483" s="4">
        <f t="shared" si="393"/>
        <v>189.15</v>
      </c>
      <c r="X483" s="14">
        <f t="shared" si="347"/>
        <v>-1.75</v>
      </c>
      <c r="Y483" s="5">
        <f t="shared" si="348"/>
        <v>-10.5</v>
      </c>
      <c r="Z483" s="2">
        <f t="shared" si="349"/>
        <v>0</v>
      </c>
      <c r="AA483" s="4">
        <f t="shared" si="350"/>
        <v>0</v>
      </c>
      <c r="AB483" s="13">
        <f t="shared" si="351"/>
        <v>0.77256431250000002</v>
      </c>
      <c r="AC483" s="10">
        <f>SUM($E$4:E483)</f>
        <v>-17052.870173430463</v>
      </c>
      <c r="AD483" s="20">
        <f>SUM($AB$4:AB483)</f>
        <v>12734.440873430403</v>
      </c>
      <c r="AF483" s="28">
        <f t="shared" si="352"/>
        <v>0.22803000000000004</v>
      </c>
      <c r="AG483" s="2">
        <f t="shared" si="353"/>
        <v>0.283725</v>
      </c>
      <c r="AH483" s="2">
        <f t="shared" si="354"/>
        <v>7.4109750000000002E-2</v>
      </c>
      <c r="AI483" s="2">
        <f t="shared" si="375"/>
        <v>0.30213975000000004</v>
      </c>
      <c r="AJ483" s="2">
        <f t="shared" si="376"/>
        <v>4.5320962500000006E-2</v>
      </c>
      <c r="AK483" s="2">
        <f t="shared" si="355"/>
        <v>4.5606000000000006E-3</v>
      </c>
      <c r="AL483" s="2">
        <f t="shared" si="356"/>
        <v>0.13681800000000002</v>
      </c>
      <c r="AM483" s="2">
        <f t="shared" si="377"/>
        <v>0.77256431250000002</v>
      </c>
      <c r="AN483" s="2">
        <f t="shared" si="357"/>
        <v>40</v>
      </c>
      <c r="AO483" s="2">
        <f t="shared" si="358"/>
        <v>0.56745000000000001</v>
      </c>
      <c r="AP483" s="2">
        <f t="shared" si="359"/>
        <v>1.2085590000000002</v>
      </c>
      <c r="AQ483" s="2">
        <f t="shared" si="378"/>
        <v>41.208559000000001</v>
      </c>
      <c r="AR483" s="2">
        <f t="shared" si="379"/>
        <v>6.1812838499999998</v>
      </c>
      <c r="AS483" s="2">
        <f t="shared" si="360"/>
        <v>4.5606000000000006E-3</v>
      </c>
      <c r="AT483" s="2">
        <f t="shared" si="361"/>
        <v>0.13681800000000002</v>
      </c>
      <c r="AU483" s="2">
        <f t="shared" si="380"/>
        <v>48.098671449999998</v>
      </c>
      <c r="AV483" s="2">
        <f t="shared" si="362"/>
        <v>0.22803000000000004</v>
      </c>
      <c r="AW483" s="2">
        <f t="shared" si="363"/>
        <v>0.11349000000000001</v>
      </c>
      <c r="AX483" s="2">
        <f t="shared" si="364"/>
        <v>4.78863E-2</v>
      </c>
      <c r="AY483" s="2">
        <f t="shared" si="381"/>
        <v>0.27591630000000006</v>
      </c>
      <c r="AZ483" s="2">
        <f t="shared" si="382"/>
        <v>4.1387445000000009E-2</v>
      </c>
      <c r="BA483" s="2">
        <f t="shared" si="365"/>
        <v>4.5606000000000006E-3</v>
      </c>
      <c r="BB483" s="2">
        <f t="shared" si="366"/>
        <v>0.13681800000000002</v>
      </c>
      <c r="BC483" s="2">
        <f t="shared" si="383"/>
        <v>0.57217234500000014</v>
      </c>
      <c r="BD483" s="2">
        <v>0</v>
      </c>
      <c r="BE483" s="2">
        <f t="shared" si="367"/>
        <v>2.2803000000000004</v>
      </c>
      <c r="BF483" s="2">
        <f t="shared" si="368"/>
        <v>7.4109750000000002E-2</v>
      </c>
      <c r="BG483" s="2">
        <f t="shared" si="384"/>
        <v>7.4109750000000002E-2</v>
      </c>
      <c r="BH483" s="2">
        <f t="shared" si="385"/>
        <v>1.11164625E-2</v>
      </c>
      <c r="BI483" s="2">
        <f t="shared" si="369"/>
        <v>4.5606000000000006E-3</v>
      </c>
      <c r="BJ483" s="2">
        <f t="shared" si="370"/>
        <v>0.13681800000000002</v>
      </c>
      <c r="BK483" s="2">
        <f t="shared" si="386"/>
        <v>2.5069048125000002</v>
      </c>
      <c r="BL483" s="2">
        <f t="shared" si="371"/>
        <v>1145.4000000000001</v>
      </c>
      <c r="BM483" s="2">
        <f t="shared" si="372"/>
        <v>1134.9000000000001</v>
      </c>
      <c r="BN483" s="2">
        <f t="shared" si="387"/>
        <v>2280.3000000000002</v>
      </c>
    </row>
    <row r="484" spans="1:66" x14ac:dyDescent="0.25">
      <c r="A484" s="42">
        <v>481</v>
      </c>
      <c r="B484" s="43">
        <v>42914</v>
      </c>
      <c r="C484" s="42" t="s">
        <v>50</v>
      </c>
      <c r="D484" s="42" t="s">
        <v>276</v>
      </c>
      <c r="E484" s="6">
        <f t="shared" si="373"/>
        <v>8.9160453749999657</v>
      </c>
      <c r="F484" s="5" t="str">
        <f t="shared" si="388"/>
        <v>Win</v>
      </c>
      <c r="G484" s="4">
        <f t="shared" si="389"/>
        <v>9.5999999999999659</v>
      </c>
      <c r="H484" s="46">
        <v>6</v>
      </c>
      <c r="I484" s="42">
        <v>166.85</v>
      </c>
      <c r="N484" s="5">
        <f t="shared" si="390"/>
        <v>6</v>
      </c>
      <c r="O484" s="4">
        <f t="shared" si="391"/>
        <v>166.85</v>
      </c>
      <c r="P484" s="5">
        <f t="shared" si="346"/>
        <v>6</v>
      </c>
      <c r="Q484" s="42">
        <v>168.45</v>
      </c>
      <c r="R484" s="2">
        <f t="shared" si="345"/>
        <v>0</v>
      </c>
      <c r="T484" s="2">
        <f t="shared" si="374"/>
        <v>0</v>
      </c>
      <c r="V484" s="5">
        <f t="shared" si="392"/>
        <v>6</v>
      </c>
      <c r="W484" s="4">
        <f t="shared" si="393"/>
        <v>168.45</v>
      </c>
      <c r="X484" s="14">
        <f t="shared" si="347"/>
        <v>1.5999999999999943</v>
      </c>
      <c r="Y484" s="5">
        <f t="shared" si="348"/>
        <v>9.5999999999999659</v>
      </c>
      <c r="Z484" s="2">
        <f t="shared" si="349"/>
        <v>0</v>
      </c>
      <c r="AA484" s="4">
        <f t="shared" si="350"/>
        <v>0</v>
      </c>
      <c r="AB484" s="13">
        <f t="shared" si="351"/>
        <v>0.68395462499999993</v>
      </c>
      <c r="AC484" s="10">
        <f>SUM($E$4:E484)</f>
        <v>-17043.954128055462</v>
      </c>
      <c r="AD484" s="20">
        <f>SUM($AB$4:AB484)</f>
        <v>12735.124828055403</v>
      </c>
      <c r="AF484" s="28">
        <f t="shared" si="352"/>
        <v>0.20117999999999997</v>
      </c>
      <c r="AG484" s="2">
        <f t="shared" si="353"/>
        <v>0.25267499999999998</v>
      </c>
      <c r="AH484" s="2">
        <f t="shared" si="354"/>
        <v>6.5383499999999983E-2</v>
      </c>
      <c r="AI484" s="2">
        <f t="shared" si="375"/>
        <v>0.26656349999999995</v>
      </c>
      <c r="AJ484" s="2">
        <f t="shared" si="376"/>
        <v>3.9984524999999993E-2</v>
      </c>
      <c r="AK484" s="2">
        <f t="shared" si="355"/>
        <v>4.0235999999999996E-3</v>
      </c>
      <c r="AL484" s="2">
        <f t="shared" si="356"/>
        <v>0.12070799999999998</v>
      </c>
      <c r="AM484" s="2">
        <f t="shared" si="377"/>
        <v>0.68395462499999993</v>
      </c>
      <c r="AN484" s="2">
        <f t="shared" si="357"/>
        <v>40</v>
      </c>
      <c r="AO484" s="2">
        <f t="shared" si="358"/>
        <v>0.50534999999999997</v>
      </c>
      <c r="AP484" s="2">
        <f t="shared" si="359"/>
        <v>1.0662539999999998</v>
      </c>
      <c r="AQ484" s="2">
        <f t="shared" si="378"/>
        <v>41.066254000000001</v>
      </c>
      <c r="AR484" s="2">
        <f t="shared" si="379"/>
        <v>6.1599380999999997</v>
      </c>
      <c r="AS484" s="2">
        <f t="shared" si="360"/>
        <v>4.0235999999999996E-3</v>
      </c>
      <c r="AT484" s="2">
        <f t="shared" si="361"/>
        <v>0.12070799999999998</v>
      </c>
      <c r="AU484" s="2">
        <f t="shared" si="380"/>
        <v>47.856273699999996</v>
      </c>
      <c r="AV484" s="2">
        <f t="shared" si="362"/>
        <v>0.20117999999999997</v>
      </c>
      <c r="AW484" s="2">
        <f t="shared" si="363"/>
        <v>0.10107000000000001</v>
      </c>
      <c r="AX484" s="2">
        <f t="shared" si="364"/>
        <v>4.2247799999999995E-2</v>
      </c>
      <c r="AY484" s="2">
        <f t="shared" si="381"/>
        <v>0.24342779999999997</v>
      </c>
      <c r="AZ484" s="2">
        <f t="shared" si="382"/>
        <v>3.6514169999999992E-2</v>
      </c>
      <c r="BA484" s="2">
        <f t="shared" si="365"/>
        <v>4.0235999999999996E-3</v>
      </c>
      <c r="BB484" s="2">
        <f t="shared" si="366"/>
        <v>0.12070799999999998</v>
      </c>
      <c r="BC484" s="2">
        <f t="shared" si="383"/>
        <v>0.50574356999999992</v>
      </c>
      <c r="BD484" s="2">
        <v>0</v>
      </c>
      <c r="BE484" s="2">
        <f t="shared" si="367"/>
        <v>2.0117999999999996</v>
      </c>
      <c r="BF484" s="2">
        <f t="shared" si="368"/>
        <v>6.5383499999999983E-2</v>
      </c>
      <c r="BG484" s="2">
        <f t="shared" si="384"/>
        <v>6.5383499999999983E-2</v>
      </c>
      <c r="BH484" s="2">
        <f t="shared" si="385"/>
        <v>9.8075249999999975E-3</v>
      </c>
      <c r="BI484" s="2">
        <f t="shared" si="369"/>
        <v>4.0235999999999996E-3</v>
      </c>
      <c r="BJ484" s="2">
        <f t="shared" si="370"/>
        <v>0.12070799999999998</v>
      </c>
      <c r="BK484" s="2">
        <f t="shared" si="386"/>
        <v>2.2117226249999993</v>
      </c>
      <c r="BL484" s="2">
        <f t="shared" si="371"/>
        <v>1001.0999999999999</v>
      </c>
      <c r="BM484" s="2">
        <f t="shared" si="372"/>
        <v>1010.6999999999999</v>
      </c>
      <c r="BN484" s="2">
        <f t="shared" si="387"/>
        <v>2011.7999999999997</v>
      </c>
    </row>
    <row r="485" spans="1:66" x14ac:dyDescent="0.25">
      <c r="A485" s="42">
        <v>482</v>
      </c>
      <c r="B485" s="43">
        <v>42915</v>
      </c>
      <c r="C485" s="42" t="s">
        <v>50</v>
      </c>
      <c r="D485" s="42" t="s">
        <v>277</v>
      </c>
      <c r="E485" s="6">
        <f t="shared" si="373"/>
        <v>-7.9779711562499545</v>
      </c>
      <c r="F485" s="5" t="str">
        <f t="shared" si="388"/>
        <v>Loss</v>
      </c>
      <c r="G485" s="4">
        <f t="shared" si="389"/>
        <v>-7.0499999999999545</v>
      </c>
      <c r="H485" s="46">
        <v>1</v>
      </c>
      <c r="I485" s="42">
        <v>1372</v>
      </c>
      <c r="N485" s="5">
        <f t="shared" si="390"/>
        <v>1</v>
      </c>
      <c r="O485" s="4">
        <f t="shared" si="391"/>
        <v>1372</v>
      </c>
      <c r="P485" s="5">
        <f t="shared" si="346"/>
        <v>1</v>
      </c>
      <c r="Q485" s="42">
        <v>1364.95</v>
      </c>
      <c r="R485" s="2">
        <f t="shared" si="345"/>
        <v>0</v>
      </c>
      <c r="T485" s="2">
        <f t="shared" si="374"/>
        <v>0</v>
      </c>
      <c r="V485" s="5">
        <f t="shared" si="392"/>
        <v>1</v>
      </c>
      <c r="W485" s="4">
        <f t="shared" si="393"/>
        <v>1364.95</v>
      </c>
      <c r="X485" s="14">
        <f t="shared" si="347"/>
        <v>-7.0499999999999545</v>
      </c>
      <c r="Y485" s="5">
        <f t="shared" si="348"/>
        <v>-7.0499999999999545</v>
      </c>
      <c r="Z485" s="2">
        <f t="shared" si="349"/>
        <v>0</v>
      </c>
      <c r="AA485" s="4">
        <f t="shared" si="350"/>
        <v>0</v>
      </c>
      <c r="AB485" s="13">
        <f t="shared" si="351"/>
        <v>0.92797115625000015</v>
      </c>
      <c r="AC485" s="10">
        <f>SUM($E$4:E485)</f>
        <v>-17051.932099211714</v>
      </c>
      <c r="AD485" s="20">
        <f>SUM($AB$4:AB485)</f>
        <v>12736.052799211653</v>
      </c>
      <c r="AF485" s="28">
        <f t="shared" si="352"/>
        <v>0.27369500000000002</v>
      </c>
      <c r="AG485" s="2">
        <f t="shared" si="353"/>
        <v>0.34123750000000003</v>
      </c>
      <c r="AH485" s="2">
        <f t="shared" si="354"/>
        <v>8.8950874999999985E-2</v>
      </c>
      <c r="AI485" s="2">
        <f t="shared" si="375"/>
        <v>0.36264587500000001</v>
      </c>
      <c r="AJ485" s="2">
        <f t="shared" si="376"/>
        <v>5.4396881250000001E-2</v>
      </c>
      <c r="AK485" s="2">
        <f t="shared" si="355"/>
        <v>5.4738999999999994E-3</v>
      </c>
      <c r="AL485" s="2">
        <f t="shared" si="356"/>
        <v>0.164217</v>
      </c>
      <c r="AM485" s="2">
        <f t="shared" si="377"/>
        <v>0.92797115625000015</v>
      </c>
      <c r="AN485" s="2">
        <f t="shared" si="357"/>
        <v>40</v>
      </c>
      <c r="AO485" s="2">
        <f t="shared" si="358"/>
        <v>0.68247500000000005</v>
      </c>
      <c r="AP485" s="2">
        <f t="shared" si="359"/>
        <v>1.4505834999999998</v>
      </c>
      <c r="AQ485" s="2">
        <f t="shared" si="378"/>
        <v>41.4505835</v>
      </c>
      <c r="AR485" s="2">
        <f t="shared" si="379"/>
        <v>6.2175875249999999</v>
      </c>
      <c r="AS485" s="2">
        <f t="shared" si="360"/>
        <v>5.4738999999999994E-3</v>
      </c>
      <c r="AT485" s="2">
        <f t="shared" si="361"/>
        <v>0.164217</v>
      </c>
      <c r="AU485" s="2">
        <f t="shared" si="380"/>
        <v>48.520336924999995</v>
      </c>
      <c r="AV485" s="2">
        <f t="shared" si="362"/>
        <v>0.27369500000000002</v>
      </c>
      <c r="AW485" s="2">
        <f t="shared" si="363"/>
        <v>0.13649500000000001</v>
      </c>
      <c r="AX485" s="2">
        <f t="shared" si="364"/>
        <v>5.7475949999999991E-2</v>
      </c>
      <c r="AY485" s="2">
        <f t="shared" si="381"/>
        <v>0.33117095000000002</v>
      </c>
      <c r="AZ485" s="2">
        <f t="shared" si="382"/>
        <v>4.9675642499999999E-2</v>
      </c>
      <c r="BA485" s="2">
        <f t="shared" si="365"/>
        <v>5.4738999999999994E-3</v>
      </c>
      <c r="BB485" s="2">
        <f t="shared" si="366"/>
        <v>0.164217</v>
      </c>
      <c r="BC485" s="2">
        <f t="shared" si="383"/>
        <v>0.68703249249999998</v>
      </c>
      <c r="BD485" s="2">
        <v>0</v>
      </c>
      <c r="BE485" s="2">
        <f t="shared" si="367"/>
        <v>2.7369499999999998</v>
      </c>
      <c r="BF485" s="2">
        <f t="shared" si="368"/>
        <v>8.8950874999999985E-2</v>
      </c>
      <c r="BG485" s="2">
        <f t="shared" si="384"/>
        <v>8.8950874999999985E-2</v>
      </c>
      <c r="BH485" s="2">
        <f t="shared" si="385"/>
        <v>1.3342631249999997E-2</v>
      </c>
      <c r="BI485" s="2">
        <f t="shared" si="369"/>
        <v>5.4738999999999994E-3</v>
      </c>
      <c r="BJ485" s="2">
        <f t="shared" si="370"/>
        <v>0.164217</v>
      </c>
      <c r="BK485" s="2">
        <f t="shared" si="386"/>
        <v>3.0089344062499999</v>
      </c>
      <c r="BL485" s="2">
        <f t="shared" si="371"/>
        <v>1372</v>
      </c>
      <c r="BM485" s="2">
        <f t="shared" si="372"/>
        <v>1364.95</v>
      </c>
      <c r="BN485" s="2">
        <f t="shared" si="387"/>
        <v>2736.95</v>
      </c>
    </row>
    <row r="486" spans="1:66" x14ac:dyDescent="0.25">
      <c r="A486" s="42">
        <v>483</v>
      </c>
      <c r="B486" s="43">
        <v>42915</v>
      </c>
      <c r="C486" s="42" t="s">
        <v>50</v>
      </c>
      <c r="D486" s="42" t="s">
        <v>278</v>
      </c>
      <c r="E486" s="6">
        <f t="shared" si="373"/>
        <v>-5.7992555625001367</v>
      </c>
      <c r="F486" s="5" t="str">
        <f t="shared" si="388"/>
        <v>Loss</v>
      </c>
      <c r="G486" s="4">
        <f t="shared" si="389"/>
        <v>-5.1000000000001364</v>
      </c>
      <c r="H486" s="46">
        <v>2</v>
      </c>
      <c r="I486" s="42">
        <v>516.85</v>
      </c>
      <c r="N486" s="5">
        <f t="shared" si="390"/>
        <v>2</v>
      </c>
      <c r="O486" s="4">
        <f t="shared" si="391"/>
        <v>516.85</v>
      </c>
      <c r="P486" s="5">
        <f t="shared" si="346"/>
        <v>2</v>
      </c>
      <c r="Q486" s="42">
        <v>514.29999999999995</v>
      </c>
      <c r="R486" s="2">
        <f t="shared" si="345"/>
        <v>0</v>
      </c>
      <c r="T486" s="2">
        <f t="shared" si="374"/>
        <v>0</v>
      </c>
      <c r="V486" s="5">
        <f t="shared" si="392"/>
        <v>2</v>
      </c>
      <c r="W486" s="4">
        <f t="shared" si="393"/>
        <v>514.29999999999995</v>
      </c>
      <c r="X486" s="14">
        <f t="shared" si="347"/>
        <v>-2.5500000000000682</v>
      </c>
      <c r="Y486" s="5">
        <f t="shared" si="348"/>
        <v>-5.1000000000001364</v>
      </c>
      <c r="Z486" s="2">
        <f t="shared" si="349"/>
        <v>0</v>
      </c>
      <c r="AA486" s="4">
        <f t="shared" si="350"/>
        <v>0</v>
      </c>
      <c r="AB486" s="13">
        <f t="shared" si="351"/>
        <v>0.69925556249999998</v>
      </c>
      <c r="AC486" s="10">
        <f>SUM($E$4:E486)</f>
        <v>-17057.731354774212</v>
      </c>
      <c r="AD486" s="20">
        <f>SUM($AB$4:AB486)</f>
        <v>12736.752054774153</v>
      </c>
      <c r="AF486" s="28">
        <f t="shared" si="352"/>
        <v>0.20623000000000002</v>
      </c>
      <c r="AG486" s="2">
        <f t="shared" si="353"/>
        <v>0.25714999999999999</v>
      </c>
      <c r="AH486" s="2">
        <f t="shared" si="354"/>
        <v>6.7024749999999994E-2</v>
      </c>
      <c r="AI486" s="2">
        <f t="shared" si="375"/>
        <v>0.27325474999999999</v>
      </c>
      <c r="AJ486" s="2">
        <f t="shared" si="376"/>
        <v>4.0988212499999996E-2</v>
      </c>
      <c r="AK486" s="2">
        <f t="shared" si="355"/>
        <v>4.1246E-3</v>
      </c>
      <c r="AL486" s="2">
        <f t="shared" si="356"/>
        <v>0.12373800000000001</v>
      </c>
      <c r="AM486" s="2">
        <f t="shared" si="377"/>
        <v>0.69925556249999998</v>
      </c>
      <c r="AN486" s="2">
        <f t="shared" si="357"/>
        <v>40</v>
      </c>
      <c r="AO486" s="2">
        <f t="shared" si="358"/>
        <v>0.51429999999999998</v>
      </c>
      <c r="AP486" s="2">
        <f t="shared" si="359"/>
        <v>1.093019</v>
      </c>
      <c r="AQ486" s="2">
        <f t="shared" si="378"/>
        <v>41.093018999999998</v>
      </c>
      <c r="AR486" s="2">
        <f t="shared" si="379"/>
        <v>6.1639528499999994</v>
      </c>
      <c r="AS486" s="2">
        <f t="shared" si="360"/>
        <v>4.1246E-3</v>
      </c>
      <c r="AT486" s="2">
        <f t="shared" si="361"/>
        <v>0.12373800000000001</v>
      </c>
      <c r="AU486" s="2">
        <f t="shared" si="380"/>
        <v>47.899134449999998</v>
      </c>
      <c r="AV486" s="2">
        <f t="shared" si="362"/>
        <v>0.20623000000000002</v>
      </c>
      <c r="AW486" s="2">
        <f t="shared" si="363"/>
        <v>0.10285999999999999</v>
      </c>
      <c r="AX486" s="2">
        <f t="shared" si="364"/>
        <v>4.3308300000000001E-2</v>
      </c>
      <c r="AY486" s="2">
        <f t="shared" si="381"/>
        <v>0.24953830000000002</v>
      </c>
      <c r="AZ486" s="2">
        <f t="shared" si="382"/>
        <v>3.7430745000000001E-2</v>
      </c>
      <c r="BA486" s="2">
        <f t="shared" si="365"/>
        <v>4.1246E-3</v>
      </c>
      <c r="BB486" s="2">
        <f t="shared" si="366"/>
        <v>0.12373800000000001</v>
      </c>
      <c r="BC486" s="2">
        <f t="shared" si="383"/>
        <v>0.51769164499999998</v>
      </c>
      <c r="BD486" s="2">
        <v>0</v>
      </c>
      <c r="BE486" s="2">
        <f t="shared" si="367"/>
        <v>2.0623</v>
      </c>
      <c r="BF486" s="2">
        <f t="shared" si="368"/>
        <v>6.7024749999999994E-2</v>
      </c>
      <c r="BG486" s="2">
        <f t="shared" si="384"/>
        <v>6.7024749999999994E-2</v>
      </c>
      <c r="BH486" s="2">
        <f t="shared" si="385"/>
        <v>1.0053712499999999E-2</v>
      </c>
      <c r="BI486" s="2">
        <f t="shared" si="369"/>
        <v>4.1246E-3</v>
      </c>
      <c r="BJ486" s="2">
        <f t="shared" si="370"/>
        <v>0.12373800000000001</v>
      </c>
      <c r="BK486" s="2">
        <f t="shared" si="386"/>
        <v>2.2672410624999997</v>
      </c>
      <c r="BL486" s="2">
        <f t="shared" si="371"/>
        <v>1033.7</v>
      </c>
      <c r="BM486" s="2">
        <f t="shared" si="372"/>
        <v>1028.5999999999999</v>
      </c>
      <c r="BN486" s="2">
        <f t="shared" si="387"/>
        <v>2062.3000000000002</v>
      </c>
    </row>
    <row r="487" spans="1:66" x14ac:dyDescent="0.25">
      <c r="A487" s="42">
        <v>484</v>
      </c>
      <c r="B487" s="43">
        <v>42915</v>
      </c>
      <c r="C487" s="42" t="s">
        <v>50</v>
      </c>
      <c r="D487" s="42" t="s">
        <v>279</v>
      </c>
      <c r="E487" s="6">
        <f t="shared" si="373"/>
        <v>-6.1593289999999996</v>
      </c>
      <c r="F487" s="5" t="str">
        <f t="shared" si="388"/>
        <v>Loss</v>
      </c>
      <c r="G487" s="4">
        <f t="shared" si="389"/>
        <v>-5.5</v>
      </c>
      <c r="H487" s="46">
        <v>11</v>
      </c>
      <c r="I487" s="42">
        <v>88.65</v>
      </c>
      <c r="N487" s="5">
        <f t="shared" si="390"/>
        <v>11</v>
      </c>
      <c r="O487" s="4">
        <f t="shared" si="391"/>
        <v>88.65</v>
      </c>
      <c r="P487" s="5">
        <f t="shared" si="346"/>
        <v>11</v>
      </c>
      <c r="Q487" s="42">
        <v>88.15</v>
      </c>
      <c r="R487" s="2">
        <f t="shared" si="345"/>
        <v>0</v>
      </c>
      <c r="T487" s="2">
        <f t="shared" si="374"/>
        <v>0</v>
      </c>
      <c r="V487" s="5">
        <f t="shared" si="392"/>
        <v>11</v>
      </c>
      <c r="W487" s="4">
        <f t="shared" si="393"/>
        <v>88.15</v>
      </c>
      <c r="X487" s="14">
        <f t="shared" si="347"/>
        <v>-0.5</v>
      </c>
      <c r="Y487" s="5">
        <f t="shared" si="348"/>
        <v>-5.5</v>
      </c>
      <c r="Z487" s="2">
        <f t="shared" si="349"/>
        <v>0</v>
      </c>
      <c r="AA487" s="4">
        <f t="shared" si="350"/>
        <v>0</v>
      </c>
      <c r="AB487" s="13">
        <f t="shared" si="351"/>
        <v>0.65932900000000005</v>
      </c>
      <c r="AC487" s="10">
        <f>SUM($E$4:E487)</f>
        <v>-17063.890683774211</v>
      </c>
      <c r="AD487" s="20">
        <f>SUM($AB$4:AB487)</f>
        <v>12737.411383774153</v>
      </c>
      <c r="AF487" s="28">
        <f t="shared" si="352"/>
        <v>0.19448000000000001</v>
      </c>
      <c r="AG487" s="2">
        <f t="shared" si="353"/>
        <v>0.2424125</v>
      </c>
      <c r="AH487" s="2">
        <f t="shared" si="354"/>
        <v>6.3205999999999998E-2</v>
      </c>
      <c r="AI487" s="2">
        <f t="shared" si="375"/>
        <v>0.25768600000000003</v>
      </c>
      <c r="AJ487" s="2">
        <f t="shared" si="376"/>
        <v>3.8652900000000004E-2</v>
      </c>
      <c r="AK487" s="2">
        <f t="shared" si="355"/>
        <v>3.8896000000000004E-3</v>
      </c>
      <c r="AL487" s="2">
        <f t="shared" si="356"/>
        <v>0.11668800000000001</v>
      </c>
      <c r="AM487" s="2">
        <f t="shared" si="377"/>
        <v>0.65932900000000005</v>
      </c>
      <c r="AN487" s="2">
        <f t="shared" si="357"/>
        <v>40</v>
      </c>
      <c r="AO487" s="2">
        <f t="shared" si="358"/>
        <v>0.48482500000000001</v>
      </c>
      <c r="AP487" s="2">
        <f t="shared" si="359"/>
        <v>1.0307440000000001</v>
      </c>
      <c r="AQ487" s="2">
        <f t="shared" si="378"/>
        <v>41.030743999999999</v>
      </c>
      <c r="AR487" s="2">
        <f t="shared" si="379"/>
        <v>6.1546116</v>
      </c>
      <c r="AS487" s="2">
        <f t="shared" si="360"/>
        <v>3.8896000000000004E-3</v>
      </c>
      <c r="AT487" s="2">
        <f t="shared" si="361"/>
        <v>0.11668800000000001</v>
      </c>
      <c r="AU487" s="2">
        <f t="shared" si="380"/>
        <v>47.790758200000006</v>
      </c>
      <c r="AV487" s="2">
        <f t="shared" si="362"/>
        <v>0.19448000000000001</v>
      </c>
      <c r="AW487" s="2">
        <f t="shared" si="363"/>
        <v>9.696500000000001E-2</v>
      </c>
      <c r="AX487" s="2">
        <f t="shared" si="364"/>
        <v>4.0840800000000003E-2</v>
      </c>
      <c r="AY487" s="2">
        <f t="shared" si="381"/>
        <v>0.23532080000000002</v>
      </c>
      <c r="AZ487" s="2">
        <f t="shared" si="382"/>
        <v>3.5298120000000002E-2</v>
      </c>
      <c r="BA487" s="2">
        <f t="shared" si="365"/>
        <v>3.8896000000000004E-3</v>
      </c>
      <c r="BB487" s="2">
        <f t="shared" si="366"/>
        <v>0.11668800000000001</v>
      </c>
      <c r="BC487" s="2">
        <f t="shared" si="383"/>
        <v>0.48816152000000002</v>
      </c>
      <c r="BD487" s="2">
        <v>0</v>
      </c>
      <c r="BE487" s="2">
        <f t="shared" si="367"/>
        <v>1.9448000000000003</v>
      </c>
      <c r="BF487" s="2">
        <f t="shared" si="368"/>
        <v>6.3205999999999998E-2</v>
      </c>
      <c r="BG487" s="2">
        <f t="shared" si="384"/>
        <v>6.3205999999999998E-2</v>
      </c>
      <c r="BH487" s="2">
        <f t="shared" si="385"/>
        <v>9.4808999999999987E-3</v>
      </c>
      <c r="BI487" s="2">
        <f t="shared" si="369"/>
        <v>3.8896000000000004E-3</v>
      </c>
      <c r="BJ487" s="2">
        <f t="shared" si="370"/>
        <v>0.11668800000000001</v>
      </c>
      <c r="BK487" s="2">
        <f t="shared" si="386"/>
        <v>2.1380645</v>
      </c>
      <c r="BL487" s="2">
        <f t="shared" si="371"/>
        <v>975.15000000000009</v>
      </c>
      <c r="BM487" s="2">
        <f t="shared" si="372"/>
        <v>969.65000000000009</v>
      </c>
      <c r="BN487" s="2">
        <f t="shared" si="387"/>
        <v>1944.8000000000002</v>
      </c>
    </row>
    <row r="488" spans="1:66" x14ac:dyDescent="0.25">
      <c r="A488" s="42">
        <v>485</v>
      </c>
      <c r="B488" s="43">
        <v>42915</v>
      </c>
      <c r="C488" s="42" t="s">
        <v>50</v>
      </c>
      <c r="D488" s="42" t="s">
        <v>280</v>
      </c>
      <c r="E488" s="6">
        <f t="shared" si="373"/>
        <v>-9.396633562500103</v>
      </c>
      <c r="F488" s="5" t="str">
        <f t="shared" si="388"/>
        <v>Loss</v>
      </c>
      <c r="G488" s="4">
        <f t="shared" si="389"/>
        <v>-8.7000000000001023</v>
      </c>
      <c r="H488" s="46">
        <v>6</v>
      </c>
      <c r="I488" s="42">
        <v>172.05</v>
      </c>
      <c r="N488" s="5">
        <f t="shared" si="390"/>
        <v>6</v>
      </c>
      <c r="O488" s="4">
        <f t="shared" si="391"/>
        <v>172.05</v>
      </c>
      <c r="P488" s="5">
        <f t="shared" si="346"/>
        <v>6</v>
      </c>
      <c r="Q488" s="42">
        <v>170.6</v>
      </c>
      <c r="R488" s="2">
        <f t="shared" ref="R488:R551" si="394">J488</f>
        <v>0</v>
      </c>
      <c r="T488" s="2">
        <f t="shared" si="374"/>
        <v>0</v>
      </c>
      <c r="V488" s="5">
        <f t="shared" si="392"/>
        <v>6</v>
      </c>
      <c r="W488" s="4">
        <f t="shared" si="393"/>
        <v>170.6</v>
      </c>
      <c r="X488" s="14">
        <f t="shared" si="347"/>
        <v>-1.4500000000000171</v>
      </c>
      <c r="Y488" s="5">
        <f t="shared" si="348"/>
        <v>-8.7000000000001023</v>
      </c>
      <c r="Z488" s="2">
        <f t="shared" si="349"/>
        <v>0</v>
      </c>
      <c r="AA488" s="4">
        <f t="shared" si="350"/>
        <v>0</v>
      </c>
      <c r="AB488" s="13">
        <f t="shared" si="351"/>
        <v>0.69663356249999997</v>
      </c>
      <c r="AC488" s="10">
        <f>SUM($E$4:E488)</f>
        <v>-17073.287317336712</v>
      </c>
      <c r="AD488" s="20">
        <f>SUM($AB$4:AB488)</f>
        <v>12738.108017336654</v>
      </c>
      <c r="AF488" s="28">
        <f t="shared" si="352"/>
        <v>0.20559000000000002</v>
      </c>
      <c r="AG488" s="2">
        <f t="shared" si="353"/>
        <v>0.25590000000000002</v>
      </c>
      <c r="AH488" s="2">
        <f t="shared" si="354"/>
        <v>6.6816749999999994E-2</v>
      </c>
      <c r="AI488" s="2">
        <f t="shared" si="375"/>
        <v>0.27240675000000003</v>
      </c>
      <c r="AJ488" s="2">
        <f t="shared" si="376"/>
        <v>4.0861012500000002E-2</v>
      </c>
      <c r="AK488" s="2">
        <f t="shared" si="355"/>
        <v>4.1118000000000005E-3</v>
      </c>
      <c r="AL488" s="2">
        <f t="shared" si="356"/>
        <v>0.12335400000000001</v>
      </c>
      <c r="AM488" s="2">
        <f t="shared" si="377"/>
        <v>0.69663356249999997</v>
      </c>
      <c r="AN488" s="2">
        <f t="shared" si="357"/>
        <v>40</v>
      </c>
      <c r="AO488" s="2">
        <f t="shared" si="358"/>
        <v>0.51180000000000003</v>
      </c>
      <c r="AP488" s="2">
        <f t="shared" si="359"/>
        <v>1.0896269999999999</v>
      </c>
      <c r="AQ488" s="2">
        <f t="shared" si="378"/>
        <v>41.089627</v>
      </c>
      <c r="AR488" s="2">
        <f t="shared" si="379"/>
        <v>6.1634440499999998</v>
      </c>
      <c r="AS488" s="2">
        <f t="shared" si="360"/>
        <v>4.1118000000000005E-3</v>
      </c>
      <c r="AT488" s="2">
        <f t="shared" si="361"/>
        <v>0.12335400000000001</v>
      </c>
      <c r="AU488" s="2">
        <f t="shared" si="380"/>
        <v>47.89233685</v>
      </c>
      <c r="AV488" s="2">
        <f t="shared" si="362"/>
        <v>0.20559000000000002</v>
      </c>
      <c r="AW488" s="2">
        <f t="shared" si="363"/>
        <v>0.10236000000000001</v>
      </c>
      <c r="AX488" s="2">
        <f t="shared" si="364"/>
        <v>4.3173900000000001E-2</v>
      </c>
      <c r="AY488" s="2">
        <f t="shared" si="381"/>
        <v>0.24876390000000004</v>
      </c>
      <c r="AZ488" s="2">
        <f t="shared" si="382"/>
        <v>3.7314585000000004E-2</v>
      </c>
      <c r="BA488" s="2">
        <f t="shared" si="365"/>
        <v>4.1118000000000005E-3</v>
      </c>
      <c r="BB488" s="2">
        <f t="shared" si="366"/>
        <v>0.12335400000000001</v>
      </c>
      <c r="BC488" s="2">
        <f t="shared" si="383"/>
        <v>0.51590428500000007</v>
      </c>
      <c r="BD488" s="2">
        <v>0</v>
      </c>
      <c r="BE488" s="2">
        <f t="shared" si="367"/>
        <v>2.0559000000000003</v>
      </c>
      <c r="BF488" s="2">
        <f t="shared" si="368"/>
        <v>6.6816749999999994E-2</v>
      </c>
      <c r="BG488" s="2">
        <f t="shared" si="384"/>
        <v>6.6816749999999994E-2</v>
      </c>
      <c r="BH488" s="2">
        <f t="shared" si="385"/>
        <v>1.0022512499999999E-2</v>
      </c>
      <c r="BI488" s="2">
        <f t="shared" si="369"/>
        <v>4.1118000000000005E-3</v>
      </c>
      <c r="BJ488" s="2">
        <f t="shared" si="370"/>
        <v>0.12335400000000001</v>
      </c>
      <c r="BK488" s="2">
        <f t="shared" si="386"/>
        <v>2.2602050625000003</v>
      </c>
      <c r="BL488" s="2">
        <f t="shared" si="371"/>
        <v>1032.3000000000002</v>
      </c>
      <c r="BM488" s="2">
        <f t="shared" si="372"/>
        <v>1023.5999999999999</v>
      </c>
      <c r="BN488" s="2">
        <f t="shared" si="387"/>
        <v>2055.9</v>
      </c>
    </row>
    <row r="489" spans="1:66" x14ac:dyDescent="0.25">
      <c r="A489" s="42">
        <v>486</v>
      </c>
      <c r="B489" s="43">
        <v>42915</v>
      </c>
      <c r="C489" s="42" t="s">
        <v>50</v>
      </c>
      <c r="D489" s="42" t="s">
        <v>281</v>
      </c>
      <c r="E489" s="6">
        <f t="shared" si="373"/>
        <v>-10.873232812499932</v>
      </c>
      <c r="F489" s="5" t="str">
        <f t="shared" si="388"/>
        <v>Loss</v>
      </c>
      <c r="G489" s="4">
        <f t="shared" si="389"/>
        <v>-10.199999999999932</v>
      </c>
      <c r="H489" s="46">
        <v>3</v>
      </c>
      <c r="I489" s="42">
        <v>332.95</v>
      </c>
      <c r="N489" s="5">
        <f t="shared" si="390"/>
        <v>3</v>
      </c>
      <c r="O489" s="4">
        <f t="shared" si="391"/>
        <v>332.95</v>
      </c>
      <c r="P489" s="5">
        <f t="shared" si="346"/>
        <v>3</v>
      </c>
      <c r="Q489" s="42">
        <v>329.55</v>
      </c>
      <c r="R489" s="2">
        <f t="shared" si="394"/>
        <v>0</v>
      </c>
      <c r="T489" s="2">
        <f t="shared" si="374"/>
        <v>0</v>
      </c>
      <c r="V489" s="5">
        <f t="shared" si="392"/>
        <v>3</v>
      </c>
      <c r="W489" s="4">
        <f t="shared" si="393"/>
        <v>329.55</v>
      </c>
      <c r="X489" s="14">
        <f t="shared" si="347"/>
        <v>-3.3999999999999773</v>
      </c>
      <c r="Y489" s="5">
        <f t="shared" si="348"/>
        <v>-10.199999999999932</v>
      </c>
      <c r="Z489" s="2">
        <f t="shared" si="349"/>
        <v>0</v>
      </c>
      <c r="AA489" s="4">
        <f t="shared" si="350"/>
        <v>0</v>
      </c>
      <c r="AB489" s="13">
        <f t="shared" si="351"/>
        <v>0.6732328125</v>
      </c>
      <c r="AC489" s="10">
        <f>SUM($E$4:E489)</f>
        <v>-17084.160550149212</v>
      </c>
      <c r="AD489" s="20">
        <f>SUM($AB$4:AB489)</f>
        <v>12738.781250149153</v>
      </c>
      <c r="AF489" s="28">
        <f t="shared" si="352"/>
        <v>0.19875000000000001</v>
      </c>
      <c r="AG489" s="2">
        <f t="shared" si="353"/>
        <v>0.24716250000000001</v>
      </c>
      <c r="AH489" s="2">
        <f t="shared" si="354"/>
        <v>6.4593749999999991E-2</v>
      </c>
      <c r="AI489" s="2">
        <f t="shared" si="375"/>
        <v>0.26334374999999999</v>
      </c>
      <c r="AJ489" s="2">
        <f t="shared" si="376"/>
        <v>3.9501562499999997E-2</v>
      </c>
      <c r="AK489" s="2">
        <f t="shared" si="355"/>
        <v>3.9750000000000002E-3</v>
      </c>
      <c r="AL489" s="2">
        <f t="shared" si="356"/>
        <v>0.11925000000000001</v>
      </c>
      <c r="AM489" s="2">
        <f t="shared" si="377"/>
        <v>0.6732328125</v>
      </c>
      <c r="AN489" s="2">
        <f t="shared" si="357"/>
        <v>40</v>
      </c>
      <c r="AO489" s="2">
        <f t="shared" si="358"/>
        <v>0.49432500000000001</v>
      </c>
      <c r="AP489" s="2">
        <f t="shared" si="359"/>
        <v>1.053375</v>
      </c>
      <c r="AQ489" s="2">
        <f t="shared" si="378"/>
        <v>41.053375000000003</v>
      </c>
      <c r="AR489" s="2">
        <f t="shared" si="379"/>
        <v>6.1580062500000006</v>
      </c>
      <c r="AS489" s="2">
        <f t="shared" si="360"/>
        <v>3.9750000000000002E-3</v>
      </c>
      <c r="AT489" s="2">
        <f t="shared" si="361"/>
        <v>0.11925000000000001</v>
      </c>
      <c r="AU489" s="2">
        <f t="shared" si="380"/>
        <v>47.828931250000004</v>
      </c>
      <c r="AV489" s="2">
        <f t="shared" si="362"/>
        <v>0.19875000000000001</v>
      </c>
      <c r="AW489" s="2">
        <f t="shared" si="363"/>
        <v>9.8865000000000008E-2</v>
      </c>
      <c r="AX489" s="2">
        <f t="shared" si="364"/>
        <v>4.1737499999999997E-2</v>
      </c>
      <c r="AY489" s="2">
        <f t="shared" si="381"/>
        <v>0.24048750000000002</v>
      </c>
      <c r="AZ489" s="2">
        <f t="shared" si="382"/>
        <v>3.6073125000000004E-2</v>
      </c>
      <c r="BA489" s="2">
        <f t="shared" si="365"/>
        <v>3.9750000000000002E-3</v>
      </c>
      <c r="BB489" s="2">
        <f t="shared" si="366"/>
        <v>0.11925000000000001</v>
      </c>
      <c r="BC489" s="2">
        <f t="shared" si="383"/>
        <v>0.49865062500000001</v>
      </c>
      <c r="BD489" s="2">
        <v>0</v>
      </c>
      <c r="BE489" s="2">
        <f t="shared" si="367"/>
        <v>1.9875</v>
      </c>
      <c r="BF489" s="2">
        <f t="shared" si="368"/>
        <v>6.4593749999999991E-2</v>
      </c>
      <c r="BG489" s="2">
        <f t="shared" si="384"/>
        <v>6.4593749999999991E-2</v>
      </c>
      <c r="BH489" s="2">
        <f t="shared" si="385"/>
        <v>9.689062499999998E-3</v>
      </c>
      <c r="BI489" s="2">
        <f t="shared" si="369"/>
        <v>3.9750000000000002E-3</v>
      </c>
      <c r="BJ489" s="2">
        <f t="shared" si="370"/>
        <v>0.11925000000000001</v>
      </c>
      <c r="BK489" s="2">
        <f t="shared" si="386"/>
        <v>2.1850078125000003</v>
      </c>
      <c r="BL489" s="2">
        <f t="shared" si="371"/>
        <v>998.84999999999991</v>
      </c>
      <c r="BM489" s="2">
        <f t="shared" si="372"/>
        <v>988.65000000000009</v>
      </c>
      <c r="BN489" s="2">
        <f t="shared" si="387"/>
        <v>1987.5</v>
      </c>
    </row>
    <row r="490" spans="1:66" x14ac:dyDescent="0.25">
      <c r="A490" s="42">
        <v>487</v>
      </c>
      <c r="B490" s="43">
        <v>42915</v>
      </c>
      <c r="C490" s="42" t="s">
        <v>50</v>
      </c>
      <c r="D490" s="42" t="s">
        <v>282</v>
      </c>
      <c r="E490" s="6">
        <f t="shared" si="373"/>
        <v>28.270342437499977</v>
      </c>
      <c r="F490" s="5" t="str">
        <f t="shared" si="388"/>
        <v>Win</v>
      </c>
      <c r="G490" s="4">
        <f t="shared" si="389"/>
        <v>28.899999999999977</v>
      </c>
      <c r="H490" s="46">
        <v>2</v>
      </c>
      <c r="I490" s="42">
        <v>453.95</v>
      </c>
      <c r="N490" s="5">
        <f t="shared" si="390"/>
        <v>2</v>
      </c>
      <c r="O490" s="4">
        <f t="shared" si="391"/>
        <v>453.95</v>
      </c>
      <c r="P490" s="5">
        <f t="shared" si="346"/>
        <v>2</v>
      </c>
      <c r="Q490" s="42">
        <v>468.4</v>
      </c>
      <c r="R490" s="2">
        <f t="shared" si="394"/>
        <v>0</v>
      </c>
      <c r="T490" s="2">
        <f t="shared" si="374"/>
        <v>0</v>
      </c>
      <c r="V490" s="5">
        <f t="shared" si="392"/>
        <v>2</v>
      </c>
      <c r="W490" s="4">
        <f t="shared" si="393"/>
        <v>468.4</v>
      </c>
      <c r="X490" s="14">
        <f t="shared" si="347"/>
        <v>14.449999999999989</v>
      </c>
      <c r="Y490" s="5">
        <f t="shared" si="348"/>
        <v>28.899999999999977</v>
      </c>
      <c r="Z490" s="2">
        <f t="shared" si="349"/>
        <v>0</v>
      </c>
      <c r="AA490" s="4">
        <f t="shared" si="350"/>
        <v>0</v>
      </c>
      <c r="AB490" s="13">
        <f t="shared" si="351"/>
        <v>0.62965756249999993</v>
      </c>
      <c r="AC490" s="10">
        <f>SUM($E$4:E490)</f>
        <v>-17055.890207711713</v>
      </c>
      <c r="AD490" s="20">
        <f>SUM($AB$4:AB490)</f>
        <v>12739.410907711654</v>
      </c>
      <c r="AF490" s="28">
        <f t="shared" si="352"/>
        <v>0.18447</v>
      </c>
      <c r="AG490" s="2">
        <f t="shared" si="353"/>
        <v>0.23419999999999999</v>
      </c>
      <c r="AH490" s="2">
        <f t="shared" si="354"/>
        <v>5.9952749999999992E-2</v>
      </c>
      <c r="AI490" s="2">
        <f t="shared" si="375"/>
        <v>0.24442274999999999</v>
      </c>
      <c r="AJ490" s="2">
        <f t="shared" si="376"/>
        <v>3.6663412499999999E-2</v>
      </c>
      <c r="AK490" s="2">
        <f t="shared" si="355"/>
        <v>3.6893999999999994E-3</v>
      </c>
      <c r="AL490" s="2">
        <f t="shared" si="356"/>
        <v>0.11068199999999999</v>
      </c>
      <c r="AM490" s="2">
        <f t="shared" si="377"/>
        <v>0.62965756249999993</v>
      </c>
      <c r="AN490" s="2">
        <f t="shared" si="357"/>
        <v>40</v>
      </c>
      <c r="AO490" s="2">
        <f t="shared" si="358"/>
        <v>0.46839999999999998</v>
      </c>
      <c r="AP490" s="2">
        <f t="shared" si="359"/>
        <v>0.97769099999999987</v>
      </c>
      <c r="AQ490" s="2">
        <f t="shared" si="378"/>
        <v>40.977691</v>
      </c>
      <c r="AR490" s="2">
        <f t="shared" si="379"/>
        <v>6.1466536500000002</v>
      </c>
      <c r="AS490" s="2">
        <f t="shared" si="360"/>
        <v>3.6893999999999994E-3</v>
      </c>
      <c r="AT490" s="2">
        <f t="shared" si="361"/>
        <v>0.11068199999999999</v>
      </c>
      <c r="AU490" s="2">
        <f t="shared" si="380"/>
        <v>47.707116049999996</v>
      </c>
      <c r="AV490" s="2">
        <f t="shared" si="362"/>
        <v>0.18447</v>
      </c>
      <c r="AW490" s="2">
        <f t="shared" si="363"/>
        <v>9.3679999999999999E-2</v>
      </c>
      <c r="AX490" s="2">
        <f t="shared" si="364"/>
        <v>3.8738699999999994E-2</v>
      </c>
      <c r="AY490" s="2">
        <f t="shared" si="381"/>
        <v>0.22320869999999998</v>
      </c>
      <c r="AZ490" s="2">
        <f t="shared" si="382"/>
        <v>3.3481304999999996E-2</v>
      </c>
      <c r="BA490" s="2">
        <f t="shared" si="365"/>
        <v>3.6893999999999994E-3</v>
      </c>
      <c r="BB490" s="2">
        <f t="shared" si="366"/>
        <v>0.11068199999999999</v>
      </c>
      <c r="BC490" s="2">
        <f t="shared" si="383"/>
        <v>0.46474140500000005</v>
      </c>
      <c r="BD490" s="2">
        <v>0</v>
      </c>
      <c r="BE490" s="2">
        <f t="shared" si="367"/>
        <v>1.8446999999999998</v>
      </c>
      <c r="BF490" s="2">
        <f t="shared" si="368"/>
        <v>5.9952749999999992E-2</v>
      </c>
      <c r="BG490" s="2">
        <f t="shared" si="384"/>
        <v>5.9952749999999992E-2</v>
      </c>
      <c r="BH490" s="2">
        <f t="shared" si="385"/>
        <v>8.9929124999999985E-3</v>
      </c>
      <c r="BI490" s="2">
        <f t="shared" si="369"/>
        <v>3.6893999999999994E-3</v>
      </c>
      <c r="BJ490" s="2">
        <f t="shared" si="370"/>
        <v>0.11068199999999999</v>
      </c>
      <c r="BK490" s="2">
        <f t="shared" si="386"/>
        <v>2.0280170624999996</v>
      </c>
      <c r="BL490" s="2">
        <f t="shared" si="371"/>
        <v>907.9</v>
      </c>
      <c r="BM490" s="2">
        <f t="shared" si="372"/>
        <v>936.8</v>
      </c>
      <c r="BN490" s="2">
        <f t="shared" si="387"/>
        <v>1844.6999999999998</v>
      </c>
    </row>
    <row r="491" spans="1:66" x14ac:dyDescent="0.25">
      <c r="A491" s="42">
        <v>488</v>
      </c>
      <c r="B491" s="43">
        <v>42916</v>
      </c>
      <c r="C491" s="42" t="s">
        <v>50</v>
      </c>
      <c r="D491" s="42" t="s">
        <v>283</v>
      </c>
      <c r="E491" s="6">
        <f t="shared" si="373"/>
        <v>-6.1666671250000231</v>
      </c>
      <c r="F491" s="5" t="str">
        <f t="shared" si="388"/>
        <v>Loss</v>
      </c>
      <c r="G491" s="4">
        <f t="shared" si="389"/>
        <v>-5.6000000000000227</v>
      </c>
      <c r="H491" s="46">
        <v>1</v>
      </c>
      <c r="I491" s="42">
        <v>838.7</v>
      </c>
      <c r="N491" s="5">
        <f t="shared" si="390"/>
        <v>1</v>
      </c>
      <c r="O491" s="4">
        <f t="shared" si="391"/>
        <v>838.7</v>
      </c>
      <c r="P491" s="5">
        <f t="shared" si="346"/>
        <v>1</v>
      </c>
      <c r="Q491" s="42">
        <v>833.1</v>
      </c>
      <c r="R491" s="2">
        <f t="shared" si="394"/>
        <v>0</v>
      </c>
      <c r="T491" s="2">
        <f t="shared" si="374"/>
        <v>0</v>
      </c>
      <c r="V491" s="5">
        <f t="shared" si="392"/>
        <v>1</v>
      </c>
      <c r="W491" s="4">
        <f t="shared" si="393"/>
        <v>833.1</v>
      </c>
      <c r="X491" s="14">
        <f t="shared" si="347"/>
        <v>-5.6000000000000227</v>
      </c>
      <c r="Y491" s="5">
        <f t="shared" si="348"/>
        <v>-5.6000000000000227</v>
      </c>
      <c r="Z491" s="2">
        <f t="shared" si="349"/>
        <v>0</v>
      </c>
      <c r="AA491" s="4">
        <f t="shared" si="350"/>
        <v>0</v>
      </c>
      <c r="AB491" s="13">
        <f t="shared" si="351"/>
        <v>0.56666712500000005</v>
      </c>
      <c r="AC491" s="10">
        <f>SUM($E$4:E491)</f>
        <v>-17062.056874836711</v>
      </c>
      <c r="AD491" s="20">
        <f>SUM($AB$4:AB491)</f>
        <v>12739.977574836654</v>
      </c>
      <c r="AF491" s="28">
        <f t="shared" si="352"/>
        <v>0.16718000000000002</v>
      </c>
      <c r="AG491" s="2">
        <f t="shared" si="353"/>
        <v>0.20827500000000002</v>
      </c>
      <c r="AH491" s="2">
        <f t="shared" si="354"/>
        <v>5.43335E-2</v>
      </c>
      <c r="AI491" s="2">
        <f t="shared" si="375"/>
        <v>0.22151350000000003</v>
      </c>
      <c r="AJ491" s="2">
        <f t="shared" si="376"/>
        <v>3.3227025E-2</v>
      </c>
      <c r="AK491" s="2">
        <f t="shared" si="355"/>
        <v>3.3436000000000004E-3</v>
      </c>
      <c r="AL491" s="2">
        <f t="shared" si="356"/>
        <v>0.10030800000000001</v>
      </c>
      <c r="AM491" s="2">
        <f t="shared" si="377"/>
        <v>0.56666712500000005</v>
      </c>
      <c r="AN491" s="2">
        <f t="shared" si="357"/>
        <v>40</v>
      </c>
      <c r="AO491" s="2">
        <f t="shared" si="358"/>
        <v>0.41655000000000003</v>
      </c>
      <c r="AP491" s="2">
        <f t="shared" si="359"/>
        <v>0.88605400000000012</v>
      </c>
      <c r="AQ491" s="2">
        <f t="shared" si="378"/>
        <v>40.886054000000001</v>
      </c>
      <c r="AR491" s="2">
        <f t="shared" si="379"/>
        <v>6.1329080999999999</v>
      </c>
      <c r="AS491" s="2">
        <f t="shared" si="360"/>
        <v>3.3436000000000004E-3</v>
      </c>
      <c r="AT491" s="2">
        <f t="shared" si="361"/>
        <v>0.10030800000000001</v>
      </c>
      <c r="AU491" s="2">
        <f t="shared" si="380"/>
        <v>47.539163700000003</v>
      </c>
      <c r="AV491" s="2">
        <f t="shared" si="362"/>
        <v>0.16718000000000002</v>
      </c>
      <c r="AW491" s="2">
        <f t="shared" si="363"/>
        <v>8.3310000000000009E-2</v>
      </c>
      <c r="AX491" s="2">
        <f t="shared" si="364"/>
        <v>3.5107800000000002E-2</v>
      </c>
      <c r="AY491" s="2">
        <f t="shared" si="381"/>
        <v>0.20228780000000002</v>
      </c>
      <c r="AZ491" s="2">
        <f t="shared" si="382"/>
        <v>3.0343170000000003E-2</v>
      </c>
      <c r="BA491" s="2">
        <f t="shared" si="365"/>
        <v>3.3436000000000004E-3</v>
      </c>
      <c r="BB491" s="2">
        <f t="shared" si="366"/>
        <v>0.10030800000000001</v>
      </c>
      <c r="BC491" s="2">
        <f t="shared" si="383"/>
        <v>0.41959257000000011</v>
      </c>
      <c r="BD491" s="2">
        <v>0</v>
      </c>
      <c r="BE491" s="2">
        <f t="shared" si="367"/>
        <v>1.6718000000000002</v>
      </c>
      <c r="BF491" s="2">
        <f t="shared" si="368"/>
        <v>5.43335E-2</v>
      </c>
      <c r="BG491" s="2">
        <f t="shared" si="384"/>
        <v>5.43335E-2</v>
      </c>
      <c r="BH491" s="2">
        <f t="shared" si="385"/>
        <v>8.150025E-3</v>
      </c>
      <c r="BI491" s="2">
        <f t="shared" si="369"/>
        <v>3.3436000000000004E-3</v>
      </c>
      <c r="BJ491" s="2">
        <f t="shared" si="370"/>
        <v>0.10030800000000001</v>
      </c>
      <c r="BK491" s="2">
        <f t="shared" si="386"/>
        <v>1.8379351250000002</v>
      </c>
      <c r="BL491" s="2">
        <f t="shared" si="371"/>
        <v>838.7</v>
      </c>
      <c r="BM491" s="2">
        <f t="shared" si="372"/>
        <v>833.1</v>
      </c>
      <c r="BN491" s="2">
        <f t="shared" si="387"/>
        <v>1671.8000000000002</v>
      </c>
    </row>
    <row r="492" spans="1:66" x14ac:dyDescent="0.25">
      <c r="A492" s="42">
        <v>489</v>
      </c>
      <c r="B492" s="43">
        <v>42916</v>
      </c>
      <c r="C492" s="42" t="s">
        <v>50</v>
      </c>
      <c r="D492" s="42" t="s">
        <v>284</v>
      </c>
      <c r="E492" s="6">
        <f t="shared" si="373"/>
        <v>116.42929068749989</v>
      </c>
      <c r="F492" s="5" t="str">
        <f t="shared" si="388"/>
        <v>Win</v>
      </c>
      <c r="G492" s="4">
        <f t="shared" si="389"/>
        <v>119.99999999999989</v>
      </c>
      <c r="H492" s="46">
        <v>1</v>
      </c>
      <c r="I492" s="42">
        <v>464.7</v>
      </c>
      <c r="J492" s="42">
        <v>10</v>
      </c>
      <c r="K492" s="42">
        <v>472.5</v>
      </c>
      <c r="N492" s="5">
        <f t="shared" si="390"/>
        <v>11</v>
      </c>
      <c r="O492" s="4">
        <f t="shared" si="391"/>
        <v>468.6</v>
      </c>
      <c r="P492" s="5">
        <f t="shared" si="346"/>
        <v>1</v>
      </c>
      <c r="Q492" s="42">
        <v>482.7</v>
      </c>
      <c r="R492" s="2">
        <f t="shared" si="394"/>
        <v>10</v>
      </c>
      <c r="S492" s="42">
        <v>482.7</v>
      </c>
      <c r="T492" s="2">
        <f t="shared" si="374"/>
        <v>0</v>
      </c>
      <c r="V492" s="5">
        <f t="shared" si="392"/>
        <v>11</v>
      </c>
      <c r="W492" s="4">
        <f t="shared" si="393"/>
        <v>482.7</v>
      </c>
      <c r="X492" s="14">
        <f t="shared" si="347"/>
        <v>18</v>
      </c>
      <c r="Y492" s="5">
        <f t="shared" si="348"/>
        <v>18</v>
      </c>
      <c r="Z492" s="2">
        <f t="shared" si="349"/>
        <v>101.99999999999989</v>
      </c>
      <c r="AA492" s="4">
        <f t="shared" si="350"/>
        <v>0</v>
      </c>
      <c r="AB492" s="13">
        <f t="shared" si="351"/>
        <v>3.5707093124999991</v>
      </c>
      <c r="AC492" s="10">
        <f>SUM($E$4:E492)</f>
        <v>-16945.62758414921</v>
      </c>
      <c r="AD492" s="20">
        <f>SUM($AB$4:AB492)</f>
        <v>12743.548284149154</v>
      </c>
      <c r="AF492" s="28">
        <f t="shared" si="352"/>
        <v>1.04643</v>
      </c>
      <c r="AG492" s="2">
        <f t="shared" si="353"/>
        <v>1.3274249999999999</v>
      </c>
      <c r="AH492" s="2">
        <f t="shared" si="354"/>
        <v>0.34008974999999997</v>
      </c>
      <c r="AI492" s="2">
        <f t="shared" si="375"/>
        <v>1.3865197499999999</v>
      </c>
      <c r="AJ492" s="2">
        <f t="shared" si="376"/>
        <v>0.20797796249999997</v>
      </c>
      <c r="AK492" s="2">
        <f t="shared" si="355"/>
        <v>2.0928599999999999E-2</v>
      </c>
      <c r="AL492" s="2">
        <f t="shared" si="356"/>
        <v>0.62785800000000003</v>
      </c>
      <c r="AM492" s="2">
        <f t="shared" si="377"/>
        <v>3.5707093124999991</v>
      </c>
      <c r="AN492" s="2">
        <f t="shared" si="357"/>
        <v>80</v>
      </c>
      <c r="AO492" s="2">
        <f t="shared" si="358"/>
        <v>2.6548499999999997</v>
      </c>
      <c r="AP492" s="2">
        <f t="shared" si="359"/>
        <v>5.5460789999999998</v>
      </c>
      <c r="AQ492" s="2">
        <f t="shared" si="378"/>
        <v>85.546079000000006</v>
      </c>
      <c r="AR492" s="2">
        <f t="shared" si="379"/>
        <v>12.831911850000001</v>
      </c>
      <c r="AS492" s="2">
        <f t="shared" si="360"/>
        <v>2.0928599999999999E-2</v>
      </c>
      <c r="AT492" s="2">
        <f t="shared" si="361"/>
        <v>0.62785800000000003</v>
      </c>
      <c r="AU492" s="2">
        <f t="shared" si="380"/>
        <v>101.68162745000001</v>
      </c>
      <c r="AV492" s="2">
        <f t="shared" si="362"/>
        <v>1.04643</v>
      </c>
      <c r="AW492" s="2">
        <f t="shared" si="363"/>
        <v>0.53097000000000005</v>
      </c>
      <c r="AX492" s="2">
        <f t="shared" si="364"/>
        <v>0.21975029999999998</v>
      </c>
      <c r="AY492" s="2">
        <f t="shared" si="381"/>
        <v>1.2661803</v>
      </c>
      <c r="AZ492" s="2">
        <f t="shared" si="382"/>
        <v>0.18992704499999999</v>
      </c>
      <c r="BA492" s="2">
        <f t="shared" si="365"/>
        <v>2.0928599999999999E-2</v>
      </c>
      <c r="BB492" s="2">
        <f t="shared" si="366"/>
        <v>0.62785800000000003</v>
      </c>
      <c r="BC492" s="2">
        <f t="shared" si="383"/>
        <v>2.6358639449999997</v>
      </c>
      <c r="BD492" s="2">
        <v>0</v>
      </c>
      <c r="BE492" s="2">
        <f t="shared" si="367"/>
        <v>10.4643</v>
      </c>
      <c r="BF492" s="2">
        <f t="shared" si="368"/>
        <v>0.34008974999999997</v>
      </c>
      <c r="BG492" s="2">
        <f t="shared" si="384"/>
        <v>0.34008974999999997</v>
      </c>
      <c r="BH492" s="2">
        <f t="shared" si="385"/>
        <v>5.1013462499999995E-2</v>
      </c>
      <c r="BI492" s="2">
        <f t="shared" si="369"/>
        <v>2.0928599999999999E-2</v>
      </c>
      <c r="BJ492" s="2">
        <f t="shared" si="370"/>
        <v>0.62785800000000003</v>
      </c>
      <c r="BK492" s="2">
        <f t="shared" si="386"/>
        <v>11.5041898125</v>
      </c>
      <c r="BL492" s="2">
        <f t="shared" si="371"/>
        <v>5154.6000000000004</v>
      </c>
      <c r="BM492" s="2">
        <f t="shared" si="372"/>
        <v>5309.7</v>
      </c>
      <c r="BN492" s="2">
        <f t="shared" si="387"/>
        <v>10464.299999999999</v>
      </c>
    </row>
    <row r="493" spans="1:66" x14ac:dyDescent="0.25">
      <c r="A493" s="42">
        <v>490</v>
      </c>
      <c r="B493" s="43">
        <v>42919</v>
      </c>
      <c r="C493" s="42" t="s">
        <v>50</v>
      </c>
      <c r="D493" s="42" t="s">
        <v>285</v>
      </c>
      <c r="E493" s="6">
        <f t="shared" si="373"/>
        <v>-3.6093961849999987</v>
      </c>
      <c r="F493" s="5" t="str">
        <f t="shared" si="388"/>
        <v>Loss</v>
      </c>
      <c r="G493" s="4">
        <f t="shared" si="389"/>
        <v>-3.3999999999999986</v>
      </c>
      <c r="H493" s="46">
        <v>5</v>
      </c>
      <c r="I493" s="42">
        <v>61.45</v>
      </c>
      <c r="N493" s="5">
        <f t="shared" si="390"/>
        <v>5</v>
      </c>
      <c r="O493" s="4">
        <f t="shared" si="391"/>
        <v>61.45</v>
      </c>
      <c r="P493" s="5">
        <f t="shared" si="346"/>
        <v>5</v>
      </c>
      <c r="Q493" s="42">
        <v>60.77</v>
      </c>
      <c r="R493" s="2">
        <f t="shared" si="394"/>
        <v>0</v>
      </c>
      <c r="T493" s="2">
        <f t="shared" si="374"/>
        <v>0</v>
      </c>
      <c r="V493" s="5">
        <f t="shared" si="392"/>
        <v>5</v>
      </c>
      <c r="W493" s="4">
        <f t="shared" si="393"/>
        <v>60.77</v>
      </c>
      <c r="X493" s="14">
        <f t="shared" si="347"/>
        <v>-0.67999999999999972</v>
      </c>
      <c r="Y493" s="5">
        <f t="shared" si="348"/>
        <v>-3.3999999999999986</v>
      </c>
      <c r="Z493" s="2">
        <f t="shared" si="349"/>
        <v>0</v>
      </c>
      <c r="AA493" s="4">
        <f t="shared" si="350"/>
        <v>0</v>
      </c>
      <c r="AB493" s="13">
        <f t="shared" si="351"/>
        <v>0.20939618500000004</v>
      </c>
      <c r="AC493" s="10">
        <f>SUM($E$4:E493)</f>
        <v>-16949.236980334208</v>
      </c>
      <c r="AD493" s="20">
        <f>SUM($AB$4:AB493)</f>
        <v>12743.757680334154</v>
      </c>
      <c r="AF493" s="28">
        <f t="shared" si="352"/>
        <v>6.1110000000000005E-2</v>
      </c>
      <c r="AG493" s="2">
        <f t="shared" si="353"/>
        <v>7.5962500000000002E-2</v>
      </c>
      <c r="AH493" s="2">
        <f t="shared" si="354"/>
        <v>1.986075E-2</v>
      </c>
      <c r="AI493" s="2">
        <f t="shared" si="375"/>
        <v>8.0970750000000008E-2</v>
      </c>
      <c r="AJ493" s="2">
        <f>0.18*AI493</f>
        <v>1.4574735E-2</v>
      </c>
      <c r="AK493" s="2">
        <f t="shared" si="355"/>
        <v>1.2222000000000001E-3</v>
      </c>
      <c r="AL493" s="2">
        <f t="shared" si="356"/>
        <v>3.6666000000000004E-2</v>
      </c>
      <c r="AM493" s="2">
        <f t="shared" si="377"/>
        <v>0.20939618500000004</v>
      </c>
      <c r="AN493" s="2">
        <f t="shared" si="357"/>
        <v>40</v>
      </c>
      <c r="AO493" s="2">
        <f t="shared" si="358"/>
        <v>0.151925</v>
      </c>
      <c r="AP493" s="2">
        <f t="shared" si="359"/>
        <v>0.32388299999999998</v>
      </c>
      <c r="AQ493" s="2">
        <f t="shared" si="378"/>
        <v>40.323883000000002</v>
      </c>
      <c r="AR493" s="2">
        <f>0.18*AQ493</f>
        <v>7.2582989400000004</v>
      </c>
      <c r="AS493" s="2">
        <f t="shared" si="360"/>
        <v>1.2222000000000001E-3</v>
      </c>
      <c r="AT493" s="2">
        <f t="shared" si="361"/>
        <v>3.6666000000000004E-2</v>
      </c>
      <c r="AU493" s="2">
        <f t="shared" si="380"/>
        <v>47.771995140000001</v>
      </c>
      <c r="AV493" s="2">
        <f t="shared" si="362"/>
        <v>6.1110000000000005E-2</v>
      </c>
      <c r="AW493" s="2">
        <f t="shared" si="363"/>
        <v>3.0385000000000002E-2</v>
      </c>
      <c r="AX493" s="2">
        <f t="shared" si="364"/>
        <v>1.28331E-2</v>
      </c>
      <c r="AY493" s="2">
        <f t="shared" si="381"/>
        <v>7.3943100000000012E-2</v>
      </c>
      <c r="AZ493" s="2">
        <f>0.18*AY493</f>
        <v>1.3309758000000001E-2</v>
      </c>
      <c r="BA493" s="2">
        <f t="shared" si="365"/>
        <v>1.2222000000000001E-3</v>
      </c>
      <c r="BB493" s="2">
        <f t="shared" si="366"/>
        <v>3.6666000000000004E-2</v>
      </c>
      <c r="BC493" s="2">
        <f t="shared" si="383"/>
        <v>0.15552605800000002</v>
      </c>
      <c r="BD493" s="2">
        <v>0</v>
      </c>
      <c r="BE493" s="2">
        <f t="shared" si="367"/>
        <v>0.61110000000000009</v>
      </c>
      <c r="BF493" s="2">
        <f t="shared" si="368"/>
        <v>1.986075E-2</v>
      </c>
      <c r="BG493" s="2">
        <f t="shared" si="384"/>
        <v>1.986075E-2</v>
      </c>
      <c r="BH493" s="2">
        <f>0.18*BG493</f>
        <v>3.574935E-3</v>
      </c>
      <c r="BI493" s="2">
        <f t="shared" si="369"/>
        <v>1.2222000000000001E-3</v>
      </c>
      <c r="BJ493" s="2">
        <f t="shared" si="370"/>
        <v>3.6666000000000004E-2</v>
      </c>
      <c r="BK493" s="2">
        <f t="shared" si="386"/>
        <v>0.67242388499999994</v>
      </c>
      <c r="BL493" s="2">
        <f t="shared" si="371"/>
        <v>307.25</v>
      </c>
      <c r="BM493" s="2">
        <f t="shared" si="372"/>
        <v>303.85000000000002</v>
      </c>
      <c r="BN493" s="2">
        <f t="shared" si="387"/>
        <v>611.1</v>
      </c>
    </row>
    <row r="494" spans="1:66" x14ac:dyDescent="0.25">
      <c r="A494" s="42">
        <v>491</v>
      </c>
      <c r="B494" s="43">
        <v>42919</v>
      </c>
      <c r="C494" s="42" t="s">
        <v>50</v>
      </c>
      <c r="D494" s="42" t="s">
        <v>286</v>
      </c>
      <c r="E494" s="6">
        <f t="shared" si="373"/>
        <v>52.099035765000224</v>
      </c>
      <c r="F494" s="5" t="str">
        <f t="shared" si="388"/>
        <v>Win</v>
      </c>
      <c r="G494" s="4">
        <f t="shared" si="389"/>
        <v>55.250000000000227</v>
      </c>
      <c r="H494" s="46">
        <v>1</v>
      </c>
      <c r="I494" s="42">
        <v>1131.3</v>
      </c>
      <c r="J494" s="42">
        <v>3</v>
      </c>
      <c r="K494" s="42">
        <v>1132.05</v>
      </c>
      <c r="N494" s="5">
        <f t="shared" si="390"/>
        <v>4</v>
      </c>
      <c r="O494" s="4">
        <f t="shared" si="391"/>
        <v>1131.675</v>
      </c>
      <c r="P494" s="5">
        <f t="shared" si="346"/>
        <v>1</v>
      </c>
      <c r="Q494" s="42">
        <v>1171.7</v>
      </c>
      <c r="R494" s="2">
        <f t="shared" si="394"/>
        <v>3</v>
      </c>
      <c r="S494" s="42">
        <v>1137</v>
      </c>
      <c r="T494" s="2">
        <f t="shared" si="374"/>
        <v>0</v>
      </c>
      <c r="V494" s="5">
        <f t="shared" si="392"/>
        <v>4</v>
      </c>
      <c r="W494" s="4">
        <f t="shared" si="393"/>
        <v>1154.3499999999999</v>
      </c>
      <c r="X494" s="14">
        <f t="shared" si="347"/>
        <v>40.400000000000091</v>
      </c>
      <c r="Y494" s="5">
        <f t="shared" si="348"/>
        <v>40.400000000000091</v>
      </c>
      <c r="Z494" s="2">
        <f t="shared" si="349"/>
        <v>14.850000000000136</v>
      </c>
      <c r="AA494" s="4">
        <f t="shared" si="350"/>
        <v>0</v>
      </c>
      <c r="AB494" s="13">
        <f t="shared" si="351"/>
        <v>3.150964235</v>
      </c>
      <c r="AC494" s="10">
        <f>SUM($E$4:E494)</f>
        <v>-16897.137944569207</v>
      </c>
      <c r="AD494" s="20">
        <f>SUM($AB$4:AB494)</f>
        <v>12746.908644569154</v>
      </c>
      <c r="AF494" s="28">
        <f t="shared" si="352"/>
        <v>0.91440999999999995</v>
      </c>
      <c r="AG494" s="2">
        <f t="shared" si="353"/>
        <v>1.15435</v>
      </c>
      <c r="AH494" s="2">
        <f t="shared" si="354"/>
        <v>0.29718324999999995</v>
      </c>
      <c r="AI494" s="2">
        <f t="shared" si="375"/>
        <v>1.21159325</v>
      </c>
      <c r="AJ494" s="2">
        <f t="shared" ref="AJ494:AJ557" si="395">0.18*AI494</f>
        <v>0.21808678499999998</v>
      </c>
      <c r="AK494" s="2">
        <f t="shared" si="355"/>
        <v>1.8288199999999998E-2</v>
      </c>
      <c r="AL494" s="2">
        <f t="shared" si="356"/>
        <v>0.54864599999999997</v>
      </c>
      <c r="AM494" s="2">
        <f t="shared" si="377"/>
        <v>3.150964235</v>
      </c>
      <c r="AN494" s="2">
        <f t="shared" si="357"/>
        <v>80</v>
      </c>
      <c r="AO494" s="2">
        <f t="shared" si="358"/>
        <v>2.3087</v>
      </c>
      <c r="AP494" s="2">
        <f t="shared" si="359"/>
        <v>4.8463729999999989</v>
      </c>
      <c r="AQ494" s="2">
        <f t="shared" si="378"/>
        <v>84.846373</v>
      </c>
      <c r="AR494" s="2">
        <f t="shared" ref="AR494:AR557" si="396">0.18*AQ494</f>
        <v>15.272347139999999</v>
      </c>
      <c r="AS494" s="2">
        <f t="shared" si="360"/>
        <v>1.8288199999999998E-2</v>
      </c>
      <c r="AT494" s="2">
        <f t="shared" si="361"/>
        <v>0.54864599999999997</v>
      </c>
      <c r="AU494" s="2">
        <f t="shared" si="380"/>
        <v>102.99435434</v>
      </c>
      <c r="AV494" s="2">
        <f t="shared" si="362"/>
        <v>0.91440999999999995</v>
      </c>
      <c r="AW494" s="2">
        <f t="shared" si="363"/>
        <v>0.46173999999999998</v>
      </c>
      <c r="AX494" s="2">
        <f t="shared" si="364"/>
        <v>0.19202609999999995</v>
      </c>
      <c r="AY494" s="2">
        <f t="shared" si="381"/>
        <v>1.1064360999999998</v>
      </c>
      <c r="AZ494" s="2">
        <f t="shared" ref="AZ494:AZ557" si="397">0.18*AY494</f>
        <v>0.19915849799999996</v>
      </c>
      <c r="BA494" s="2">
        <f t="shared" si="365"/>
        <v>1.8288199999999998E-2</v>
      </c>
      <c r="BB494" s="2">
        <f t="shared" si="366"/>
        <v>0.54864599999999997</v>
      </c>
      <c r="BC494" s="2">
        <f t="shared" si="383"/>
        <v>2.3342687979999996</v>
      </c>
      <c r="BD494" s="2">
        <v>0</v>
      </c>
      <c r="BE494" s="2">
        <f t="shared" si="367"/>
        <v>9.1440999999999981</v>
      </c>
      <c r="BF494" s="2">
        <f t="shared" si="368"/>
        <v>0.29718324999999995</v>
      </c>
      <c r="BG494" s="2">
        <f t="shared" si="384"/>
        <v>0.29718324999999995</v>
      </c>
      <c r="BH494" s="2">
        <f t="shared" ref="BH494:BH557" si="398">0.18*BG494</f>
        <v>5.3492984999999993E-2</v>
      </c>
      <c r="BI494" s="2">
        <f t="shared" si="369"/>
        <v>1.8288199999999998E-2</v>
      </c>
      <c r="BJ494" s="2">
        <f t="shared" si="370"/>
        <v>0.54864599999999997</v>
      </c>
      <c r="BK494" s="2">
        <f t="shared" si="386"/>
        <v>10.061710434999998</v>
      </c>
      <c r="BL494" s="2">
        <f t="shared" si="371"/>
        <v>4526.7</v>
      </c>
      <c r="BM494" s="2">
        <f t="shared" si="372"/>
        <v>4617.3999999999996</v>
      </c>
      <c r="BN494" s="2">
        <f t="shared" si="387"/>
        <v>9144.0999999999985</v>
      </c>
    </row>
    <row r="495" spans="1:66" x14ac:dyDescent="0.25">
      <c r="A495" s="42">
        <v>492</v>
      </c>
      <c r="B495" s="43">
        <v>42920</v>
      </c>
      <c r="C495" s="42" t="s">
        <v>50</v>
      </c>
      <c r="D495" s="42" t="s">
        <v>287</v>
      </c>
      <c r="E495" s="6">
        <f t="shared" si="373"/>
        <v>-5.9556166900000687</v>
      </c>
      <c r="F495" s="5" t="str">
        <f t="shared" si="388"/>
        <v>Loss</v>
      </c>
      <c r="G495" s="4">
        <f t="shared" si="389"/>
        <v>-5.3000000000000682</v>
      </c>
      <c r="H495" s="46">
        <v>1</v>
      </c>
      <c r="I495" s="42">
        <v>958.35</v>
      </c>
      <c r="N495" s="5">
        <f t="shared" si="390"/>
        <v>1</v>
      </c>
      <c r="O495" s="4">
        <f t="shared" si="391"/>
        <v>958.35</v>
      </c>
      <c r="P495" s="5">
        <f t="shared" si="346"/>
        <v>1</v>
      </c>
      <c r="Q495" s="42">
        <v>953.05</v>
      </c>
      <c r="R495" s="2">
        <f t="shared" si="394"/>
        <v>0</v>
      </c>
      <c r="T495" s="2">
        <f t="shared" si="374"/>
        <v>0</v>
      </c>
      <c r="V495" s="5">
        <f t="shared" si="392"/>
        <v>1</v>
      </c>
      <c r="W495" s="4">
        <f t="shared" si="393"/>
        <v>953.05</v>
      </c>
      <c r="X495" s="14">
        <f t="shared" si="347"/>
        <v>-5.3000000000000682</v>
      </c>
      <c r="Y495" s="5">
        <f t="shared" si="348"/>
        <v>-5.3000000000000682</v>
      </c>
      <c r="Z495" s="2">
        <f t="shared" si="349"/>
        <v>0</v>
      </c>
      <c r="AA495" s="4">
        <f t="shared" si="350"/>
        <v>0</v>
      </c>
      <c r="AB495" s="13">
        <f t="shared" si="351"/>
        <v>0.65561669000000011</v>
      </c>
      <c r="AC495" s="10">
        <f>SUM($E$4:E495)</f>
        <v>-16903.093561259207</v>
      </c>
      <c r="AD495" s="20">
        <f>SUM($AB$4:AB495)</f>
        <v>12747.564261259155</v>
      </c>
      <c r="AF495" s="28">
        <f t="shared" si="352"/>
        <v>0.19114000000000003</v>
      </c>
      <c r="AG495" s="2">
        <f t="shared" si="353"/>
        <v>0.23826249999999999</v>
      </c>
      <c r="AH495" s="2">
        <f t="shared" si="354"/>
        <v>6.2120499999999995E-2</v>
      </c>
      <c r="AI495" s="2">
        <f t="shared" si="375"/>
        <v>0.2532605</v>
      </c>
      <c r="AJ495" s="2">
        <f t="shared" si="395"/>
        <v>4.5586889999999998E-2</v>
      </c>
      <c r="AK495" s="2">
        <f t="shared" si="355"/>
        <v>3.8228000000000003E-3</v>
      </c>
      <c r="AL495" s="2">
        <f t="shared" si="356"/>
        <v>0.11468400000000001</v>
      </c>
      <c r="AM495" s="2">
        <f t="shared" si="377"/>
        <v>0.65561669000000011</v>
      </c>
      <c r="AN495" s="2">
        <f t="shared" si="357"/>
        <v>40</v>
      </c>
      <c r="AO495" s="2">
        <f t="shared" si="358"/>
        <v>0.47652499999999998</v>
      </c>
      <c r="AP495" s="2">
        <f t="shared" si="359"/>
        <v>1.013042</v>
      </c>
      <c r="AQ495" s="2">
        <f t="shared" si="378"/>
        <v>41.013041999999999</v>
      </c>
      <c r="AR495" s="2">
        <f t="shared" si="396"/>
        <v>7.3823475599999995</v>
      </c>
      <c r="AS495" s="2">
        <f t="shared" si="360"/>
        <v>3.8228000000000003E-3</v>
      </c>
      <c r="AT495" s="2">
        <f t="shared" si="361"/>
        <v>0.11468400000000001</v>
      </c>
      <c r="AU495" s="2">
        <f t="shared" si="380"/>
        <v>48.990421359999999</v>
      </c>
      <c r="AV495" s="2">
        <f t="shared" si="362"/>
        <v>0.19114000000000003</v>
      </c>
      <c r="AW495" s="2">
        <f t="shared" si="363"/>
        <v>9.5305000000000001E-2</v>
      </c>
      <c r="AX495" s="2">
        <f t="shared" si="364"/>
        <v>4.0139399999999999E-2</v>
      </c>
      <c r="AY495" s="2">
        <f t="shared" si="381"/>
        <v>0.23127940000000002</v>
      </c>
      <c r="AZ495" s="2">
        <f t="shared" si="397"/>
        <v>4.1630291999999999E-2</v>
      </c>
      <c r="BA495" s="2">
        <f t="shared" si="365"/>
        <v>3.8228000000000003E-3</v>
      </c>
      <c r="BB495" s="2">
        <f t="shared" si="366"/>
        <v>0.11468400000000001</v>
      </c>
      <c r="BC495" s="2">
        <f t="shared" si="383"/>
        <v>0.48672149200000009</v>
      </c>
      <c r="BD495" s="2">
        <v>0</v>
      </c>
      <c r="BE495" s="2">
        <f t="shared" si="367"/>
        <v>1.9114000000000002</v>
      </c>
      <c r="BF495" s="2">
        <f t="shared" si="368"/>
        <v>6.2120499999999995E-2</v>
      </c>
      <c r="BG495" s="2">
        <f t="shared" si="384"/>
        <v>6.2120499999999995E-2</v>
      </c>
      <c r="BH495" s="2">
        <f t="shared" si="398"/>
        <v>1.1181689999999999E-2</v>
      </c>
      <c r="BI495" s="2">
        <f t="shared" si="369"/>
        <v>3.8228000000000003E-3</v>
      </c>
      <c r="BJ495" s="2">
        <f t="shared" si="370"/>
        <v>0.11468400000000001</v>
      </c>
      <c r="BK495" s="2">
        <f t="shared" si="386"/>
        <v>2.1032089900000002</v>
      </c>
      <c r="BL495" s="2">
        <f t="shared" si="371"/>
        <v>958.35</v>
      </c>
      <c r="BM495" s="2">
        <f t="shared" si="372"/>
        <v>953.05</v>
      </c>
      <c r="BN495" s="2">
        <f t="shared" si="387"/>
        <v>1911.4</v>
      </c>
    </row>
    <row r="496" spans="1:66" x14ac:dyDescent="0.25">
      <c r="A496" s="42">
        <v>493</v>
      </c>
      <c r="B496" s="43">
        <v>42920</v>
      </c>
      <c r="C496" s="42" t="s">
        <v>50</v>
      </c>
      <c r="D496" s="42" t="s">
        <v>288</v>
      </c>
      <c r="E496" s="6">
        <f t="shared" si="373"/>
        <v>-2.6939014375000454</v>
      </c>
      <c r="F496" s="5" t="str">
        <f t="shared" si="388"/>
        <v>Loss</v>
      </c>
      <c r="G496" s="4">
        <f t="shared" si="389"/>
        <v>-2.4500000000000455</v>
      </c>
      <c r="H496" s="46">
        <v>1</v>
      </c>
      <c r="I496" s="42">
        <v>356.85</v>
      </c>
      <c r="N496" s="5">
        <f t="shared" si="390"/>
        <v>1</v>
      </c>
      <c r="O496" s="4">
        <f t="shared" si="391"/>
        <v>356.85</v>
      </c>
      <c r="P496" s="5">
        <f t="shared" si="346"/>
        <v>1</v>
      </c>
      <c r="Q496" s="42">
        <v>354.4</v>
      </c>
      <c r="R496" s="2">
        <f t="shared" si="394"/>
        <v>0</v>
      </c>
      <c r="T496" s="2">
        <f t="shared" si="374"/>
        <v>0</v>
      </c>
      <c r="V496" s="5">
        <f t="shared" si="392"/>
        <v>1</v>
      </c>
      <c r="W496" s="4">
        <f t="shared" si="393"/>
        <v>354.4</v>
      </c>
      <c r="X496" s="14">
        <f t="shared" si="347"/>
        <v>-2.4500000000000455</v>
      </c>
      <c r="Y496" s="5">
        <f t="shared" si="348"/>
        <v>-2.4500000000000455</v>
      </c>
      <c r="Z496" s="2">
        <f t="shared" si="349"/>
        <v>0</v>
      </c>
      <c r="AA496" s="4">
        <f t="shared" si="350"/>
        <v>0</v>
      </c>
      <c r="AB496" s="13">
        <f t="shared" si="351"/>
        <v>0.24390143749999998</v>
      </c>
      <c r="AC496" s="10">
        <f>SUM($E$4:E496)</f>
        <v>-16905.787462696706</v>
      </c>
      <c r="AD496" s="20">
        <f>SUM($AB$4:AB496)</f>
        <v>12747.808162696654</v>
      </c>
      <c r="AF496" s="28">
        <f t="shared" si="352"/>
        <v>7.1125000000000008E-2</v>
      </c>
      <c r="AG496" s="2">
        <f t="shared" si="353"/>
        <v>8.8599999999999998E-2</v>
      </c>
      <c r="AH496" s="2">
        <f t="shared" si="354"/>
        <v>2.3115624999999997E-2</v>
      </c>
      <c r="AI496" s="2">
        <f t="shared" si="375"/>
        <v>9.4240625000000008E-2</v>
      </c>
      <c r="AJ496" s="2">
        <f t="shared" si="395"/>
        <v>1.6963312500000001E-2</v>
      </c>
      <c r="AK496" s="2">
        <f t="shared" si="355"/>
        <v>1.4224999999999999E-3</v>
      </c>
      <c r="AL496" s="2">
        <f t="shared" si="356"/>
        <v>4.2674999999999998E-2</v>
      </c>
      <c r="AM496" s="2">
        <f t="shared" si="377"/>
        <v>0.24390143749999998</v>
      </c>
      <c r="AN496" s="2">
        <f t="shared" si="357"/>
        <v>40</v>
      </c>
      <c r="AO496" s="2">
        <f t="shared" si="358"/>
        <v>0.1772</v>
      </c>
      <c r="AP496" s="2">
        <f t="shared" si="359"/>
        <v>0.37696249999999998</v>
      </c>
      <c r="AQ496" s="2">
        <f t="shared" si="378"/>
        <v>40.376962499999998</v>
      </c>
      <c r="AR496" s="2">
        <f t="shared" si="396"/>
        <v>7.267853249999999</v>
      </c>
      <c r="AS496" s="2">
        <f t="shared" si="360"/>
        <v>1.4224999999999999E-3</v>
      </c>
      <c r="AT496" s="2">
        <f t="shared" si="361"/>
        <v>4.2674999999999998E-2</v>
      </c>
      <c r="AU496" s="2">
        <f t="shared" si="380"/>
        <v>47.866113249999998</v>
      </c>
      <c r="AV496" s="2">
        <f t="shared" si="362"/>
        <v>7.1125000000000008E-2</v>
      </c>
      <c r="AW496" s="2">
        <f t="shared" si="363"/>
        <v>3.5439999999999999E-2</v>
      </c>
      <c r="AX496" s="2">
        <f t="shared" si="364"/>
        <v>1.493625E-2</v>
      </c>
      <c r="AY496" s="2">
        <f t="shared" si="381"/>
        <v>8.6061250000000006E-2</v>
      </c>
      <c r="AZ496" s="2">
        <f t="shared" si="397"/>
        <v>1.5491025E-2</v>
      </c>
      <c r="BA496" s="2">
        <f t="shared" si="365"/>
        <v>1.4224999999999999E-3</v>
      </c>
      <c r="BB496" s="2">
        <f t="shared" si="366"/>
        <v>4.2674999999999998E-2</v>
      </c>
      <c r="BC496" s="2">
        <f t="shared" si="383"/>
        <v>0.18108977499999998</v>
      </c>
      <c r="BD496" s="2">
        <v>0</v>
      </c>
      <c r="BE496" s="2">
        <f t="shared" si="367"/>
        <v>0.71125000000000005</v>
      </c>
      <c r="BF496" s="2">
        <f t="shared" si="368"/>
        <v>2.3115624999999997E-2</v>
      </c>
      <c r="BG496" s="2">
        <f t="shared" si="384"/>
        <v>2.3115624999999997E-2</v>
      </c>
      <c r="BH496" s="2">
        <f t="shared" si="398"/>
        <v>4.1608124999999996E-3</v>
      </c>
      <c r="BI496" s="2">
        <f t="shared" si="369"/>
        <v>1.4224999999999999E-3</v>
      </c>
      <c r="BJ496" s="2">
        <f t="shared" si="370"/>
        <v>4.2674999999999998E-2</v>
      </c>
      <c r="BK496" s="2">
        <f t="shared" si="386"/>
        <v>0.78262393750000003</v>
      </c>
      <c r="BL496" s="2">
        <f t="shared" si="371"/>
        <v>356.85</v>
      </c>
      <c r="BM496" s="2">
        <f t="shared" si="372"/>
        <v>354.4</v>
      </c>
      <c r="BN496" s="2">
        <f t="shared" si="387"/>
        <v>711.25</v>
      </c>
    </row>
    <row r="497" spans="1:66" x14ac:dyDescent="0.25">
      <c r="A497" s="42">
        <v>494</v>
      </c>
      <c r="B497" s="43">
        <v>42921</v>
      </c>
      <c r="C497" s="42" t="s">
        <v>50</v>
      </c>
      <c r="D497" s="42" t="s">
        <v>227</v>
      </c>
      <c r="E497" s="6">
        <f t="shared" si="373"/>
        <v>-1.7789065374999544</v>
      </c>
      <c r="F497" s="5" t="str">
        <f t="shared" si="388"/>
        <v>Loss</v>
      </c>
      <c r="G497" s="4">
        <f t="shared" si="389"/>
        <v>-1.5499999999999545</v>
      </c>
      <c r="H497" s="46">
        <v>1</v>
      </c>
      <c r="I497" s="42">
        <v>334.4</v>
      </c>
      <c r="N497" s="5">
        <f t="shared" si="390"/>
        <v>1</v>
      </c>
      <c r="O497" s="4">
        <f t="shared" si="391"/>
        <v>334.4</v>
      </c>
      <c r="P497" s="5">
        <f t="shared" si="346"/>
        <v>1</v>
      </c>
      <c r="Q497" s="42">
        <v>332.85</v>
      </c>
      <c r="R497" s="2">
        <f t="shared" si="394"/>
        <v>0</v>
      </c>
      <c r="T497" s="2">
        <f t="shared" si="374"/>
        <v>0</v>
      </c>
      <c r="V497" s="5">
        <f t="shared" si="392"/>
        <v>1</v>
      </c>
      <c r="W497" s="4">
        <f t="shared" si="393"/>
        <v>332.85</v>
      </c>
      <c r="X497" s="14">
        <f t="shared" si="347"/>
        <v>-1.5499999999999545</v>
      </c>
      <c r="Y497" s="5">
        <f t="shared" si="348"/>
        <v>-1.5499999999999545</v>
      </c>
      <c r="Z497" s="2">
        <f t="shared" si="349"/>
        <v>0</v>
      </c>
      <c r="AA497" s="4">
        <f t="shared" si="350"/>
        <v>0</v>
      </c>
      <c r="AB497" s="13">
        <f t="shared" si="351"/>
        <v>0.22890653750000001</v>
      </c>
      <c r="AC497" s="10">
        <f>SUM($E$4:E497)</f>
        <v>-16907.566369234206</v>
      </c>
      <c r="AD497" s="20">
        <f>SUM($AB$4:AB497)</f>
        <v>12748.037069234155</v>
      </c>
      <c r="AF497" s="28">
        <f t="shared" si="352"/>
        <v>6.6725000000000007E-2</v>
      </c>
      <c r="AG497" s="2">
        <f t="shared" si="353"/>
        <v>8.3212500000000009E-2</v>
      </c>
      <c r="AH497" s="2">
        <f t="shared" si="354"/>
        <v>2.1685624999999997E-2</v>
      </c>
      <c r="AI497" s="2">
        <f t="shared" si="375"/>
        <v>8.8410625000000007E-2</v>
      </c>
      <c r="AJ497" s="2">
        <f t="shared" si="395"/>
        <v>1.5913912500000002E-2</v>
      </c>
      <c r="AK497" s="2">
        <f t="shared" si="355"/>
        <v>1.3345E-3</v>
      </c>
      <c r="AL497" s="2">
        <f t="shared" si="356"/>
        <v>4.0035000000000001E-2</v>
      </c>
      <c r="AM497" s="2">
        <f t="shared" si="377"/>
        <v>0.22890653750000001</v>
      </c>
      <c r="AN497" s="2">
        <f t="shared" si="357"/>
        <v>40</v>
      </c>
      <c r="AO497" s="2">
        <f t="shared" si="358"/>
        <v>0.16642500000000002</v>
      </c>
      <c r="AP497" s="2">
        <f t="shared" si="359"/>
        <v>0.35364249999999997</v>
      </c>
      <c r="AQ497" s="2">
        <f t="shared" si="378"/>
        <v>40.353642499999999</v>
      </c>
      <c r="AR497" s="2">
        <f t="shared" si="396"/>
        <v>7.2636556499999996</v>
      </c>
      <c r="AS497" s="2">
        <f t="shared" si="360"/>
        <v>1.3345E-3</v>
      </c>
      <c r="AT497" s="2">
        <f t="shared" si="361"/>
        <v>4.0035000000000001E-2</v>
      </c>
      <c r="AU497" s="2">
        <f t="shared" si="380"/>
        <v>47.825092649999995</v>
      </c>
      <c r="AV497" s="2">
        <f t="shared" si="362"/>
        <v>6.6725000000000007E-2</v>
      </c>
      <c r="AW497" s="2">
        <f t="shared" si="363"/>
        <v>3.3285000000000002E-2</v>
      </c>
      <c r="AX497" s="2">
        <f t="shared" si="364"/>
        <v>1.4012249999999999E-2</v>
      </c>
      <c r="AY497" s="2">
        <f t="shared" si="381"/>
        <v>8.073725000000001E-2</v>
      </c>
      <c r="AZ497" s="2">
        <f t="shared" si="397"/>
        <v>1.4532705000000002E-2</v>
      </c>
      <c r="BA497" s="2">
        <f t="shared" si="365"/>
        <v>1.3345E-3</v>
      </c>
      <c r="BB497" s="2">
        <f t="shared" si="366"/>
        <v>4.0035000000000001E-2</v>
      </c>
      <c r="BC497" s="2">
        <f t="shared" si="383"/>
        <v>0.16992445500000003</v>
      </c>
      <c r="BD497" s="2">
        <v>0</v>
      </c>
      <c r="BE497" s="2">
        <f t="shared" si="367"/>
        <v>0.66725000000000001</v>
      </c>
      <c r="BF497" s="2">
        <f t="shared" si="368"/>
        <v>2.1685624999999997E-2</v>
      </c>
      <c r="BG497" s="2">
        <f t="shared" si="384"/>
        <v>2.1685624999999997E-2</v>
      </c>
      <c r="BH497" s="2">
        <f t="shared" si="398"/>
        <v>3.9034124999999991E-3</v>
      </c>
      <c r="BI497" s="2">
        <f t="shared" si="369"/>
        <v>1.3345E-3</v>
      </c>
      <c r="BJ497" s="2">
        <f t="shared" si="370"/>
        <v>4.0035000000000001E-2</v>
      </c>
      <c r="BK497" s="2">
        <f t="shared" si="386"/>
        <v>0.73420853750000015</v>
      </c>
      <c r="BL497" s="2">
        <f t="shared" si="371"/>
        <v>334.4</v>
      </c>
      <c r="BM497" s="2">
        <f t="shared" si="372"/>
        <v>332.85</v>
      </c>
      <c r="BN497" s="2">
        <f t="shared" si="387"/>
        <v>667.25</v>
      </c>
    </row>
    <row r="498" spans="1:66" x14ac:dyDescent="0.25">
      <c r="A498" s="42">
        <v>495</v>
      </c>
      <c r="B498" s="43">
        <v>42921</v>
      </c>
      <c r="C498" s="42" t="s">
        <v>50</v>
      </c>
      <c r="D498" s="42" t="s">
        <v>289</v>
      </c>
      <c r="E498" s="6">
        <f t="shared" si="373"/>
        <v>1.1033422749999773</v>
      </c>
      <c r="F498" s="5" t="str">
        <f t="shared" si="388"/>
        <v>Win</v>
      </c>
      <c r="G498" s="4">
        <f t="shared" si="389"/>
        <v>1.3999999999999773</v>
      </c>
      <c r="H498" s="46">
        <v>1</v>
      </c>
      <c r="I498" s="42">
        <v>431.05</v>
      </c>
      <c r="N498" s="5">
        <f t="shared" si="390"/>
        <v>1</v>
      </c>
      <c r="O498" s="4">
        <f t="shared" si="391"/>
        <v>431.05</v>
      </c>
      <c r="P498" s="5">
        <f t="shared" si="346"/>
        <v>1</v>
      </c>
      <c r="Q498" s="42">
        <v>432.45</v>
      </c>
      <c r="R498" s="2">
        <f t="shared" si="394"/>
        <v>0</v>
      </c>
      <c r="T498" s="2">
        <f t="shared" si="374"/>
        <v>0</v>
      </c>
      <c r="V498" s="5">
        <f t="shared" si="392"/>
        <v>1</v>
      </c>
      <c r="W498" s="4">
        <f t="shared" si="393"/>
        <v>432.45</v>
      </c>
      <c r="X498" s="14">
        <f t="shared" si="347"/>
        <v>1.3999999999999773</v>
      </c>
      <c r="Y498" s="5">
        <f t="shared" si="348"/>
        <v>1.3999999999999773</v>
      </c>
      <c r="Z498" s="2">
        <f t="shared" si="349"/>
        <v>0</v>
      </c>
      <c r="AA498" s="4">
        <f t="shared" si="350"/>
        <v>0</v>
      </c>
      <c r="AB498" s="13">
        <f t="shared" si="351"/>
        <v>0.29665772500000004</v>
      </c>
      <c r="AC498" s="10">
        <f>SUM($E$4:E498)</f>
        <v>-16906.463026959205</v>
      </c>
      <c r="AD498" s="20">
        <f>SUM($AB$4:AB498)</f>
        <v>12748.333726959156</v>
      </c>
      <c r="AF498" s="28">
        <f t="shared" si="352"/>
        <v>8.635000000000001E-2</v>
      </c>
      <c r="AG498" s="2">
        <f t="shared" si="353"/>
        <v>0.1081125</v>
      </c>
      <c r="AH498" s="2">
        <f t="shared" si="354"/>
        <v>2.8063749999999998E-2</v>
      </c>
      <c r="AI498" s="2">
        <f t="shared" si="375"/>
        <v>0.11441375000000001</v>
      </c>
      <c r="AJ498" s="2">
        <f t="shared" si="395"/>
        <v>2.0594475000000001E-2</v>
      </c>
      <c r="AK498" s="2">
        <f t="shared" si="355"/>
        <v>1.727E-3</v>
      </c>
      <c r="AL498" s="2">
        <f t="shared" si="356"/>
        <v>5.1810000000000002E-2</v>
      </c>
      <c r="AM498" s="2">
        <f t="shared" si="377"/>
        <v>0.29665772500000004</v>
      </c>
      <c r="AN498" s="2">
        <f t="shared" si="357"/>
        <v>40</v>
      </c>
      <c r="AO498" s="2">
        <f t="shared" si="358"/>
        <v>0.216225</v>
      </c>
      <c r="AP498" s="2">
        <f t="shared" si="359"/>
        <v>0.45765499999999998</v>
      </c>
      <c r="AQ498" s="2">
        <f t="shared" si="378"/>
        <v>40.457655000000003</v>
      </c>
      <c r="AR498" s="2">
        <f t="shared" si="396"/>
        <v>7.2823779000000002</v>
      </c>
      <c r="AS498" s="2">
        <f t="shared" si="360"/>
        <v>1.727E-3</v>
      </c>
      <c r="AT498" s="2">
        <f t="shared" si="361"/>
        <v>5.1810000000000002E-2</v>
      </c>
      <c r="AU498" s="2">
        <f t="shared" si="380"/>
        <v>48.00979490000001</v>
      </c>
      <c r="AV498" s="2">
        <f t="shared" si="362"/>
        <v>8.635000000000001E-2</v>
      </c>
      <c r="AW498" s="2">
        <f t="shared" si="363"/>
        <v>4.3244999999999999E-2</v>
      </c>
      <c r="AX498" s="2">
        <f t="shared" si="364"/>
        <v>1.81335E-2</v>
      </c>
      <c r="AY498" s="2">
        <f t="shared" si="381"/>
        <v>0.10448350000000001</v>
      </c>
      <c r="AZ498" s="2">
        <f t="shared" si="397"/>
        <v>1.8807029999999999E-2</v>
      </c>
      <c r="BA498" s="2">
        <f t="shared" si="365"/>
        <v>1.727E-3</v>
      </c>
      <c r="BB498" s="2">
        <f t="shared" si="366"/>
        <v>5.1810000000000002E-2</v>
      </c>
      <c r="BC498" s="2">
        <f t="shared" si="383"/>
        <v>0.22007253000000002</v>
      </c>
      <c r="BD498" s="2">
        <v>0</v>
      </c>
      <c r="BE498" s="2">
        <f t="shared" si="367"/>
        <v>0.86350000000000005</v>
      </c>
      <c r="BF498" s="2">
        <f t="shared" si="368"/>
        <v>2.8063749999999998E-2</v>
      </c>
      <c r="BG498" s="2">
        <f t="shared" si="384"/>
        <v>2.8063749999999998E-2</v>
      </c>
      <c r="BH498" s="2">
        <f t="shared" si="398"/>
        <v>5.0514749999999997E-3</v>
      </c>
      <c r="BI498" s="2">
        <f t="shared" si="369"/>
        <v>1.727E-3</v>
      </c>
      <c r="BJ498" s="2">
        <f t="shared" si="370"/>
        <v>5.1810000000000002E-2</v>
      </c>
      <c r="BK498" s="2">
        <f t="shared" si="386"/>
        <v>0.95015222500000007</v>
      </c>
      <c r="BL498" s="2">
        <f t="shared" si="371"/>
        <v>431.05</v>
      </c>
      <c r="BM498" s="2">
        <f t="shared" si="372"/>
        <v>432.45</v>
      </c>
      <c r="BN498" s="2">
        <f t="shared" si="387"/>
        <v>863.5</v>
      </c>
    </row>
    <row r="499" spans="1:66" x14ac:dyDescent="0.25">
      <c r="A499" s="42">
        <v>496</v>
      </c>
      <c r="B499" s="43">
        <v>42922</v>
      </c>
      <c r="C499" s="42" t="s">
        <v>50</v>
      </c>
      <c r="D499" s="42" t="s">
        <v>292</v>
      </c>
      <c r="E499" s="6">
        <f t="shared" si="373"/>
        <v>-9.4273024075000453</v>
      </c>
      <c r="F499" s="5" t="str">
        <f t="shared" si="388"/>
        <v>Loss</v>
      </c>
      <c r="G499" s="4">
        <f t="shared" si="389"/>
        <v>-8.4500000000000455</v>
      </c>
      <c r="H499" s="46">
        <v>1</v>
      </c>
      <c r="I499" s="42">
        <v>1428.95</v>
      </c>
      <c r="N499" s="5">
        <f t="shared" si="390"/>
        <v>1</v>
      </c>
      <c r="O499" s="4">
        <f t="shared" si="391"/>
        <v>1428.95</v>
      </c>
      <c r="P499" s="5">
        <f t="shared" si="346"/>
        <v>1</v>
      </c>
      <c r="Q499" s="42">
        <v>1420.5</v>
      </c>
      <c r="R499" s="2">
        <f t="shared" si="394"/>
        <v>0</v>
      </c>
      <c r="T499" s="2">
        <f t="shared" si="374"/>
        <v>0</v>
      </c>
      <c r="V499" s="5">
        <f t="shared" si="392"/>
        <v>1</v>
      </c>
      <c r="W499" s="4">
        <f t="shared" si="393"/>
        <v>1420.5</v>
      </c>
      <c r="X499" s="14">
        <f t="shared" si="347"/>
        <v>-8.4500000000000455</v>
      </c>
      <c r="Y499" s="5">
        <f t="shared" si="348"/>
        <v>-8.4500000000000455</v>
      </c>
      <c r="Z499" s="2">
        <f t="shared" si="349"/>
        <v>0</v>
      </c>
      <c r="AA499" s="4">
        <f t="shared" si="350"/>
        <v>0</v>
      </c>
      <c r="AB499" s="13">
        <f t="shared" si="351"/>
        <v>0.97730240749999997</v>
      </c>
      <c r="AC499" s="10">
        <f>SUM($E$4:E499)</f>
        <v>-16915.890329366706</v>
      </c>
      <c r="AD499" s="20">
        <f>SUM($AB$4:AB499)</f>
        <v>12749.311029366656</v>
      </c>
      <c r="AF499" s="28">
        <f t="shared" si="352"/>
        <v>0.284945</v>
      </c>
      <c r="AG499" s="2">
        <f t="shared" si="353"/>
        <v>0.35512500000000002</v>
      </c>
      <c r="AH499" s="2">
        <f t="shared" si="354"/>
        <v>9.2607124999999985E-2</v>
      </c>
      <c r="AI499" s="2">
        <f t="shared" si="375"/>
        <v>0.37755212500000002</v>
      </c>
      <c r="AJ499" s="2">
        <f t="shared" si="395"/>
        <v>6.7959382499999998E-2</v>
      </c>
      <c r="AK499" s="2">
        <f t="shared" si="355"/>
        <v>5.6988999999999998E-3</v>
      </c>
      <c r="AL499" s="2">
        <f t="shared" si="356"/>
        <v>0.17096699999999998</v>
      </c>
      <c r="AM499" s="2">
        <f t="shared" si="377"/>
        <v>0.97730240749999997</v>
      </c>
      <c r="AN499" s="2">
        <f t="shared" si="357"/>
        <v>40</v>
      </c>
      <c r="AO499" s="2">
        <f t="shared" si="358"/>
        <v>0.71025000000000005</v>
      </c>
      <c r="AP499" s="2">
        <f t="shared" si="359"/>
        <v>1.5102084999999998</v>
      </c>
      <c r="AQ499" s="2">
        <f t="shared" si="378"/>
        <v>41.510208499999997</v>
      </c>
      <c r="AR499" s="2">
        <f t="shared" si="396"/>
        <v>7.4718375299999993</v>
      </c>
      <c r="AS499" s="2">
        <f t="shared" si="360"/>
        <v>5.6988999999999998E-3</v>
      </c>
      <c r="AT499" s="2">
        <f t="shared" si="361"/>
        <v>0.17096699999999998</v>
      </c>
      <c r="AU499" s="2">
        <f t="shared" si="380"/>
        <v>49.868961929999998</v>
      </c>
      <c r="AV499" s="2">
        <f t="shared" si="362"/>
        <v>0.284945</v>
      </c>
      <c r="AW499" s="2">
        <f t="shared" si="363"/>
        <v>0.14205000000000001</v>
      </c>
      <c r="AX499" s="2">
        <f t="shared" si="364"/>
        <v>5.9838449999999994E-2</v>
      </c>
      <c r="AY499" s="2">
        <f t="shared" si="381"/>
        <v>0.34478344999999999</v>
      </c>
      <c r="AZ499" s="2">
        <f t="shared" si="397"/>
        <v>6.2061020999999994E-2</v>
      </c>
      <c r="BA499" s="2">
        <f t="shared" si="365"/>
        <v>5.6988999999999998E-3</v>
      </c>
      <c r="BB499" s="2">
        <f t="shared" si="366"/>
        <v>0.17096699999999998</v>
      </c>
      <c r="BC499" s="2">
        <f t="shared" si="383"/>
        <v>0.72556037099999993</v>
      </c>
      <c r="BD499" s="2">
        <v>0</v>
      </c>
      <c r="BE499" s="2">
        <f t="shared" si="367"/>
        <v>2.84945</v>
      </c>
      <c r="BF499" s="2">
        <f t="shared" si="368"/>
        <v>9.2607124999999985E-2</v>
      </c>
      <c r="BG499" s="2">
        <f t="shared" si="384"/>
        <v>9.2607124999999985E-2</v>
      </c>
      <c r="BH499" s="2">
        <f t="shared" si="398"/>
        <v>1.6669282499999997E-2</v>
      </c>
      <c r="BI499" s="2">
        <f t="shared" si="369"/>
        <v>5.6988999999999998E-3</v>
      </c>
      <c r="BJ499" s="2">
        <f t="shared" si="370"/>
        <v>0.17096699999999998</v>
      </c>
      <c r="BK499" s="2">
        <f t="shared" si="386"/>
        <v>3.1353923075000001</v>
      </c>
      <c r="BL499" s="2">
        <f t="shared" si="371"/>
        <v>1428.95</v>
      </c>
      <c r="BM499" s="2">
        <f t="shared" si="372"/>
        <v>1420.5</v>
      </c>
      <c r="BN499" s="2">
        <f t="shared" si="387"/>
        <v>2849.45</v>
      </c>
    </row>
    <row r="500" spans="1:66" x14ac:dyDescent="0.25">
      <c r="A500" s="42">
        <v>497</v>
      </c>
      <c r="B500" s="43">
        <v>42922</v>
      </c>
      <c r="C500" s="42" t="s">
        <v>50</v>
      </c>
      <c r="D500" s="42" t="s">
        <v>223</v>
      </c>
      <c r="E500" s="6">
        <f t="shared" si="373"/>
        <v>-1.5722618450000454</v>
      </c>
      <c r="F500" s="5" t="str">
        <f t="shared" si="388"/>
        <v>Loss</v>
      </c>
      <c r="G500" s="4">
        <f t="shared" si="389"/>
        <v>-0.70000000000004547</v>
      </c>
      <c r="H500" s="46">
        <v>1</v>
      </c>
      <c r="I500" s="42">
        <v>1270.7</v>
      </c>
      <c r="N500" s="5">
        <f t="shared" si="390"/>
        <v>1</v>
      </c>
      <c r="O500" s="4">
        <f t="shared" si="391"/>
        <v>1270.7</v>
      </c>
      <c r="P500" s="5">
        <f t="shared" si="346"/>
        <v>1</v>
      </c>
      <c r="Q500" s="42">
        <v>1270</v>
      </c>
      <c r="R500" s="2">
        <f t="shared" si="394"/>
        <v>0</v>
      </c>
      <c r="T500" s="2">
        <f t="shared" si="374"/>
        <v>0</v>
      </c>
      <c r="V500" s="5">
        <f t="shared" si="392"/>
        <v>1</v>
      </c>
      <c r="W500" s="4">
        <f t="shared" si="393"/>
        <v>1270</v>
      </c>
      <c r="X500" s="14">
        <f t="shared" si="347"/>
        <v>-0.70000000000004547</v>
      </c>
      <c r="Y500" s="5">
        <f t="shared" si="348"/>
        <v>-0.70000000000004547</v>
      </c>
      <c r="Z500" s="2">
        <f t="shared" si="349"/>
        <v>0</v>
      </c>
      <c r="AA500" s="4">
        <f t="shared" si="350"/>
        <v>0</v>
      </c>
      <c r="AB500" s="13">
        <f t="shared" si="351"/>
        <v>0.87226184499999992</v>
      </c>
      <c r="AC500" s="10">
        <f>SUM($E$4:E500)</f>
        <v>-16917.462591211708</v>
      </c>
      <c r="AD500" s="20">
        <f>SUM($AB$4:AB500)</f>
        <v>12750.183291211655</v>
      </c>
      <c r="AF500" s="28">
        <f t="shared" si="352"/>
        <v>0.25407000000000002</v>
      </c>
      <c r="AG500" s="2">
        <f t="shared" si="353"/>
        <v>0.3175</v>
      </c>
      <c r="AH500" s="2">
        <f t="shared" si="354"/>
        <v>8.2572749999999986E-2</v>
      </c>
      <c r="AI500" s="2">
        <f t="shared" si="375"/>
        <v>0.33664274999999999</v>
      </c>
      <c r="AJ500" s="2">
        <f t="shared" si="395"/>
        <v>6.0595694999999998E-2</v>
      </c>
      <c r="AK500" s="2">
        <f t="shared" si="355"/>
        <v>5.0813999999999989E-3</v>
      </c>
      <c r="AL500" s="2">
        <f t="shared" si="356"/>
        <v>0.15244199999999999</v>
      </c>
      <c r="AM500" s="2">
        <f t="shared" si="377"/>
        <v>0.87226184499999992</v>
      </c>
      <c r="AN500" s="2">
        <f t="shared" si="357"/>
        <v>40</v>
      </c>
      <c r="AO500" s="2">
        <f t="shared" si="358"/>
        <v>0.63500000000000001</v>
      </c>
      <c r="AP500" s="2">
        <f t="shared" si="359"/>
        <v>1.346571</v>
      </c>
      <c r="AQ500" s="2">
        <f t="shared" si="378"/>
        <v>41.346570999999997</v>
      </c>
      <c r="AR500" s="2">
        <f t="shared" si="396"/>
        <v>7.4423827799999991</v>
      </c>
      <c r="AS500" s="2">
        <f t="shared" si="360"/>
        <v>5.0813999999999989E-3</v>
      </c>
      <c r="AT500" s="2">
        <f t="shared" si="361"/>
        <v>0.15244199999999999</v>
      </c>
      <c r="AU500" s="2">
        <f t="shared" si="380"/>
        <v>49.581477179999993</v>
      </c>
      <c r="AV500" s="2">
        <f t="shared" si="362"/>
        <v>0.25407000000000002</v>
      </c>
      <c r="AW500" s="2">
        <f t="shared" si="363"/>
        <v>0.127</v>
      </c>
      <c r="AX500" s="2">
        <f t="shared" si="364"/>
        <v>5.3354699999999991E-2</v>
      </c>
      <c r="AY500" s="2">
        <f t="shared" si="381"/>
        <v>0.3074247</v>
      </c>
      <c r="AZ500" s="2">
        <f t="shared" si="397"/>
        <v>5.5336445999999997E-2</v>
      </c>
      <c r="BA500" s="2">
        <f t="shared" si="365"/>
        <v>5.0813999999999989E-3</v>
      </c>
      <c r="BB500" s="2">
        <f t="shared" si="366"/>
        <v>0.15244199999999999</v>
      </c>
      <c r="BC500" s="2">
        <f t="shared" si="383"/>
        <v>0.64728454599999996</v>
      </c>
      <c r="BD500" s="2">
        <v>0</v>
      </c>
      <c r="BE500" s="2">
        <f t="shared" si="367"/>
        <v>2.5406999999999997</v>
      </c>
      <c r="BF500" s="2">
        <f t="shared" si="368"/>
        <v>8.2572749999999986E-2</v>
      </c>
      <c r="BG500" s="2">
        <f t="shared" si="384"/>
        <v>8.2572749999999986E-2</v>
      </c>
      <c r="BH500" s="2">
        <f t="shared" si="398"/>
        <v>1.4863094999999996E-2</v>
      </c>
      <c r="BI500" s="2">
        <f t="shared" si="369"/>
        <v>5.0813999999999989E-3</v>
      </c>
      <c r="BJ500" s="2">
        <f t="shared" si="370"/>
        <v>0.15244199999999999</v>
      </c>
      <c r="BK500" s="2">
        <f t="shared" si="386"/>
        <v>2.795659245</v>
      </c>
      <c r="BL500" s="2">
        <f t="shared" si="371"/>
        <v>1270.7</v>
      </c>
      <c r="BM500" s="2">
        <f t="shared" si="372"/>
        <v>1270</v>
      </c>
      <c r="BN500" s="2">
        <f t="shared" si="387"/>
        <v>2540.6999999999998</v>
      </c>
    </row>
    <row r="501" spans="1:66" x14ac:dyDescent="0.25">
      <c r="A501" s="42">
        <v>498</v>
      </c>
      <c r="B501" s="43">
        <v>42922</v>
      </c>
      <c r="C501" s="42" t="s">
        <v>50</v>
      </c>
      <c r="D501" s="42" t="s">
        <v>293</v>
      </c>
      <c r="E501" s="6">
        <f t="shared" si="373"/>
        <v>-1.9190356325</v>
      </c>
      <c r="F501" s="5" t="str">
        <f t="shared" si="388"/>
        <v>Loss</v>
      </c>
      <c r="G501" s="4">
        <f t="shared" si="389"/>
        <v>-1.75</v>
      </c>
      <c r="H501" s="46">
        <v>1</v>
      </c>
      <c r="I501" s="42">
        <v>247.35</v>
      </c>
      <c r="N501" s="5">
        <f t="shared" si="390"/>
        <v>1</v>
      </c>
      <c r="O501" s="4">
        <f t="shared" si="391"/>
        <v>247.35</v>
      </c>
      <c r="P501" s="5">
        <f t="shared" si="346"/>
        <v>1</v>
      </c>
      <c r="Q501" s="42">
        <v>245.6</v>
      </c>
      <c r="R501" s="2">
        <f t="shared" si="394"/>
        <v>0</v>
      </c>
      <c r="T501" s="2">
        <f t="shared" si="374"/>
        <v>0</v>
      </c>
      <c r="V501" s="5">
        <f t="shared" si="392"/>
        <v>1</v>
      </c>
      <c r="W501" s="4">
        <f t="shared" si="393"/>
        <v>245.6</v>
      </c>
      <c r="X501" s="14">
        <f t="shared" si="347"/>
        <v>-1.75</v>
      </c>
      <c r="Y501" s="5">
        <f t="shared" si="348"/>
        <v>-1.75</v>
      </c>
      <c r="Z501" s="2">
        <f t="shared" si="349"/>
        <v>0</v>
      </c>
      <c r="AA501" s="4">
        <f t="shared" si="350"/>
        <v>0</v>
      </c>
      <c r="AB501" s="13">
        <f t="shared" si="351"/>
        <v>0.1690356325</v>
      </c>
      <c r="AC501" s="10">
        <f>SUM($E$4:E501)</f>
        <v>-16919.38162684421</v>
      </c>
      <c r="AD501" s="20">
        <f>SUM($AB$4:AB501)</f>
        <v>12750.352326844155</v>
      </c>
      <c r="AF501" s="28">
        <f t="shared" si="352"/>
        <v>4.9294999999999999E-2</v>
      </c>
      <c r="AG501" s="2">
        <f t="shared" si="353"/>
        <v>6.1400000000000003E-2</v>
      </c>
      <c r="AH501" s="2">
        <f t="shared" si="354"/>
        <v>1.6020874999999997E-2</v>
      </c>
      <c r="AI501" s="2">
        <f t="shared" si="375"/>
        <v>6.5315874999999995E-2</v>
      </c>
      <c r="AJ501" s="2">
        <f t="shared" si="395"/>
        <v>1.1756857499999999E-2</v>
      </c>
      <c r="AK501" s="2">
        <f t="shared" si="355"/>
        <v>9.8590000000000006E-4</v>
      </c>
      <c r="AL501" s="2">
        <f t="shared" si="356"/>
        <v>2.9576999999999999E-2</v>
      </c>
      <c r="AM501" s="2">
        <f t="shared" si="377"/>
        <v>0.1690356325</v>
      </c>
      <c r="AN501" s="2">
        <f t="shared" si="357"/>
        <v>40</v>
      </c>
      <c r="AO501" s="2">
        <f t="shared" si="358"/>
        <v>0.12280000000000001</v>
      </c>
      <c r="AP501" s="2">
        <f t="shared" si="359"/>
        <v>0.26126349999999998</v>
      </c>
      <c r="AQ501" s="2">
        <f t="shared" si="378"/>
        <v>40.261263499999998</v>
      </c>
      <c r="AR501" s="2">
        <f t="shared" si="396"/>
        <v>7.2470274299999993</v>
      </c>
      <c r="AS501" s="2">
        <f t="shared" si="360"/>
        <v>9.8590000000000006E-4</v>
      </c>
      <c r="AT501" s="2">
        <f t="shared" si="361"/>
        <v>2.9576999999999999E-2</v>
      </c>
      <c r="AU501" s="2">
        <f t="shared" si="380"/>
        <v>47.661653830000006</v>
      </c>
      <c r="AV501" s="2">
        <f t="shared" si="362"/>
        <v>4.9294999999999999E-2</v>
      </c>
      <c r="AW501" s="2">
        <f t="shared" si="363"/>
        <v>2.4560000000000002E-2</v>
      </c>
      <c r="AX501" s="2">
        <f t="shared" si="364"/>
        <v>1.0351949999999999E-2</v>
      </c>
      <c r="AY501" s="2">
        <f t="shared" si="381"/>
        <v>5.9646949999999997E-2</v>
      </c>
      <c r="AZ501" s="2">
        <f t="shared" si="397"/>
        <v>1.0736450999999999E-2</v>
      </c>
      <c r="BA501" s="2">
        <f t="shared" si="365"/>
        <v>9.8590000000000006E-4</v>
      </c>
      <c r="BB501" s="2">
        <f t="shared" si="366"/>
        <v>2.9576999999999999E-2</v>
      </c>
      <c r="BC501" s="2">
        <f t="shared" si="383"/>
        <v>0.12550630099999999</v>
      </c>
      <c r="BD501" s="2">
        <v>0</v>
      </c>
      <c r="BE501" s="2">
        <f t="shared" si="367"/>
        <v>0.49295</v>
      </c>
      <c r="BF501" s="2">
        <f t="shared" si="368"/>
        <v>1.6020874999999997E-2</v>
      </c>
      <c r="BG501" s="2">
        <f t="shared" si="384"/>
        <v>1.6020874999999997E-2</v>
      </c>
      <c r="BH501" s="2">
        <f t="shared" si="398"/>
        <v>2.8837574999999996E-3</v>
      </c>
      <c r="BI501" s="2">
        <f t="shared" si="369"/>
        <v>9.8590000000000006E-4</v>
      </c>
      <c r="BJ501" s="2">
        <f t="shared" si="370"/>
        <v>2.9576999999999999E-2</v>
      </c>
      <c r="BK501" s="2">
        <f t="shared" si="386"/>
        <v>0.54241753250000002</v>
      </c>
      <c r="BL501" s="2">
        <f t="shared" si="371"/>
        <v>247.35</v>
      </c>
      <c r="BM501" s="2">
        <f t="shared" si="372"/>
        <v>245.6</v>
      </c>
      <c r="BN501" s="2">
        <f t="shared" si="387"/>
        <v>492.95</v>
      </c>
    </row>
    <row r="502" spans="1:66" x14ac:dyDescent="0.25">
      <c r="A502" s="42">
        <v>499</v>
      </c>
      <c r="B502" s="43">
        <v>42926</v>
      </c>
      <c r="C502" s="42" t="s">
        <v>50</v>
      </c>
      <c r="D502" s="42" t="s">
        <v>276</v>
      </c>
      <c r="E502" s="6">
        <f t="shared" si="373"/>
        <v>1.6386903575</v>
      </c>
      <c r="F502" s="5" t="str">
        <f t="shared" si="388"/>
        <v>Win</v>
      </c>
      <c r="G502" s="4">
        <f t="shared" si="389"/>
        <v>1.75</v>
      </c>
      <c r="H502" s="46">
        <v>1</v>
      </c>
      <c r="I502" s="42">
        <v>160.9</v>
      </c>
      <c r="N502" s="5">
        <f t="shared" si="390"/>
        <v>1</v>
      </c>
      <c r="O502" s="4">
        <f t="shared" si="391"/>
        <v>160.9</v>
      </c>
      <c r="P502" s="5">
        <f t="shared" si="346"/>
        <v>1</v>
      </c>
      <c r="Q502" s="42">
        <v>162.65</v>
      </c>
      <c r="R502" s="2">
        <f t="shared" si="394"/>
        <v>0</v>
      </c>
      <c r="T502" s="2">
        <f t="shared" si="374"/>
        <v>0</v>
      </c>
      <c r="V502" s="5">
        <f t="shared" si="392"/>
        <v>1</v>
      </c>
      <c r="W502" s="4">
        <f t="shared" si="393"/>
        <v>162.65</v>
      </c>
      <c r="X502" s="14">
        <f t="shared" si="347"/>
        <v>1.75</v>
      </c>
      <c r="Y502" s="5">
        <f t="shared" si="348"/>
        <v>1.75</v>
      </c>
      <c r="Z502" s="2">
        <f t="shared" si="349"/>
        <v>0</v>
      </c>
      <c r="AA502" s="4">
        <f t="shared" si="350"/>
        <v>0</v>
      </c>
      <c r="AB502" s="13">
        <f t="shared" si="351"/>
        <v>0.1113096425</v>
      </c>
      <c r="AC502" s="10">
        <f>SUM($E$4:E502)</f>
        <v>-16917.742936486709</v>
      </c>
      <c r="AD502" s="20">
        <f>SUM($AB$4:AB502)</f>
        <v>12750.463636486655</v>
      </c>
      <c r="AF502" s="28">
        <f t="shared" si="352"/>
        <v>3.2355000000000002E-2</v>
      </c>
      <c r="AG502" s="2">
        <f t="shared" si="353"/>
        <v>4.0662500000000004E-2</v>
      </c>
      <c r="AH502" s="2">
        <f t="shared" si="354"/>
        <v>1.0515374999999999E-2</v>
      </c>
      <c r="AI502" s="2">
        <f t="shared" si="375"/>
        <v>4.2870375000000002E-2</v>
      </c>
      <c r="AJ502" s="2">
        <f t="shared" si="395"/>
        <v>7.7166674999999997E-3</v>
      </c>
      <c r="AK502" s="2">
        <f t="shared" si="355"/>
        <v>6.4710000000000006E-4</v>
      </c>
      <c r="AL502" s="2">
        <f t="shared" si="356"/>
        <v>1.9413E-2</v>
      </c>
      <c r="AM502" s="2">
        <f t="shared" si="377"/>
        <v>0.1113096425</v>
      </c>
      <c r="AN502" s="2">
        <f t="shared" si="357"/>
        <v>40</v>
      </c>
      <c r="AO502" s="2">
        <f t="shared" si="358"/>
        <v>8.1325000000000008E-2</v>
      </c>
      <c r="AP502" s="2">
        <f t="shared" si="359"/>
        <v>0.17148150000000001</v>
      </c>
      <c r="AQ502" s="2">
        <f t="shared" si="378"/>
        <v>40.171481499999999</v>
      </c>
      <c r="AR502" s="2">
        <f t="shared" si="396"/>
        <v>7.2308666699999993</v>
      </c>
      <c r="AS502" s="2">
        <f t="shared" si="360"/>
        <v>6.4710000000000006E-4</v>
      </c>
      <c r="AT502" s="2">
        <f t="shared" si="361"/>
        <v>1.9413E-2</v>
      </c>
      <c r="AU502" s="2">
        <f t="shared" si="380"/>
        <v>47.503733269999998</v>
      </c>
      <c r="AV502" s="2">
        <f t="shared" si="362"/>
        <v>3.2355000000000002E-2</v>
      </c>
      <c r="AW502" s="2">
        <f t="shared" si="363"/>
        <v>1.6265000000000002E-2</v>
      </c>
      <c r="AX502" s="2">
        <f t="shared" si="364"/>
        <v>6.7945499999999999E-3</v>
      </c>
      <c r="AY502" s="2">
        <f t="shared" si="381"/>
        <v>3.9149550000000005E-2</v>
      </c>
      <c r="AZ502" s="2">
        <f t="shared" si="397"/>
        <v>7.0469190000000004E-3</v>
      </c>
      <c r="BA502" s="2">
        <f t="shared" si="365"/>
        <v>6.4710000000000006E-4</v>
      </c>
      <c r="BB502" s="2">
        <f t="shared" si="366"/>
        <v>1.9413E-2</v>
      </c>
      <c r="BC502" s="2">
        <f t="shared" si="383"/>
        <v>8.2521569000000003E-2</v>
      </c>
      <c r="BD502" s="2">
        <v>0</v>
      </c>
      <c r="BE502" s="2">
        <f t="shared" si="367"/>
        <v>0.32355</v>
      </c>
      <c r="BF502" s="2">
        <f t="shared" si="368"/>
        <v>1.0515374999999999E-2</v>
      </c>
      <c r="BG502" s="2">
        <f t="shared" si="384"/>
        <v>1.0515374999999999E-2</v>
      </c>
      <c r="BH502" s="2">
        <f t="shared" si="398"/>
        <v>1.8927674999999998E-3</v>
      </c>
      <c r="BI502" s="2">
        <f t="shared" si="369"/>
        <v>6.4710000000000006E-4</v>
      </c>
      <c r="BJ502" s="2">
        <f t="shared" si="370"/>
        <v>1.9413E-2</v>
      </c>
      <c r="BK502" s="2">
        <f t="shared" si="386"/>
        <v>0.35601824250000003</v>
      </c>
      <c r="BL502" s="2">
        <f t="shared" si="371"/>
        <v>160.9</v>
      </c>
      <c r="BM502" s="2">
        <f t="shared" si="372"/>
        <v>162.65</v>
      </c>
      <c r="BN502" s="2">
        <f t="shared" si="387"/>
        <v>323.55</v>
      </c>
    </row>
    <row r="503" spans="1:66" x14ac:dyDescent="0.25">
      <c r="A503" s="42">
        <v>500</v>
      </c>
      <c r="B503" s="43">
        <v>42927</v>
      </c>
      <c r="C503" s="42" t="s">
        <v>50</v>
      </c>
      <c r="D503" s="42" t="s">
        <v>294</v>
      </c>
      <c r="E503" s="6">
        <f t="shared" si="373"/>
        <v>3.0146373549999885</v>
      </c>
      <c r="F503" s="5" t="str">
        <f t="shared" si="388"/>
        <v>Win</v>
      </c>
      <c r="G503" s="4">
        <f t="shared" si="389"/>
        <v>3.1999999999999886</v>
      </c>
      <c r="H503" s="46">
        <v>1</v>
      </c>
      <c r="I503" s="42">
        <v>267.75</v>
      </c>
      <c r="N503" s="5">
        <f t="shared" si="390"/>
        <v>1</v>
      </c>
      <c r="O503" s="4">
        <f t="shared" si="391"/>
        <v>267.75</v>
      </c>
      <c r="P503" s="5">
        <f t="shared" si="346"/>
        <v>1</v>
      </c>
      <c r="Q503" s="42">
        <v>270.95</v>
      </c>
      <c r="R503" s="2">
        <f t="shared" si="394"/>
        <v>0</v>
      </c>
      <c r="T503" s="2">
        <f t="shared" si="374"/>
        <v>0</v>
      </c>
      <c r="V503" s="5">
        <f t="shared" si="392"/>
        <v>1</v>
      </c>
      <c r="W503" s="4">
        <f t="shared" si="393"/>
        <v>270.95</v>
      </c>
      <c r="X503" s="14">
        <f t="shared" si="347"/>
        <v>3.1999999999999886</v>
      </c>
      <c r="Y503" s="5">
        <f t="shared" si="348"/>
        <v>3.1999999999999886</v>
      </c>
      <c r="Z503" s="2">
        <f t="shared" si="349"/>
        <v>0</v>
      </c>
      <c r="AA503" s="4">
        <f t="shared" si="350"/>
        <v>0</v>
      </c>
      <c r="AB503" s="13">
        <f t="shared" si="351"/>
        <v>0.18536264499999999</v>
      </c>
      <c r="AC503" s="10">
        <f>SUM($E$4:E503)</f>
        <v>-16914.728299131708</v>
      </c>
      <c r="AD503" s="20">
        <f>SUM($AB$4:AB503)</f>
        <v>12750.648999131654</v>
      </c>
      <c r="AF503" s="28">
        <f t="shared" si="352"/>
        <v>5.3870000000000008E-2</v>
      </c>
      <c r="AG503" s="2">
        <f t="shared" si="353"/>
        <v>6.7737499999999992E-2</v>
      </c>
      <c r="AH503" s="2">
        <f t="shared" si="354"/>
        <v>1.7507749999999999E-2</v>
      </c>
      <c r="AI503" s="2">
        <f t="shared" si="375"/>
        <v>7.1377750000000004E-2</v>
      </c>
      <c r="AJ503" s="2">
        <f t="shared" si="395"/>
        <v>1.2847995000000001E-2</v>
      </c>
      <c r="AK503" s="2">
        <f t="shared" si="355"/>
        <v>1.0774000000000001E-3</v>
      </c>
      <c r="AL503" s="2">
        <f t="shared" si="356"/>
        <v>3.2322000000000004E-2</v>
      </c>
      <c r="AM503" s="2">
        <f t="shared" si="377"/>
        <v>0.18536264499999999</v>
      </c>
      <c r="AN503" s="2">
        <f t="shared" si="357"/>
        <v>40</v>
      </c>
      <c r="AO503" s="2">
        <f t="shared" si="358"/>
        <v>0.13547499999999998</v>
      </c>
      <c r="AP503" s="2">
        <f t="shared" si="359"/>
        <v>0.28551100000000001</v>
      </c>
      <c r="AQ503" s="2">
        <f t="shared" si="378"/>
        <v>40.285511</v>
      </c>
      <c r="AR503" s="2">
        <f t="shared" si="396"/>
        <v>7.2513919799999993</v>
      </c>
      <c r="AS503" s="2">
        <f t="shared" si="360"/>
        <v>1.0774000000000001E-3</v>
      </c>
      <c r="AT503" s="2">
        <f t="shared" si="361"/>
        <v>3.2322000000000004E-2</v>
      </c>
      <c r="AU503" s="2">
        <f t="shared" si="380"/>
        <v>47.705777380000001</v>
      </c>
      <c r="AV503" s="2">
        <f t="shared" si="362"/>
        <v>5.3870000000000008E-2</v>
      </c>
      <c r="AW503" s="2">
        <f t="shared" si="363"/>
        <v>2.7095000000000001E-2</v>
      </c>
      <c r="AX503" s="2">
        <f t="shared" si="364"/>
        <v>1.13127E-2</v>
      </c>
      <c r="AY503" s="2">
        <f t="shared" si="381"/>
        <v>6.518270000000001E-2</v>
      </c>
      <c r="AZ503" s="2">
        <f t="shared" si="397"/>
        <v>1.1732886000000001E-2</v>
      </c>
      <c r="BA503" s="2">
        <f t="shared" si="365"/>
        <v>1.0774000000000001E-3</v>
      </c>
      <c r="BB503" s="2">
        <f t="shared" si="366"/>
        <v>3.2322000000000004E-2</v>
      </c>
      <c r="BC503" s="2">
        <f t="shared" si="383"/>
        <v>0.13740998600000001</v>
      </c>
      <c r="BD503" s="2">
        <v>0</v>
      </c>
      <c r="BE503" s="2">
        <f t="shared" si="367"/>
        <v>0.53870000000000007</v>
      </c>
      <c r="BF503" s="2">
        <f t="shared" si="368"/>
        <v>1.7507749999999999E-2</v>
      </c>
      <c r="BG503" s="2">
        <f t="shared" si="384"/>
        <v>1.7507749999999999E-2</v>
      </c>
      <c r="BH503" s="2">
        <f t="shared" si="398"/>
        <v>3.1513949999999995E-3</v>
      </c>
      <c r="BI503" s="2">
        <f t="shared" si="369"/>
        <v>1.0774000000000001E-3</v>
      </c>
      <c r="BJ503" s="2">
        <f t="shared" si="370"/>
        <v>3.2322000000000004E-2</v>
      </c>
      <c r="BK503" s="2">
        <f t="shared" si="386"/>
        <v>0.59275854500000003</v>
      </c>
      <c r="BL503" s="2">
        <f t="shared" si="371"/>
        <v>267.75</v>
      </c>
      <c r="BM503" s="2">
        <f t="shared" si="372"/>
        <v>270.95</v>
      </c>
      <c r="BN503" s="2">
        <f t="shared" si="387"/>
        <v>538.70000000000005</v>
      </c>
    </row>
    <row r="504" spans="1:66" x14ac:dyDescent="0.25">
      <c r="A504" s="42">
        <v>501</v>
      </c>
      <c r="B504" s="43">
        <v>42927</v>
      </c>
      <c r="C504" s="42" t="s">
        <v>50</v>
      </c>
      <c r="D504" s="42" t="s">
        <v>295</v>
      </c>
      <c r="E504" s="6">
        <f t="shared" si="373"/>
        <v>-75.232759967500513</v>
      </c>
      <c r="F504" s="5" t="str">
        <f t="shared" si="388"/>
        <v>Loss</v>
      </c>
      <c r="G504" s="4">
        <f t="shared" si="389"/>
        <v>-69.350000000000506</v>
      </c>
      <c r="H504" s="46">
        <v>1</v>
      </c>
      <c r="I504" s="42">
        <v>185.7</v>
      </c>
      <c r="J504" s="42">
        <v>45</v>
      </c>
      <c r="K504" s="42">
        <v>187.55</v>
      </c>
      <c r="N504" s="5">
        <f t="shared" si="390"/>
        <v>46</v>
      </c>
      <c r="O504" s="4">
        <f t="shared" si="391"/>
        <v>186.625</v>
      </c>
      <c r="P504" s="5">
        <f t="shared" si="346"/>
        <v>1</v>
      </c>
      <c r="Q504" s="42">
        <v>186.1</v>
      </c>
      <c r="R504" s="2">
        <f t="shared" si="394"/>
        <v>45</v>
      </c>
      <c r="S504" s="42">
        <v>186</v>
      </c>
      <c r="T504" s="2">
        <f t="shared" si="374"/>
        <v>0</v>
      </c>
      <c r="V504" s="5">
        <f t="shared" si="392"/>
        <v>46</v>
      </c>
      <c r="W504" s="4">
        <f t="shared" si="393"/>
        <v>186.05</v>
      </c>
      <c r="X504" s="14">
        <f t="shared" si="347"/>
        <v>0.40000000000000568</v>
      </c>
      <c r="Y504" s="5">
        <f t="shared" si="348"/>
        <v>0.40000000000000568</v>
      </c>
      <c r="Z504" s="2">
        <f t="shared" si="349"/>
        <v>-69.750000000000512</v>
      </c>
      <c r="AA504" s="4">
        <f t="shared" si="350"/>
        <v>0</v>
      </c>
      <c r="AB504" s="13">
        <f t="shared" si="351"/>
        <v>5.8827599675000011</v>
      </c>
      <c r="AC504" s="10">
        <f>SUM($E$4:E504)</f>
        <v>-16989.961059099209</v>
      </c>
      <c r="AD504" s="20">
        <f>SUM($AB$4:AB504)</f>
        <v>12756.531759099154</v>
      </c>
      <c r="AF504" s="28">
        <f t="shared" si="352"/>
        <v>1.7143050000000004</v>
      </c>
      <c r="AG504" s="2">
        <f t="shared" si="353"/>
        <v>2.1395750000000002</v>
      </c>
      <c r="AH504" s="2">
        <f t="shared" si="354"/>
        <v>0.55714912500000002</v>
      </c>
      <c r="AI504" s="2">
        <f t="shared" si="375"/>
        <v>2.2714541250000004</v>
      </c>
      <c r="AJ504" s="2">
        <f t="shared" si="395"/>
        <v>0.40886174250000007</v>
      </c>
      <c r="AK504" s="2">
        <f t="shared" si="355"/>
        <v>3.4286100000000007E-2</v>
      </c>
      <c r="AL504" s="2">
        <f t="shared" si="356"/>
        <v>1.0285830000000002</v>
      </c>
      <c r="AM504" s="2">
        <f t="shared" si="377"/>
        <v>5.8827599675000011</v>
      </c>
      <c r="AN504" s="2">
        <f t="shared" si="357"/>
        <v>80</v>
      </c>
      <c r="AO504" s="2">
        <f t="shared" si="358"/>
        <v>4.2791500000000005</v>
      </c>
      <c r="AP504" s="2">
        <f t="shared" si="359"/>
        <v>9.0858165000000017</v>
      </c>
      <c r="AQ504" s="2">
        <f t="shared" si="378"/>
        <v>89.085816500000007</v>
      </c>
      <c r="AR504" s="2">
        <f t="shared" si="396"/>
        <v>16.035446970000002</v>
      </c>
      <c r="AS504" s="2">
        <f t="shared" si="360"/>
        <v>3.4286100000000007E-2</v>
      </c>
      <c r="AT504" s="2">
        <f t="shared" si="361"/>
        <v>1.0285830000000002</v>
      </c>
      <c r="AU504" s="2">
        <f t="shared" si="380"/>
        <v>110.46328257000002</v>
      </c>
      <c r="AV504" s="2">
        <f t="shared" si="362"/>
        <v>1.7143050000000004</v>
      </c>
      <c r="AW504" s="2">
        <f t="shared" si="363"/>
        <v>0.85583000000000009</v>
      </c>
      <c r="AX504" s="2">
        <f t="shared" si="364"/>
        <v>0.36000405000000002</v>
      </c>
      <c r="AY504" s="2">
        <f t="shared" si="381"/>
        <v>2.0743090500000005</v>
      </c>
      <c r="AZ504" s="2">
        <f t="shared" si="397"/>
        <v>0.3733756290000001</v>
      </c>
      <c r="BA504" s="2">
        <f t="shared" si="365"/>
        <v>3.4286100000000007E-2</v>
      </c>
      <c r="BB504" s="2">
        <f t="shared" si="366"/>
        <v>1.0285830000000002</v>
      </c>
      <c r="BC504" s="2">
        <f t="shared" si="383"/>
        <v>4.3663837790000013</v>
      </c>
      <c r="BD504" s="2">
        <v>0</v>
      </c>
      <c r="BE504" s="2">
        <f t="shared" si="367"/>
        <v>17.143050000000002</v>
      </c>
      <c r="BF504" s="2">
        <f t="shared" si="368"/>
        <v>0.55714912500000002</v>
      </c>
      <c r="BG504" s="2">
        <f t="shared" si="384"/>
        <v>0.55714912500000002</v>
      </c>
      <c r="BH504" s="2">
        <f t="shared" si="398"/>
        <v>0.1002868425</v>
      </c>
      <c r="BI504" s="2">
        <f t="shared" si="369"/>
        <v>3.4286100000000007E-2</v>
      </c>
      <c r="BJ504" s="2">
        <f t="shared" si="370"/>
        <v>1.0285830000000002</v>
      </c>
      <c r="BK504" s="2">
        <f t="shared" si="386"/>
        <v>18.863355067500002</v>
      </c>
      <c r="BL504" s="2">
        <f t="shared" si="371"/>
        <v>8584.75</v>
      </c>
      <c r="BM504" s="2">
        <f t="shared" si="372"/>
        <v>8558.3000000000011</v>
      </c>
      <c r="BN504" s="2">
        <f t="shared" si="387"/>
        <v>17143.050000000003</v>
      </c>
    </row>
    <row r="505" spans="1:66" x14ac:dyDescent="0.25">
      <c r="A505" s="42">
        <v>502</v>
      </c>
      <c r="B505" s="43">
        <v>42928</v>
      </c>
      <c r="C505" s="42" t="s">
        <v>50</v>
      </c>
      <c r="D505" s="42" t="s">
        <v>296</v>
      </c>
      <c r="E505" s="6">
        <f t="shared" si="373"/>
        <v>-43.897084749999223</v>
      </c>
      <c r="F505" s="5" t="str">
        <f t="shared" si="388"/>
        <v>Loss</v>
      </c>
      <c r="G505" s="4">
        <f t="shared" si="389"/>
        <v>-39.349999999999227</v>
      </c>
      <c r="H505" s="46">
        <v>1</v>
      </c>
      <c r="I505" s="42">
        <v>663.6</v>
      </c>
      <c r="J505" s="42">
        <v>4</v>
      </c>
      <c r="K505" s="42">
        <v>663.8</v>
      </c>
      <c r="L505" s="42">
        <v>5</v>
      </c>
      <c r="M505" s="44">
        <v>663.8</v>
      </c>
      <c r="N505" s="5">
        <f t="shared" si="390"/>
        <v>10</v>
      </c>
      <c r="O505" s="4">
        <f t="shared" si="391"/>
        <v>663.73333333333323</v>
      </c>
      <c r="P505" s="5">
        <f t="shared" si="346"/>
        <v>1</v>
      </c>
      <c r="Q505" s="42">
        <v>665.9</v>
      </c>
      <c r="R505" s="2">
        <f t="shared" si="394"/>
        <v>4</v>
      </c>
      <c r="S505" s="42">
        <v>659.45</v>
      </c>
      <c r="T505" s="2">
        <f t="shared" si="374"/>
        <v>5</v>
      </c>
      <c r="U505" s="44">
        <v>658.95</v>
      </c>
      <c r="V505" s="5">
        <f t="shared" si="392"/>
        <v>10</v>
      </c>
      <c r="W505" s="4">
        <f t="shared" si="393"/>
        <v>661.43333333333328</v>
      </c>
      <c r="X505" s="14">
        <f t="shared" si="347"/>
        <v>2.2999999999999545</v>
      </c>
      <c r="Y505" s="5">
        <f t="shared" si="348"/>
        <v>2.2999999999999545</v>
      </c>
      <c r="Z505" s="2">
        <f t="shared" si="349"/>
        <v>-17.399999999999636</v>
      </c>
      <c r="AA505" s="4">
        <f t="shared" si="350"/>
        <v>-24.249999999999545</v>
      </c>
      <c r="AB505" s="13">
        <f t="shared" si="351"/>
        <v>4.5470847499999998</v>
      </c>
      <c r="AC505" s="10">
        <f>SUM($E$4:E505)</f>
        <v>-17033.858143849207</v>
      </c>
      <c r="AD505" s="20">
        <f>SUM($AB$4:AB505)</f>
        <v>12761.078843849155</v>
      </c>
      <c r="AF505" s="28">
        <f t="shared" si="352"/>
        <v>1.3251666666666664</v>
      </c>
      <c r="AG505" s="2">
        <f t="shared" si="353"/>
        <v>1.6535833333333332</v>
      </c>
      <c r="AH505" s="2">
        <f t="shared" si="354"/>
        <v>0.43067916666666656</v>
      </c>
      <c r="AI505" s="2">
        <f t="shared" si="375"/>
        <v>1.7558458333333329</v>
      </c>
      <c r="AJ505" s="2">
        <f t="shared" si="395"/>
        <v>0.31605224999999992</v>
      </c>
      <c r="AK505" s="2">
        <f t="shared" si="355"/>
        <v>2.6503333333333327E-2</v>
      </c>
      <c r="AL505" s="2">
        <f t="shared" si="356"/>
        <v>0.79509999999999992</v>
      </c>
      <c r="AM505" s="2">
        <f t="shared" si="377"/>
        <v>4.5470847499999998</v>
      </c>
      <c r="AN505" s="2">
        <f t="shared" si="357"/>
        <v>120</v>
      </c>
      <c r="AO505" s="2">
        <f t="shared" si="358"/>
        <v>3.3071666666666664</v>
      </c>
      <c r="AP505" s="2">
        <f t="shared" si="359"/>
        <v>7.0233833333333315</v>
      </c>
      <c r="AQ505" s="2">
        <f t="shared" si="378"/>
        <v>127.02338333333333</v>
      </c>
      <c r="AR505" s="2">
        <f t="shared" si="396"/>
        <v>22.864208999999999</v>
      </c>
      <c r="AS505" s="2">
        <f t="shared" si="360"/>
        <v>2.6503333333333327E-2</v>
      </c>
      <c r="AT505" s="2">
        <f t="shared" si="361"/>
        <v>0.79509999999999992</v>
      </c>
      <c r="AU505" s="2">
        <f t="shared" si="380"/>
        <v>154.01636233333329</v>
      </c>
      <c r="AV505" s="2">
        <f t="shared" si="362"/>
        <v>1.3251666666666664</v>
      </c>
      <c r="AW505" s="2">
        <f t="shared" si="363"/>
        <v>0.66143333333333332</v>
      </c>
      <c r="AX505" s="2">
        <f t="shared" si="364"/>
        <v>0.27828499999999995</v>
      </c>
      <c r="AY505" s="2">
        <f t="shared" si="381"/>
        <v>1.6034516666666663</v>
      </c>
      <c r="AZ505" s="2">
        <f t="shared" si="397"/>
        <v>0.28862129999999991</v>
      </c>
      <c r="BA505" s="2">
        <f t="shared" si="365"/>
        <v>2.6503333333333327E-2</v>
      </c>
      <c r="BB505" s="2">
        <f t="shared" si="366"/>
        <v>0.79509999999999992</v>
      </c>
      <c r="BC505" s="2">
        <f t="shared" si="383"/>
        <v>3.3751096333333326</v>
      </c>
      <c r="BD505" s="2">
        <v>0</v>
      </c>
      <c r="BE505" s="2">
        <f t="shared" si="367"/>
        <v>13.251666666666665</v>
      </c>
      <c r="BF505" s="2">
        <f t="shared" si="368"/>
        <v>0.43067916666666656</v>
      </c>
      <c r="BG505" s="2">
        <f t="shared" si="384"/>
        <v>0.43067916666666656</v>
      </c>
      <c r="BH505" s="2">
        <f t="shared" si="398"/>
        <v>7.7522249999999973E-2</v>
      </c>
      <c r="BI505" s="2">
        <f t="shared" si="369"/>
        <v>2.6503333333333327E-2</v>
      </c>
      <c r="BJ505" s="2">
        <f t="shared" si="370"/>
        <v>0.79509999999999992</v>
      </c>
      <c r="BK505" s="2">
        <f t="shared" si="386"/>
        <v>14.581471416666664</v>
      </c>
      <c r="BL505" s="2">
        <f t="shared" si="371"/>
        <v>6637.3333333333321</v>
      </c>
      <c r="BM505" s="2">
        <f t="shared" si="372"/>
        <v>6614.333333333333</v>
      </c>
      <c r="BN505" s="2">
        <f t="shared" si="387"/>
        <v>13251.666666666664</v>
      </c>
    </row>
    <row r="506" spans="1:66" x14ac:dyDescent="0.25">
      <c r="A506" s="42">
        <v>503</v>
      </c>
      <c r="B506" s="43">
        <v>42929</v>
      </c>
      <c r="C506" s="42" t="s">
        <v>50</v>
      </c>
      <c r="D506" s="42" t="s">
        <v>297</v>
      </c>
      <c r="E506" s="6">
        <f t="shared" si="373"/>
        <v>3.3938226400000113</v>
      </c>
      <c r="F506" s="5" t="str">
        <f t="shared" si="388"/>
        <v>Win</v>
      </c>
      <c r="G506" s="4">
        <f t="shared" si="389"/>
        <v>3.8000000000000114</v>
      </c>
      <c r="H506" s="46">
        <v>1</v>
      </c>
      <c r="I506" s="42">
        <v>294.45</v>
      </c>
      <c r="J506" s="42">
        <v>1</v>
      </c>
      <c r="K506" s="42">
        <v>294.45</v>
      </c>
      <c r="N506" s="5">
        <f t="shared" si="390"/>
        <v>2</v>
      </c>
      <c r="O506" s="4">
        <f t="shared" si="391"/>
        <v>294.45</v>
      </c>
      <c r="P506" s="5">
        <f t="shared" si="346"/>
        <v>1</v>
      </c>
      <c r="Q506" s="42">
        <v>296.75</v>
      </c>
      <c r="R506" s="2">
        <f t="shared" si="394"/>
        <v>1</v>
      </c>
      <c r="S506" s="42">
        <v>295.95</v>
      </c>
      <c r="T506" s="2">
        <f t="shared" si="374"/>
        <v>0</v>
      </c>
      <c r="V506" s="5">
        <f t="shared" si="392"/>
        <v>2</v>
      </c>
      <c r="W506" s="4">
        <f t="shared" si="393"/>
        <v>296.35000000000002</v>
      </c>
      <c r="X506" s="14">
        <f t="shared" si="347"/>
        <v>2.3000000000000114</v>
      </c>
      <c r="Y506" s="5">
        <f t="shared" si="348"/>
        <v>2.3000000000000114</v>
      </c>
      <c r="Z506" s="2">
        <f t="shared" si="349"/>
        <v>1.5</v>
      </c>
      <c r="AA506" s="4">
        <f t="shared" si="350"/>
        <v>0</v>
      </c>
      <c r="AB506" s="13">
        <f t="shared" si="351"/>
        <v>0.40617735999999999</v>
      </c>
      <c r="AC506" s="10">
        <f>SUM($E$4:E506)</f>
        <v>-17030.464321209209</v>
      </c>
      <c r="AD506" s="20">
        <f>SUM($AB$4:AB506)</f>
        <v>12761.485021209155</v>
      </c>
      <c r="AF506" s="28">
        <f t="shared" si="352"/>
        <v>0.11816</v>
      </c>
      <c r="AG506" s="2">
        <f t="shared" si="353"/>
        <v>0.148175</v>
      </c>
      <c r="AH506" s="2">
        <f t="shared" si="354"/>
        <v>3.8401999999999992E-2</v>
      </c>
      <c r="AI506" s="2">
        <f t="shared" si="375"/>
        <v>0.15656199999999998</v>
      </c>
      <c r="AJ506" s="2">
        <f t="shared" si="395"/>
        <v>2.8181159999999997E-2</v>
      </c>
      <c r="AK506" s="2">
        <f t="shared" si="355"/>
        <v>2.3631999999999998E-3</v>
      </c>
      <c r="AL506" s="2">
        <f t="shared" si="356"/>
        <v>7.0896000000000001E-2</v>
      </c>
      <c r="AM506" s="2">
        <f t="shared" si="377"/>
        <v>0.40617735999999999</v>
      </c>
      <c r="AN506" s="2">
        <f t="shared" si="357"/>
        <v>80</v>
      </c>
      <c r="AO506" s="2">
        <f t="shared" si="358"/>
        <v>0.29635</v>
      </c>
      <c r="AP506" s="2">
        <f t="shared" si="359"/>
        <v>0.62624799999999992</v>
      </c>
      <c r="AQ506" s="2">
        <f t="shared" si="378"/>
        <v>80.626248000000004</v>
      </c>
      <c r="AR506" s="2">
        <f t="shared" si="396"/>
        <v>14.51272464</v>
      </c>
      <c r="AS506" s="2">
        <f t="shared" si="360"/>
        <v>2.3631999999999998E-3</v>
      </c>
      <c r="AT506" s="2">
        <f t="shared" si="361"/>
        <v>7.0896000000000001E-2</v>
      </c>
      <c r="AU506" s="2">
        <f t="shared" si="380"/>
        <v>95.508581840000019</v>
      </c>
      <c r="AV506" s="2">
        <f t="shared" si="362"/>
        <v>0.11816</v>
      </c>
      <c r="AW506" s="2">
        <f t="shared" si="363"/>
        <v>5.927000000000001E-2</v>
      </c>
      <c r="AX506" s="2">
        <f t="shared" si="364"/>
        <v>2.4813599999999998E-2</v>
      </c>
      <c r="AY506" s="2">
        <f t="shared" si="381"/>
        <v>0.14297360000000001</v>
      </c>
      <c r="AZ506" s="2">
        <f t="shared" si="397"/>
        <v>2.5735247999999999E-2</v>
      </c>
      <c r="BA506" s="2">
        <f t="shared" si="365"/>
        <v>2.3631999999999998E-3</v>
      </c>
      <c r="BB506" s="2">
        <f t="shared" si="366"/>
        <v>7.0896000000000001E-2</v>
      </c>
      <c r="BC506" s="2">
        <f t="shared" si="383"/>
        <v>0.30123804799999998</v>
      </c>
      <c r="BD506" s="2">
        <v>0</v>
      </c>
      <c r="BE506" s="2">
        <f t="shared" si="367"/>
        <v>1.1816</v>
      </c>
      <c r="BF506" s="2">
        <f t="shared" si="368"/>
        <v>3.8401999999999992E-2</v>
      </c>
      <c r="BG506" s="2">
        <f t="shared" si="384"/>
        <v>3.8401999999999992E-2</v>
      </c>
      <c r="BH506" s="2">
        <f t="shared" si="398"/>
        <v>6.9123599999999985E-3</v>
      </c>
      <c r="BI506" s="2">
        <f t="shared" si="369"/>
        <v>2.3631999999999998E-3</v>
      </c>
      <c r="BJ506" s="2">
        <f t="shared" si="370"/>
        <v>7.0896000000000001E-2</v>
      </c>
      <c r="BK506" s="2">
        <f t="shared" si="386"/>
        <v>1.3001735600000002</v>
      </c>
      <c r="BL506" s="2">
        <f t="shared" si="371"/>
        <v>588.9</v>
      </c>
      <c r="BM506" s="2">
        <f t="shared" si="372"/>
        <v>592.70000000000005</v>
      </c>
      <c r="BN506" s="2">
        <f t="shared" si="387"/>
        <v>1181.5999999999999</v>
      </c>
    </row>
    <row r="507" spans="1:66" x14ac:dyDescent="0.25">
      <c r="A507" s="42">
        <v>504</v>
      </c>
      <c r="B507" s="43">
        <v>42929</v>
      </c>
      <c r="C507" s="42" t="s">
        <v>50</v>
      </c>
      <c r="D507" s="42" t="s">
        <v>298</v>
      </c>
      <c r="E507" s="6">
        <f t="shared" si="373"/>
        <v>-7.4564312462500908</v>
      </c>
      <c r="F507" s="5" t="str">
        <f t="shared" si="388"/>
        <v>Loss</v>
      </c>
      <c r="G507" s="4">
        <f t="shared" si="389"/>
        <v>-4.9000000000000909</v>
      </c>
      <c r="H507" s="46">
        <v>1</v>
      </c>
      <c r="I507" s="42">
        <v>1242</v>
      </c>
      <c r="J507" s="42">
        <v>2</v>
      </c>
      <c r="K507" s="42">
        <v>1242</v>
      </c>
      <c r="N507" s="5">
        <f t="shared" si="390"/>
        <v>3</v>
      </c>
      <c r="O507" s="4">
        <f t="shared" si="391"/>
        <v>1242</v>
      </c>
      <c r="P507" s="5">
        <f t="shared" si="346"/>
        <v>1</v>
      </c>
      <c r="Q507" s="42">
        <v>1240.5999999999999</v>
      </c>
      <c r="R507" s="2">
        <f t="shared" si="394"/>
        <v>2</v>
      </c>
      <c r="S507" s="42">
        <v>1240.25</v>
      </c>
      <c r="T507" s="2">
        <f t="shared" si="374"/>
        <v>0</v>
      </c>
      <c r="V507" s="5">
        <f t="shared" si="392"/>
        <v>3</v>
      </c>
      <c r="W507" s="4">
        <f t="shared" si="393"/>
        <v>1240.425</v>
      </c>
      <c r="X507" s="14">
        <f t="shared" si="347"/>
        <v>-1.4000000000000909</v>
      </c>
      <c r="Y507" s="5">
        <f t="shared" si="348"/>
        <v>-1.4000000000000909</v>
      </c>
      <c r="Z507" s="2">
        <f t="shared" si="349"/>
        <v>-3.5</v>
      </c>
      <c r="AA507" s="4">
        <f t="shared" si="350"/>
        <v>0</v>
      </c>
      <c r="AB507" s="13">
        <f t="shared" si="351"/>
        <v>2.5564312462499998</v>
      </c>
      <c r="AC507" s="10">
        <f>SUM($E$4:E507)</f>
        <v>-17037.920752455459</v>
      </c>
      <c r="AD507" s="20">
        <f>SUM($AB$4:AB507)</f>
        <v>12764.041452455405</v>
      </c>
      <c r="AF507" s="28">
        <f t="shared" si="352"/>
        <v>0.74472749999999999</v>
      </c>
      <c r="AG507" s="2">
        <f t="shared" si="353"/>
        <v>0.93031874999999997</v>
      </c>
      <c r="AH507" s="2">
        <f t="shared" si="354"/>
        <v>0.24203643749999998</v>
      </c>
      <c r="AI507" s="2">
        <f t="shared" si="375"/>
        <v>0.98676393749999991</v>
      </c>
      <c r="AJ507" s="2">
        <f t="shared" si="395"/>
        <v>0.17761750874999999</v>
      </c>
      <c r="AK507" s="2">
        <f t="shared" si="355"/>
        <v>1.4894549999999999E-2</v>
      </c>
      <c r="AL507" s="2">
        <f t="shared" si="356"/>
        <v>0.44683649999999997</v>
      </c>
      <c r="AM507" s="2">
        <f t="shared" si="377"/>
        <v>2.5564312462499998</v>
      </c>
      <c r="AN507" s="2">
        <f t="shared" si="357"/>
        <v>80</v>
      </c>
      <c r="AO507" s="2">
        <f t="shared" si="358"/>
        <v>1.8606374999999999</v>
      </c>
      <c r="AP507" s="2">
        <f t="shared" si="359"/>
        <v>3.9470557499999996</v>
      </c>
      <c r="AQ507" s="2">
        <f t="shared" si="378"/>
        <v>83.947055750000004</v>
      </c>
      <c r="AR507" s="2">
        <f t="shared" si="396"/>
        <v>15.110470035000001</v>
      </c>
      <c r="AS507" s="2">
        <f t="shared" si="360"/>
        <v>1.4894549999999999E-2</v>
      </c>
      <c r="AT507" s="2">
        <f t="shared" si="361"/>
        <v>0.44683649999999997</v>
      </c>
      <c r="AU507" s="2">
        <f t="shared" si="380"/>
        <v>101.379894335</v>
      </c>
      <c r="AV507" s="2">
        <f t="shared" si="362"/>
        <v>0.74472749999999999</v>
      </c>
      <c r="AW507" s="2">
        <f t="shared" si="363"/>
        <v>0.3721275</v>
      </c>
      <c r="AX507" s="2">
        <f t="shared" si="364"/>
        <v>0.15639277499999998</v>
      </c>
      <c r="AY507" s="2">
        <f t="shared" si="381"/>
        <v>0.90112027500000003</v>
      </c>
      <c r="AZ507" s="2">
        <f t="shared" si="397"/>
        <v>0.16220164949999999</v>
      </c>
      <c r="BA507" s="2">
        <f t="shared" si="365"/>
        <v>1.4894549999999999E-2</v>
      </c>
      <c r="BB507" s="2">
        <f t="shared" si="366"/>
        <v>0.44683649999999997</v>
      </c>
      <c r="BC507" s="2">
        <f t="shared" si="383"/>
        <v>1.8971804744999998</v>
      </c>
      <c r="BD507" s="2">
        <v>0</v>
      </c>
      <c r="BE507" s="2">
        <f t="shared" si="367"/>
        <v>7.4472749999999994</v>
      </c>
      <c r="BF507" s="2">
        <f t="shared" si="368"/>
        <v>0.24203643749999998</v>
      </c>
      <c r="BG507" s="2">
        <f t="shared" si="384"/>
        <v>0.24203643749999998</v>
      </c>
      <c r="BH507" s="2">
        <f t="shared" si="398"/>
        <v>4.3566558749999998E-2</v>
      </c>
      <c r="BI507" s="2">
        <f t="shared" si="369"/>
        <v>1.4894549999999999E-2</v>
      </c>
      <c r="BJ507" s="2">
        <f t="shared" si="370"/>
        <v>0.44683649999999997</v>
      </c>
      <c r="BK507" s="2">
        <f t="shared" si="386"/>
        <v>8.194609046250001</v>
      </c>
      <c r="BL507" s="2">
        <f t="shared" si="371"/>
        <v>3726</v>
      </c>
      <c r="BM507" s="2">
        <f t="shared" si="372"/>
        <v>3721.2749999999996</v>
      </c>
      <c r="BN507" s="2">
        <f t="shared" si="387"/>
        <v>7447.2749999999996</v>
      </c>
    </row>
    <row r="508" spans="1:66" x14ac:dyDescent="0.25">
      <c r="A508" s="42">
        <v>505</v>
      </c>
      <c r="B508" s="43">
        <v>42930</v>
      </c>
      <c r="C508" s="42" t="s">
        <v>50</v>
      </c>
      <c r="D508" s="42" t="s">
        <v>296</v>
      </c>
      <c r="E508" s="6">
        <f t="shared" si="373"/>
        <v>-7.0528090200000229</v>
      </c>
      <c r="F508" s="5" t="str">
        <f t="shared" si="388"/>
        <v>Loss</v>
      </c>
      <c r="G508" s="4">
        <f t="shared" si="389"/>
        <v>-6.6000000000000227</v>
      </c>
      <c r="H508" s="46">
        <v>1</v>
      </c>
      <c r="I508" s="42">
        <v>663.9</v>
      </c>
      <c r="N508" s="5">
        <f t="shared" si="390"/>
        <v>1</v>
      </c>
      <c r="O508" s="4">
        <f t="shared" si="391"/>
        <v>663.9</v>
      </c>
      <c r="P508" s="5">
        <f t="shared" si="346"/>
        <v>1</v>
      </c>
      <c r="Q508" s="42">
        <v>657.3</v>
      </c>
      <c r="R508" s="2">
        <f t="shared" si="394"/>
        <v>0</v>
      </c>
      <c r="T508" s="2">
        <f t="shared" si="374"/>
        <v>0</v>
      </c>
      <c r="V508" s="5">
        <f t="shared" si="392"/>
        <v>1</v>
      </c>
      <c r="W508" s="4">
        <f t="shared" si="393"/>
        <v>657.3</v>
      </c>
      <c r="X508" s="14">
        <f t="shared" si="347"/>
        <v>-6.6000000000000227</v>
      </c>
      <c r="Y508" s="5">
        <f t="shared" si="348"/>
        <v>-6.6000000000000227</v>
      </c>
      <c r="Z508" s="2">
        <f t="shared" si="349"/>
        <v>0</v>
      </c>
      <c r="AA508" s="4">
        <f t="shared" si="350"/>
        <v>0</v>
      </c>
      <c r="AB508" s="13">
        <f t="shared" si="351"/>
        <v>0.45280901999999995</v>
      </c>
      <c r="AC508" s="10">
        <f>SUM($E$4:E508)</f>
        <v>-17044.973561475457</v>
      </c>
      <c r="AD508" s="20">
        <f>SUM($AB$4:AB508)</f>
        <v>12764.494261475405</v>
      </c>
      <c r="AF508" s="28">
        <f t="shared" si="352"/>
        <v>0.13211999999999999</v>
      </c>
      <c r="AG508" s="2">
        <f t="shared" si="353"/>
        <v>0.164325</v>
      </c>
      <c r="AH508" s="2">
        <f t="shared" si="354"/>
        <v>4.2938999999999991E-2</v>
      </c>
      <c r="AI508" s="2">
        <f t="shared" si="375"/>
        <v>0.17505899999999996</v>
      </c>
      <c r="AJ508" s="2">
        <f t="shared" si="395"/>
        <v>3.1510619999999989E-2</v>
      </c>
      <c r="AK508" s="2">
        <f t="shared" si="355"/>
        <v>2.6423999999999996E-3</v>
      </c>
      <c r="AL508" s="2">
        <f t="shared" si="356"/>
        <v>7.9271999999999995E-2</v>
      </c>
      <c r="AM508" s="2">
        <f t="shared" si="377"/>
        <v>0.45280901999999995</v>
      </c>
      <c r="AN508" s="2">
        <f t="shared" si="357"/>
        <v>40</v>
      </c>
      <c r="AO508" s="2">
        <f t="shared" si="358"/>
        <v>0.32865</v>
      </c>
      <c r="AP508" s="2">
        <f t="shared" si="359"/>
        <v>0.70023599999999986</v>
      </c>
      <c r="AQ508" s="2">
        <f t="shared" si="378"/>
        <v>40.700235999999997</v>
      </c>
      <c r="AR508" s="2">
        <f t="shared" si="396"/>
        <v>7.326042479999999</v>
      </c>
      <c r="AS508" s="2">
        <f t="shared" si="360"/>
        <v>2.6423999999999996E-3</v>
      </c>
      <c r="AT508" s="2">
        <f t="shared" si="361"/>
        <v>7.9271999999999995E-2</v>
      </c>
      <c r="AU508" s="2">
        <f t="shared" si="380"/>
        <v>48.43684288</v>
      </c>
      <c r="AV508" s="2">
        <f t="shared" si="362"/>
        <v>0.13211999999999999</v>
      </c>
      <c r="AW508" s="2">
        <f t="shared" si="363"/>
        <v>6.5729999999999997E-2</v>
      </c>
      <c r="AX508" s="2">
        <f t="shared" si="364"/>
        <v>2.7745199999999994E-2</v>
      </c>
      <c r="AY508" s="2">
        <f t="shared" si="381"/>
        <v>0.15986519999999999</v>
      </c>
      <c r="AZ508" s="2">
        <f t="shared" si="397"/>
        <v>2.8775735999999996E-2</v>
      </c>
      <c r="BA508" s="2">
        <f t="shared" si="365"/>
        <v>2.6423999999999996E-3</v>
      </c>
      <c r="BB508" s="2">
        <f t="shared" si="366"/>
        <v>7.9271999999999995E-2</v>
      </c>
      <c r="BC508" s="2">
        <f t="shared" si="383"/>
        <v>0.33628533599999993</v>
      </c>
      <c r="BD508" s="2">
        <v>0</v>
      </c>
      <c r="BE508" s="2">
        <f t="shared" si="367"/>
        <v>1.3211999999999999</v>
      </c>
      <c r="BF508" s="2">
        <f t="shared" si="368"/>
        <v>4.2938999999999991E-2</v>
      </c>
      <c r="BG508" s="2">
        <f t="shared" si="384"/>
        <v>4.2938999999999991E-2</v>
      </c>
      <c r="BH508" s="2">
        <f t="shared" si="398"/>
        <v>7.7290199999999979E-3</v>
      </c>
      <c r="BI508" s="2">
        <f t="shared" si="369"/>
        <v>2.6423999999999996E-3</v>
      </c>
      <c r="BJ508" s="2">
        <f t="shared" si="370"/>
        <v>7.9271999999999995E-2</v>
      </c>
      <c r="BK508" s="2">
        <f t="shared" si="386"/>
        <v>1.45378242</v>
      </c>
      <c r="BL508" s="2">
        <f t="shared" si="371"/>
        <v>663.9</v>
      </c>
      <c r="BM508" s="2">
        <f t="shared" si="372"/>
        <v>657.3</v>
      </c>
      <c r="BN508" s="2">
        <f t="shared" si="387"/>
        <v>1321.1999999999998</v>
      </c>
    </row>
    <row r="509" spans="1:66" x14ac:dyDescent="0.25">
      <c r="A509" s="42">
        <v>506</v>
      </c>
      <c r="B509" s="43">
        <v>42930</v>
      </c>
      <c r="C509" s="42" t="s">
        <v>50</v>
      </c>
      <c r="D509" s="42" t="s">
        <v>299</v>
      </c>
      <c r="E509" s="6">
        <f t="shared" si="373"/>
        <v>-9.5396512500000004</v>
      </c>
      <c r="F509" s="5" t="str">
        <f t="shared" si="388"/>
        <v>Loss</v>
      </c>
      <c r="G509" s="4">
        <f t="shared" si="389"/>
        <v>-9</v>
      </c>
      <c r="H509" s="46">
        <v>1</v>
      </c>
      <c r="I509" s="42">
        <v>792</v>
      </c>
      <c r="N509" s="5">
        <f t="shared" si="390"/>
        <v>1</v>
      </c>
      <c r="O509" s="4">
        <f t="shared" si="391"/>
        <v>792</v>
      </c>
      <c r="P509" s="5">
        <f t="shared" si="346"/>
        <v>1</v>
      </c>
      <c r="Q509" s="42">
        <v>783</v>
      </c>
      <c r="R509" s="2">
        <f t="shared" si="394"/>
        <v>0</v>
      </c>
      <c r="T509" s="2">
        <f t="shared" si="374"/>
        <v>0</v>
      </c>
      <c r="V509" s="5">
        <f t="shared" si="392"/>
        <v>1</v>
      </c>
      <c r="W509" s="4">
        <f t="shared" si="393"/>
        <v>783</v>
      </c>
      <c r="X509" s="14">
        <f t="shared" si="347"/>
        <v>-9</v>
      </c>
      <c r="Y509" s="5">
        <f t="shared" si="348"/>
        <v>-9</v>
      </c>
      <c r="Z509" s="2">
        <f t="shared" si="349"/>
        <v>0</v>
      </c>
      <c r="AA509" s="4">
        <f t="shared" si="350"/>
        <v>0</v>
      </c>
      <c r="AB509" s="13">
        <f t="shared" si="351"/>
        <v>0.53965125000000003</v>
      </c>
      <c r="AC509" s="10">
        <f>SUM($E$4:E509)</f>
        <v>-17054.513212725458</v>
      </c>
      <c r="AD509" s="20">
        <f>SUM($AB$4:AB509)</f>
        <v>12765.033912725405</v>
      </c>
      <c r="AF509" s="28">
        <f t="shared" si="352"/>
        <v>0.1575</v>
      </c>
      <c r="AG509" s="2">
        <f t="shared" si="353"/>
        <v>0.19575000000000001</v>
      </c>
      <c r="AH509" s="2">
        <f t="shared" si="354"/>
        <v>5.1187499999999997E-2</v>
      </c>
      <c r="AI509" s="2">
        <f t="shared" si="375"/>
        <v>0.2086875</v>
      </c>
      <c r="AJ509" s="2">
        <f t="shared" si="395"/>
        <v>3.756375E-2</v>
      </c>
      <c r="AK509" s="2">
        <f t="shared" si="355"/>
        <v>3.15E-3</v>
      </c>
      <c r="AL509" s="2">
        <f t="shared" si="356"/>
        <v>9.4500000000000001E-2</v>
      </c>
      <c r="AM509" s="2">
        <f t="shared" si="377"/>
        <v>0.53965125000000003</v>
      </c>
      <c r="AN509" s="2">
        <f t="shared" si="357"/>
        <v>40</v>
      </c>
      <c r="AO509" s="2">
        <f t="shared" si="358"/>
        <v>0.39150000000000001</v>
      </c>
      <c r="AP509" s="2">
        <f t="shared" si="359"/>
        <v>0.83474999999999999</v>
      </c>
      <c r="AQ509" s="2">
        <f t="shared" si="378"/>
        <v>40.83475</v>
      </c>
      <c r="AR509" s="2">
        <f t="shared" si="396"/>
        <v>7.3502549999999998</v>
      </c>
      <c r="AS509" s="2">
        <f t="shared" si="360"/>
        <v>3.15E-3</v>
      </c>
      <c r="AT509" s="2">
        <f t="shared" si="361"/>
        <v>9.4500000000000001E-2</v>
      </c>
      <c r="AU509" s="2">
        <f t="shared" si="380"/>
        <v>48.674154999999992</v>
      </c>
      <c r="AV509" s="2">
        <f t="shared" si="362"/>
        <v>0.1575</v>
      </c>
      <c r="AW509" s="2">
        <f t="shared" si="363"/>
        <v>7.8300000000000008E-2</v>
      </c>
      <c r="AX509" s="2">
        <f t="shared" si="364"/>
        <v>3.3075E-2</v>
      </c>
      <c r="AY509" s="2">
        <f t="shared" si="381"/>
        <v>0.19057499999999999</v>
      </c>
      <c r="AZ509" s="2">
        <f t="shared" si="397"/>
        <v>3.4303500000000001E-2</v>
      </c>
      <c r="BA509" s="2">
        <f t="shared" si="365"/>
        <v>3.15E-3</v>
      </c>
      <c r="BB509" s="2">
        <f t="shared" si="366"/>
        <v>9.4500000000000001E-2</v>
      </c>
      <c r="BC509" s="2">
        <f t="shared" si="383"/>
        <v>0.40082850000000003</v>
      </c>
      <c r="BD509" s="2">
        <v>0</v>
      </c>
      <c r="BE509" s="2">
        <f t="shared" si="367"/>
        <v>1.575</v>
      </c>
      <c r="BF509" s="2">
        <f t="shared" si="368"/>
        <v>5.1187499999999997E-2</v>
      </c>
      <c r="BG509" s="2">
        <f t="shared" si="384"/>
        <v>5.1187499999999997E-2</v>
      </c>
      <c r="BH509" s="2">
        <f t="shared" si="398"/>
        <v>9.2137499999999997E-3</v>
      </c>
      <c r="BI509" s="2">
        <f t="shared" si="369"/>
        <v>3.15E-3</v>
      </c>
      <c r="BJ509" s="2">
        <f t="shared" si="370"/>
        <v>9.4500000000000001E-2</v>
      </c>
      <c r="BK509" s="2">
        <f t="shared" si="386"/>
        <v>1.7330512499999999</v>
      </c>
      <c r="BL509" s="2">
        <f t="shared" si="371"/>
        <v>792</v>
      </c>
      <c r="BM509" s="2">
        <f t="shared" si="372"/>
        <v>783</v>
      </c>
      <c r="BN509" s="2">
        <f t="shared" si="387"/>
        <v>1575</v>
      </c>
    </row>
    <row r="510" spans="1:66" x14ac:dyDescent="0.25">
      <c r="A510" s="42">
        <v>507</v>
      </c>
      <c r="B510" s="43">
        <v>42930</v>
      </c>
      <c r="C510" s="42" t="s">
        <v>50</v>
      </c>
      <c r="D510" s="42" t="s">
        <v>300</v>
      </c>
      <c r="E510" s="6">
        <f t="shared" si="373"/>
        <v>-0.57806878249999716</v>
      </c>
      <c r="F510" s="5" t="str">
        <f t="shared" si="388"/>
        <v>Loss</v>
      </c>
      <c r="G510" s="4">
        <f t="shared" si="389"/>
        <v>-0.54999999999999716</v>
      </c>
      <c r="H510" s="46">
        <v>1</v>
      </c>
      <c r="I510" s="42">
        <v>41.25</v>
      </c>
      <c r="N510" s="5">
        <f t="shared" si="390"/>
        <v>1</v>
      </c>
      <c r="O510" s="4">
        <f t="shared" si="391"/>
        <v>41.25</v>
      </c>
      <c r="P510" s="5">
        <f t="shared" si="346"/>
        <v>1</v>
      </c>
      <c r="Q510" s="42">
        <v>40.700000000000003</v>
      </c>
      <c r="R510" s="2">
        <f t="shared" si="394"/>
        <v>0</v>
      </c>
      <c r="T510" s="2">
        <f t="shared" si="374"/>
        <v>0</v>
      </c>
      <c r="V510" s="5">
        <f t="shared" si="392"/>
        <v>1</v>
      </c>
      <c r="W510" s="4">
        <f t="shared" si="393"/>
        <v>40.700000000000003</v>
      </c>
      <c r="X510" s="14">
        <f t="shared" si="347"/>
        <v>-0.54999999999999716</v>
      </c>
      <c r="Y510" s="5">
        <f t="shared" si="348"/>
        <v>-0.54999999999999716</v>
      </c>
      <c r="Z510" s="2">
        <f t="shared" si="349"/>
        <v>0</v>
      </c>
      <c r="AA510" s="4">
        <f t="shared" si="350"/>
        <v>0</v>
      </c>
      <c r="AB510" s="13">
        <f t="shared" si="351"/>
        <v>2.8068782500000007E-2</v>
      </c>
      <c r="AC510" s="10">
        <f>SUM($E$4:E510)</f>
        <v>-17055.091281507957</v>
      </c>
      <c r="AD510" s="20">
        <f>SUM($AB$4:AB510)</f>
        <v>12765.061981507904</v>
      </c>
      <c r="AF510" s="28">
        <f t="shared" si="352"/>
        <v>8.1950000000000009E-3</v>
      </c>
      <c r="AG510" s="2">
        <f t="shared" si="353"/>
        <v>1.0175000000000002E-2</v>
      </c>
      <c r="AH510" s="2">
        <f t="shared" si="354"/>
        <v>2.6633749999999999E-3</v>
      </c>
      <c r="AI510" s="2">
        <f t="shared" si="375"/>
        <v>1.0858375E-2</v>
      </c>
      <c r="AJ510" s="2">
        <f t="shared" si="395"/>
        <v>1.9545075E-3</v>
      </c>
      <c r="AK510" s="2">
        <f t="shared" si="355"/>
        <v>1.639E-4</v>
      </c>
      <c r="AL510" s="2">
        <f t="shared" si="356"/>
        <v>4.9170000000000004E-3</v>
      </c>
      <c r="AM510" s="2">
        <f t="shared" si="377"/>
        <v>2.8068782500000007E-2</v>
      </c>
      <c r="AN510" s="2">
        <f t="shared" si="357"/>
        <v>40</v>
      </c>
      <c r="AO510" s="2">
        <f t="shared" si="358"/>
        <v>2.0350000000000004E-2</v>
      </c>
      <c r="AP510" s="2">
        <f t="shared" si="359"/>
        <v>4.34335E-2</v>
      </c>
      <c r="AQ510" s="2">
        <f t="shared" si="378"/>
        <v>40.043433499999999</v>
      </c>
      <c r="AR510" s="2">
        <f t="shared" si="396"/>
        <v>7.2078180299999994</v>
      </c>
      <c r="AS510" s="2">
        <f t="shared" si="360"/>
        <v>1.639E-4</v>
      </c>
      <c r="AT510" s="2">
        <f t="shared" si="361"/>
        <v>4.9170000000000004E-3</v>
      </c>
      <c r="AU510" s="2">
        <f t="shared" si="380"/>
        <v>47.276682429999994</v>
      </c>
      <c r="AV510" s="2">
        <f t="shared" si="362"/>
        <v>8.1950000000000009E-3</v>
      </c>
      <c r="AW510" s="2">
        <f t="shared" si="363"/>
        <v>4.0700000000000007E-3</v>
      </c>
      <c r="AX510" s="2">
        <f t="shared" si="364"/>
        <v>1.72095E-3</v>
      </c>
      <c r="AY510" s="2">
        <f t="shared" si="381"/>
        <v>9.9159500000000015E-3</v>
      </c>
      <c r="AZ510" s="2">
        <f t="shared" si="397"/>
        <v>1.7848710000000002E-3</v>
      </c>
      <c r="BA510" s="2">
        <f t="shared" si="365"/>
        <v>1.639E-4</v>
      </c>
      <c r="BB510" s="2">
        <f t="shared" si="366"/>
        <v>4.9170000000000004E-3</v>
      </c>
      <c r="BC510" s="2">
        <f t="shared" si="383"/>
        <v>2.0851721000000004E-2</v>
      </c>
      <c r="BD510" s="2">
        <v>0</v>
      </c>
      <c r="BE510" s="2">
        <f t="shared" si="367"/>
        <v>8.1950000000000009E-2</v>
      </c>
      <c r="BF510" s="2">
        <f t="shared" si="368"/>
        <v>2.6633749999999999E-3</v>
      </c>
      <c r="BG510" s="2">
        <f t="shared" si="384"/>
        <v>2.6633749999999999E-3</v>
      </c>
      <c r="BH510" s="2">
        <f t="shared" si="398"/>
        <v>4.7940749999999995E-4</v>
      </c>
      <c r="BI510" s="2">
        <f t="shared" si="369"/>
        <v>1.639E-4</v>
      </c>
      <c r="BJ510" s="2">
        <f t="shared" si="370"/>
        <v>4.9170000000000004E-3</v>
      </c>
      <c r="BK510" s="2">
        <f t="shared" si="386"/>
        <v>9.0173682500000005E-2</v>
      </c>
      <c r="BL510" s="2">
        <f t="shared" si="371"/>
        <v>41.25</v>
      </c>
      <c r="BM510" s="2">
        <f t="shared" si="372"/>
        <v>40.700000000000003</v>
      </c>
      <c r="BN510" s="2">
        <f t="shared" si="387"/>
        <v>81.95</v>
      </c>
    </row>
    <row r="511" spans="1:66" x14ac:dyDescent="0.25">
      <c r="A511" s="42">
        <v>508</v>
      </c>
      <c r="B511" s="43">
        <v>42930</v>
      </c>
      <c r="C511" s="42" t="s">
        <v>50</v>
      </c>
      <c r="D511" s="42" t="s">
        <v>301</v>
      </c>
      <c r="E511" s="6">
        <f t="shared" si="373"/>
        <v>-0.74976692000000289</v>
      </c>
      <c r="F511" s="5" t="str">
        <f t="shared" si="388"/>
        <v>Loss</v>
      </c>
      <c r="G511" s="4">
        <f t="shared" si="389"/>
        <v>-0.70000000000000284</v>
      </c>
      <c r="H511" s="46">
        <v>1</v>
      </c>
      <c r="I511" s="42">
        <v>72.95</v>
      </c>
      <c r="N511" s="5">
        <f t="shared" si="390"/>
        <v>1</v>
      </c>
      <c r="O511" s="4">
        <f t="shared" si="391"/>
        <v>72.95</v>
      </c>
      <c r="P511" s="5">
        <f t="shared" si="346"/>
        <v>1</v>
      </c>
      <c r="Q511" s="42">
        <v>72.25</v>
      </c>
      <c r="R511" s="2">
        <f t="shared" si="394"/>
        <v>0</v>
      </c>
      <c r="T511" s="2">
        <f t="shared" si="374"/>
        <v>0</v>
      </c>
      <c r="V511" s="5">
        <f t="shared" si="392"/>
        <v>1</v>
      </c>
      <c r="W511" s="4">
        <f t="shared" si="393"/>
        <v>72.25</v>
      </c>
      <c r="X511" s="14">
        <f t="shared" si="347"/>
        <v>-0.70000000000000284</v>
      </c>
      <c r="Y511" s="5">
        <f t="shared" si="348"/>
        <v>-0.70000000000000284</v>
      </c>
      <c r="Z511" s="2">
        <f t="shared" si="349"/>
        <v>0</v>
      </c>
      <c r="AA511" s="4">
        <f t="shared" si="350"/>
        <v>0</v>
      </c>
      <c r="AB511" s="13">
        <f t="shared" si="351"/>
        <v>4.9766919999999999E-2</v>
      </c>
      <c r="AC511" s="10">
        <f>SUM($E$4:E511)</f>
        <v>-17055.841048427956</v>
      </c>
      <c r="AD511" s="20">
        <f>SUM($AB$4:AB511)</f>
        <v>12765.111748427904</v>
      </c>
      <c r="AF511" s="28">
        <f t="shared" si="352"/>
        <v>1.452E-2</v>
      </c>
      <c r="AG511" s="2">
        <f t="shared" si="353"/>
        <v>1.8062499999999999E-2</v>
      </c>
      <c r="AH511" s="2">
        <f t="shared" si="354"/>
        <v>4.7189999999999992E-3</v>
      </c>
      <c r="AI511" s="2">
        <f t="shared" si="375"/>
        <v>1.9238999999999999E-2</v>
      </c>
      <c r="AJ511" s="2">
        <f t="shared" si="395"/>
        <v>3.4630199999999998E-3</v>
      </c>
      <c r="AK511" s="2">
        <f t="shared" si="355"/>
        <v>2.9039999999999996E-4</v>
      </c>
      <c r="AL511" s="2">
        <f t="shared" si="356"/>
        <v>8.7119999999999993E-3</v>
      </c>
      <c r="AM511" s="2">
        <f t="shared" si="377"/>
        <v>4.9766919999999999E-2</v>
      </c>
      <c r="AN511" s="2">
        <f t="shared" si="357"/>
        <v>40</v>
      </c>
      <c r="AO511" s="2">
        <f t="shared" si="358"/>
        <v>3.6124999999999997E-2</v>
      </c>
      <c r="AP511" s="2">
        <f t="shared" si="359"/>
        <v>7.6955999999999997E-2</v>
      </c>
      <c r="AQ511" s="2">
        <f t="shared" si="378"/>
        <v>40.076956000000003</v>
      </c>
      <c r="AR511" s="2">
        <f t="shared" si="396"/>
        <v>7.2138520800000006</v>
      </c>
      <c r="AS511" s="2">
        <f t="shared" si="360"/>
        <v>2.9039999999999996E-4</v>
      </c>
      <c r="AT511" s="2">
        <f t="shared" si="361"/>
        <v>8.7119999999999993E-3</v>
      </c>
      <c r="AU511" s="2">
        <f t="shared" si="380"/>
        <v>47.335935480000003</v>
      </c>
      <c r="AV511" s="2">
        <f t="shared" si="362"/>
        <v>1.452E-2</v>
      </c>
      <c r="AW511" s="2">
        <f t="shared" si="363"/>
        <v>7.2250000000000005E-3</v>
      </c>
      <c r="AX511" s="2">
        <f t="shared" si="364"/>
        <v>3.0491999999999997E-3</v>
      </c>
      <c r="AY511" s="2">
        <f t="shared" si="381"/>
        <v>1.75692E-2</v>
      </c>
      <c r="AZ511" s="2">
        <f t="shared" si="397"/>
        <v>3.1624559999999997E-3</v>
      </c>
      <c r="BA511" s="2">
        <f t="shared" si="365"/>
        <v>2.9039999999999996E-4</v>
      </c>
      <c r="BB511" s="2">
        <f t="shared" si="366"/>
        <v>8.7119999999999993E-3</v>
      </c>
      <c r="BC511" s="2">
        <f t="shared" si="383"/>
        <v>3.6959055999999997E-2</v>
      </c>
      <c r="BD511" s="2">
        <v>0</v>
      </c>
      <c r="BE511" s="2">
        <f t="shared" si="367"/>
        <v>0.1452</v>
      </c>
      <c r="BF511" s="2">
        <f t="shared" si="368"/>
        <v>4.7189999999999992E-3</v>
      </c>
      <c r="BG511" s="2">
        <f t="shared" si="384"/>
        <v>4.7189999999999992E-3</v>
      </c>
      <c r="BH511" s="2">
        <f t="shared" si="398"/>
        <v>8.4941999999999982E-4</v>
      </c>
      <c r="BI511" s="2">
        <f t="shared" si="369"/>
        <v>2.9039999999999996E-4</v>
      </c>
      <c r="BJ511" s="2">
        <f t="shared" si="370"/>
        <v>8.7119999999999993E-3</v>
      </c>
      <c r="BK511" s="2">
        <f t="shared" si="386"/>
        <v>0.15977081999999998</v>
      </c>
      <c r="BL511" s="2">
        <f t="shared" si="371"/>
        <v>72.95</v>
      </c>
      <c r="BM511" s="2">
        <f t="shared" si="372"/>
        <v>72.25</v>
      </c>
      <c r="BN511" s="2">
        <f t="shared" si="387"/>
        <v>145.19999999999999</v>
      </c>
    </row>
    <row r="512" spans="1:66" x14ac:dyDescent="0.25">
      <c r="A512" s="42">
        <v>509</v>
      </c>
      <c r="B512" s="43">
        <v>42930</v>
      </c>
      <c r="C512" s="42" t="s">
        <v>50</v>
      </c>
      <c r="D512" s="42" t="s">
        <v>302</v>
      </c>
      <c r="E512" s="6">
        <f t="shared" si="373"/>
        <v>-1.3606599625</v>
      </c>
      <c r="F512" s="5" t="str">
        <f t="shared" si="388"/>
        <v>Loss</v>
      </c>
      <c r="G512" s="4">
        <f t="shared" si="389"/>
        <v>-1.25</v>
      </c>
      <c r="H512" s="46">
        <v>1</v>
      </c>
      <c r="I512" s="42">
        <v>162</v>
      </c>
      <c r="N512" s="5">
        <f t="shared" si="390"/>
        <v>1</v>
      </c>
      <c r="O512" s="4">
        <f t="shared" si="391"/>
        <v>162</v>
      </c>
      <c r="P512" s="5">
        <f t="shared" si="346"/>
        <v>1</v>
      </c>
      <c r="Q512" s="42">
        <v>160.75</v>
      </c>
      <c r="R512" s="2">
        <f t="shared" si="394"/>
        <v>0</v>
      </c>
      <c r="T512" s="2">
        <f t="shared" si="374"/>
        <v>0</v>
      </c>
      <c r="V512" s="5">
        <f t="shared" si="392"/>
        <v>1</v>
      </c>
      <c r="W512" s="4">
        <f t="shared" si="393"/>
        <v>160.75</v>
      </c>
      <c r="X512" s="14">
        <f t="shared" si="347"/>
        <v>-1.25</v>
      </c>
      <c r="Y512" s="5">
        <f t="shared" si="348"/>
        <v>-1.25</v>
      </c>
      <c r="Z512" s="2">
        <f t="shared" si="349"/>
        <v>0</v>
      </c>
      <c r="AA512" s="4">
        <f t="shared" si="350"/>
        <v>0</v>
      </c>
      <c r="AB512" s="13">
        <f t="shared" si="351"/>
        <v>0.11065996249999999</v>
      </c>
      <c r="AC512" s="10">
        <f>SUM($E$4:E512)</f>
        <v>-17057.201708390457</v>
      </c>
      <c r="AD512" s="20">
        <f>SUM($AB$4:AB512)</f>
        <v>12765.222408390404</v>
      </c>
      <c r="AF512" s="28">
        <f t="shared" si="352"/>
        <v>3.2274999999999998E-2</v>
      </c>
      <c r="AG512" s="2">
        <f t="shared" si="353"/>
        <v>4.0187500000000001E-2</v>
      </c>
      <c r="AH512" s="2">
        <f t="shared" si="354"/>
        <v>1.0489374999999999E-2</v>
      </c>
      <c r="AI512" s="2">
        <f t="shared" si="375"/>
        <v>4.2764374999999993E-2</v>
      </c>
      <c r="AJ512" s="2">
        <f t="shared" si="395"/>
        <v>7.6975874999999985E-3</v>
      </c>
      <c r="AK512" s="2">
        <f t="shared" si="355"/>
        <v>6.4550000000000002E-4</v>
      </c>
      <c r="AL512" s="2">
        <f t="shared" si="356"/>
        <v>1.9365E-2</v>
      </c>
      <c r="AM512" s="2">
        <f t="shared" si="377"/>
        <v>0.11065996249999999</v>
      </c>
      <c r="AN512" s="2">
        <f t="shared" si="357"/>
        <v>40</v>
      </c>
      <c r="AO512" s="2">
        <f t="shared" si="358"/>
        <v>8.0375000000000002E-2</v>
      </c>
      <c r="AP512" s="2">
        <f t="shared" si="359"/>
        <v>0.1710575</v>
      </c>
      <c r="AQ512" s="2">
        <f t="shared" si="378"/>
        <v>40.171057500000003</v>
      </c>
      <c r="AR512" s="2">
        <f t="shared" si="396"/>
        <v>7.2307903500000004</v>
      </c>
      <c r="AS512" s="2">
        <f t="shared" si="360"/>
        <v>6.4550000000000002E-4</v>
      </c>
      <c r="AT512" s="2">
        <f t="shared" si="361"/>
        <v>1.9365E-2</v>
      </c>
      <c r="AU512" s="2">
        <f t="shared" si="380"/>
        <v>47.502233349999997</v>
      </c>
      <c r="AV512" s="2">
        <f t="shared" si="362"/>
        <v>3.2274999999999998E-2</v>
      </c>
      <c r="AW512" s="2">
        <f t="shared" si="363"/>
        <v>1.6075000000000002E-2</v>
      </c>
      <c r="AX512" s="2">
        <f t="shared" si="364"/>
        <v>6.7777499999999999E-3</v>
      </c>
      <c r="AY512" s="2">
        <f t="shared" si="381"/>
        <v>3.9052749999999997E-2</v>
      </c>
      <c r="AZ512" s="2">
        <f t="shared" si="397"/>
        <v>7.0294949999999993E-3</v>
      </c>
      <c r="BA512" s="2">
        <f t="shared" si="365"/>
        <v>6.4550000000000002E-4</v>
      </c>
      <c r="BB512" s="2">
        <f t="shared" si="366"/>
        <v>1.9365E-2</v>
      </c>
      <c r="BC512" s="2">
        <f t="shared" si="383"/>
        <v>8.2167744999999986E-2</v>
      </c>
      <c r="BD512" s="2">
        <v>0</v>
      </c>
      <c r="BE512" s="2">
        <f t="shared" si="367"/>
        <v>0.32274999999999998</v>
      </c>
      <c r="BF512" s="2">
        <f t="shared" si="368"/>
        <v>1.0489374999999999E-2</v>
      </c>
      <c r="BG512" s="2">
        <f t="shared" si="384"/>
        <v>1.0489374999999999E-2</v>
      </c>
      <c r="BH512" s="2">
        <f t="shared" si="398"/>
        <v>1.8880874999999996E-3</v>
      </c>
      <c r="BI512" s="2">
        <f t="shared" si="369"/>
        <v>6.4550000000000002E-4</v>
      </c>
      <c r="BJ512" s="2">
        <f t="shared" si="370"/>
        <v>1.9365E-2</v>
      </c>
      <c r="BK512" s="2">
        <f t="shared" si="386"/>
        <v>0.35513796250000007</v>
      </c>
      <c r="BL512" s="2">
        <f t="shared" si="371"/>
        <v>162</v>
      </c>
      <c r="BM512" s="2">
        <f t="shared" si="372"/>
        <v>160.75</v>
      </c>
      <c r="BN512" s="2">
        <f t="shared" si="387"/>
        <v>322.75</v>
      </c>
    </row>
    <row r="513" spans="1:66" x14ac:dyDescent="0.25">
      <c r="A513" s="42">
        <v>510</v>
      </c>
      <c r="B513" s="43">
        <v>42930</v>
      </c>
      <c r="C513" s="42" t="s">
        <v>50</v>
      </c>
      <c r="D513" s="42" t="s">
        <v>244</v>
      </c>
      <c r="E513" s="6">
        <f t="shared" si="373"/>
        <v>2.7553696437500341</v>
      </c>
      <c r="F513" s="5" t="str">
        <f t="shared" si="388"/>
        <v>Win</v>
      </c>
      <c r="G513" s="4">
        <f t="shared" si="389"/>
        <v>4.1500000000000341</v>
      </c>
      <c r="H513" s="46">
        <v>1</v>
      </c>
      <c r="I513" s="42">
        <v>403.75</v>
      </c>
      <c r="J513" s="42">
        <v>4</v>
      </c>
      <c r="K513" s="42">
        <v>406.4</v>
      </c>
      <c r="N513" s="5">
        <f t="shared" si="390"/>
        <v>5</v>
      </c>
      <c r="O513" s="4">
        <f t="shared" si="391"/>
        <v>405.07499999999999</v>
      </c>
      <c r="P513" s="5">
        <f t="shared" si="346"/>
        <v>1</v>
      </c>
      <c r="Q513" s="42">
        <v>406.7</v>
      </c>
      <c r="R513" s="2">
        <f t="shared" si="394"/>
        <v>4</v>
      </c>
      <c r="S513" s="42">
        <v>406.7</v>
      </c>
      <c r="T513" s="2">
        <f t="shared" si="374"/>
        <v>0</v>
      </c>
      <c r="V513" s="5">
        <f t="shared" si="392"/>
        <v>5</v>
      </c>
      <c r="W513" s="4">
        <f t="shared" si="393"/>
        <v>406.7</v>
      </c>
      <c r="X513" s="14">
        <f t="shared" si="347"/>
        <v>2.9499999999999886</v>
      </c>
      <c r="Y513" s="5">
        <f t="shared" si="348"/>
        <v>2.9499999999999886</v>
      </c>
      <c r="Z513" s="2">
        <f t="shared" si="349"/>
        <v>1.2000000000000455</v>
      </c>
      <c r="AA513" s="4">
        <f t="shared" si="350"/>
        <v>0</v>
      </c>
      <c r="AB513" s="13">
        <f t="shared" si="351"/>
        <v>1.39463035625</v>
      </c>
      <c r="AC513" s="10">
        <f>SUM($E$4:E513)</f>
        <v>-17054.446338746708</v>
      </c>
      <c r="AD513" s="20">
        <f>SUM($AB$4:AB513)</f>
        <v>12766.617038746654</v>
      </c>
      <c r="AF513" s="28">
        <f t="shared" si="352"/>
        <v>0.40588750000000001</v>
      </c>
      <c r="AG513" s="2">
        <f t="shared" si="353"/>
        <v>0.50837500000000002</v>
      </c>
      <c r="AH513" s="2">
        <f t="shared" si="354"/>
        <v>0.13191343749999998</v>
      </c>
      <c r="AI513" s="2">
        <f t="shared" si="375"/>
        <v>0.53780093750000002</v>
      </c>
      <c r="AJ513" s="2">
        <f t="shared" si="395"/>
        <v>9.6804168750000003E-2</v>
      </c>
      <c r="AK513" s="2">
        <f t="shared" si="355"/>
        <v>8.11775E-3</v>
      </c>
      <c r="AL513" s="2">
        <f t="shared" si="356"/>
        <v>0.24353250000000001</v>
      </c>
      <c r="AM513" s="2">
        <f t="shared" si="377"/>
        <v>1.39463035625</v>
      </c>
      <c r="AN513" s="2">
        <f t="shared" si="357"/>
        <v>80</v>
      </c>
      <c r="AO513" s="2">
        <f t="shared" si="358"/>
        <v>1.01675</v>
      </c>
      <c r="AP513" s="2">
        <f t="shared" si="359"/>
        <v>2.1512037500000001</v>
      </c>
      <c r="AQ513" s="2">
        <f t="shared" si="378"/>
        <v>82.151203749999993</v>
      </c>
      <c r="AR513" s="2">
        <f t="shared" si="396"/>
        <v>14.787216674999998</v>
      </c>
      <c r="AS513" s="2">
        <f t="shared" si="360"/>
        <v>8.11775E-3</v>
      </c>
      <c r="AT513" s="2">
        <f t="shared" si="361"/>
        <v>0.24353250000000001</v>
      </c>
      <c r="AU513" s="2">
        <f t="shared" si="380"/>
        <v>98.206820674999989</v>
      </c>
      <c r="AV513" s="2">
        <f t="shared" si="362"/>
        <v>0.40588750000000001</v>
      </c>
      <c r="AW513" s="2">
        <f t="shared" si="363"/>
        <v>0.20335</v>
      </c>
      <c r="AX513" s="2">
        <f t="shared" si="364"/>
        <v>8.5236374999999989E-2</v>
      </c>
      <c r="AY513" s="2">
        <f t="shared" si="381"/>
        <v>0.49112387499999999</v>
      </c>
      <c r="AZ513" s="2">
        <f t="shared" si="397"/>
        <v>8.8402297499999991E-2</v>
      </c>
      <c r="BA513" s="2">
        <f t="shared" si="365"/>
        <v>8.11775E-3</v>
      </c>
      <c r="BB513" s="2">
        <f t="shared" si="366"/>
        <v>0.24353250000000001</v>
      </c>
      <c r="BC513" s="2">
        <f t="shared" si="383"/>
        <v>1.0345264224999999</v>
      </c>
      <c r="BD513" s="2">
        <v>0</v>
      </c>
      <c r="BE513" s="2">
        <f t="shared" si="367"/>
        <v>4.0588750000000005</v>
      </c>
      <c r="BF513" s="2">
        <f t="shared" si="368"/>
        <v>0.13191343749999998</v>
      </c>
      <c r="BG513" s="2">
        <f t="shared" si="384"/>
        <v>0.13191343749999998</v>
      </c>
      <c r="BH513" s="2">
        <f t="shared" si="398"/>
        <v>2.3744418749999996E-2</v>
      </c>
      <c r="BI513" s="2">
        <f t="shared" si="369"/>
        <v>8.11775E-3</v>
      </c>
      <c r="BJ513" s="2">
        <f t="shared" si="370"/>
        <v>0.24353250000000001</v>
      </c>
      <c r="BK513" s="2">
        <f t="shared" si="386"/>
        <v>4.4661831062499999</v>
      </c>
      <c r="BL513" s="2">
        <f t="shared" si="371"/>
        <v>2025.375</v>
      </c>
      <c r="BM513" s="2">
        <f t="shared" si="372"/>
        <v>2033.5</v>
      </c>
      <c r="BN513" s="2">
        <f t="shared" si="387"/>
        <v>4058.875</v>
      </c>
    </row>
    <row r="514" spans="1:66" x14ac:dyDescent="0.25">
      <c r="A514" s="42">
        <v>511</v>
      </c>
      <c r="B514" s="43">
        <v>42930</v>
      </c>
      <c r="C514" s="42" t="s">
        <v>50</v>
      </c>
      <c r="D514" s="42" t="s">
        <v>303</v>
      </c>
      <c r="E514" s="6">
        <f t="shared" si="373"/>
        <v>-2.5365209950000116</v>
      </c>
      <c r="F514" s="5" t="str">
        <f t="shared" si="388"/>
        <v>Loss</v>
      </c>
      <c r="G514" s="4">
        <f t="shared" si="389"/>
        <v>-2.3000000000000114</v>
      </c>
      <c r="H514" s="46">
        <v>1</v>
      </c>
      <c r="I514" s="42">
        <v>346</v>
      </c>
      <c r="N514" s="5">
        <f t="shared" si="390"/>
        <v>1</v>
      </c>
      <c r="O514" s="4">
        <f t="shared" si="391"/>
        <v>346</v>
      </c>
      <c r="P514" s="5">
        <f t="shared" si="346"/>
        <v>1</v>
      </c>
      <c r="Q514" s="42">
        <v>343.7</v>
      </c>
      <c r="R514" s="2">
        <f t="shared" si="394"/>
        <v>0</v>
      </c>
      <c r="T514" s="2">
        <f t="shared" si="374"/>
        <v>0</v>
      </c>
      <c r="V514" s="5">
        <f t="shared" si="392"/>
        <v>1</v>
      </c>
      <c r="W514" s="4">
        <f t="shared" si="393"/>
        <v>343.7</v>
      </c>
      <c r="X514" s="14">
        <f t="shared" si="347"/>
        <v>-2.3000000000000114</v>
      </c>
      <c r="Y514" s="5">
        <f t="shared" si="348"/>
        <v>-2.3000000000000114</v>
      </c>
      <c r="Z514" s="2">
        <f t="shared" si="349"/>
        <v>0</v>
      </c>
      <c r="AA514" s="4">
        <f t="shared" si="350"/>
        <v>0</v>
      </c>
      <c r="AB514" s="13">
        <f t="shared" si="351"/>
        <v>0.23652099500000001</v>
      </c>
      <c r="AC514" s="10">
        <f>SUM($E$4:E514)</f>
        <v>-17056.982859741707</v>
      </c>
      <c r="AD514" s="20">
        <f>SUM($AB$4:AB514)</f>
        <v>12766.853559741654</v>
      </c>
      <c r="AF514" s="28">
        <f t="shared" si="352"/>
        <v>6.8970000000000004E-2</v>
      </c>
      <c r="AG514" s="2">
        <f t="shared" si="353"/>
        <v>8.5925000000000001E-2</v>
      </c>
      <c r="AH514" s="2">
        <f t="shared" si="354"/>
        <v>2.2415250000000001E-2</v>
      </c>
      <c r="AI514" s="2">
        <f t="shared" si="375"/>
        <v>9.1385250000000001E-2</v>
      </c>
      <c r="AJ514" s="2">
        <f t="shared" si="395"/>
        <v>1.6449345000000001E-2</v>
      </c>
      <c r="AK514" s="2">
        <f t="shared" si="355"/>
        <v>1.3794E-3</v>
      </c>
      <c r="AL514" s="2">
        <f t="shared" si="356"/>
        <v>4.1382000000000002E-2</v>
      </c>
      <c r="AM514" s="2">
        <f t="shared" si="377"/>
        <v>0.23652099500000001</v>
      </c>
      <c r="AN514" s="2">
        <f t="shared" si="357"/>
        <v>40</v>
      </c>
      <c r="AO514" s="2">
        <f t="shared" si="358"/>
        <v>0.17185</v>
      </c>
      <c r="AP514" s="2">
        <f t="shared" si="359"/>
        <v>0.365541</v>
      </c>
      <c r="AQ514" s="2">
        <f t="shared" si="378"/>
        <v>40.365541</v>
      </c>
      <c r="AR514" s="2">
        <f t="shared" si="396"/>
        <v>7.2657973799999995</v>
      </c>
      <c r="AS514" s="2">
        <f t="shared" si="360"/>
        <v>1.3794E-3</v>
      </c>
      <c r="AT514" s="2">
        <f t="shared" si="361"/>
        <v>4.1382000000000002E-2</v>
      </c>
      <c r="AU514" s="2">
        <f t="shared" si="380"/>
        <v>47.845949779999998</v>
      </c>
      <c r="AV514" s="2">
        <f t="shared" si="362"/>
        <v>6.8970000000000004E-2</v>
      </c>
      <c r="AW514" s="2">
        <f t="shared" si="363"/>
        <v>3.4369999999999998E-2</v>
      </c>
      <c r="AX514" s="2">
        <f t="shared" si="364"/>
        <v>1.44837E-2</v>
      </c>
      <c r="AY514" s="2">
        <f t="shared" si="381"/>
        <v>8.3453700000000006E-2</v>
      </c>
      <c r="AZ514" s="2">
        <f t="shared" si="397"/>
        <v>1.5021666000000001E-2</v>
      </c>
      <c r="BA514" s="2">
        <f t="shared" si="365"/>
        <v>1.3794E-3</v>
      </c>
      <c r="BB514" s="2">
        <f t="shared" si="366"/>
        <v>4.1382000000000002E-2</v>
      </c>
      <c r="BC514" s="2">
        <f t="shared" si="383"/>
        <v>0.175606766</v>
      </c>
      <c r="BD514" s="2">
        <v>0</v>
      </c>
      <c r="BE514" s="2">
        <f t="shared" si="367"/>
        <v>0.68970000000000009</v>
      </c>
      <c r="BF514" s="2">
        <f t="shared" si="368"/>
        <v>2.2415250000000001E-2</v>
      </c>
      <c r="BG514" s="2">
        <f t="shared" si="384"/>
        <v>2.2415250000000001E-2</v>
      </c>
      <c r="BH514" s="2">
        <f t="shared" si="398"/>
        <v>4.0347450000000002E-3</v>
      </c>
      <c r="BI514" s="2">
        <f t="shared" si="369"/>
        <v>1.3794E-3</v>
      </c>
      <c r="BJ514" s="2">
        <f t="shared" si="370"/>
        <v>4.1382000000000002E-2</v>
      </c>
      <c r="BK514" s="2">
        <f t="shared" si="386"/>
        <v>0.75891139500000016</v>
      </c>
      <c r="BL514" s="2">
        <f t="shared" si="371"/>
        <v>346</v>
      </c>
      <c r="BM514" s="2">
        <f t="shared" si="372"/>
        <v>343.7</v>
      </c>
      <c r="BN514" s="2">
        <f t="shared" si="387"/>
        <v>689.7</v>
      </c>
    </row>
    <row r="515" spans="1:66" x14ac:dyDescent="0.25">
      <c r="A515" s="42">
        <v>512</v>
      </c>
      <c r="B515" s="43">
        <v>42930</v>
      </c>
      <c r="C515" s="42" t="s">
        <v>50</v>
      </c>
      <c r="D515" s="42" t="s">
        <v>304</v>
      </c>
      <c r="E515" s="6">
        <f t="shared" si="373"/>
        <v>-2.6731742949999546</v>
      </c>
      <c r="F515" s="5" t="str">
        <f t="shared" si="388"/>
        <v>Loss</v>
      </c>
      <c r="G515" s="4">
        <f t="shared" si="389"/>
        <v>-2.2999999999999545</v>
      </c>
      <c r="H515" s="46">
        <v>1</v>
      </c>
      <c r="I515" s="42">
        <v>545</v>
      </c>
      <c r="N515" s="5">
        <f t="shared" si="390"/>
        <v>1</v>
      </c>
      <c r="O515" s="4">
        <f t="shared" si="391"/>
        <v>545</v>
      </c>
      <c r="P515" s="5">
        <f t="shared" si="346"/>
        <v>1</v>
      </c>
      <c r="Q515" s="42">
        <v>542.70000000000005</v>
      </c>
      <c r="R515" s="2">
        <f t="shared" si="394"/>
        <v>0</v>
      </c>
      <c r="T515" s="2">
        <f t="shared" si="374"/>
        <v>0</v>
      </c>
      <c r="V515" s="5">
        <f t="shared" si="392"/>
        <v>1</v>
      </c>
      <c r="W515" s="4">
        <f t="shared" si="393"/>
        <v>542.70000000000005</v>
      </c>
      <c r="X515" s="14">
        <f t="shared" si="347"/>
        <v>-2.2999999999999545</v>
      </c>
      <c r="Y515" s="5">
        <f t="shared" si="348"/>
        <v>-2.2999999999999545</v>
      </c>
      <c r="Z515" s="2">
        <f t="shared" si="349"/>
        <v>0</v>
      </c>
      <c r="AA515" s="4">
        <f t="shared" si="350"/>
        <v>0</v>
      </c>
      <c r="AB515" s="13">
        <f t="shared" si="351"/>
        <v>0.37317429500000004</v>
      </c>
      <c r="AC515" s="10">
        <f>SUM($E$4:E515)</f>
        <v>-17059.656034036707</v>
      </c>
      <c r="AD515" s="20">
        <f>SUM($AB$4:AB515)</f>
        <v>12767.226734036654</v>
      </c>
      <c r="AF515" s="28">
        <f t="shared" si="352"/>
        <v>0.10877000000000001</v>
      </c>
      <c r="AG515" s="2">
        <f t="shared" si="353"/>
        <v>0.13567500000000002</v>
      </c>
      <c r="AH515" s="2">
        <f t="shared" si="354"/>
        <v>3.535025E-2</v>
      </c>
      <c r="AI515" s="2">
        <f t="shared" si="375"/>
        <v>0.14412025000000001</v>
      </c>
      <c r="AJ515" s="2">
        <f t="shared" si="395"/>
        <v>2.5941644999999999E-2</v>
      </c>
      <c r="AK515" s="2">
        <f t="shared" si="355"/>
        <v>2.1754000000000001E-3</v>
      </c>
      <c r="AL515" s="2">
        <f t="shared" si="356"/>
        <v>6.5262000000000001E-2</v>
      </c>
      <c r="AM515" s="2">
        <f t="shared" si="377"/>
        <v>0.37317429500000004</v>
      </c>
      <c r="AN515" s="2">
        <f t="shared" si="357"/>
        <v>40</v>
      </c>
      <c r="AO515" s="2">
        <f t="shared" si="358"/>
        <v>0.27135000000000004</v>
      </c>
      <c r="AP515" s="2">
        <f t="shared" si="359"/>
        <v>0.57648100000000002</v>
      </c>
      <c r="AQ515" s="2">
        <f t="shared" si="378"/>
        <v>40.576481000000001</v>
      </c>
      <c r="AR515" s="2">
        <f t="shared" si="396"/>
        <v>7.3037665799999996</v>
      </c>
      <c r="AS515" s="2">
        <f t="shared" si="360"/>
        <v>2.1754000000000001E-3</v>
      </c>
      <c r="AT515" s="2">
        <f t="shared" si="361"/>
        <v>6.5262000000000001E-2</v>
      </c>
      <c r="AU515" s="2">
        <f t="shared" si="380"/>
        <v>48.219034979999996</v>
      </c>
      <c r="AV515" s="2">
        <f t="shared" si="362"/>
        <v>0.10877000000000001</v>
      </c>
      <c r="AW515" s="2">
        <f t="shared" si="363"/>
        <v>5.4270000000000006E-2</v>
      </c>
      <c r="AX515" s="2">
        <f t="shared" si="364"/>
        <v>2.28417E-2</v>
      </c>
      <c r="AY515" s="2">
        <f t="shared" si="381"/>
        <v>0.1316117</v>
      </c>
      <c r="AZ515" s="2">
        <f t="shared" si="397"/>
        <v>2.3690105999999999E-2</v>
      </c>
      <c r="BA515" s="2">
        <f t="shared" si="365"/>
        <v>2.1754000000000001E-3</v>
      </c>
      <c r="BB515" s="2">
        <f t="shared" si="366"/>
        <v>6.5262000000000001E-2</v>
      </c>
      <c r="BC515" s="2">
        <f t="shared" si="383"/>
        <v>0.27700920600000001</v>
      </c>
      <c r="BD515" s="2">
        <v>0</v>
      </c>
      <c r="BE515" s="2">
        <f t="shared" si="367"/>
        <v>1.0877000000000001</v>
      </c>
      <c r="BF515" s="2">
        <f t="shared" si="368"/>
        <v>3.535025E-2</v>
      </c>
      <c r="BG515" s="2">
        <f t="shared" si="384"/>
        <v>3.535025E-2</v>
      </c>
      <c r="BH515" s="2">
        <f t="shared" si="398"/>
        <v>6.3630449999999995E-3</v>
      </c>
      <c r="BI515" s="2">
        <f t="shared" si="369"/>
        <v>2.1754000000000001E-3</v>
      </c>
      <c r="BJ515" s="2">
        <f t="shared" si="370"/>
        <v>6.5262000000000001E-2</v>
      </c>
      <c r="BK515" s="2">
        <f t="shared" si="386"/>
        <v>1.1968506950000002</v>
      </c>
      <c r="BL515" s="2">
        <f t="shared" si="371"/>
        <v>545</v>
      </c>
      <c r="BM515" s="2">
        <f t="shared" si="372"/>
        <v>542.70000000000005</v>
      </c>
      <c r="BN515" s="2">
        <f t="shared" si="387"/>
        <v>1087.7</v>
      </c>
    </row>
    <row r="516" spans="1:66" x14ac:dyDescent="0.25">
      <c r="A516" s="42">
        <v>513</v>
      </c>
      <c r="B516" s="43">
        <v>42930</v>
      </c>
      <c r="C516" s="42" t="s">
        <v>50</v>
      </c>
      <c r="D516" s="42" t="s">
        <v>248</v>
      </c>
      <c r="E516" s="6">
        <f t="shared" si="373"/>
        <v>-5.1133856150000225</v>
      </c>
      <c r="F516" s="5" t="str">
        <f t="shared" si="388"/>
        <v>Loss</v>
      </c>
      <c r="G516" s="4">
        <f t="shared" si="389"/>
        <v>-4.6000000000000227</v>
      </c>
      <c r="H516" s="46">
        <v>1</v>
      </c>
      <c r="I516" s="42">
        <v>750.75</v>
      </c>
      <c r="N516" s="5">
        <f t="shared" si="390"/>
        <v>1</v>
      </c>
      <c r="O516" s="4">
        <f t="shared" si="391"/>
        <v>750.75</v>
      </c>
      <c r="P516" s="5">
        <f t="shared" ref="P516:P579" si="399">H516</f>
        <v>1</v>
      </c>
      <c r="Q516" s="42">
        <v>746.15</v>
      </c>
      <c r="R516" s="2">
        <f t="shared" si="394"/>
        <v>0</v>
      </c>
      <c r="T516" s="2">
        <f t="shared" si="374"/>
        <v>0</v>
      </c>
      <c r="V516" s="5">
        <f t="shared" si="392"/>
        <v>1</v>
      </c>
      <c r="W516" s="4">
        <f t="shared" si="393"/>
        <v>746.15</v>
      </c>
      <c r="X516" s="14">
        <f t="shared" ref="X516:X579" si="400">MAX(Q516,S516,U516)-MIN(I516,K516,M516)</f>
        <v>-4.6000000000000227</v>
      </c>
      <c r="Y516" s="5">
        <f t="shared" ref="Y516:Y579" si="401">P516*(Q516-I516)</f>
        <v>-4.6000000000000227</v>
      </c>
      <c r="Z516" s="2">
        <f t="shared" ref="Z516:Z579" si="402">R516*(S516-K516)</f>
        <v>0</v>
      </c>
      <c r="AA516" s="4">
        <f t="shared" ref="AA516:AA579" si="403">T516*(U516-M516)</f>
        <v>0</v>
      </c>
      <c r="AB516" s="13">
        <f t="shared" ref="AB516:AB579" si="404">IF(C516="EQ Intraday",AM516,IF(C516="Index Option",AU516,IF(C516="Index Future",BC516,IF(C516="EQ Delivery",BK516,IF(C516="Stock Option",AU516,IF(C516="Stock Future",BC516,IF(C516="",0,"Error")))))))</f>
        <v>0.51338561500000002</v>
      </c>
      <c r="AC516" s="10">
        <f>SUM($E$4:E516)</f>
        <v>-17064.769419651708</v>
      </c>
      <c r="AD516" s="20">
        <f>SUM($AB$4:AB516)</f>
        <v>12767.740119651655</v>
      </c>
      <c r="AF516" s="28">
        <f t="shared" ref="AF516:AF579" si="405">MIN(IF(ISBLANK(U516)=FALSE,120,IF(ISBLANK(S516)=FALSE,80,40)),(((V516*W516)+(N516*O516))*0.0001))</f>
        <v>0.14969000000000002</v>
      </c>
      <c r="AG516" s="2">
        <f t="shared" ref="AG516:AG579" si="406">(0.00025*V516*W516)</f>
        <v>0.18653749999999999</v>
      </c>
      <c r="AH516" s="2">
        <f t="shared" ref="AH516:AH579" si="407">(0.0000325*((V516*W516)+(N516*O516)))</f>
        <v>4.8649249999999998E-2</v>
      </c>
      <c r="AI516" s="2">
        <f t="shared" si="375"/>
        <v>0.19833925000000002</v>
      </c>
      <c r="AJ516" s="2">
        <f t="shared" si="395"/>
        <v>3.5701065000000004E-2</v>
      </c>
      <c r="AK516" s="2">
        <f t="shared" ref="AK516:AK579" si="408">(((V516*W516)+(N516*O516))/10000000)*20</f>
        <v>2.9938000000000005E-3</v>
      </c>
      <c r="AL516" s="2">
        <f t="shared" ref="AL516:AL579" si="409">0.00006*((V516*W516)+(N516*O516))</f>
        <v>8.9814000000000005E-2</v>
      </c>
      <c r="AM516" s="2">
        <f t="shared" si="377"/>
        <v>0.51338561500000002</v>
      </c>
      <c r="AN516" s="2">
        <f t="shared" ref="AN516:AN579" si="410">COUNT(H516,J516,L516)*40</f>
        <v>40</v>
      </c>
      <c r="AO516" s="2">
        <f t="shared" ref="AO516:AO579" si="411">0.0005*V516*W516</f>
        <v>0.37307499999999999</v>
      </c>
      <c r="AP516" s="2">
        <f t="shared" ref="AP516:AP579" si="412">0.00053*((N516*O516)+(V516*W516))</f>
        <v>0.79335699999999998</v>
      </c>
      <c r="AQ516" s="2">
        <f t="shared" si="378"/>
        <v>40.793357</v>
      </c>
      <c r="AR516" s="2">
        <f t="shared" si="396"/>
        <v>7.3428042599999994</v>
      </c>
      <c r="AS516" s="2">
        <f t="shared" ref="AS516:AS579" si="413">(((V516*W516)+(N516*O516))/10000000)*20</f>
        <v>2.9938000000000005E-3</v>
      </c>
      <c r="AT516" s="2">
        <f t="shared" ref="AT516:AT579" si="414">0.00006*((V516*W516)+(N516*O516))</f>
        <v>8.9814000000000005E-2</v>
      </c>
      <c r="AU516" s="2">
        <f t="shared" si="380"/>
        <v>48.602044059999997</v>
      </c>
      <c r="AV516" s="2">
        <f t="shared" ref="AV516:AV579" si="415">MIN(IF(ISBLANK(U516)=FALSE,120,IF(ISBLANK(S516)=FALSE,80,40)),(((V516*W516)+(N516*O516))*0.0001))</f>
        <v>0.14969000000000002</v>
      </c>
      <c r="AW516" s="2">
        <f t="shared" ref="AW516:AW579" si="416">0.0001*V516*W516</f>
        <v>7.4615000000000001E-2</v>
      </c>
      <c r="AX516" s="2">
        <f t="shared" ref="AX516:AX579" si="417">0.000021*((N516*O516)+(V516*W516))</f>
        <v>3.1434900000000002E-2</v>
      </c>
      <c r="AY516" s="2">
        <f t="shared" si="381"/>
        <v>0.18112490000000003</v>
      </c>
      <c r="AZ516" s="2">
        <f t="shared" si="397"/>
        <v>3.2602482000000002E-2</v>
      </c>
      <c r="BA516" s="2">
        <f t="shared" ref="BA516:BA579" si="418">(((V516*W516)+(N516*O516))/10000000)*20</f>
        <v>2.9938000000000005E-3</v>
      </c>
      <c r="BB516" s="2">
        <f t="shared" ref="BB516:BB579" si="419">0.00006*((V516*W516)+(N516*O516))</f>
        <v>8.9814000000000005E-2</v>
      </c>
      <c r="BC516" s="2">
        <f t="shared" si="383"/>
        <v>0.381150182</v>
      </c>
      <c r="BD516" s="2">
        <v>0</v>
      </c>
      <c r="BE516" s="2">
        <f t="shared" ref="BE516:BE579" si="420">0.001*((N516*O516)+(V516*W516))</f>
        <v>1.4969000000000001</v>
      </c>
      <c r="BF516" s="2">
        <f t="shared" ref="BF516:BF579" si="421">(0.0000325*((V516*W516)+(N516*O516)))</f>
        <v>4.8649249999999998E-2</v>
      </c>
      <c r="BG516" s="2">
        <f t="shared" si="384"/>
        <v>4.8649249999999998E-2</v>
      </c>
      <c r="BH516" s="2">
        <f t="shared" si="398"/>
        <v>8.7568649999999991E-3</v>
      </c>
      <c r="BI516" s="2">
        <f t="shared" ref="BI516:BI579" si="422">(((V516*W516)+(N516*O516))/10000000)*20</f>
        <v>2.9938000000000005E-3</v>
      </c>
      <c r="BJ516" s="2">
        <f t="shared" ref="BJ516:BJ579" si="423">0.00006*((V516*W516)+(N516*O516))</f>
        <v>8.9814000000000005E-2</v>
      </c>
      <c r="BK516" s="2">
        <f t="shared" si="386"/>
        <v>1.6471139150000003</v>
      </c>
      <c r="BL516" s="2">
        <f t="shared" ref="BL516:BL579" si="424">N516*O516</f>
        <v>750.75</v>
      </c>
      <c r="BM516" s="2">
        <f t="shared" ref="BM516:BM579" si="425">V516*W516</f>
        <v>746.15</v>
      </c>
      <c r="BN516" s="2">
        <f t="shared" si="387"/>
        <v>1496.9</v>
      </c>
    </row>
    <row r="517" spans="1:66" x14ac:dyDescent="0.25">
      <c r="A517" s="42">
        <v>514</v>
      </c>
      <c r="B517" s="43">
        <v>42930</v>
      </c>
      <c r="C517" s="42" t="s">
        <v>50</v>
      </c>
      <c r="D517" s="42" t="s">
        <v>185</v>
      </c>
      <c r="E517" s="6">
        <f t="shared" ref="E517:E580" si="426">G517-AB517</f>
        <v>6.4092990000022776E-2</v>
      </c>
      <c r="F517" s="5" t="str">
        <f t="shared" si="388"/>
        <v>Win</v>
      </c>
      <c r="G517" s="4">
        <f t="shared" si="389"/>
        <v>0.60000000000002274</v>
      </c>
      <c r="H517" s="46">
        <v>1</v>
      </c>
      <c r="I517" s="42">
        <v>780</v>
      </c>
      <c r="N517" s="5">
        <f t="shared" si="390"/>
        <v>1</v>
      </c>
      <c r="O517" s="4">
        <f t="shared" si="391"/>
        <v>780</v>
      </c>
      <c r="P517" s="5">
        <f t="shared" si="399"/>
        <v>1</v>
      </c>
      <c r="Q517" s="42">
        <v>780.6</v>
      </c>
      <c r="R517" s="2">
        <f t="shared" si="394"/>
        <v>0</v>
      </c>
      <c r="T517" s="2">
        <f t="shared" ref="T517:T580" si="427">L517</f>
        <v>0</v>
      </c>
      <c r="V517" s="5">
        <f t="shared" si="392"/>
        <v>1</v>
      </c>
      <c r="W517" s="4">
        <f t="shared" si="393"/>
        <v>780.6</v>
      </c>
      <c r="X517" s="14">
        <f t="shared" si="400"/>
        <v>0.60000000000002274</v>
      </c>
      <c r="Y517" s="5">
        <f t="shared" si="401"/>
        <v>0.60000000000002274</v>
      </c>
      <c r="Z517" s="2">
        <f t="shared" si="402"/>
        <v>0</v>
      </c>
      <c r="AA517" s="4">
        <f t="shared" si="403"/>
        <v>0</v>
      </c>
      <c r="AB517" s="13">
        <f t="shared" si="404"/>
        <v>0.53590700999999996</v>
      </c>
      <c r="AC517" s="10">
        <f>SUM($E$4:E517)</f>
        <v>-17064.705326661708</v>
      </c>
      <c r="AD517" s="20">
        <f>SUM($AB$4:AB517)</f>
        <v>12768.276026661655</v>
      </c>
      <c r="AF517" s="28">
        <f t="shared" si="405"/>
        <v>0.15606</v>
      </c>
      <c r="AG517" s="2">
        <f t="shared" si="406"/>
        <v>0.19515000000000002</v>
      </c>
      <c r="AH517" s="2">
        <f t="shared" si="407"/>
        <v>5.0719499999999994E-2</v>
      </c>
      <c r="AI517" s="2">
        <f t="shared" ref="AI517:AI580" si="428">AH517+AF517</f>
        <v>0.2067795</v>
      </c>
      <c r="AJ517" s="2">
        <f t="shared" si="395"/>
        <v>3.722031E-2</v>
      </c>
      <c r="AK517" s="2">
        <f t="shared" si="408"/>
        <v>3.1211999999999998E-3</v>
      </c>
      <c r="AL517" s="2">
        <f t="shared" si="409"/>
        <v>9.3635999999999997E-2</v>
      </c>
      <c r="AM517" s="2">
        <f t="shared" ref="AM517:AM580" si="429">SUM(AF517:AH517,AJ517:AL517)</f>
        <v>0.53590700999999996</v>
      </c>
      <c r="AN517" s="2">
        <f t="shared" si="410"/>
        <v>40</v>
      </c>
      <c r="AO517" s="2">
        <f t="shared" si="411"/>
        <v>0.39030000000000004</v>
      </c>
      <c r="AP517" s="2">
        <f t="shared" si="412"/>
        <v>0.82711799999999991</v>
      </c>
      <c r="AQ517" s="2">
        <f t="shared" ref="AQ517:AQ580" si="430">AN517+AP517</f>
        <v>40.827117999999999</v>
      </c>
      <c r="AR517" s="2">
        <f t="shared" si="396"/>
        <v>7.3488812399999999</v>
      </c>
      <c r="AS517" s="2">
        <f t="shared" si="413"/>
        <v>3.1211999999999998E-3</v>
      </c>
      <c r="AT517" s="2">
        <f t="shared" si="414"/>
        <v>9.3635999999999997E-2</v>
      </c>
      <c r="AU517" s="2">
        <f t="shared" ref="AU517:AU580" si="431">SUM(AN517:AP517,AR517:AT517)</f>
        <v>48.663056439999998</v>
      </c>
      <c r="AV517" s="2">
        <f t="shared" si="415"/>
        <v>0.15606</v>
      </c>
      <c r="AW517" s="2">
        <f t="shared" si="416"/>
        <v>7.8060000000000004E-2</v>
      </c>
      <c r="AX517" s="2">
        <f t="shared" si="417"/>
        <v>3.2772599999999999E-2</v>
      </c>
      <c r="AY517" s="2">
        <f t="shared" ref="AY517:AY580" si="432">AV517+AX517</f>
        <v>0.18883260000000002</v>
      </c>
      <c r="AZ517" s="2">
        <f t="shared" si="397"/>
        <v>3.3989867999999999E-2</v>
      </c>
      <c r="BA517" s="2">
        <f t="shared" si="418"/>
        <v>3.1211999999999998E-3</v>
      </c>
      <c r="BB517" s="2">
        <f t="shared" si="419"/>
        <v>9.3635999999999997E-2</v>
      </c>
      <c r="BC517" s="2">
        <f t="shared" ref="BC517:BC580" si="433">SUM(AV517:AX517,AZ517:BB517)</f>
        <v>0.39763966799999995</v>
      </c>
      <c r="BD517" s="2">
        <v>0</v>
      </c>
      <c r="BE517" s="2">
        <f t="shared" si="420"/>
        <v>1.5606</v>
      </c>
      <c r="BF517" s="2">
        <f t="shared" si="421"/>
        <v>5.0719499999999994E-2</v>
      </c>
      <c r="BG517" s="2">
        <f t="shared" ref="BG517:BG580" si="434">BD517+BF517</f>
        <v>5.0719499999999994E-2</v>
      </c>
      <c r="BH517" s="2">
        <f t="shared" si="398"/>
        <v>9.1295099999999987E-3</v>
      </c>
      <c r="BI517" s="2">
        <f t="shared" si="422"/>
        <v>3.1211999999999998E-3</v>
      </c>
      <c r="BJ517" s="2">
        <f t="shared" si="423"/>
        <v>9.3635999999999997E-2</v>
      </c>
      <c r="BK517" s="2">
        <f t="shared" ref="BK517:BK580" si="435">SUM(BD517:BF517,BH517:BJ517)</f>
        <v>1.7172062100000001</v>
      </c>
      <c r="BL517" s="2">
        <f t="shared" si="424"/>
        <v>780</v>
      </c>
      <c r="BM517" s="2">
        <f t="shared" si="425"/>
        <v>780.6</v>
      </c>
      <c r="BN517" s="2">
        <f t="shared" ref="BN517:BN580" si="436">BM517+BL517</f>
        <v>1560.6</v>
      </c>
    </row>
    <row r="518" spans="1:66" x14ac:dyDescent="0.25">
      <c r="A518" s="42">
        <v>515</v>
      </c>
      <c r="B518" s="43">
        <v>42930</v>
      </c>
      <c r="C518" s="42" t="s">
        <v>50</v>
      </c>
      <c r="D518" s="42" t="s">
        <v>305</v>
      </c>
      <c r="E518" s="6">
        <f t="shared" si="426"/>
        <v>-2.3808908950000456</v>
      </c>
      <c r="F518" s="5" t="str">
        <f t="shared" ref="F518:F581" si="437">IF(G518&gt;0,"Win",IF(G518=0,"Break Even","Loss"))</f>
        <v>Loss</v>
      </c>
      <c r="G518" s="4">
        <f t="shared" ref="G518:G581" si="438">SUM(Y518,Z518,AA518)</f>
        <v>-1.7000000000000455</v>
      </c>
      <c r="H518" s="46">
        <v>1</v>
      </c>
      <c r="I518" s="42">
        <v>992.7</v>
      </c>
      <c r="N518" s="5">
        <f t="shared" ref="N518:N581" si="439">SUM(H518,J518,L518)</f>
        <v>1</v>
      </c>
      <c r="O518" s="4">
        <f t="shared" ref="O518:O581" si="440">AVERAGE(M518,K518,I518)</f>
        <v>992.7</v>
      </c>
      <c r="P518" s="5">
        <f t="shared" si="399"/>
        <v>1</v>
      </c>
      <c r="Q518" s="42">
        <v>991</v>
      </c>
      <c r="R518" s="2">
        <f t="shared" si="394"/>
        <v>0</v>
      </c>
      <c r="T518" s="2">
        <f t="shared" si="427"/>
        <v>0</v>
      </c>
      <c r="V518" s="5">
        <f t="shared" ref="V518:V581" si="441">SUM(P518,R518,T518)</f>
        <v>1</v>
      </c>
      <c r="W518" s="4">
        <f t="shared" ref="W518:W581" si="442">AVERAGE(Q518,S518,U518)</f>
        <v>991</v>
      </c>
      <c r="X518" s="14">
        <f t="shared" si="400"/>
        <v>-1.7000000000000455</v>
      </c>
      <c r="Y518" s="5">
        <f t="shared" si="401"/>
        <v>-1.7000000000000455</v>
      </c>
      <c r="Z518" s="2">
        <f t="shared" si="402"/>
        <v>0</v>
      </c>
      <c r="AA518" s="4">
        <f t="shared" si="403"/>
        <v>0</v>
      </c>
      <c r="AB518" s="13">
        <f t="shared" si="404"/>
        <v>0.68089089499999988</v>
      </c>
      <c r="AC518" s="10">
        <f>SUM($E$4:E518)</f>
        <v>-17067.086217556709</v>
      </c>
      <c r="AD518" s="20">
        <f>SUM($AB$4:AB518)</f>
        <v>12768.956917556656</v>
      </c>
      <c r="AF518" s="28">
        <f t="shared" si="405"/>
        <v>0.19837000000000002</v>
      </c>
      <c r="AG518" s="2">
        <f t="shared" si="406"/>
        <v>0.24775</v>
      </c>
      <c r="AH518" s="2">
        <f t="shared" si="407"/>
        <v>6.4470249999999993E-2</v>
      </c>
      <c r="AI518" s="2">
        <f t="shared" si="428"/>
        <v>0.26284025</v>
      </c>
      <c r="AJ518" s="2">
        <f t="shared" si="395"/>
        <v>4.7311244999999995E-2</v>
      </c>
      <c r="AK518" s="2">
        <f t="shared" si="408"/>
        <v>3.9674000000000003E-3</v>
      </c>
      <c r="AL518" s="2">
        <f t="shared" si="409"/>
        <v>0.119022</v>
      </c>
      <c r="AM518" s="2">
        <f t="shared" si="429"/>
        <v>0.68089089499999988</v>
      </c>
      <c r="AN518" s="2">
        <f t="shared" si="410"/>
        <v>40</v>
      </c>
      <c r="AO518" s="2">
        <f t="shared" si="411"/>
        <v>0.4955</v>
      </c>
      <c r="AP518" s="2">
        <f t="shared" si="412"/>
        <v>1.051361</v>
      </c>
      <c r="AQ518" s="2">
        <f t="shared" si="430"/>
        <v>41.051361</v>
      </c>
      <c r="AR518" s="2">
        <f t="shared" si="396"/>
        <v>7.38924498</v>
      </c>
      <c r="AS518" s="2">
        <f t="shared" si="413"/>
        <v>3.9674000000000003E-3</v>
      </c>
      <c r="AT518" s="2">
        <f t="shared" si="414"/>
        <v>0.119022</v>
      </c>
      <c r="AU518" s="2">
        <f t="shared" si="431"/>
        <v>49.059095380000002</v>
      </c>
      <c r="AV518" s="2">
        <f t="shared" si="415"/>
        <v>0.19837000000000002</v>
      </c>
      <c r="AW518" s="2">
        <f t="shared" si="416"/>
        <v>9.9100000000000008E-2</v>
      </c>
      <c r="AX518" s="2">
        <f t="shared" si="417"/>
        <v>4.1657699999999999E-2</v>
      </c>
      <c r="AY518" s="2">
        <f t="shared" si="432"/>
        <v>0.24002770000000001</v>
      </c>
      <c r="AZ518" s="2">
        <f t="shared" si="397"/>
        <v>4.3204986000000001E-2</v>
      </c>
      <c r="BA518" s="2">
        <f t="shared" si="418"/>
        <v>3.9674000000000003E-3</v>
      </c>
      <c r="BB518" s="2">
        <f t="shared" si="419"/>
        <v>0.119022</v>
      </c>
      <c r="BC518" s="2">
        <f t="shared" si="433"/>
        <v>0.50532208600000006</v>
      </c>
      <c r="BD518" s="2">
        <v>0</v>
      </c>
      <c r="BE518" s="2">
        <f t="shared" si="420"/>
        <v>1.9837</v>
      </c>
      <c r="BF518" s="2">
        <f t="shared" si="421"/>
        <v>6.4470249999999993E-2</v>
      </c>
      <c r="BG518" s="2">
        <f t="shared" si="434"/>
        <v>6.4470249999999993E-2</v>
      </c>
      <c r="BH518" s="2">
        <f t="shared" si="398"/>
        <v>1.1604644999999999E-2</v>
      </c>
      <c r="BI518" s="2">
        <f t="shared" si="422"/>
        <v>3.9674000000000003E-3</v>
      </c>
      <c r="BJ518" s="2">
        <f t="shared" si="423"/>
        <v>0.119022</v>
      </c>
      <c r="BK518" s="2">
        <f t="shared" si="435"/>
        <v>2.1827642950000001</v>
      </c>
      <c r="BL518" s="2">
        <f t="shared" si="424"/>
        <v>992.7</v>
      </c>
      <c r="BM518" s="2">
        <f t="shared" si="425"/>
        <v>991</v>
      </c>
      <c r="BN518" s="2">
        <f t="shared" si="436"/>
        <v>1983.7</v>
      </c>
    </row>
    <row r="519" spans="1:66" x14ac:dyDescent="0.25">
      <c r="A519" s="42">
        <v>516</v>
      </c>
      <c r="B519" s="43">
        <v>42930</v>
      </c>
      <c r="C519" s="42" t="s">
        <v>50</v>
      </c>
      <c r="D519" s="42" t="s">
        <v>306</v>
      </c>
      <c r="E519" s="6">
        <f t="shared" si="426"/>
        <v>-9.4394689374999992</v>
      </c>
      <c r="F519" s="5" t="str">
        <f t="shared" si="437"/>
        <v>Loss</v>
      </c>
      <c r="G519" s="4">
        <f t="shared" si="438"/>
        <v>-8.75</v>
      </c>
      <c r="H519" s="46">
        <v>1</v>
      </c>
      <c r="I519" s="42">
        <v>1010</v>
      </c>
      <c r="N519" s="5">
        <f t="shared" si="439"/>
        <v>1</v>
      </c>
      <c r="O519" s="4">
        <f t="shared" si="440"/>
        <v>1010</v>
      </c>
      <c r="P519" s="5">
        <f t="shared" si="399"/>
        <v>1</v>
      </c>
      <c r="Q519" s="42">
        <v>1001.25</v>
      </c>
      <c r="R519" s="2">
        <f t="shared" si="394"/>
        <v>0</v>
      </c>
      <c r="T519" s="2">
        <f t="shared" si="427"/>
        <v>0</v>
      </c>
      <c r="V519" s="5">
        <f t="shared" si="441"/>
        <v>1</v>
      </c>
      <c r="W519" s="4">
        <f t="shared" si="442"/>
        <v>1001.25</v>
      </c>
      <c r="X519" s="14">
        <f t="shared" si="400"/>
        <v>-8.75</v>
      </c>
      <c r="Y519" s="5">
        <f t="shared" si="401"/>
        <v>-8.75</v>
      </c>
      <c r="Z519" s="2">
        <f t="shared" si="402"/>
        <v>0</v>
      </c>
      <c r="AA519" s="4">
        <f t="shared" si="403"/>
        <v>0</v>
      </c>
      <c r="AB519" s="13">
        <f t="shared" si="404"/>
        <v>0.68946893750000005</v>
      </c>
      <c r="AC519" s="10">
        <f>SUM($E$4:E519)</f>
        <v>-17076.525686494209</v>
      </c>
      <c r="AD519" s="20">
        <f>SUM($AB$4:AB519)</f>
        <v>12769.646386494156</v>
      </c>
      <c r="AF519" s="28">
        <f t="shared" si="405"/>
        <v>0.201125</v>
      </c>
      <c r="AG519" s="2">
        <f t="shared" si="406"/>
        <v>0.25031249999999999</v>
      </c>
      <c r="AH519" s="2">
        <f t="shared" si="407"/>
        <v>6.5365624999999997E-2</v>
      </c>
      <c r="AI519" s="2">
        <f t="shared" si="428"/>
        <v>0.26649062499999998</v>
      </c>
      <c r="AJ519" s="2">
        <f t="shared" si="395"/>
        <v>4.7968312499999992E-2</v>
      </c>
      <c r="AK519" s="2">
        <f t="shared" si="408"/>
        <v>4.0225E-3</v>
      </c>
      <c r="AL519" s="2">
        <f t="shared" si="409"/>
        <v>0.120675</v>
      </c>
      <c r="AM519" s="2">
        <f t="shared" si="429"/>
        <v>0.68946893750000005</v>
      </c>
      <c r="AN519" s="2">
        <f t="shared" si="410"/>
        <v>40</v>
      </c>
      <c r="AO519" s="2">
        <f t="shared" si="411"/>
        <v>0.50062499999999999</v>
      </c>
      <c r="AP519" s="2">
        <f t="shared" si="412"/>
        <v>1.0659624999999999</v>
      </c>
      <c r="AQ519" s="2">
        <f t="shared" si="430"/>
        <v>41.065962499999998</v>
      </c>
      <c r="AR519" s="2">
        <f t="shared" si="396"/>
        <v>7.3918732499999997</v>
      </c>
      <c r="AS519" s="2">
        <f t="shared" si="413"/>
        <v>4.0225E-3</v>
      </c>
      <c r="AT519" s="2">
        <f t="shared" si="414"/>
        <v>0.120675</v>
      </c>
      <c r="AU519" s="2">
        <f t="shared" si="431"/>
        <v>49.083158249999997</v>
      </c>
      <c r="AV519" s="2">
        <f t="shared" si="415"/>
        <v>0.201125</v>
      </c>
      <c r="AW519" s="2">
        <f t="shared" si="416"/>
        <v>0.10012500000000001</v>
      </c>
      <c r="AX519" s="2">
        <f t="shared" si="417"/>
        <v>4.2236249999999996E-2</v>
      </c>
      <c r="AY519" s="2">
        <f t="shared" si="432"/>
        <v>0.24336125</v>
      </c>
      <c r="AZ519" s="2">
        <f t="shared" si="397"/>
        <v>4.3805024999999997E-2</v>
      </c>
      <c r="BA519" s="2">
        <f t="shared" si="418"/>
        <v>4.0225E-3</v>
      </c>
      <c r="BB519" s="2">
        <f t="shared" si="419"/>
        <v>0.120675</v>
      </c>
      <c r="BC519" s="2">
        <f t="shared" si="433"/>
        <v>0.51198877499999995</v>
      </c>
      <c r="BD519" s="2">
        <v>0</v>
      </c>
      <c r="BE519" s="2">
        <f t="shared" si="420"/>
        <v>2.01125</v>
      </c>
      <c r="BF519" s="2">
        <f t="shared" si="421"/>
        <v>6.5365624999999997E-2</v>
      </c>
      <c r="BG519" s="2">
        <f t="shared" si="434"/>
        <v>6.5365624999999997E-2</v>
      </c>
      <c r="BH519" s="2">
        <f t="shared" si="398"/>
        <v>1.1765812499999998E-2</v>
      </c>
      <c r="BI519" s="2">
        <f t="shared" si="422"/>
        <v>4.0225E-3</v>
      </c>
      <c r="BJ519" s="2">
        <f t="shared" si="423"/>
        <v>0.120675</v>
      </c>
      <c r="BK519" s="2">
        <f t="shared" si="435"/>
        <v>2.2130789375000002</v>
      </c>
      <c r="BL519" s="2">
        <f t="shared" si="424"/>
        <v>1010</v>
      </c>
      <c r="BM519" s="2">
        <f t="shared" si="425"/>
        <v>1001.25</v>
      </c>
      <c r="BN519" s="2">
        <f t="shared" si="436"/>
        <v>2011.25</v>
      </c>
    </row>
    <row r="520" spans="1:66" x14ac:dyDescent="0.25">
      <c r="A520" s="42">
        <v>517</v>
      </c>
      <c r="B520" s="43">
        <v>42930</v>
      </c>
      <c r="C520" s="42" t="s">
        <v>50</v>
      </c>
      <c r="D520" s="42" t="s">
        <v>307</v>
      </c>
      <c r="E520" s="6">
        <f t="shared" si="426"/>
        <v>-3.8413674250000001</v>
      </c>
      <c r="F520" s="5" t="str">
        <f t="shared" si="437"/>
        <v>Loss</v>
      </c>
      <c r="G520" s="4">
        <f t="shared" si="438"/>
        <v>-3.5</v>
      </c>
      <c r="H520" s="46">
        <v>1</v>
      </c>
      <c r="I520" s="42">
        <v>499.5</v>
      </c>
      <c r="N520" s="5">
        <f t="shared" si="439"/>
        <v>1</v>
      </c>
      <c r="O520" s="4">
        <f t="shared" si="440"/>
        <v>499.5</v>
      </c>
      <c r="P520" s="5">
        <f t="shared" si="399"/>
        <v>1</v>
      </c>
      <c r="Q520" s="42">
        <v>496</v>
      </c>
      <c r="R520" s="2">
        <f t="shared" si="394"/>
        <v>0</v>
      </c>
      <c r="T520" s="2">
        <f t="shared" si="427"/>
        <v>0</v>
      </c>
      <c r="V520" s="5">
        <f t="shared" si="441"/>
        <v>1</v>
      </c>
      <c r="W520" s="4">
        <f t="shared" si="442"/>
        <v>496</v>
      </c>
      <c r="X520" s="14">
        <f t="shared" si="400"/>
        <v>-3.5</v>
      </c>
      <c r="Y520" s="5">
        <f t="shared" si="401"/>
        <v>-3.5</v>
      </c>
      <c r="Z520" s="2">
        <f t="shared" si="402"/>
        <v>0</v>
      </c>
      <c r="AA520" s="4">
        <f t="shared" si="403"/>
        <v>0</v>
      </c>
      <c r="AB520" s="13">
        <f t="shared" si="404"/>
        <v>0.341367425</v>
      </c>
      <c r="AC520" s="10">
        <f>SUM($E$4:E520)</f>
        <v>-17080.36705391921</v>
      </c>
      <c r="AD520" s="20">
        <f>SUM($AB$4:AB520)</f>
        <v>12769.987753919157</v>
      </c>
      <c r="AF520" s="28">
        <f t="shared" si="405"/>
        <v>9.955E-2</v>
      </c>
      <c r="AG520" s="2">
        <f t="shared" si="406"/>
        <v>0.124</v>
      </c>
      <c r="AH520" s="2">
        <f t="shared" si="407"/>
        <v>3.2353750000000001E-2</v>
      </c>
      <c r="AI520" s="2">
        <f t="shared" si="428"/>
        <v>0.13190374999999999</v>
      </c>
      <c r="AJ520" s="2">
        <f t="shared" si="395"/>
        <v>2.3742674999999998E-2</v>
      </c>
      <c r="AK520" s="2">
        <f t="shared" si="408"/>
        <v>1.9909999999999997E-3</v>
      </c>
      <c r="AL520" s="2">
        <f t="shared" si="409"/>
        <v>5.9729999999999998E-2</v>
      </c>
      <c r="AM520" s="2">
        <f t="shared" si="429"/>
        <v>0.341367425</v>
      </c>
      <c r="AN520" s="2">
        <f t="shared" si="410"/>
        <v>40</v>
      </c>
      <c r="AO520" s="2">
        <f t="shared" si="411"/>
        <v>0.248</v>
      </c>
      <c r="AP520" s="2">
        <f t="shared" si="412"/>
        <v>0.52761499999999995</v>
      </c>
      <c r="AQ520" s="2">
        <f t="shared" si="430"/>
        <v>40.527614999999997</v>
      </c>
      <c r="AR520" s="2">
        <f t="shared" si="396"/>
        <v>7.2949706999999995</v>
      </c>
      <c r="AS520" s="2">
        <f t="shared" si="413"/>
        <v>1.9909999999999997E-3</v>
      </c>
      <c r="AT520" s="2">
        <f t="shared" si="414"/>
        <v>5.9729999999999998E-2</v>
      </c>
      <c r="AU520" s="2">
        <f t="shared" si="431"/>
        <v>48.132306699999994</v>
      </c>
      <c r="AV520" s="2">
        <f t="shared" si="415"/>
        <v>9.955E-2</v>
      </c>
      <c r="AW520" s="2">
        <f t="shared" si="416"/>
        <v>4.9600000000000005E-2</v>
      </c>
      <c r="AX520" s="2">
        <f t="shared" si="417"/>
        <v>2.09055E-2</v>
      </c>
      <c r="AY520" s="2">
        <f t="shared" si="432"/>
        <v>0.12045549999999999</v>
      </c>
      <c r="AZ520" s="2">
        <f t="shared" si="397"/>
        <v>2.1681989999999998E-2</v>
      </c>
      <c r="BA520" s="2">
        <f t="shared" si="418"/>
        <v>1.9909999999999997E-3</v>
      </c>
      <c r="BB520" s="2">
        <f t="shared" si="419"/>
        <v>5.9729999999999998E-2</v>
      </c>
      <c r="BC520" s="2">
        <f t="shared" si="433"/>
        <v>0.25345848999999998</v>
      </c>
      <c r="BD520" s="2">
        <v>0</v>
      </c>
      <c r="BE520" s="2">
        <f t="shared" si="420"/>
        <v>0.99550000000000005</v>
      </c>
      <c r="BF520" s="2">
        <f t="shared" si="421"/>
        <v>3.2353750000000001E-2</v>
      </c>
      <c r="BG520" s="2">
        <f t="shared" si="434"/>
        <v>3.2353750000000001E-2</v>
      </c>
      <c r="BH520" s="2">
        <f t="shared" si="398"/>
        <v>5.8236749999999995E-3</v>
      </c>
      <c r="BI520" s="2">
        <f t="shared" si="422"/>
        <v>1.9909999999999997E-3</v>
      </c>
      <c r="BJ520" s="2">
        <f t="shared" si="423"/>
        <v>5.9729999999999998E-2</v>
      </c>
      <c r="BK520" s="2">
        <f t="shared" si="435"/>
        <v>1.0953984250000002</v>
      </c>
      <c r="BL520" s="2">
        <f t="shared" si="424"/>
        <v>499.5</v>
      </c>
      <c r="BM520" s="2">
        <f t="shared" si="425"/>
        <v>496</v>
      </c>
      <c r="BN520" s="2">
        <f t="shared" si="436"/>
        <v>995.5</v>
      </c>
    </row>
    <row r="521" spans="1:66" x14ac:dyDescent="0.25">
      <c r="A521" s="42">
        <v>518</v>
      </c>
      <c r="B521" s="43">
        <v>42933</v>
      </c>
      <c r="C521" s="42" t="s">
        <v>50</v>
      </c>
      <c r="D521" s="42" t="s">
        <v>278</v>
      </c>
      <c r="E521" s="6">
        <f t="shared" si="426"/>
        <v>-3.3494986500000001</v>
      </c>
      <c r="F521" s="5" t="str">
        <f t="shared" si="437"/>
        <v>Loss</v>
      </c>
      <c r="G521" s="4">
        <f t="shared" si="438"/>
        <v>-3</v>
      </c>
      <c r="H521" s="46">
        <v>1</v>
      </c>
      <c r="I521" s="42">
        <v>511</v>
      </c>
      <c r="N521" s="5">
        <f t="shared" si="439"/>
        <v>1</v>
      </c>
      <c r="O521" s="4">
        <f t="shared" si="440"/>
        <v>511</v>
      </c>
      <c r="P521" s="5">
        <f t="shared" si="399"/>
        <v>1</v>
      </c>
      <c r="Q521" s="42">
        <v>508</v>
      </c>
      <c r="R521" s="2">
        <f t="shared" si="394"/>
        <v>0</v>
      </c>
      <c r="T521" s="2">
        <f t="shared" si="427"/>
        <v>0</v>
      </c>
      <c r="V521" s="5">
        <f t="shared" si="441"/>
        <v>1</v>
      </c>
      <c r="W521" s="4">
        <f t="shared" si="442"/>
        <v>508</v>
      </c>
      <c r="X521" s="14">
        <f t="shared" si="400"/>
        <v>-3</v>
      </c>
      <c r="Y521" s="5">
        <f t="shared" si="401"/>
        <v>-3</v>
      </c>
      <c r="Z521" s="2">
        <f t="shared" si="402"/>
        <v>0</v>
      </c>
      <c r="AA521" s="4">
        <f t="shared" si="403"/>
        <v>0</v>
      </c>
      <c r="AB521" s="13">
        <f t="shared" si="404"/>
        <v>0.34949865000000002</v>
      </c>
      <c r="AC521" s="10">
        <f>SUM($E$4:E521)</f>
        <v>-17083.716552569211</v>
      </c>
      <c r="AD521" s="20">
        <f>SUM($AB$4:AB521)</f>
        <v>12770.337252569157</v>
      </c>
      <c r="AF521" s="28">
        <f t="shared" si="405"/>
        <v>0.1019</v>
      </c>
      <c r="AG521" s="2">
        <f t="shared" si="406"/>
        <v>0.127</v>
      </c>
      <c r="AH521" s="2">
        <f t="shared" si="407"/>
        <v>3.3117499999999994E-2</v>
      </c>
      <c r="AI521" s="2">
        <f t="shared" si="428"/>
        <v>0.13501750000000001</v>
      </c>
      <c r="AJ521" s="2">
        <f t="shared" si="395"/>
        <v>2.4303150000000003E-2</v>
      </c>
      <c r="AK521" s="2">
        <f t="shared" si="408"/>
        <v>2.0379999999999999E-3</v>
      </c>
      <c r="AL521" s="2">
        <f t="shared" si="409"/>
        <v>6.114E-2</v>
      </c>
      <c r="AM521" s="2">
        <f t="shared" si="429"/>
        <v>0.34949865000000002</v>
      </c>
      <c r="AN521" s="2">
        <f t="shared" si="410"/>
        <v>40</v>
      </c>
      <c r="AO521" s="2">
        <f t="shared" si="411"/>
        <v>0.254</v>
      </c>
      <c r="AP521" s="2">
        <f t="shared" si="412"/>
        <v>0.54006999999999994</v>
      </c>
      <c r="AQ521" s="2">
        <f t="shared" si="430"/>
        <v>40.54007</v>
      </c>
      <c r="AR521" s="2">
        <f t="shared" si="396"/>
        <v>7.2972125999999999</v>
      </c>
      <c r="AS521" s="2">
        <f t="shared" si="413"/>
        <v>2.0379999999999999E-3</v>
      </c>
      <c r="AT521" s="2">
        <f t="shared" si="414"/>
        <v>6.114E-2</v>
      </c>
      <c r="AU521" s="2">
        <f t="shared" si="431"/>
        <v>48.1544606</v>
      </c>
      <c r="AV521" s="2">
        <f t="shared" si="415"/>
        <v>0.1019</v>
      </c>
      <c r="AW521" s="2">
        <f t="shared" si="416"/>
        <v>5.0800000000000005E-2</v>
      </c>
      <c r="AX521" s="2">
        <f t="shared" si="417"/>
        <v>2.1398999999999998E-2</v>
      </c>
      <c r="AY521" s="2">
        <f t="shared" si="432"/>
        <v>0.12329900000000001</v>
      </c>
      <c r="AZ521" s="2">
        <f t="shared" si="397"/>
        <v>2.219382E-2</v>
      </c>
      <c r="BA521" s="2">
        <f t="shared" si="418"/>
        <v>2.0379999999999999E-3</v>
      </c>
      <c r="BB521" s="2">
        <f t="shared" si="419"/>
        <v>6.114E-2</v>
      </c>
      <c r="BC521" s="2">
        <f t="shared" si="433"/>
        <v>0.25947081999999999</v>
      </c>
      <c r="BD521" s="2">
        <v>0</v>
      </c>
      <c r="BE521" s="2">
        <f t="shared" si="420"/>
        <v>1.0190000000000001</v>
      </c>
      <c r="BF521" s="2">
        <f t="shared" si="421"/>
        <v>3.3117499999999994E-2</v>
      </c>
      <c r="BG521" s="2">
        <f t="shared" si="434"/>
        <v>3.3117499999999994E-2</v>
      </c>
      <c r="BH521" s="2">
        <f t="shared" si="398"/>
        <v>5.9611499999999984E-3</v>
      </c>
      <c r="BI521" s="2">
        <f t="shared" si="422"/>
        <v>2.0379999999999999E-3</v>
      </c>
      <c r="BJ521" s="2">
        <f t="shared" si="423"/>
        <v>6.114E-2</v>
      </c>
      <c r="BK521" s="2">
        <f t="shared" si="435"/>
        <v>1.1212566500000001</v>
      </c>
      <c r="BL521" s="2">
        <f t="shared" si="424"/>
        <v>511</v>
      </c>
      <c r="BM521" s="2">
        <f t="shared" si="425"/>
        <v>508</v>
      </c>
      <c r="BN521" s="2">
        <f t="shared" si="436"/>
        <v>1019</v>
      </c>
    </row>
    <row r="522" spans="1:66" x14ac:dyDescent="0.25">
      <c r="A522" s="42">
        <v>519</v>
      </c>
      <c r="B522" s="43">
        <v>42934</v>
      </c>
      <c r="C522" s="42" t="s">
        <v>50</v>
      </c>
      <c r="D522" s="42" t="s">
        <v>246</v>
      </c>
      <c r="E522" s="6">
        <f t="shared" si="426"/>
        <v>35.660613989999952</v>
      </c>
      <c r="F522" s="5" t="str">
        <f t="shared" si="437"/>
        <v>Win</v>
      </c>
      <c r="G522" s="4">
        <f t="shared" si="438"/>
        <v>36.799999999999955</v>
      </c>
      <c r="H522" s="46">
        <v>1</v>
      </c>
      <c r="I522" s="42">
        <v>400.4</v>
      </c>
      <c r="J522" s="42">
        <v>3</v>
      </c>
      <c r="K522" s="42">
        <v>412.5</v>
      </c>
      <c r="N522" s="5">
        <f t="shared" si="439"/>
        <v>4</v>
      </c>
      <c r="O522" s="4">
        <f t="shared" si="440"/>
        <v>406.45</v>
      </c>
      <c r="P522" s="5">
        <f t="shared" si="399"/>
        <v>1</v>
      </c>
      <c r="Q522" s="42">
        <v>418.75</v>
      </c>
      <c r="R522" s="2">
        <f t="shared" si="394"/>
        <v>3</v>
      </c>
      <c r="S522" s="42">
        <v>418.65</v>
      </c>
      <c r="T522" s="2">
        <f t="shared" si="427"/>
        <v>0</v>
      </c>
      <c r="V522" s="5">
        <f t="shared" si="441"/>
        <v>4</v>
      </c>
      <c r="W522" s="4">
        <f t="shared" si="442"/>
        <v>418.7</v>
      </c>
      <c r="X522" s="14">
        <f t="shared" si="400"/>
        <v>18.350000000000023</v>
      </c>
      <c r="Y522" s="5">
        <f t="shared" si="401"/>
        <v>18.350000000000023</v>
      </c>
      <c r="Z522" s="2">
        <f t="shared" si="402"/>
        <v>18.449999999999932</v>
      </c>
      <c r="AA522" s="4">
        <f t="shared" si="403"/>
        <v>0</v>
      </c>
      <c r="AB522" s="13">
        <f t="shared" si="404"/>
        <v>1.1393860099999999</v>
      </c>
      <c r="AC522" s="10">
        <f>SUM($E$4:E522)</f>
        <v>-17048.055938579211</v>
      </c>
      <c r="AD522" s="20">
        <f>SUM($AB$4:AB522)</f>
        <v>12771.476638579157</v>
      </c>
      <c r="AF522" s="28">
        <f t="shared" si="405"/>
        <v>0.33006000000000002</v>
      </c>
      <c r="AG522" s="2">
        <f t="shared" si="406"/>
        <v>0.41870000000000002</v>
      </c>
      <c r="AH522" s="2">
        <f t="shared" si="407"/>
        <v>0.10726949999999999</v>
      </c>
      <c r="AI522" s="2">
        <f t="shared" si="428"/>
        <v>0.43732950000000004</v>
      </c>
      <c r="AJ522" s="2">
        <f t="shared" si="395"/>
        <v>7.8719310000000001E-2</v>
      </c>
      <c r="AK522" s="2">
        <f t="shared" si="408"/>
        <v>6.6011999999999998E-3</v>
      </c>
      <c r="AL522" s="2">
        <f t="shared" si="409"/>
        <v>0.19803599999999999</v>
      </c>
      <c r="AM522" s="2">
        <f t="shared" si="429"/>
        <v>1.1393860099999999</v>
      </c>
      <c r="AN522" s="2">
        <f t="shared" si="410"/>
        <v>80</v>
      </c>
      <c r="AO522" s="2">
        <f t="shared" si="411"/>
        <v>0.83740000000000003</v>
      </c>
      <c r="AP522" s="2">
        <f t="shared" si="412"/>
        <v>1.7493179999999999</v>
      </c>
      <c r="AQ522" s="2">
        <f t="shared" si="430"/>
        <v>81.749318000000002</v>
      </c>
      <c r="AR522" s="2">
        <f t="shared" si="396"/>
        <v>14.71487724</v>
      </c>
      <c r="AS522" s="2">
        <f t="shared" si="413"/>
        <v>6.6011999999999998E-3</v>
      </c>
      <c r="AT522" s="2">
        <f t="shared" si="414"/>
        <v>0.19803599999999999</v>
      </c>
      <c r="AU522" s="2">
        <f t="shared" si="431"/>
        <v>97.506232440000019</v>
      </c>
      <c r="AV522" s="2">
        <f t="shared" si="415"/>
        <v>0.33006000000000002</v>
      </c>
      <c r="AW522" s="2">
        <f t="shared" si="416"/>
        <v>0.16747999999999999</v>
      </c>
      <c r="AX522" s="2">
        <f t="shared" si="417"/>
        <v>6.9312599999999988E-2</v>
      </c>
      <c r="AY522" s="2">
        <f t="shared" si="432"/>
        <v>0.39937260000000002</v>
      </c>
      <c r="AZ522" s="2">
        <f t="shared" si="397"/>
        <v>7.1887067999999998E-2</v>
      </c>
      <c r="BA522" s="2">
        <f t="shared" si="418"/>
        <v>6.6011999999999998E-3</v>
      </c>
      <c r="BB522" s="2">
        <f t="shared" si="419"/>
        <v>0.19803599999999999</v>
      </c>
      <c r="BC522" s="2">
        <f t="shared" si="433"/>
        <v>0.84337686799999989</v>
      </c>
      <c r="BD522" s="2">
        <v>0</v>
      </c>
      <c r="BE522" s="2">
        <f t="shared" si="420"/>
        <v>3.3005999999999998</v>
      </c>
      <c r="BF522" s="2">
        <f t="shared" si="421"/>
        <v>0.10726949999999999</v>
      </c>
      <c r="BG522" s="2">
        <f t="shared" si="434"/>
        <v>0.10726949999999999</v>
      </c>
      <c r="BH522" s="2">
        <f t="shared" si="398"/>
        <v>1.9308509999999997E-2</v>
      </c>
      <c r="BI522" s="2">
        <f t="shared" si="422"/>
        <v>6.6011999999999998E-3</v>
      </c>
      <c r="BJ522" s="2">
        <f t="shared" si="423"/>
        <v>0.19803599999999999</v>
      </c>
      <c r="BK522" s="2">
        <f t="shared" si="435"/>
        <v>3.6318152100000001</v>
      </c>
      <c r="BL522" s="2">
        <f t="shared" si="424"/>
        <v>1625.8</v>
      </c>
      <c r="BM522" s="2">
        <f t="shared" si="425"/>
        <v>1674.8</v>
      </c>
      <c r="BN522" s="2">
        <f t="shared" si="436"/>
        <v>3300.6</v>
      </c>
    </row>
    <row r="523" spans="1:66" x14ac:dyDescent="0.25">
      <c r="A523" s="42">
        <v>520</v>
      </c>
      <c r="B523" s="43">
        <v>42934</v>
      </c>
      <c r="C523" s="42" t="s">
        <v>50</v>
      </c>
      <c r="D523" s="42" t="s">
        <v>124</v>
      </c>
      <c r="E523" s="6">
        <f t="shared" si="426"/>
        <v>-6.6565326099999833</v>
      </c>
      <c r="F523" s="5" t="str">
        <f t="shared" si="437"/>
        <v>Loss</v>
      </c>
      <c r="G523" s="4">
        <f t="shared" si="438"/>
        <v>-5.7999999999999829</v>
      </c>
      <c r="H523" s="46">
        <v>1</v>
      </c>
      <c r="I523" s="42">
        <v>207.45</v>
      </c>
      <c r="J523" s="42">
        <v>5</v>
      </c>
      <c r="K523" s="42">
        <v>209.55</v>
      </c>
      <c r="N523" s="5">
        <f t="shared" si="439"/>
        <v>6</v>
      </c>
      <c r="O523" s="4">
        <f t="shared" si="440"/>
        <v>208.5</v>
      </c>
      <c r="P523" s="5">
        <f t="shared" si="399"/>
        <v>1</v>
      </c>
      <c r="Q523" s="42">
        <v>206.65</v>
      </c>
      <c r="R523" s="2">
        <f t="shared" si="394"/>
        <v>5</v>
      </c>
      <c r="S523" s="42">
        <v>208.55</v>
      </c>
      <c r="T523" s="2">
        <f t="shared" si="427"/>
        <v>0</v>
      </c>
      <c r="V523" s="5">
        <f t="shared" si="441"/>
        <v>6</v>
      </c>
      <c r="W523" s="4">
        <f t="shared" si="442"/>
        <v>207.60000000000002</v>
      </c>
      <c r="X523" s="14">
        <f t="shared" si="400"/>
        <v>1.1000000000000227</v>
      </c>
      <c r="Y523" s="5">
        <f t="shared" si="401"/>
        <v>-0.79999999999998295</v>
      </c>
      <c r="Z523" s="2">
        <f t="shared" si="402"/>
        <v>-5</v>
      </c>
      <c r="AA523" s="4">
        <f t="shared" si="403"/>
        <v>0</v>
      </c>
      <c r="AB523" s="13">
        <f t="shared" si="404"/>
        <v>0.85653261000000025</v>
      </c>
      <c r="AC523" s="10">
        <f>SUM($E$4:E523)</f>
        <v>-17054.71247118921</v>
      </c>
      <c r="AD523" s="20">
        <f>SUM($AB$4:AB523)</f>
        <v>12772.333171189157</v>
      </c>
      <c r="AF523" s="28">
        <f t="shared" si="405"/>
        <v>0.24966000000000005</v>
      </c>
      <c r="AG523" s="2">
        <f t="shared" si="406"/>
        <v>0.31140000000000007</v>
      </c>
      <c r="AH523" s="2">
        <f t="shared" si="407"/>
        <v>8.1139500000000003E-2</v>
      </c>
      <c r="AI523" s="2">
        <f t="shared" si="428"/>
        <v>0.33079950000000002</v>
      </c>
      <c r="AJ523" s="2">
        <f t="shared" si="395"/>
        <v>5.9543910000000005E-2</v>
      </c>
      <c r="AK523" s="2">
        <f t="shared" si="408"/>
        <v>4.9932000000000006E-3</v>
      </c>
      <c r="AL523" s="2">
        <f t="shared" si="409"/>
        <v>0.14979600000000001</v>
      </c>
      <c r="AM523" s="2">
        <f t="shared" si="429"/>
        <v>0.85653261000000025</v>
      </c>
      <c r="AN523" s="2">
        <f t="shared" si="410"/>
        <v>80</v>
      </c>
      <c r="AO523" s="2">
        <f t="shared" si="411"/>
        <v>0.62280000000000013</v>
      </c>
      <c r="AP523" s="2">
        <f t="shared" si="412"/>
        <v>1.3231980000000001</v>
      </c>
      <c r="AQ523" s="2">
        <f t="shared" si="430"/>
        <v>81.323198000000005</v>
      </c>
      <c r="AR523" s="2">
        <f t="shared" si="396"/>
        <v>14.63817564</v>
      </c>
      <c r="AS523" s="2">
        <f t="shared" si="413"/>
        <v>4.9932000000000006E-3</v>
      </c>
      <c r="AT523" s="2">
        <f t="shared" si="414"/>
        <v>0.14979600000000001</v>
      </c>
      <c r="AU523" s="2">
        <f t="shared" si="431"/>
        <v>96.738962839999999</v>
      </c>
      <c r="AV523" s="2">
        <f t="shared" si="415"/>
        <v>0.24966000000000005</v>
      </c>
      <c r="AW523" s="2">
        <f t="shared" si="416"/>
        <v>0.12456000000000003</v>
      </c>
      <c r="AX523" s="2">
        <f t="shared" si="417"/>
        <v>5.2428600000000006E-2</v>
      </c>
      <c r="AY523" s="2">
        <f t="shared" si="432"/>
        <v>0.30208860000000004</v>
      </c>
      <c r="AZ523" s="2">
        <f t="shared" si="397"/>
        <v>5.4375948000000007E-2</v>
      </c>
      <c r="BA523" s="2">
        <f t="shared" si="418"/>
        <v>4.9932000000000006E-3</v>
      </c>
      <c r="BB523" s="2">
        <f t="shared" si="419"/>
        <v>0.14979600000000001</v>
      </c>
      <c r="BC523" s="2">
        <f t="shared" si="433"/>
        <v>0.63581374800000012</v>
      </c>
      <c r="BD523" s="2">
        <v>0</v>
      </c>
      <c r="BE523" s="2">
        <f t="shared" si="420"/>
        <v>2.4966000000000004</v>
      </c>
      <c r="BF523" s="2">
        <f t="shared" si="421"/>
        <v>8.1139500000000003E-2</v>
      </c>
      <c r="BG523" s="2">
        <f t="shared" si="434"/>
        <v>8.1139500000000003E-2</v>
      </c>
      <c r="BH523" s="2">
        <f t="shared" si="398"/>
        <v>1.4605109999999999E-2</v>
      </c>
      <c r="BI523" s="2">
        <f t="shared" si="422"/>
        <v>4.9932000000000006E-3</v>
      </c>
      <c r="BJ523" s="2">
        <f t="shared" si="423"/>
        <v>0.14979600000000001</v>
      </c>
      <c r="BK523" s="2">
        <f t="shared" si="435"/>
        <v>2.7471338100000002</v>
      </c>
      <c r="BL523" s="2">
        <f t="shared" si="424"/>
        <v>1251</v>
      </c>
      <c r="BM523" s="2">
        <f t="shared" si="425"/>
        <v>1245.6000000000001</v>
      </c>
      <c r="BN523" s="2">
        <f t="shared" si="436"/>
        <v>2496.6000000000004</v>
      </c>
    </row>
    <row r="524" spans="1:66" x14ac:dyDescent="0.25">
      <c r="A524" s="42">
        <v>521</v>
      </c>
      <c r="B524" s="43">
        <v>42934</v>
      </c>
      <c r="C524" s="42" t="s">
        <v>50</v>
      </c>
      <c r="D524" s="42" t="s">
        <v>308</v>
      </c>
      <c r="E524" s="6">
        <f t="shared" si="426"/>
        <v>-3.0272057175000455</v>
      </c>
      <c r="F524" s="5" t="str">
        <f t="shared" si="437"/>
        <v>Loss</v>
      </c>
      <c r="G524" s="4">
        <f t="shared" si="438"/>
        <v>-1.9500000000000455</v>
      </c>
      <c r="H524" s="46">
        <v>1</v>
      </c>
      <c r="I524" s="42">
        <v>1570</v>
      </c>
      <c r="N524" s="5">
        <f t="shared" si="439"/>
        <v>1</v>
      </c>
      <c r="O524" s="4">
        <f t="shared" si="440"/>
        <v>1570</v>
      </c>
      <c r="P524" s="5">
        <f t="shared" si="399"/>
        <v>1</v>
      </c>
      <c r="Q524" s="42">
        <v>1568.05</v>
      </c>
      <c r="R524" s="2">
        <f t="shared" si="394"/>
        <v>0</v>
      </c>
      <c r="T524" s="2">
        <f t="shared" si="427"/>
        <v>0</v>
      </c>
      <c r="V524" s="5">
        <f t="shared" si="441"/>
        <v>1</v>
      </c>
      <c r="W524" s="4">
        <f t="shared" si="442"/>
        <v>1568.05</v>
      </c>
      <c r="X524" s="14">
        <f t="shared" si="400"/>
        <v>-1.9500000000000455</v>
      </c>
      <c r="Y524" s="5">
        <f t="shared" si="401"/>
        <v>-1.9500000000000455</v>
      </c>
      <c r="Z524" s="2">
        <f t="shared" si="402"/>
        <v>0</v>
      </c>
      <c r="AA524" s="4">
        <f t="shared" si="403"/>
        <v>0</v>
      </c>
      <c r="AB524" s="13">
        <f t="shared" si="404"/>
        <v>1.0772057175</v>
      </c>
      <c r="AC524" s="10">
        <f>SUM($E$4:E524)</f>
        <v>-17057.739676906709</v>
      </c>
      <c r="AD524" s="20">
        <f>SUM($AB$4:AB524)</f>
        <v>12773.410376906657</v>
      </c>
      <c r="AF524" s="28">
        <f t="shared" si="405"/>
        <v>0.31380500000000006</v>
      </c>
      <c r="AG524" s="2">
        <f t="shared" si="406"/>
        <v>0.39201249999999999</v>
      </c>
      <c r="AH524" s="2">
        <f t="shared" si="407"/>
        <v>0.101986625</v>
      </c>
      <c r="AI524" s="2">
        <f t="shared" si="428"/>
        <v>0.41579162500000005</v>
      </c>
      <c r="AJ524" s="2">
        <f t="shared" si="395"/>
        <v>7.484249250000001E-2</v>
      </c>
      <c r="AK524" s="2">
        <f t="shared" si="408"/>
        <v>6.2760999999999997E-3</v>
      </c>
      <c r="AL524" s="2">
        <f t="shared" si="409"/>
        <v>0.18828300000000001</v>
      </c>
      <c r="AM524" s="2">
        <f t="shared" si="429"/>
        <v>1.0772057175</v>
      </c>
      <c r="AN524" s="2">
        <f t="shared" si="410"/>
        <v>40</v>
      </c>
      <c r="AO524" s="2">
        <f t="shared" si="411"/>
        <v>0.78402499999999997</v>
      </c>
      <c r="AP524" s="2">
        <f t="shared" si="412"/>
        <v>1.6631665</v>
      </c>
      <c r="AQ524" s="2">
        <f t="shared" si="430"/>
        <v>41.663166500000003</v>
      </c>
      <c r="AR524" s="2">
        <f t="shared" si="396"/>
        <v>7.4993699700000001</v>
      </c>
      <c r="AS524" s="2">
        <f t="shared" si="413"/>
        <v>6.2760999999999997E-3</v>
      </c>
      <c r="AT524" s="2">
        <f t="shared" si="414"/>
        <v>0.18828300000000001</v>
      </c>
      <c r="AU524" s="2">
        <f t="shared" si="431"/>
        <v>50.141120570000005</v>
      </c>
      <c r="AV524" s="2">
        <f t="shared" si="415"/>
        <v>0.31380500000000006</v>
      </c>
      <c r="AW524" s="2">
        <f t="shared" si="416"/>
        <v>0.156805</v>
      </c>
      <c r="AX524" s="2">
        <f t="shared" si="417"/>
        <v>6.5899050000000001E-2</v>
      </c>
      <c r="AY524" s="2">
        <f t="shared" si="432"/>
        <v>0.37970405000000007</v>
      </c>
      <c r="AZ524" s="2">
        <f t="shared" si="397"/>
        <v>6.8346729000000009E-2</v>
      </c>
      <c r="BA524" s="2">
        <f t="shared" si="418"/>
        <v>6.2760999999999997E-3</v>
      </c>
      <c r="BB524" s="2">
        <f t="shared" si="419"/>
        <v>0.18828300000000001</v>
      </c>
      <c r="BC524" s="2">
        <f t="shared" si="433"/>
        <v>0.79941487900000008</v>
      </c>
      <c r="BD524" s="2">
        <v>0</v>
      </c>
      <c r="BE524" s="2">
        <f t="shared" si="420"/>
        <v>3.1380500000000002</v>
      </c>
      <c r="BF524" s="2">
        <f t="shared" si="421"/>
        <v>0.101986625</v>
      </c>
      <c r="BG524" s="2">
        <f t="shared" si="434"/>
        <v>0.101986625</v>
      </c>
      <c r="BH524" s="2">
        <f t="shared" si="398"/>
        <v>1.8357592499999999E-2</v>
      </c>
      <c r="BI524" s="2">
        <f t="shared" si="422"/>
        <v>6.2760999999999997E-3</v>
      </c>
      <c r="BJ524" s="2">
        <f t="shared" si="423"/>
        <v>0.18828300000000001</v>
      </c>
      <c r="BK524" s="2">
        <f t="shared" si="435"/>
        <v>3.4529533175000005</v>
      </c>
      <c r="BL524" s="2">
        <f t="shared" si="424"/>
        <v>1570</v>
      </c>
      <c r="BM524" s="2">
        <f t="shared" si="425"/>
        <v>1568.05</v>
      </c>
      <c r="BN524" s="2">
        <f t="shared" si="436"/>
        <v>3138.05</v>
      </c>
    </row>
    <row r="525" spans="1:66" x14ac:dyDescent="0.25">
      <c r="A525" s="42">
        <v>522</v>
      </c>
      <c r="B525" s="43">
        <v>42935</v>
      </c>
      <c r="C525" s="42" t="s">
        <v>50</v>
      </c>
      <c r="D525" s="42" t="s">
        <v>272</v>
      </c>
      <c r="E525" s="6">
        <f t="shared" si="426"/>
        <v>-0.79903764499998864</v>
      </c>
      <c r="F525" s="5" t="str">
        <f t="shared" si="437"/>
        <v>Loss</v>
      </c>
      <c r="G525" s="4">
        <f t="shared" si="438"/>
        <v>-0.69999999999998863</v>
      </c>
      <c r="H525" s="46">
        <v>1</v>
      </c>
      <c r="I525" s="42">
        <v>144.69999999999999</v>
      </c>
      <c r="N525" s="5">
        <f t="shared" si="439"/>
        <v>1</v>
      </c>
      <c r="O525" s="4">
        <f t="shared" si="440"/>
        <v>144.69999999999999</v>
      </c>
      <c r="P525" s="5">
        <f t="shared" si="399"/>
        <v>1</v>
      </c>
      <c r="Q525" s="42">
        <v>144</v>
      </c>
      <c r="R525" s="2">
        <f t="shared" si="394"/>
        <v>0</v>
      </c>
      <c r="T525" s="2">
        <f t="shared" si="427"/>
        <v>0</v>
      </c>
      <c r="V525" s="5">
        <f t="shared" si="441"/>
        <v>1</v>
      </c>
      <c r="W525" s="4">
        <f t="shared" si="442"/>
        <v>144</v>
      </c>
      <c r="X525" s="14">
        <f t="shared" si="400"/>
        <v>-0.69999999999998863</v>
      </c>
      <c r="Y525" s="5">
        <f t="shared" si="401"/>
        <v>-0.69999999999998863</v>
      </c>
      <c r="Z525" s="2">
        <f t="shared" si="402"/>
        <v>0</v>
      </c>
      <c r="AA525" s="4">
        <f t="shared" si="403"/>
        <v>0</v>
      </c>
      <c r="AB525" s="13">
        <f t="shared" si="404"/>
        <v>9.9037645000000021E-2</v>
      </c>
      <c r="AC525" s="10">
        <f>SUM($E$4:E525)</f>
        <v>-17058.538714551709</v>
      </c>
      <c r="AD525" s="20">
        <f>SUM($AB$4:AB525)</f>
        <v>12773.509414551658</v>
      </c>
      <c r="AF525" s="28">
        <f t="shared" si="405"/>
        <v>2.887E-2</v>
      </c>
      <c r="AG525" s="2">
        <f t="shared" si="406"/>
        <v>3.6000000000000004E-2</v>
      </c>
      <c r="AH525" s="2">
        <f t="shared" si="407"/>
        <v>9.3827499999999987E-3</v>
      </c>
      <c r="AI525" s="2">
        <f t="shared" si="428"/>
        <v>3.8252750000000002E-2</v>
      </c>
      <c r="AJ525" s="2">
        <f t="shared" si="395"/>
        <v>6.8854950000000002E-3</v>
      </c>
      <c r="AK525" s="2">
        <f t="shared" si="408"/>
        <v>5.7740000000000005E-4</v>
      </c>
      <c r="AL525" s="2">
        <f t="shared" si="409"/>
        <v>1.7322000000000001E-2</v>
      </c>
      <c r="AM525" s="2">
        <f t="shared" si="429"/>
        <v>9.9037645000000021E-2</v>
      </c>
      <c r="AN525" s="2">
        <f t="shared" si="410"/>
        <v>40</v>
      </c>
      <c r="AO525" s="2">
        <f t="shared" si="411"/>
        <v>7.2000000000000008E-2</v>
      </c>
      <c r="AP525" s="2">
        <f t="shared" si="412"/>
        <v>0.15301099999999998</v>
      </c>
      <c r="AQ525" s="2">
        <f t="shared" si="430"/>
        <v>40.153010999999999</v>
      </c>
      <c r="AR525" s="2">
        <f t="shared" si="396"/>
        <v>7.2275419799999998</v>
      </c>
      <c r="AS525" s="2">
        <f t="shared" si="413"/>
        <v>5.7740000000000005E-4</v>
      </c>
      <c r="AT525" s="2">
        <f t="shared" si="414"/>
        <v>1.7322000000000001E-2</v>
      </c>
      <c r="AU525" s="2">
        <f t="shared" si="431"/>
        <v>47.470452379999998</v>
      </c>
      <c r="AV525" s="2">
        <f t="shared" si="415"/>
        <v>2.887E-2</v>
      </c>
      <c r="AW525" s="2">
        <f t="shared" si="416"/>
        <v>1.4400000000000001E-2</v>
      </c>
      <c r="AX525" s="2">
        <f t="shared" si="417"/>
        <v>6.062699999999999E-3</v>
      </c>
      <c r="AY525" s="2">
        <f t="shared" si="432"/>
        <v>3.4932699999999997E-2</v>
      </c>
      <c r="AZ525" s="2">
        <f t="shared" si="397"/>
        <v>6.2878859999999995E-3</v>
      </c>
      <c r="BA525" s="2">
        <f t="shared" si="418"/>
        <v>5.7740000000000005E-4</v>
      </c>
      <c r="BB525" s="2">
        <f t="shared" si="419"/>
        <v>1.7322000000000001E-2</v>
      </c>
      <c r="BC525" s="2">
        <f t="shared" si="433"/>
        <v>7.3519985999999996E-2</v>
      </c>
      <c r="BD525" s="2">
        <v>0</v>
      </c>
      <c r="BE525" s="2">
        <f t="shared" si="420"/>
        <v>0.28870000000000001</v>
      </c>
      <c r="BF525" s="2">
        <f t="shared" si="421"/>
        <v>9.3827499999999987E-3</v>
      </c>
      <c r="BG525" s="2">
        <f t="shared" si="434"/>
        <v>9.3827499999999987E-3</v>
      </c>
      <c r="BH525" s="2">
        <f t="shared" si="398"/>
        <v>1.6888949999999997E-3</v>
      </c>
      <c r="BI525" s="2">
        <f t="shared" si="422"/>
        <v>5.7740000000000005E-4</v>
      </c>
      <c r="BJ525" s="2">
        <f t="shared" si="423"/>
        <v>1.7322000000000001E-2</v>
      </c>
      <c r="BK525" s="2">
        <f t="shared" si="435"/>
        <v>0.31767104500000004</v>
      </c>
      <c r="BL525" s="2">
        <f t="shared" si="424"/>
        <v>144.69999999999999</v>
      </c>
      <c r="BM525" s="2">
        <f t="shared" si="425"/>
        <v>144</v>
      </c>
      <c r="BN525" s="2">
        <f t="shared" si="436"/>
        <v>288.7</v>
      </c>
    </row>
    <row r="526" spans="1:66" x14ac:dyDescent="0.25">
      <c r="A526" s="42">
        <v>523</v>
      </c>
      <c r="B526" s="43">
        <v>42936</v>
      </c>
      <c r="C526" s="42" t="s">
        <v>50</v>
      </c>
      <c r="D526" s="42" t="s">
        <v>294</v>
      </c>
      <c r="E526" s="6">
        <f t="shared" si="426"/>
        <v>-1.6903374149999999</v>
      </c>
      <c r="F526" s="5" t="str">
        <f t="shared" si="437"/>
        <v>Loss</v>
      </c>
      <c r="G526" s="4">
        <f t="shared" si="438"/>
        <v>-1.5</v>
      </c>
      <c r="H526" s="46">
        <v>1</v>
      </c>
      <c r="I526" s="42">
        <v>278.2</v>
      </c>
      <c r="N526" s="5">
        <f t="shared" si="439"/>
        <v>1</v>
      </c>
      <c r="O526" s="4">
        <f t="shared" si="440"/>
        <v>278.2</v>
      </c>
      <c r="P526" s="5">
        <f t="shared" si="399"/>
        <v>1</v>
      </c>
      <c r="Q526" s="42">
        <v>276.7</v>
      </c>
      <c r="R526" s="2">
        <f t="shared" si="394"/>
        <v>0</v>
      </c>
      <c r="T526" s="2">
        <f t="shared" si="427"/>
        <v>0</v>
      </c>
      <c r="V526" s="5">
        <f t="shared" si="441"/>
        <v>1</v>
      </c>
      <c r="W526" s="4">
        <f t="shared" si="442"/>
        <v>276.7</v>
      </c>
      <c r="X526" s="14">
        <f t="shared" si="400"/>
        <v>-1.5</v>
      </c>
      <c r="Y526" s="5">
        <f t="shared" si="401"/>
        <v>-1.5</v>
      </c>
      <c r="Z526" s="2">
        <f t="shared" si="402"/>
        <v>0</v>
      </c>
      <c r="AA526" s="4">
        <f t="shared" si="403"/>
        <v>0</v>
      </c>
      <c r="AB526" s="13">
        <f t="shared" si="404"/>
        <v>0.19033741499999998</v>
      </c>
      <c r="AC526" s="10">
        <f>SUM($E$4:E526)</f>
        <v>-17060.229051966708</v>
      </c>
      <c r="AD526" s="20">
        <f>SUM($AB$4:AB526)</f>
        <v>12773.699751966658</v>
      </c>
      <c r="AF526" s="28">
        <f t="shared" si="405"/>
        <v>5.5489999999999998E-2</v>
      </c>
      <c r="AG526" s="2">
        <f t="shared" si="406"/>
        <v>6.9175E-2</v>
      </c>
      <c r="AH526" s="2">
        <f t="shared" si="407"/>
        <v>1.8034249999999998E-2</v>
      </c>
      <c r="AI526" s="2">
        <f t="shared" si="428"/>
        <v>7.3524249999999999E-2</v>
      </c>
      <c r="AJ526" s="2">
        <f t="shared" si="395"/>
        <v>1.3234365E-2</v>
      </c>
      <c r="AK526" s="2">
        <f t="shared" si="408"/>
        <v>1.1098E-3</v>
      </c>
      <c r="AL526" s="2">
        <f t="shared" si="409"/>
        <v>3.3293999999999997E-2</v>
      </c>
      <c r="AM526" s="2">
        <f t="shared" si="429"/>
        <v>0.19033741499999998</v>
      </c>
      <c r="AN526" s="2">
        <f t="shared" si="410"/>
        <v>40</v>
      </c>
      <c r="AO526" s="2">
        <f t="shared" si="411"/>
        <v>0.13835</v>
      </c>
      <c r="AP526" s="2">
        <f t="shared" si="412"/>
        <v>0.294097</v>
      </c>
      <c r="AQ526" s="2">
        <f t="shared" si="430"/>
        <v>40.294097000000001</v>
      </c>
      <c r="AR526" s="2">
        <f t="shared" si="396"/>
        <v>7.2529374600000001</v>
      </c>
      <c r="AS526" s="2">
        <f t="shared" si="413"/>
        <v>1.1098E-3</v>
      </c>
      <c r="AT526" s="2">
        <f t="shared" si="414"/>
        <v>3.3293999999999997E-2</v>
      </c>
      <c r="AU526" s="2">
        <f t="shared" si="431"/>
        <v>47.719788260000001</v>
      </c>
      <c r="AV526" s="2">
        <f t="shared" si="415"/>
        <v>5.5489999999999998E-2</v>
      </c>
      <c r="AW526" s="2">
        <f t="shared" si="416"/>
        <v>2.767E-2</v>
      </c>
      <c r="AX526" s="2">
        <f t="shared" si="417"/>
        <v>1.1652899999999999E-2</v>
      </c>
      <c r="AY526" s="2">
        <f t="shared" si="432"/>
        <v>6.7142899999999991E-2</v>
      </c>
      <c r="AZ526" s="2">
        <f t="shared" si="397"/>
        <v>1.2085721999999998E-2</v>
      </c>
      <c r="BA526" s="2">
        <f t="shared" si="418"/>
        <v>1.1098E-3</v>
      </c>
      <c r="BB526" s="2">
        <f t="shared" si="419"/>
        <v>3.3293999999999997E-2</v>
      </c>
      <c r="BC526" s="2">
        <f t="shared" si="433"/>
        <v>0.14130242199999998</v>
      </c>
      <c r="BD526" s="2">
        <v>0</v>
      </c>
      <c r="BE526" s="2">
        <f t="shared" si="420"/>
        <v>0.55489999999999995</v>
      </c>
      <c r="BF526" s="2">
        <f t="shared" si="421"/>
        <v>1.8034249999999998E-2</v>
      </c>
      <c r="BG526" s="2">
        <f t="shared" si="434"/>
        <v>1.8034249999999998E-2</v>
      </c>
      <c r="BH526" s="2">
        <f t="shared" si="398"/>
        <v>3.2461649999999996E-3</v>
      </c>
      <c r="BI526" s="2">
        <f t="shared" si="422"/>
        <v>1.1098E-3</v>
      </c>
      <c r="BJ526" s="2">
        <f t="shared" si="423"/>
        <v>3.3293999999999997E-2</v>
      </c>
      <c r="BK526" s="2">
        <f t="shared" si="435"/>
        <v>0.61058421500000004</v>
      </c>
      <c r="BL526" s="2">
        <f t="shared" si="424"/>
        <v>278.2</v>
      </c>
      <c r="BM526" s="2">
        <f t="shared" si="425"/>
        <v>276.7</v>
      </c>
      <c r="BN526" s="2">
        <f t="shared" si="436"/>
        <v>554.9</v>
      </c>
    </row>
    <row r="527" spans="1:66" x14ac:dyDescent="0.25">
      <c r="A527" s="42">
        <v>524</v>
      </c>
      <c r="B527" s="43">
        <v>42936</v>
      </c>
      <c r="C527" s="42" t="s">
        <v>50</v>
      </c>
      <c r="D527" s="42" t="s">
        <v>207</v>
      </c>
      <c r="E527" s="6">
        <f t="shared" si="426"/>
        <v>-0.95731079749999437</v>
      </c>
      <c r="F527" s="5" t="str">
        <f t="shared" si="437"/>
        <v>Loss</v>
      </c>
      <c r="G527" s="4">
        <f t="shared" si="438"/>
        <v>-0.84999999999999432</v>
      </c>
      <c r="H527" s="46">
        <v>1</v>
      </c>
      <c r="I527" s="42">
        <v>156.85</v>
      </c>
      <c r="N527" s="5">
        <f t="shared" si="439"/>
        <v>1</v>
      </c>
      <c r="O527" s="4">
        <f t="shared" si="440"/>
        <v>156.85</v>
      </c>
      <c r="P527" s="5">
        <f t="shared" si="399"/>
        <v>1</v>
      </c>
      <c r="Q527" s="42">
        <v>156</v>
      </c>
      <c r="R527" s="2">
        <f t="shared" si="394"/>
        <v>0</v>
      </c>
      <c r="T527" s="2">
        <f t="shared" si="427"/>
        <v>0</v>
      </c>
      <c r="V527" s="5">
        <f t="shared" si="441"/>
        <v>1</v>
      </c>
      <c r="W527" s="4">
        <f t="shared" si="442"/>
        <v>156</v>
      </c>
      <c r="X527" s="14">
        <f t="shared" si="400"/>
        <v>-0.84999999999999432</v>
      </c>
      <c r="Y527" s="5">
        <f t="shared" si="401"/>
        <v>-0.84999999999999432</v>
      </c>
      <c r="Z527" s="2">
        <f t="shared" si="402"/>
        <v>0</v>
      </c>
      <c r="AA527" s="4">
        <f t="shared" si="403"/>
        <v>0</v>
      </c>
      <c r="AB527" s="13">
        <f t="shared" si="404"/>
        <v>0.1073107975</v>
      </c>
      <c r="AC527" s="10">
        <f>SUM($E$4:E527)</f>
        <v>-17061.186362764209</v>
      </c>
      <c r="AD527" s="20">
        <f>SUM($AB$4:AB527)</f>
        <v>12773.807062764159</v>
      </c>
      <c r="AF527" s="28">
        <f t="shared" si="405"/>
        <v>3.1285E-2</v>
      </c>
      <c r="AG527" s="2">
        <f t="shared" si="406"/>
        <v>3.9E-2</v>
      </c>
      <c r="AH527" s="2">
        <f t="shared" si="407"/>
        <v>1.0167625E-2</v>
      </c>
      <c r="AI527" s="2">
        <f t="shared" si="428"/>
        <v>4.1452625E-2</v>
      </c>
      <c r="AJ527" s="2">
        <f t="shared" si="395"/>
        <v>7.4614725E-3</v>
      </c>
      <c r="AK527" s="2">
        <f t="shared" si="408"/>
        <v>6.2570000000000008E-4</v>
      </c>
      <c r="AL527" s="2">
        <f t="shared" si="409"/>
        <v>1.8771000000000003E-2</v>
      </c>
      <c r="AM527" s="2">
        <f t="shared" si="429"/>
        <v>0.1073107975</v>
      </c>
      <c r="AN527" s="2">
        <f t="shared" si="410"/>
        <v>40</v>
      </c>
      <c r="AO527" s="2">
        <f t="shared" si="411"/>
        <v>7.8E-2</v>
      </c>
      <c r="AP527" s="2">
        <f t="shared" si="412"/>
        <v>0.1658105</v>
      </c>
      <c r="AQ527" s="2">
        <f t="shared" si="430"/>
        <v>40.165810499999999</v>
      </c>
      <c r="AR527" s="2">
        <f t="shared" si="396"/>
        <v>7.22984589</v>
      </c>
      <c r="AS527" s="2">
        <f t="shared" si="413"/>
        <v>6.2570000000000008E-4</v>
      </c>
      <c r="AT527" s="2">
        <f t="shared" si="414"/>
        <v>1.8771000000000003E-2</v>
      </c>
      <c r="AU527" s="2">
        <f t="shared" si="431"/>
        <v>47.493053090000004</v>
      </c>
      <c r="AV527" s="2">
        <f t="shared" si="415"/>
        <v>3.1285E-2</v>
      </c>
      <c r="AW527" s="2">
        <f t="shared" si="416"/>
        <v>1.5600000000000001E-2</v>
      </c>
      <c r="AX527" s="2">
        <f t="shared" si="417"/>
        <v>6.5698500000000003E-3</v>
      </c>
      <c r="AY527" s="2">
        <f t="shared" si="432"/>
        <v>3.7854850000000002E-2</v>
      </c>
      <c r="AZ527" s="2">
        <f t="shared" si="397"/>
        <v>6.8138729999999998E-3</v>
      </c>
      <c r="BA527" s="2">
        <f t="shared" si="418"/>
        <v>6.2570000000000008E-4</v>
      </c>
      <c r="BB527" s="2">
        <f t="shared" si="419"/>
        <v>1.8771000000000003E-2</v>
      </c>
      <c r="BC527" s="2">
        <f t="shared" si="433"/>
        <v>7.9665423000000013E-2</v>
      </c>
      <c r="BD527" s="2">
        <v>0</v>
      </c>
      <c r="BE527" s="2">
        <f t="shared" si="420"/>
        <v>0.31285000000000002</v>
      </c>
      <c r="BF527" s="2">
        <f t="shared" si="421"/>
        <v>1.0167625E-2</v>
      </c>
      <c r="BG527" s="2">
        <f t="shared" si="434"/>
        <v>1.0167625E-2</v>
      </c>
      <c r="BH527" s="2">
        <f t="shared" si="398"/>
        <v>1.8301724999999999E-3</v>
      </c>
      <c r="BI527" s="2">
        <f t="shared" si="422"/>
        <v>6.2570000000000008E-4</v>
      </c>
      <c r="BJ527" s="2">
        <f t="shared" si="423"/>
        <v>1.8771000000000003E-2</v>
      </c>
      <c r="BK527" s="2">
        <f t="shared" si="435"/>
        <v>0.34424449750000002</v>
      </c>
      <c r="BL527" s="2">
        <f t="shared" si="424"/>
        <v>156.85</v>
      </c>
      <c r="BM527" s="2">
        <f t="shared" si="425"/>
        <v>156</v>
      </c>
      <c r="BN527" s="2">
        <f t="shared" si="436"/>
        <v>312.85000000000002</v>
      </c>
    </row>
    <row r="528" spans="1:66" x14ac:dyDescent="0.25">
      <c r="A528" s="42">
        <v>525</v>
      </c>
      <c r="B528" s="43">
        <v>42936</v>
      </c>
      <c r="C528" s="42" t="s">
        <v>50</v>
      </c>
      <c r="D528" s="42" t="s">
        <v>198</v>
      </c>
      <c r="E528" s="6">
        <f t="shared" si="426"/>
        <v>-2.2013914949999545</v>
      </c>
      <c r="F528" s="5" t="str">
        <f t="shared" si="437"/>
        <v>Loss</v>
      </c>
      <c r="G528" s="4">
        <f t="shared" si="438"/>
        <v>-1.7999999999999545</v>
      </c>
      <c r="H528" s="46">
        <v>1</v>
      </c>
      <c r="I528" s="42">
        <v>585.75</v>
      </c>
      <c r="N528" s="5">
        <f t="shared" si="439"/>
        <v>1</v>
      </c>
      <c r="O528" s="4">
        <f t="shared" si="440"/>
        <v>585.75</v>
      </c>
      <c r="P528" s="5">
        <f t="shared" si="399"/>
        <v>1</v>
      </c>
      <c r="Q528" s="42">
        <v>583.95000000000005</v>
      </c>
      <c r="R528" s="2">
        <f t="shared" si="394"/>
        <v>0</v>
      </c>
      <c r="T528" s="2">
        <f t="shared" si="427"/>
        <v>0</v>
      </c>
      <c r="V528" s="5">
        <f t="shared" si="441"/>
        <v>1</v>
      </c>
      <c r="W528" s="4">
        <f t="shared" si="442"/>
        <v>583.95000000000005</v>
      </c>
      <c r="X528" s="14">
        <f t="shared" si="400"/>
        <v>-1.7999999999999545</v>
      </c>
      <c r="Y528" s="5">
        <f t="shared" si="401"/>
        <v>-1.7999999999999545</v>
      </c>
      <c r="Z528" s="2">
        <f t="shared" si="402"/>
        <v>0</v>
      </c>
      <c r="AA528" s="4">
        <f t="shared" si="403"/>
        <v>0</v>
      </c>
      <c r="AB528" s="13">
        <f t="shared" si="404"/>
        <v>0.40139149500000004</v>
      </c>
      <c r="AC528" s="10">
        <f>SUM($E$4:E528)</f>
        <v>-17063.387754259209</v>
      </c>
      <c r="AD528" s="20">
        <f>SUM($AB$4:AB528)</f>
        <v>12774.208454259158</v>
      </c>
      <c r="AF528" s="28">
        <f t="shared" si="405"/>
        <v>0.11697</v>
      </c>
      <c r="AG528" s="2">
        <f t="shared" si="406"/>
        <v>0.14598750000000002</v>
      </c>
      <c r="AH528" s="2">
        <f t="shared" si="407"/>
        <v>3.801525E-2</v>
      </c>
      <c r="AI528" s="2">
        <f t="shared" si="428"/>
        <v>0.15498525000000002</v>
      </c>
      <c r="AJ528" s="2">
        <f t="shared" si="395"/>
        <v>2.7897345000000004E-2</v>
      </c>
      <c r="AK528" s="2">
        <f t="shared" si="408"/>
        <v>2.3394000000000002E-3</v>
      </c>
      <c r="AL528" s="2">
        <f t="shared" si="409"/>
        <v>7.0182000000000008E-2</v>
      </c>
      <c r="AM528" s="2">
        <f t="shared" si="429"/>
        <v>0.40139149500000004</v>
      </c>
      <c r="AN528" s="2">
        <f t="shared" si="410"/>
        <v>40</v>
      </c>
      <c r="AO528" s="2">
        <f t="shared" si="411"/>
        <v>0.29197500000000004</v>
      </c>
      <c r="AP528" s="2">
        <f t="shared" si="412"/>
        <v>0.61994099999999996</v>
      </c>
      <c r="AQ528" s="2">
        <f t="shared" si="430"/>
        <v>40.619940999999997</v>
      </c>
      <c r="AR528" s="2">
        <f t="shared" si="396"/>
        <v>7.3115893799999991</v>
      </c>
      <c r="AS528" s="2">
        <f t="shared" si="413"/>
        <v>2.3394000000000002E-3</v>
      </c>
      <c r="AT528" s="2">
        <f t="shared" si="414"/>
        <v>7.0182000000000008E-2</v>
      </c>
      <c r="AU528" s="2">
        <f t="shared" si="431"/>
        <v>48.296026779999998</v>
      </c>
      <c r="AV528" s="2">
        <f t="shared" si="415"/>
        <v>0.11697</v>
      </c>
      <c r="AW528" s="2">
        <f t="shared" si="416"/>
        <v>5.8395000000000009E-2</v>
      </c>
      <c r="AX528" s="2">
        <f t="shared" si="417"/>
        <v>2.4563700000000001E-2</v>
      </c>
      <c r="AY528" s="2">
        <f t="shared" si="432"/>
        <v>0.14153370000000001</v>
      </c>
      <c r="AZ528" s="2">
        <f t="shared" si="397"/>
        <v>2.5476066000000002E-2</v>
      </c>
      <c r="BA528" s="2">
        <f t="shared" si="418"/>
        <v>2.3394000000000002E-3</v>
      </c>
      <c r="BB528" s="2">
        <f t="shared" si="419"/>
        <v>7.0182000000000008E-2</v>
      </c>
      <c r="BC528" s="2">
        <f t="shared" si="433"/>
        <v>0.29792616599999999</v>
      </c>
      <c r="BD528" s="2">
        <v>0</v>
      </c>
      <c r="BE528" s="2">
        <f t="shared" si="420"/>
        <v>1.1697</v>
      </c>
      <c r="BF528" s="2">
        <f t="shared" si="421"/>
        <v>3.801525E-2</v>
      </c>
      <c r="BG528" s="2">
        <f t="shared" si="434"/>
        <v>3.801525E-2</v>
      </c>
      <c r="BH528" s="2">
        <f t="shared" si="398"/>
        <v>6.8427449999999999E-3</v>
      </c>
      <c r="BI528" s="2">
        <f t="shared" si="422"/>
        <v>2.3394000000000002E-3</v>
      </c>
      <c r="BJ528" s="2">
        <f t="shared" si="423"/>
        <v>7.0182000000000008E-2</v>
      </c>
      <c r="BK528" s="2">
        <f t="shared" si="435"/>
        <v>1.2870793949999999</v>
      </c>
      <c r="BL528" s="2">
        <f t="shared" si="424"/>
        <v>585.75</v>
      </c>
      <c r="BM528" s="2">
        <f t="shared" si="425"/>
        <v>583.95000000000005</v>
      </c>
      <c r="BN528" s="2">
        <f t="shared" si="436"/>
        <v>1169.7</v>
      </c>
    </row>
    <row r="529" spans="1:66" x14ac:dyDescent="0.25">
      <c r="A529" s="42">
        <v>526</v>
      </c>
      <c r="B529" s="43">
        <v>42936</v>
      </c>
      <c r="C529" s="42" t="s">
        <v>50</v>
      </c>
      <c r="D529" s="42" t="s">
        <v>274</v>
      </c>
      <c r="E529" s="6">
        <f t="shared" si="426"/>
        <v>13.130496806666599</v>
      </c>
      <c r="F529" s="5" t="str">
        <f t="shared" si="437"/>
        <v>Win</v>
      </c>
      <c r="G529" s="4">
        <f t="shared" si="438"/>
        <v>14.699999999999932</v>
      </c>
      <c r="H529" s="46">
        <v>1</v>
      </c>
      <c r="I529" s="42">
        <v>563.75</v>
      </c>
      <c r="J529" s="42">
        <v>2</v>
      </c>
      <c r="K529" s="42">
        <v>570.85</v>
      </c>
      <c r="L529" s="42">
        <v>1</v>
      </c>
      <c r="M529" s="44">
        <v>570.85</v>
      </c>
      <c r="N529" s="5">
        <f t="shared" si="439"/>
        <v>4</v>
      </c>
      <c r="O529" s="4">
        <f t="shared" si="440"/>
        <v>568.48333333333335</v>
      </c>
      <c r="P529" s="5">
        <f t="shared" si="399"/>
        <v>1</v>
      </c>
      <c r="Q529" s="42">
        <v>572.70000000000005</v>
      </c>
      <c r="R529" s="2">
        <f t="shared" si="394"/>
        <v>2</v>
      </c>
      <c r="S529" s="42">
        <v>572.75</v>
      </c>
      <c r="T529" s="2">
        <f t="shared" si="427"/>
        <v>1</v>
      </c>
      <c r="U529" s="44">
        <v>572.79999999999995</v>
      </c>
      <c r="V529" s="5">
        <f t="shared" si="441"/>
        <v>4</v>
      </c>
      <c r="W529" s="4">
        <f t="shared" si="442"/>
        <v>572.75</v>
      </c>
      <c r="X529" s="14">
        <f t="shared" si="400"/>
        <v>9.0499999999999545</v>
      </c>
      <c r="Y529" s="5">
        <f t="shared" si="401"/>
        <v>8.9500000000000455</v>
      </c>
      <c r="Z529" s="2">
        <f t="shared" si="402"/>
        <v>3.7999999999999545</v>
      </c>
      <c r="AA529" s="4">
        <f t="shared" si="403"/>
        <v>1.9499999999999318</v>
      </c>
      <c r="AB529" s="13">
        <f t="shared" si="404"/>
        <v>1.5695031933333334</v>
      </c>
      <c r="AC529" s="10">
        <f>SUM($E$4:E529)</f>
        <v>-17050.257257452544</v>
      </c>
      <c r="AD529" s="20">
        <f>SUM($AB$4:AB529)</f>
        <v>12775.777957452492</v>
      </c>
      <c r="AF529" s="28">
        <f t="shared" si="405"/>
        <v>0.45649333333333336</v>
      </c>
      <c r="AG529" s="2">
        <f t="shared" si="406"/>
        <v>0.57274999999999998</v>
      </c>
      <c r="AH529" s="2">
        <f t="shared" si="407"/>
        <v>0.14836033333333332</v>
      </c>
      <c r="AI529" s="2">
        <f t="shared" si="428"/>
        <v>0.60485366666666662</v>
      </c>
      <c r="AJ529" s="2">
        <f t="shared" si="395"/>
        <v>0.10887365999999998</v>
      </c>
      <c r="AK529" s="2">
        <f t="shared" si="408"/>
        <v>9.1298666666666667E-3</v>
      </c>
      <c r="AL529" s="2">
        <f t="shared" si="409"/>
        <v>0.27389600000000003</v>
      </c>
      <c r="AM529" s="2">
        <f t="shared" si="429"/>
        <v>1.5695031933333334</v>
      </c>
      <c r="AN529" s="2">
        <f t="shared" si="410"/>
        <v>120</v>
      </c>
      <c r="AO529" s="2">
        <f t="shared" si="411"/>
        <v>1.1455</v>
      </c>
      <c r="AP529" s="2">
        <f t="shared" si="412"/>
        <v>2.4194146666666665</v>
      </c>
      <c r="AQ529" s="2">
        <f t="shared" si="430"/>
        <v>122.41941466666667</v>
      </c>
      <c r="AR529" s="2">
        <f t="shared" si="396"/>
        <v>22.03549464</v>
      </c>
      <c r="AS529" s="2">
        <f t="shared" si="413"/>
        <v>9.1298666666666667E-3</v>
      </c>
      <c r="AT529" s="2">
        <f t="shared" si="414"/>
        <v>0.27389600000000003</v>
      </c>
      <c r="AU529" s="2">
        <f t="shared" si="431"/>
        <v>145.88343517333334</v>
      </c>
      <c r="AV529" s="2">
        <f t="shared" si="415"/>
        <v>0.45649333333333336</v>
      </c>
      <c r="AW529" s="2">
        <f t="shared" si="416"/>
        <v>0.2291</v>
      </c>
      <c r="AX529" s="2">
        <f t="shared" si="417"/>
        <v>9.5863599999999993E-2</v>
      </c>
      <c r="AY529" s="2">
        <f t="shared" si="432"/>
        <v>0.55235693333333336</v>
      </c>
      <c r="AZ529" s="2">
        <f t="shared" si="397"/>
        <v>9.9424248000000007E-2</v>
      </c>
      <c r="BA529" s="2">
        <f t="shared" si="418"/>
        <v>9.1298666666666667E-3</v>
      </c>
      <c r="BB529" s="2">
        <f t="shared" si="419"/>
        <v>0.27389600000000003</v>
      </c>
      <c r="BC529" s="2">
        <f t="shared" si="433"/>
        <v>1.1639070480000002</v>
      </c>
      <c r="BD529" s="2">
        <v>0</v>
      </c>
      <c r="BE529" s="2">
        <f t="shared" si="420"/>
        <v>4.5649333333333333</v>
      </c>
      <c r="BF529" s="2">
        <f t="shared" si="421"/>
        <v>0.14836033333333332</v>
      </c>
      <c r="BG529" s="2">
        <f t="shared" si="434"/>
        <v>0.14836033333333332</v>
      </c>
      <c r="BH529" s="2">
        <f t="shared" si="398"/>
        <v>2.6704859999999997E-2</v>
      </c>
      <c r="BI529" s="2">
        <f t="shared" si="422"/>
        <v>9.1298666666666667E-3</v>
      </c>
      <c r="BJ529" s="2">
        <f t="shared" si="423"/>
        <v>0.27389600000000003</v>
      </c>
      <c r="BK529" s="2">
        <f t="shared" si="435"/>
        <v>5.0230243933333334</v>
      </c>
      <c r="BL529" s="2">
        <f t="shared" si="424"/>
        <v>2273.9333333333334</v>
      </c>
      <c r="BM529" s="2">
        <f t="shared" si="425"/>
        <v>2291</v>
      </c>
      <c r="BN529" s="2">
        <f t="shared" si="436"/>
        <v>4564.9333333333334</v>
      </c>
    </row>
    <row r="530" spans="1:66" x14ac:dyDescent="0.25">
      <c r="A530" s="42">
        <v>527</v>
      </c>
      <c r="B530" s="43">
        <v>42936</v>
      </c>
      <c r="C530" s="42" t="s">
        <v>50</v>
      </c>
      <c r="D530" s="42" t="s">
        <v>196</v>
      </c>
      <c r="E530" s="6">
        <f t="shared" si="426"/>
        <v>-3.6165952500022747E-2</v>
      </c>
      <c r="F530" s="5" t="str">
        <f t="shared" si="437"/>
        <v>Win</v>
      </c>
      <c r="G530" s="4">
        <f t="shared" si="438"/>
        <v>0.14999999999997726</v>
      </c>
      <c r="H530" s="46">
        <v>1</v>
      </c>
      <c r="I530" s="42">
        <v>271</v>
      </c>
      <c r="N530" s="5">
        <f t="shared" si="439"/>
        <v>1</v>
      </c>
      <c r="O530" s="4">
        <f t="shared" si="440"/>
        <v>271</v>
      </c>
      <c r="P530" s="5">
        <f t="shared" si="399"/>
        <v>1</v>
      </c>
      <c r="Q530" s="42">
        <v>271.14999999999998</v>
      </c>
      <c r="R530" s="2">
        <f t="shared" si="394"/>
        <v>0</v>
      </c>
      <c r="T530" s="2">
        <f t="shared" si="427"/>
        <v>0</v>
      </c>
      <c r="V530" s="5">
        <f t="shared" si="441"/>
        <v>1</v>
      </c>
      <c r="W530" s="4">
        <f t="shared" si="442"/>
        <v>271.14999999999998</v>
      </c>
      <c r="X530" s="14">
        <f t="shared" si="400"/>
        <v>0.14999999999997726</v>
      </c>
      <c r="Y530" s="5">
        <f t="shared" si="401"/>
        <v>0.14999999999997726</v>
      </c>
      <c r="Z530" s="2">
        <f t="shared" si="402"/>
        <v>0</v>
      </c>
      <c r="AA530" s="4">
        <f t="shared" si="403"/>
        <v>0</v>
      </c>
      <c r="AB530" s="13">
        <f t="shared" si="404"/>
        <v>0.18616595250000001</v>
      </c>
      <c r="AC530" s="10">
        <f>SUM($E$4:E530)</f>
        <v>-17050.293423405044</v>
      </c>
      <c r="AD530" s="20">
        <f>SUM($AB$4:AB530)</f>
        <v>12775.964123404992</v>
      </c>
      <c r="AF530" s="28">
        <f t="shared" si="405"/>
        <v>5.4214999999999999E-2</v>
      </c>
      <c r="AG530" s="2">
        <f t="shared" si="406"/>
        <v>6.7787500000000001E-2</v>
      </c>
      <c r="AH530" s="2">
        <f t="shared" si="407"/>
        <v>1.7619874999999997E-2</v>
      </c>
      <c r="AI530" s="2">
        <f t="shared" si="428"/>
        <v>7.1834874999999992E-2</v>
      </c>
      <c r="AJ530" s="2">
        <f t="shared" si="395"/>
        <v>1.2930277499999998E-2</v>
      </c>
      <c r="AK530" s="2">
        <f t="shared" si="408"/>
        <v>1.0842999999999998E-3</v>
      </c>
      <c r="AL530" s="2">
        <f t="shared" si="409"/>
        <v>3.2529000000000002E-2</v>
      </c>
      <c r="AM530" s="2">
        <f t="shared" si="429"/>
        <v>0.18616595250000001</v>
      </c>
      <c r="AN530" s="2">
        <f t="shared" si="410"/>
        <v>40</v>
      </c>
      <c r="AO530" s="2">
        <f t="shared" si="411"/>
        <v>0.135575</v>
      </c>
      <c r="AP530" s="2">
        <f t="shared" si="412"/>
        <v>0.28733949999999997</v>
      </c>
      <c r="AQ530" s="2">
        <f t="shared" si="430"/>
        <v>40.287339500000002</v>
      </c>
      <c r="AR530" s="2">
        <f t="shared" si="396"/>
        <v>7.2517211100000001</v>
      </c>
      <c r="AS530" s="2">
        <f t="shared" si="413"/>
        <v>1.0842999999999998E-3</v>
      </c>
      <c r="AT530" s="2">
        <f t="shared" si="414"/>
        <v>3.2529000000000002E-2</v>
      </c>
      <c r="AU530" s="2">
        <f t="shared" si="431"/>
        <v>47.708248910000002</v>
      </c>
      <c r="AV530" s="2">
        <f t="shared" si="415"/>
        <v>5.4214999999999999E-2</v>
      </c>
      <c r="AW530" s="2">
        <f t="shared" si="416"/>
        <v>2.7115E-2</v>
      </c>
      <c r="AX530" s="2">
        <f t="shared" si="417"/>
        <v>1.1385149999999998E-2</v>
      </c>
      <c r="AY530" s="2">
        <f t="shared" si="432"/>
        <v>6.5600149999999996E-2</v>
      </c>
      <c r="AZ530" s="2">
        <f t="shared" si="397"/>
        <v>1.1808026999999999E-2</v>
      </c>
      <c r="BA530" s="2">
        <f t="shared" si="418"/>
        <v>1.0842999999999998E-3</v>
      </c>
      <c r="BB530" s="2">
        <f t="shared" si="419"/>
        <v>3.2529000000000002E-2</v>
      </c>
      <c r="BC530" s="2">
        <f t="shared" si="433"/>
        <v>0.13813647699999998</v>
      </c>
      <c r="BD530" s="2">
        <v>0</v>
      </c>
      <c r="BE530" s="2">
        <f t="shared" si="420"/>
        <v>0.54215000000000002</v>
      </c>
      <c r="BF530" s="2">
        <f t="shared" si="421"/>
        <v>1.7619874999999997E-2</v>
      </c>
      <c r="BG530" s="2">
        <f t="shared" si="434"/>
        <v>1.7619874999999997E-2</v>
      </c>
      <c r="BH530" s="2">
        <f t="shared" si="398"/>
        <v>3.1715774999999994E-3</v>
      </c>
      <c r="BI530" s="2">
        <f t="shared" si="422"/>
        <v>1.0842999999999998E-3</v>
      </c>
      <c r="BJ530" s="2">
        <f t="shared" si="423"/>
        <v>3.2529000000000002E-2</v>
      </c>
      <c r="BK530" s="2">
        <f t="shared" si="435"/>
        <v>0.59655475250000001</v>
      </c>
      <c r="BL530" s="2">
        <f t="shared" si="424"/>
        <v>271</v>
      </c>
      <c r="BM530" s="2">
        <f t="shared" si="425"/>
        <v>271.14999999999998</v>
      </c>
      <c r="BN530" s="2">
        <f t="shared" si="436"/>
        <v>542.15</v>
      </c>
    </row>
    <row r="531" spans="1:66" x14ac:dyDescent="0.25">
      <c r="A531" s="42">
        <v>528</v>
      </c>
      <c r="B531" s="43">
        <v>42936</v>
      </c>
      <c r="C531" s="42" t="s">
        <v>50</v>
      </c>
      <c r="D531" s="42" t="s">
        <v>276</v>
      </c>
      <c r="E531" s="6">
        <f t="shared" si="426"/>
        <v>-0.65559721250001135</v>
      </c>
      <c r="F531" s="5" t="str">
        <f t="shared" si="437"/>
        <v>Loss</v>
      </c>
      <c r="G531" s="4">
        <f t="shared" si="438"/>
        <v>-0.55000000000001137</v>
      </c>
      <c r="H531" s="46">
        <v>1</v>
      </c>
      <c r="I531" s="42">
        <v>154.15</v>
      </c>
      <c r="N531" s="5">
        <f t="shared" si="439"/>
        <v>1</v>
      </c>
      <c r="O531" s="4">
        <f t="shared" si="440"/>
        <v>154.15</v>
      </c>
      <c r="P531" s="5">
        <f t="shared" si="399"/>
        <v>1</v>
      </c>
      <c r="Q531" s="42">
        <v>153.6</v>
      </c>
      <c r="R531" s="2">
        <f t="shared" si="394"/>
        <v>0</v>
      </c>
      <c r="T531" s="2">
        <f t="shared" si="427"/>
        <v>0</v>
      </c>
      <c r="V531" s="5">
        <f t="shared" si="441"/>
        <v>1</v>
      </c>
      <c r="W531" s="4">
        <f t="shared" si="442"/>
        <v>153.6</v>
      </c>
      <c r="X531" s="14">
        <f t="shared" si="400"/>
        <v>-0.55000000000001137</v>
      </c>
      <c r="Y531" s="5">
        <f t="shared" si="401"/>
        <v>-0.55000000000001137</v>
      </c>
      <c r="Z531" s="2">
        <f t="shared" si="402"/>
        <v>0</v>
      </c>
      <c r="AA531" s="4">
        <f t="shared" si="403"/>
        <v>0</v>
      </c>
      <c r="AB531" s="13">
        <f t="shared" si="404"/>
        <v>0.1055972125</v>
      </c>
      <c r="AC531" s="10">
        <f>SUM($E$4:E531)</f>
        <v>-17050.949020617543</v>
      </c>
      <c r="AD531" s="20">
        <f>SUM($AB$4:AB531)</f>
        <v>12776.069720617492</v>
      </c>
      <c r="AF531" s="28">
        <f t="shared" si="405"/>
        <v>3.0775E-2</v>
      </c>
      <c r="AG531" s="2">
        <f t="shared" si="406"/>
        <v>3.8399999999999997E-2</v>
      </c>
      <c r="AH531" s="2">
        <f t="shared" si="407"/>
        <v>1.0001874999999999E-2</v>
      </c>
      <c r="AI531" s="2">
        <f t="shared" si="428"/>
        <v>4.0776874999999997E-2</v>
      </c>
      <c r="AJ531" s="2">
        <f t="shared" si="395"/>
        <v>7.339837499999999E-3</v>
      </c>
      <c r="AK531" s="2">
        <f t="shared" si="408"/>
        <v>6.1550000000000005E-4</v>
      </c>
      <c r="AL531" s="2">
        <f t="shared" si="409"/>
        <v>1.8464999999999999E-2</v>
      </c>
      <c r="AM531" s="2">
        <f t="shared" si="429"/>
        <v>0.1055972125</v>
      </c>
      <c r="AN531" s="2">
        <f t="shared" si="410"/>
        <v>40</v>
      </c>
      <c r="AO531" s="2">
        <f t="shared" si="411"/>
        <v>7.6799999999999993E-2</v>
      </c>
      <c r="AP531" s="2">
        <f t="shared" si="412"/>
        <v>0.16310749999999999</v>
      </c>
      <c r="AQ531" s="2">
        <f t="shared" si="430"/>
        <v>40.163107500000002</v>
      </c>
      <c r="AR531" s="2">
        <f t="shared" si="396"/>
        <v>7.2293593500000002</v>
      </c>
      <c r="AS531" s="2">
        <f t="shared" si="413"/>
        <v>6.1550000000000005E-4</v>
      </c>
      <c r="AT531" s="2">
        <f t="shared" si="414"/>
        <v>1.8464999999999999E-2</v>
      </c>
      <c r="AU531" s="2">
        <f t="shared" si="431"/>
        <v>47.488347350000005</v>
      </c>
      <c r="AV531" s="2">
        <f t="shared" si="415"/>
        <v>3.0775E-2</v>
      </c>
      <c r="AW531" s="2">
        <f t="shared" si="416"/>
        <v>1.536E-2</v>
      </c>
      <c r="AX531" s="2">
        <f t="shared" si="417"/>
        <v>6.4627499999999997E-3</v>
      </c>
      <c r="AY531" s="2">
        <f t="shared" si="432"/>
        <v>3.723775E-2</v>
      </c>
      <c r="AZ531" s="2">
        <f t="shared" si="397"/>
        <v>6.7027950000000001E-3</v>
      </c>
      <c r="BA531" s="2">
        <f t="shared" si="418"/>
        <v>6.1550000000000005E-4</v>
      </c>
      <c r="BB531" s="2">
        <f t="shared" si="419"/>
        <v>1.8464999999999999E-2</v>
      </c>
      <c r="BC531" s="2">
        <f t="shared" si="433"/>
        <v>7.8381044999999996E-2</v>
      </c>
      <c r="BD531" s="2">
        <v>0</v>
      </c>
      <c r="BE531" s="2">
        <f t="shared" si="420"/>
        <v>0.30775000000000002</v>
      </c>
      <c r="BF531" s="2">
        <f t="shared" si="421"/>
        <v>1.0001874999999999E-2</v>
      </c>
      <c r="BG531" s="2">
        <f t="shared" si="434"/>
        <v>1.0001874999999999E-2</v>
      </c>
      <c r="BH531" s="2">
        <f t="shared" si="398"/>
        <v>1.8003374999999997E-3</v>
      </c>
      <c r="BI531" s="2">
        <f t="shared" si="422"/>
        <v>6.1550000000000005E-4</v>
      </c>
      <c r="BJ531" s="2">
        <f t="shared" si="423"/>
        <v>1.8464999999999999E-2</v>
      </c>
      <c r="BK531" s="2">
        <f t="shared" si="435"/>
        <v>0.33863271250000004</v>
      </c>
      <c r="BL531" s="2">
        <f t="shared" si="424"/>
        <v>154.15</v>
      </c>
      <c r="BM531" s="2">
        <f t="shared" si="425"/>
        <v>153.6</v>
      </c>
      <c r="BN531" s="2">
        <f t="shared" si="436"/>
        <v>307.75</v>
      </c>
    </row>
    <row r="532" spans="1:66" x14ac:dyDescent="0.25">
      <c r="A532" s="42">
        <v>529</v>
      </c>
      <c r="B532" s="43">
        <v>42937</v>
      </c>
      <c r="C532" s="42" t="s">
        <v>50</v>
      </c>
      <c r="D532" s="42" t="s">
        <v>195</v>
      </c>
      <c r="E532" s="6">
        <f t="shared" si="426"/>
        <v>-2.8736491425000112</v>
      </c>
      <c r="F532" s="5" t="str">
        <f t="shared" si="437"/>
        <v>Loss</v>
      </c>
      <c r="G532" s="4">
        <f t="shared" si="438"/>
        <v>-2.5500000000000114</v>
      </c>
      <c r="H532" s="46">
        <v>1</v>
      </c>
      <c r="I532" s="42">
        <v>473.05</v>
      </c>
      <c r="N532" s="5">
        <f t="shared" si="439"/>
        <v>1</v>
      </c>
      <c r="O532" s="4">
        <f t="shared" si="440"/>
        <v>473.05</v>
      </c>
      <c r="P532" s="5">
        <f t="shared" si="399"/>
        <v>1</v>
      </c>
      <c r="Q532" s="42">
        <v>470.5</v>
      </c>
      <c r="R532" s="2">
        <f t="shared" si="394"/>
        <v>0</v>
      </c>
      <c r="T532" s="2">
        <f t="shared" si="427"/>
        <v>0</v>
      </c>
      <c r="V532" s="5">
        <f t="shared" si="441"/>
        <v>1</v>
      </c>
      <c r="W532" s="4">
        <f t="shared" si="442"/>
        <v>470.5</v>
      </c>
      <c r="X532" s="14">
        <f t="shared" si="400"/>
        <v>-2.5500000000000114</v>
      </c>
      <c r="Y532" s="5">
        <f t="shared" si="401"/>
        <v>-2.5500000000000114</v>
      </c>
      <c r="Z532" s="2">
        <f t="shared" si="402"/>
        <v>0</v>
      </c>
      <c r="AA532" s="4">
        <f t="shared" si="403"/>
        <v>0</v>
      </c>
      <c r="AB532" s="13">
        <f t="shared" si="404"/>
        <v>0.32364914249999999</v>
      </c>
      <c r="AC532" s="10">
        <f>SUM($E$4:E532)</f>
        <v>-17053.822669760044</v>
      </c>
      <c r="AD532" s="20">
        <f>SUM($AB$4:AB532)</f>
        <v>12776.393369759991</v>
      </c>
      <c r="AF532" s="28">
        <f t="shared" si="405"/>
        <v>9.4354999999999994E-2</v>
      </c>
      <c r="AG532" s="2">
        <f t="shared" si="406"/>
        <v>0.11762500000000001</v>
      </c>
      <c r="AH532" s="2">
        <f t="shared" si="407"/>
        <v>3.0665374999999995E-2</v>
      </c>
      <c r="AI532" s="2">
        <f t="shared" si="428"/>
        <v>0.12502037499999999</v>
      </c>
      <c r="AJ532" s="2">
        <f t="shared" si="395"/>
        <v>2.2503667499999998E-2</v>
      </c>
      <c r="AK532" s="2">
        <f t="shared" si="408"/>
        <v>1.8871000000000001E-3</v>
      </c>
      <c r="AL532" s="2">
        <f t="shared" si="409"/>
        <v>5.6612999999999997E-2</v>
      </c>
      <c r="AM532" s="2">
        <f t="shared" si="429"/>
        <v>0.32364914249999999</v>
      </c>
      <c r="AN532" s="2">
        <f t="shared" si="410"/>
        <v>40</v>
      </c>
      <c r="AO532" s="2">
        <f t="shared" si="411"/>
        <v>0.23525000000000001</v>
      </c>
      <c r="AP532" s="2">
        <f t="shared" si="412"/>
        <v>0.50008149999999996</v>
      </c>
      <c r="AQ532" s="2">
        <f t="shared" si="430"/>
        <v>40.5000815</v>
      </c>
      <c r="AR532" s="2">
        <f t="shared" si="396"/>
        <v>7.2900146699999997</v>
      </c>
      <c r="AS532" s="2">
        <f t="shared" si="413"/>
        <v>1.8871000000000001E-3</v>
      </c>
      <c r="AT532" s="2">
        <f t="shared" si="414"/>
        <v>5.6612999999999997E-2</v>
      </c>
      <c r="AU532" s="2">
        <f t="shared" si="431"/>
        <v>48.083846269999995</v>
      </c>
      <c r="AV532" s="2">
        <f t="shared" si="415"/>
        <v>9.4354999999999994E-2</v>
      </c>
      <c r="AW532" s="2">
        <f t="shared" si="416"/>
        <v>4.7050000000000002E-2</v>
      </c>
      <c r="AX532" s="2">
        <f t="shared" si="417"/>
        <v>1.9814549999999997E-2</v>
      </c>
      <c r="AY532" s="2">
        <f t="shared" si="432"/>
        <v>0.11416954999999999</v>
      </c>
      <c r="AZ532" s="2">
        <f t="shared" si="397"/>
        <v>2.0550519E-2</v>
      </c>
      <c r="BA532" s="2">
        <f t="shared" si="418"/>
        <v>1.8871000000000001E-3</v>
      </c>
      <c r="BB532" s="2">
        <f t="shared" si="419"/>
        <v>5.6612999999999997E-2</v>
      </c>
      <c r="BC532" s="2">
        <f t="shared" si="433"/>
        <v>0.24027016899999998</v>
      </c>
      <c r="BD532" s="2">
        <v>0</v>
      </c>
      <c r="BE532" s="2">
        <f t="shared" si="420"/>
        <v>0.94355</v>
      </c>
      <c r="BF532" s="2">
        <f t="shared" si="421"/>
        <v>3.0665374999999995E-2</v>
      </c>
      <c r="BG532" s="2">
        <f t="shared" si="434"/>
        <v>3.0665374999999995E-2</v>
      </c>
      <c r="BH532" s="2">
        <f t="shared" si="398"/>
        <v>5.5197674999999989E-3</v>
      </c>
      <c r="BI532" s="2">
        <f t="shared" si="422"/>
        <v>1.8871000000000001E-3</v>
      </c>
      <c r="BJ532" s="2">
        <f t="shared" si="423"/>
        <v>5.6612999999999997E-2</v>
      </c>
      <c r="BK532" s="2">
        <f t="shared" si="435"/>
        <v>1.0382352425000001</v>
      </c>
      <c r="BL532" s="2">
        <f t="shared" si="424"/>
        <v>473.05</v>
      </c>
      <c r="BM532" s="2">
        <f t="shared" si="425"/>
        <v>470.5</v>
      </c>
      <c r="BN532" s="2">
        <f t="shared" si="436"/>
        <v>943.55</v>
      </c>
    </row>
    <row r="533" spans="1:66" x14ac:dyDescent="0.25">
      <c r="A533" s="42">
        <v>530</v>
      </c>
      <c r="B533" s="43">
        <v>42937</v>
      </c>
      <c r="C533" s="42" t="s">
        <v>50</v>
      </c>
      <c r="D533" s="42" t="s">
        <v>309</v>
      </c>
      <c r="E533" s="6">
        <f t="shared" si="426"/>
        <v>-2.4738404625000001</v>
      </c>
      <c r="F533" s="5" t="str">
        <f t="shared" si="437"/>
        <v>Loss</v>
      </c>
      <c r="G533" s="4">
        <f t="shared" si="438"/>
        <v>-2.25</v>
      </c>
      <c r="H533" s="46">
        <v>1</v>
      </c>
      <c r="I533" s="42">
        <v>327.5</v>
      </c>
      <c r="N533" s="5">
        <f t="shared" si="439"/>
        <v>1</v>
      </c>
      <c r="O533" s="4">
        <f t="shared" si="440"/>
        <v>327.5</v>
      </c>
      <c r="P533" s="5">
        <f t="shared" si="399"/>
        <v>1</v>
      </c>
      <c r="Q533" s="42">
        <v>325.25</v>
      </c>
      <c r="R533" s="2">
        <f t="shared" si="394"/>
        <v>0</v>
      </c>
      <c r="T533" s="2">
        <f t="shared" si="427"/>
        <v>0</v>
      </c>
      <c r="V533" s="5">
        <f t="shared" si="441"/>
        <v>1</v>
      </c>
      <c r="W533" s="4">
        <f t="shared" si="442"/>
        <v>325.25</v>
      </c>
      <c r="X533" s="14">
        <f t="shared" si="400"/>
        <v>-2.25</v>
      </c>
      <c r="Y533" s="5">
        <f t="shared" si="401"/>
        <v>-2.25</v>
      </c>
      <c r="Z533" s="2">
        <f t="shared" si="402"/>
        <v>0</v>
      </c>
      <c r="AA533" s="4">
        <f t="shared" si="403"/>
        <v>0</v>
      </c>
      <c r="AB533" s="13">
        <f t="shared" si="404"/>
        <v>0.22384046249999998</v>
      </c>
      <c r="AC533" s="10">
        <f>SUM($E$4:E533)</f>
        <v>-17056.296510222543</v>
      </c>
      <c r="AD533" s="20">
        <f>SUM($AB$4:AB533)</f>
        <v>12776.617210222492</v>
      </c>
      <c r="AF533" s="28">
        <f t="shared" si="405"/>
        <v>6.5275E-2</v>
      </c>
      <c r="AG533" s="2">
        <f t="shared" si="406"/>
        <v>8.1312499999999996E-2</v>
      </c>
      <c r="AH533" s="2">
        <f t="shared" si="407"/>
        <v>2.1214374999999997E-2</v>
      </c>
      <c r="AI533" s="2">
        <f t="shared" si="428"/>
        <v>8.6489374999999993E-2</v>
      </c>
      <c r="AJ533" s="2">
        <f t="shared" si="395"/>
        <v>1.5568087499999998E-2</v>
      </c>
      <c r="AK533" s="2">
        <f t="shared" si="408"/>
        <v>1.3055E-3</v>
      </c>
      <c r="AL533" s="2">
        <f t="shared" si="409"/>
        <v>3.9164999999999998E-2</v>
      </c>
      <c r="AM533" s="2">
        <f t="shared" si="429"/>
        <v>0.22384046249999998</v>
      </c>
      <c r="AN533" s="2">
        <f t="shared" si="410"/>
        <v>40</v>
      </c>
      <c r="AO533" s="2">
        <f t="shared" si="411"/>
        <v>0.16262499999999999</v>
      </c>
      <c r="AP533" s="2">
        <f t="shared" si="412"/>
        <v>0.34595749999999997</v>
      </c>
      <c r="AQ533" s="2">
        <f t="shared" si="430"/>
        <v>40.345957499999997</v>
      </c>
      <c r="AR533" s="2">
        <f t="shared" si="396"/>
        <v>7.262272349999999</v>
      </c>
      <c r="AS533" s="2">
        <f t="shared" si="413"/>
        <v>1.3055E-3</v>
      </c>
      <c r="AT533" s="2">
        <f t="shared" si="414"/>
        <v>3.9164999999999998E-2</v>
      </c>
      <c r="AU533" s="2">
        <f t="shared" si="431"/>
        <v>47.81132534999999</v>
      </c>
      <c r="AV533" s="2">
        <f t="shared" si="415"/>
        <v>6.5275E-2</v>
      </c>
      <c r="AW533" s="2">
        <f t="shared" si="416"/>
        <v>3.2524999999999998E-2</v>
      </c>
      <c r="AX533" s="2">
        <f t="shared" si="417"/>
        <v>1.3707749999999999E-2</v>
      </c>
      <c r="AY533" s="2">
        <f t="shared" si="432"/>
        <v>7.8982750000000004E-2</v>
      </c>
      <c r="AZ533" s="2">
        <f t="shared" si="397"/>
        <v>1.4216895E-2</v>
      </c>
      <c r="BA533" s="2">
        <f t="shared" si="418"/>
        <v>1.3055E-3</v>
      </c>
      <c r="BB533" s="2">
        <f t="shared" si="419"/>
        <v>3.9164999999999998E-2</v>
      </c>
      <c r="BC533" s="2">
        <f t="shared" si="433"/>
        <v>0.16619514499999999</v>
      </c>
      <c r="BD533" s="2">
        <v>0</v>
      </c>
      <c r="BE533" s="2">
        <f t="shared" si="420"/>
        <v>0.65275000000000005</v>
      </c>
      <c r="BF533" s="2">
        <f t="shared" si="421"/>
        <v>2.1214374999999997E-2</v>
      </c>
      <c r="BG533" s="2">
        <f t="shared" si="434"/>
        <v>2.1214374999999997E-2</v>
      </c>
      <c r="BH533" s="2">
        <f t="shared" si="398"/>
        <v>3.8185874999999993E-3</v>
      </c>
      <c r="BI533" s="2">
        <f t="shared" si="422"/>
        <v>1.3055E-3</v>
      </c>
      <c r="BJ533" s="2">
        <f t="shared" si="423"/>
        <v>3.9164999999999998E-2</v>
      </c>
      <c r="BK533" s="2">
        <f t="shared" si="435"/>
        <v>0.7182534625</v>
      </c>
      <c r="BL533" s="2">
        <f t="shared" si="424"/>
        <v>327.5</v>
      </c>
      <c r="BM533" s="2">
        <f t="shared" si="425"/>
        <v>325.25</v>
      </c>
      <c r="BN533" s="2">
        <f t="shared" si="436"/>
        <v>652.75</v>
      </c>
    </row>
    <row r="534" spans="1:66" x14ac:dyDescent="0.25">
      <c r="A534" s="42">
        <v>531</v>
      </c>
      <c r="B534" s="43">
        <v>42937</v>
      </c>
      <c r="C534" s="42" t="s">
        <v>50</v>
      </c>
      <c r="D534" s="42" t="s">
        <v>310</v>
      </c>
      <c r="E534" s="6">
        <f t="shared" si="426"/>
        <v>2.0846044675000002</v>
      </c>
      <c r="F534" s="5" t="str">
        <f t="shared" si="437"/>
        <v>Win</v>
      </c>
      <c r="G534" s="4">
        <f t="shared" si="438"/>
        <v>2.75</v>
      </c>
      <c r="H534" s="46">
        <v>1</v>
      </c>
      <c r="I534" s="42">
        <v>967.1</v>
      </c>
      <c r="N534" s="5">
        <f t="shared" si="439"/>
        <v>1</v>
      </c>
      <c r="O534" s="4">
        <f t="shared" si="440"/>
        <v>967.1</v>
      </c>
      <c r="P534" s="5">
        <f t="shared" si="399"/>
        <v>1</v>
      </c>
      <c r="Q534" s="42">
        <v>969.85</v>
      </c>
      <c r="R534" s="2">
        <f t="shared" si="394"/>
        <v>0</v>
      </c>
      <c r="T534" s="2">
        <f t="shared" si="427"/>
        <v>0</v>
      </c>
      <c r="V534" s="5">
        <f t="shared" si="441"/>
        <v>1</v>
      </c>
      <c r="W534" s="4">
        <f t="shared" si="442"/>
        <v>969.85</v>
      </c>
      <c r="X534" s="14">
        <f t="shared" si="400"/>
        <v>2.75</v>
      </c>
      <c r="Y534" s="5">
        <f t="shared" si="401"/>
        <v>2.75</v>
      </c>
      <c r="Z534" s="2">
        <f t="shared" si="402"/>
        <v>0</v>
      </c>
      <c r="AA534" s="4">
        <f t="shared" si="403"/>
        <v>0</v>
      </c>
      <c r="AB534" s="13">
        <f t="shared" si="404"/>
        <v>0.66539553249999994</v>
      </c>
      <c r="AC534" s="10">
        <f>SUM($E$4:E534)</f>
        <v>-17054.211905755041</v>
      </c>
      <c r="AD534" s="20">
        <f>SUM($AB$4:AB534)</f>
        <v>12777.282605754992</v>
      </c>
      <c r="AF534" s="28">
        <f t="shared" si="405"/>
        <v>0.19369500000000001</v>
      </c>
      <c r="AG534" s="2">
        <f t="shared" si="406"/>
        <v>0.2424625</v>
      </c>
      <c r="AH534" s="2">
        <f t="shared" si="407"/>
        <v>6.2950874999999989E-2</v>
      </c>
      <c r="AI534" s="2">
        <f t="shared" si="428"/>
        <v>0.25664587500000002</v>
      </c>
      <c r="AJ534" s="2">
        <f t="shared" si="395"/>
        <v>4.6196257500000004E-2</v>
      </c>
      <c r="AK534" s="2">
        <f t="shared" si="408"/>
        <v>3.8739E-3</v>
      </c>
      <c r="AL534" s="2">
        <f t="shared" si="409"/>
        <v>0.116217</v>
      </c>
      <c r="AM534" s="2">
        <f t="shared" si="429"/>
        <v>0.66539553249999994</v>
      </c>
      <c r="AN534" s="2">
        <f t="shared" si="410"/>
        <v>40</v>
      </c>
      <c r="AO534" s="2">
        <f t="shared" si="411"/>
        <v>0.48492499999999999</v>
      </c>
      <c r="AP534" s="2">
        <f t="shared" si="412"/>
        <v>1.0265835000000001</v>
      </c>
      <c r="AQ534" s="2">
        <f t="shared" si="430"/>
        <v>41.026583500000001</v>
      </c>
      <c r="AR534" s="2">
        <f t="shared" si="396"/>
        <v>7.3847850299999998</v>
      </c>
      <c r="AS534" s="2">
        <f t="shared" si="413"/>
        <v>3.8739E-3</v>
      </c>
      <c r="AT534" s="2">
        <f t="shared" si="414"/>
        <v>0.116217</v>
      </c>
      <c r="AU534" s="2">
        <f t="shared" si="431"/>
        <v>49.016384429999995</v>
      </c>
      <c r="AV534" s="2">
        <f t="shared" si="415"/>
        <v>0.19369500000000001</v>
      </c>
      <c r="AW534" s="2">
        <f t="shared" si="416"/>
        <v>9.6985000000000002E-2</v>
      </c>
      <c r="AX534" s="2">
        <f t="shared" si="417"/>
        <v>4.0675949999999995E-2</v>
      </c>
      <c r="AY534" s="2">
        <f t="shared" si="432"/>
        <v>0.23437094999999999</v>
      </c>
      <c r="AZ534" s="2">
        <f t="shared" si="397"/>
        <v>4.2186770999999998E-2</v>
      </c>
      <c r="BA534" s="2">
        <f t="shared" si="418"/>
        <v>3.8739E-3</v>
      </c>
      <c r="BB534" s="2">
        <f t="shared" si="419"/>
        <v>0.116217</v>
      </c>
      <c r="BC534" s="2">
        <f t="shared" si="433"/>
        <v>0.49363362100000002</v>
      </c>
      <c r="BD534" s="2">
        <v>0</v>
      </c>
      <c r="BE534" s="2">
        <f t="shared" si="420"/>
        <v>1.9369500000000002</v>
      </c>
      <c r="BF534" s="2">
        <f t="shared" si="421"/>
        <v>6.2950874999999989E-2</v>
      </c>
      <c r="BG534" s="2">
        <f t="shared" si="434"/>
        <v>6.2950874999999989E-2</v>
      </c>
      <c r="BH534" s="2">
        <f t="shared" si="398"/>
        <v>1.1331157499999998E-2</v>
      </c>
      <c r="BI534" s="2">
        <f t="shared" si="422"/>
        <v>3.8739E-3</v>
      </c>
      <c r="BJ534" s="2">
        <f t="shared" si="423"/>
        <v>0.116217</v>
      </c>
      <c r="BK534" s="2">
        <f t="shared" si="435"/>
        <v>2.1313229324999998</v>
      </c>
      <c r="BL534" s="2">
        <f t="shared" si="424"/>
        <v>967.1</v>
      </c>
      <c r="BM534" s="2">
        <f t="shared" si="425"/>
        <v>969.85</v>
      </c>
      <c r="BN534" s="2">
        <f t="shared" si="436"/>
        <v>1936.95</v>
      </c>
    </row>
    <row r="535" spans="1:66" x14ac:dyDescent="0.25">
      <c r="A535" s="42">
        <v>532</v>
      </c>
      <c r="B535" s="43">
        <v>42937</v>
      </c>
      <c r="C535" s="42" t="s">
        <v>50</v>
      </c>
      <c r="D535" s="42" t="s">
        <v>285</v>
      </c>
      <c r="E535" s="6">
        <f t="shared" si="426"/>
        <v>-0.18938066250000568</v>
      </c>
      <c r="F535" s="5" t="str">
        <f t="shared" si="437"/>
        <v>Loss</v>
      </c>
      <c r="G535" s="4">
        <f t="shared" si="438"/>
        <v>-0.15000000000000568</v>
      </c>
      <c r="H535" s="46">
        <v>1</v>
      </c>
      <c r="I535" s="42">
        <v>57.45</v>
      </c>
      <c r="N535" s="5">
        <f t="shared" si="439"/>
        <v>1</v>
      </c>
      <c r="O535" s="4">
        <f t="shared" si="440"/>
        <v>57.45</v>
      </c>
      <c r="P535" s="5">
        <f t="shared" si="399"/>
        <v>1</v>
      </c>
      <c r="Q535" s="42">
        <v>57.3</v>
      </c>
      <c r="R535" s="2">
        <f t="shared" si="394"/>
        <v>0</v>
      </c>
      <c r="T535" s="2">
        <f t="shared" si="427"/>
        <v>0</v>
      </c>
      <c r="V535" s="5">
        <f t="shared" si="441"/>
        <v>1</v>
      </c>
      <c r="W535" s="4">
        <f t="shared" si="442"/>
        <v>57.3</v>
      </c>
      <c r="X535" s="14">
        <f t="shared" si="400"/>
        <v>-0.15000000000000568</v>
      </c>
      <c r="Y535" s="5">
        <f t="shared" si="401"/>
        <v>-0.15000000000000568</v>
      </c>
      <c r="Z535" s="2">
        <f t="shared" si="402"/>
        <v>0</v>
      </c>
      <c r="AA535" s="4">
        <f t="shared" si="403"/>
        <v>0</v>
      </c>
      <c r="AB535" s="13">
        <f t="shared" si="404"/>
        <v>3.9380662500000004E-2</v>
      </c>
      <c r="AC535" s="10">
        <f>SUM($E$4:E535)</f>
        <v>-17054.401286417542</v>
      </c>
      <c r="AD535" s="20">
        <f>SUM($AB$4:AB535)</f>
        <v>12777.321986417492</v>
      </c>
      <c r="AF535" s="28">
        <f t="shared" si="405"/>
        <v>1.1475000000000001E-2</v>
      </c>
      <c r="AG535" s="2">
        <f t="shared" si="406"/>
        <v>1.4324999999999999E-2</v>
      </c>
      <c r="AH535" s="2">
        <f t="shared" si="407"/>
        <v>3.7293749999999996E-3</v>
      </c>
      <c r="AI535" s="2">
        <f t="shared" si="428"/>
        <v>1.5204375000000001E-2</v>
      </c>
      <c r="AJ535" s="2">
        <f t="shared" si="395"/>
        <v>2.7367875000000002E-3</v>
      </c>
      <c r="AK535" s="2">
        <f t="shared" si="408"/>
        <v>2.2949999999999999E-4</v>
      </c>
      <c r="AL535" s="2">
        <f t="shared" si="409"/>
        <v>6.8850000000000005E-3</v>
      </c>
      <c r="AM535" s="2">
        <f t="shared" si="429"/>
        <v>3.9380662500000004E-2</v>
      </c>
      <c r="AN535" s="2">
        <f t="shared" si="410"/>
        <v>40</v>
      </c>
      <c r="AO535" s="2">
        <f t="shared" si="411"/>
        <v>2.8649999999999998E-2</v>
      </c>
      <c r="AP535" s="2">
        <f t="shared" si="412"/>
        <v>6.0817499999999997E-2</v>
      </c>
      <c r="AQ535" s="2">
        <f t="shared" si="430"/>
        <v>40.060817499999999</v>
      </c>
      <c r="AR535" s="2">
        <f t="shared" si="396"/>
        <v>7.2109471499999991</v>
      </c>
      <c r="AS535" s="2">
        <f t="shared" si="413"/>
        <v>2.2949999999999999E-4</v>
      </c>
      <c r="AT535" s="2">
        <f t="shared" si="414"/>
        <v>6.8850000000000005E-3</v>
      </c>
      <c r="AU535" s="2">
        <f t="shared" si="431"/>
        <v>47.307529149999993</v>
      </c>
      <c r="AV535" s="2">
        <f t="shared" si="415"/>
        <v>1.1475000000000001E-2</v>
      </c>
      <c r="AW535" s="2">
        <f t="shared" si="416"/>
        <v>5.7299999999999999E-3</v>
      </c>
      <c r="AX535" s="2">
        <f t="shared" si="417"/>
        <v>2.40975E-3</v>
      </c>
      <c r="AY535" s="2">
        <f t="shared" si="432"/>
        <v>1.3884750000000001E-2</v>
      </c>
      <c r="AZ535" s="2">
        <f t="shared" si="397"/>
        <v>2.4992550000000001E-3</v>
      </c>
      <c r="BA535" s="2">
        <f t="shared" si="418"/>
        <v>2.2949999999999999E-4</v>
      </c>
      <c r="BB535" s="2">
        <f t="shared" si="419"/>
        <v>6.8850000000000005E-3</v>
      </c>
      <c r="BC535" s="2">
        <f t="shared" si="433"/>
        <v>2.9228505000000002E-2</v>
      </c>
      <c r="BD535" s="2">
        <v>0</v>
      </c>
      <c r="BE535" s="2">
        <f t="shared" si="420"/>
        <v>0.11475</v>
      </c>
      <c r="BF535" s="2">
        <f t="shared" si="421"/>
        <v>3.7293749999999996E-3</v>
      </c>
      <c r="BG535" s="2">
        <f t="shared" si="434"/>
        <v>3.7293749999999996E-3</v>
      </c>
      <c r="BH535" s="2">
        <f t="shared" si="398"/>
        <v>6.7128749999999986E-4</v>
      </c>
      <c r="BI535" s="2">
        <f t="shared" si="422"/>
        <v>2.2949999999999999E-4</v>
      </c>
      <c r="BJ535" s="2">
        <f t="shared" si="423"/>
        <v>6.8850000000000005E-3</v>
      </c>
      <c r="BK535" s="2">
        <f t="shared" si="435"/>
        <v>0.1262651625</v>
      </c>
      <c r="BL535" s="2">
        <f t="shared" si="424"/>
        <v>57.45</v>
      </c>
      <c r="BM535" s="2">
        <f t="shared" si="425"/>
        <v>57.3</v>
      </c>
      <c r="BN535" s="2">
        <f t="shared" si="436"/>
        <v>114.75</v>
      </c>
    </row>
    <row r="536" spans="1:66" x14ac:dyDescent="0.25">
      <c r="A536" s="42">
        <v>533</v>
      </c>
      <c r="B536" s="43">
        <v>42937</v>
      </c>
      <c r="C536" s="42" t="s">
        <v>50</v>
      </c>
      <c r="D536" s="42" t="s">
        <v>195</v>
      </c>
      <c r="E536" s="6">
        <f t="shared" si="426"/>
        <v>-1.0162523200000915</v>
      </c>
      <c r="F536" s="5" t="str">
        <f t="shared" si="437"/>
        <v>Win</v>
      </c>
      <c r="G536" s="4">
        <f t="shared" si="438"/>
        <v>1.5999999999999091</v>
      </c>
      <c r="H536" s="46">
        <v>8</v>
      </c>
      <c r="I536" s="42">
        <v>476.1</v>
      </c>
      <c r="N536" s="5">
        <f t="shared" si="439"/>
        <v>8</v>
      </c>
      <c r="O536" s="4">
        <f t="shared" si="440"/>
        <v>476.1</v>
      </c>
      <c r="P536" s="5">
        <f t="shared" si="399"/>
        <v>8</v>
      </c>
      <c r="Q536" s="42">
        <v>476.3</v>
      </c>
      <c r="R536" s="2">
        <f t="shared" si="394"/>
        <v>0</v>
      </c>
      <c r="T536" s="2">
        <f t="shared" si="427"/>
        <v>0</v>
      </c>
      <c r="V536" s="5">
        <f t="shared" si="441"/>
        <v>8</v>
      </c>
      <c r="W536" s="4">
        <f t="shared" si="442"/>
        <v>476.3</v>
      </c>
      <c r="X536" s="14">
        <f t="shared" si="400"/>
        <v>0.19999999999998863</v>
      </c>
      <c r="Y536" s="5">
        <f t="shared" si="401"/>
        <v>1.5999999999999091</v>
      </c>
      <c r="Z536" s="2">
        <f t="shared" si="402"/>
        <v>0</v>
      </c>
      <c r="AA536" s="4">
        <f t="shared" si="403"/>
        <v>0</v>
      </c>
      <c r="AB536" s="13">
        <f t="shared" si="404"/>
        <v>2.6162523200000005</v>
      </c>
      <c r="AC536" s="10">
        <f>SUM($E$4:E536)</f>
        <v>-17055.417538737544</v>
      </c>
      <c r="AD536" s="20">
        <f>SUM($AB$4:AB536)</f>
        <v>12779.938238737492</v>
      </c>
      <c r="AF536" s="28">
        <f t="shared" si="405"/>
        <v>0.76192000000000015</v>
      </c>
      <c r="AG536" s="2">
        <f t="shared" si="406"/>
        <v>0.9526</v>
      </c>
      <c r="AH536" s="2">
        <f t="shared" si="407"/>
        <v>0.24762400000000001</v>
      </c>
      <c r="AI536" s="2">
        <f t="shared" si="428"/>
        <v>1.0095440000000002</v>
      </c>
      <c r="AJ536" s="2">
        <f t="shared" si="395"/>
        <v>0.18171792000000003</v>
      </c>
      <c r="AK536" s="2">
        <f t="shared" si="408"/>
        <v>1.5238400000000001E-2</v>
      </c>
      <c r="AL536" s="2">
        <f t="shared" si="409"/>
        <v>0.45715200000000006</v>
      </c>
      <c r="AM536" s="2">
        <f t="shared" si="429"/>
        <v>2.6162523200000005</v>
      </c>
      <c r="AN536" s="2">
        <f t="shared" si="410"/>
        <v>40</v>
      </c>
      <c r="AO536" s="2">
        <f t="shared" si="411"/>
        <v>1.9052</v>
      </c>
      <c r="AP536" s="2">
        <f t="shared" si="412"/>
        <v>4.038176</v>
      </c>
      <c r="AQ536" s="2">
        <f t="shared" si="430"/>
        <v>44.038176</v>
      </c>
      <c r="AR536" s="2">
        <f t="shared" si="396"/>
        <v>7.9268716799999996</v>
      </c>
      <c r="AS536" s="2">
        <f t="shared" si="413"/>
        <v>1.5238400000000001E-2</v>
      </c>
      <c r="AT536" s="2">
        <f t="shared" si="414"/>
        <v>0.45715200000000006</v>
      </c>
      <c r="AU536" s="2">
        <f t="shared" si="431"/>
        <v>54.34263808</v>
      </c>
      <c r="AV536" s="2">
        <f t="shared" si="415"/>
        <v>0.76192000000000015</v>
      </c>
      <c r="AW536" s="2">
        <f t="shared" si="416"/>
        <v>0.38104000000000005</v>
      </c>
      <c r="AX536" s="2">
        <f t="shared" si="417"/>
        <v>0.16000320000000001</v>
      </c>
      <c r="AY536" s="2">
        <f t="shared" si="432"/>
        <v>0.92192320000000016</v>
      </c>
      <c r="AZ536" s="2">
        <f t="shared" si="397"/>
        <v>0.16594617600000003</v>
      </c>
      <c r="BA536" s="2">
        <f t="shared" si="418"/>
        <v>1.5238400000000001E-2</v>
      </c>
      <c r="BB536" s="2">
        <f t="shared" si="419"/>
        <v>0.45715200000000006</v>
      </c>
      <c r="BC536" s="2">
        <f t="shared" si="433"/>
        <v>1.9412997760000004</v>
      </c>
      <c r="BD536" s="2">
        <v>0</v>
      </c>
      <c r="BE536" s="2">
        <f t="shared" si="420"/>
        <v>7.6192000000000011</v>
      </c>
      <c r="BF536" s="2">
        <f t="shared" si="421"/>
        <v>0.24762400000000001</v>
      </c>
      <c r="BG536" s="2">
        <f t="shared" si="434"/>
        <v>0.24762400000000001</v>
      </c>
      <c r="BH536" s="2">
        <f t="shared" si="398"/>
        <v>4.4572319999999999E-2</v>
      </c>
      <c r="BI536" s="2">
        <f t="shared" si="422"/>
        <v>1.5238400000000001E-2</v>
      </c>
      <c r="BJ536" s="2">
        <f t="shared" si="423"/>
        <v>0.45715200000000006</v>
      </c>
      <c r="BK536" s="2">
        <f t="shared" si="435"/>
        <v>8.3837867200000016</v>
      </c>
      <c r="BL536" s="2">
        <f t="shared" si="424"/>
        <v>3808.8</v>
      </c>
      <c r="BM536" s="2">
        <f t="shared" si="425"/>
        <v>3810.4</v>
      </c>
      <c r="BN536" s="2">
        <f t="shared" si="436"/>
        <v>7619.2000000000007</v>
      </c>
    </row>
    <row r="537" spans="1:66" x14ac:dyDescent="0.25">
      <c r="A537" s="42">
        <v>534</v>
      </c>
      <c r="B537" s="43">
        <v>42937</v>
      </c>
      <c r="C537" s="42" t="s">
        <v>50</v>
      </c>
      <c r="D537" s="42" t="s">
        <v>310</v>
      </c>
      <c r="E537" s="6">
        <f t="shared" si="426"/>
        <v>-1.7161565924999544</v>
      </c>
      <c r="F537" s="5" t="str">
        <f t="shared" si="437"/>
        <v>Loss</v>
      </c>
      <c r="G537" s="4">
        <f t="shared" si="438"/>
        <v>-1.0499999999999545</v>
      </c>
      <c r="H537" s="46">
        <v>1</v>
      </c>
      <c r="I537" s="42">
        <v>970.8</v>
      </c>
      <c r="N537" s="5">
        <f t="shared" si="439"/>
        <v>1</v>
      </c>
      <c r="O537" s="4">
        <f t="shared" si="440"/>
        <v>970.8</v>
      </c>
      <c r="P537" s="5">
        <f t="shared" si="399"/>
        <v>1</v>
      </c>
      <c r="Q537" s="42">
        <v>969.75</v>
      </c>
      <c r="R537" s="2">
        <f t="shared" si="394"/>
        <v>0</v>
      </c>
      <c r="T537" s="2">
        <f t="shared" si="427"/>
        <v>0</v>
      </c>
      <c r="V537" s="5">
        <f t="shared" si="441"/>
        <v>1</v>
      </c>
      <c r="W537" s="4">
        <f t="shared" si="442"/>
        <v>969.75</v>
      </c>
      <c r="X537" s="14">
        <f t="shared" si="400"/>
        <v>-1.0499999999999545</v>
      </c>
      <c r="Y537" s="5">
        <f t="shared" si="401"/>
        <v>-1.0499999999999545</v>
      </c>
      <c r="Z537" s="2">
        <f t="shared" si="402"/>
        <v>0</v>
      </c>
      <c r="AA537" s="4">
        <f t="shared" si="403"/>
        <v>0</v>
      </c>
      <c r="AB537" s="13">
        <f t="shared" si="404"/>
        <v>0.66615659249999992</v>
      </c>
      <c r="AC537" s="10">
        <f>SUM($E$4:E537)</f>
        <v>-17057.133695330045</v>
      </c>
      <c r="AD537" s="20">
        <f>SUM($AB$4:AB537)</f>
        <v>12780.604395329992</v>
      </c>
      <c r="AF537" s="28">
        <f t="shared" si="405"/>
        <v>0.19405500000000001</v>
      </c>
      <c r="AG537" s="2">
        <f t="shared" si="406"/>
        <v>0.2424375</v>
      </c>
      <c r="AH537" s="2">
        <f t="shared" si="407"/>
        <v>6.3067874999999995E-2</v>
      </c>
      <c r="AI537" s="2">
        <f t="shared" si="428"/>
        <v>0.25712287499999997</v>
      </c>
      <c r="AJ537" s="2">
        <f t="shared" si="395"/>
        <v>4.628211749999999E-2</v>
      </c>
      <c r="AK537" s="2">
        <f t="shared" si="408"/>
        <v>3.8811000000000002E-3</v>
      </c>
      <c r="AL537" s="2">
        <f t="shared" si="409"/>
        <v>0.11643299999999999</v>
      </c>
      <c r="AM537" s="2">
        <f t="shared" si="429"/>
        <v>0.66615659249999992</v>
      </c>
      <c r="AN537" s="2">
        <f t="shared" si="410"/>
        <v>40</v>
      </c>
      <c r="AO537" s="2">
        <f t="shared" si="411"/>
        <v>0.484875</v>
      </c>
      <c r="AP537" s="2">
        <f t="shared" si="412"/>
        <v>1.0284914999999999</v>
      </c>
      <c r="AQ537" s="2">
        <f t="shared" si="430"/>
        <v>41.028491500000001</v>
      </c>
      <c r="AR537" s="2">
        <f t="shared" si="396"/>
        <v>7.3851284699999997</v>
      </c>
      <c r="AS537" s="2">
        <f t="shared" si="413"/>
        <v>3.8811000000000002E-3</v>
      </c>
      <c r="AT537" s="2">
        <f t="shared" si="414"/>
        <v>0.11643299999999999</v>
      </c>
      <c r="AU537" s="2">
        <f t="shared" si="431"/>
        <v>49.018809070000003</v>
      </c>
      <c r="AV537" s="2">
        <f t="shared" si="415"/>
        <v>0.19405500000000001</v>
      </c>
      <c r="AW537" s="2">
        <f t="shared" si="416"/>
        <v>9.6975000000000006E-2</v>
      </c>
      <c r="AX537" s="2">
        <f t="shared" si="417"/>
        <v>4.0751549999999997E-2</v>
      </c>
      <c r="AY537" s="2">
        <f t="shared" si="432"/>
        <v>0.23480655</v>
      </c>
      <c r="AZ537" s="2">
        <f t="shared" si="397"/>
        <v>4.2265179E-2</v>
      </c>
      <c r="BA537" s="2">
        <f t="shared" si="418"/>
        <v>3.8811000000000002E-3</v>
      </c>
      <c r="BB537" s="2">
        <f t="shared" si="419"/>
        <v>0.11643299999999999</v>
      </c>
      <c r="BC537" s="2">
        <f t="shared" si="433"/>
        <v>0.494360829</v>
      </c>
      <c r="BD537" s="2">
        <v>0</v>
      </c>
      <c r="BE537" s="2">
        <f t="shared" si="420"/>
        <v>1.94055</v>
      </c>
      <c r="BF537" s="2">
        <f t="shared" si="421"/>
        <v>6.3067874999999995E-2</v>
      </c>
      <c r="BG537" s="2">
        <f t="shared" si="434"/>
        <v>6.3067874999999995E-2</v>
      </c>
      <c r="BH537" s="2">
        <f t="shared" si="398"/>
        <v>1.1352217499999999E-2</v>
      </c>
      <c r="BI537" s="2">
        <f t="shared" si="422"/>
        <v>3.8811000000000002E-3</v>
      </c>
      <c r="BJ537" s="2">
        <f t="shared" si="423"/>
        <v>0.11643299999999999</v>
      </c>
      <c r="BK537" s="2">
        <f t="shared" si="435"/>
        <v>2.1352841924999995</v>
      </c>
      <c r="BL537" s="2">
        <f t="shared" si="424"/>
        <v>970.8</v>
      </c>
      <c r="BM537" s="2">
        <f t="shared" si="425"/>
        <v>969.75</v>
      </c>
      <c r="BN537" s="2">
        <f t="shared" si="436"/>
        <v>1940.55</v>
      </c>
    </row>
    <row r="538" spans="1:66" x14ac:dyDescent="0.25">
      <c r="A538" s="42">
        <v>535</v>
      </c>
      <c r="B538" s="43">
        <v>42940</v>
      </c>
      <c r="C538" s="42" t="s">
        <v>50</v>
      </c>
      <c r="D538" s="42" t="s">
        <v>190</v>
      </c>
      <c r="E538" s="6">
        <f t="shared" si="426"/>
        <v>-10.746172694999796</v>
      </c>
      <c r="F538" s="5" t="str">
        <f t="shared" si="437"/>
        <v>Loss</v>
      </c>
      <c r="G538" s="4">
        <f t="shared" si="438"/>
        <v>-9.5999999999997954</v>
      </c>
      <c r="H538" s="46">
        <v>3</v>
      </c>
      <c r="I538" s="42">
        <v>558.54999999999995</v>
      </c>
      <c r="N538" s="5">
        <f t="shared" si="439"/>
        <v>3</v>
      </c>
      <c r="O538" s="4">
        <f t="shared" si="440"/>
        <v>558.54999999999995</v>
      </c>
      <c r="P538" s="5">
        <f t="shared" si="399"/>
        <v>3</v>
      </c>
      <c r="Q538" s="42">
        <v>555.35</v>
      </c>
      <c r="R538" s="2">
        <f t="shared" si="394"/>
        <v>0</v>
      </c>
      <c r="T538" s="2">
        <f t="shared" si="427"/>
        <v>0</v>
      </c>
      <c r="V538" s="5">
        <f t="shared" si="441"/>
        <v>3</v>
      </c>
      <c r="W538" s="4">
        <f t="shared" si="442"/>
        <v>555.35</v>
      </c>
      <c r="X538" s="14">
        <f t="shared" si="400"/>
        <v>-3.1999999999999318</v>
      </c>
      <c r="Y538" s="5">
        <f t="shared" si="401"/>
        <v>-9.5999999999997954</v>
      </c>
      <c r="Z538" s="2">
        <f t="shared" si="402"/>
        <v>0</v>
      </c>
      <c r="AA538" s="4">
        <f t="shared" si="403"/>
        <v>0</v>
      </c>
      <c r="AB538" s="13">
        <f t="shared" si="404"/>
        <v>1.146172695</v>
      </c>
      <c r="AC538" s="10">
        <f>SUM($E$4:E538)</f>
        <v>-17067.879868025044</v>
      </c>
      <c r="AD538" s="20">
        <f>SUM($AB$4:AB538)</f>
        <v>12781.750568024992</v>
      </c>
      <c r="AF538" s="28">
        <f t="shared" si="405"/>
        <v>0.33417000000000002</v>
      </c>
      <c r="AG538" s="2">
        <f t="shared" si="406"/>
        <v>0.41651250000000001</v>
      </c>
      <c r="AH538" s="2">
        <f t="shared" si="407"/>
        <v>0.10860524999999999</v>
      </c>
      <c r="AI538" s="2">
        <f t="shared" si="428"/>
        <v>0.44277525000000001</v>
      </c>
      <c r="AJ538" s="2">
        <f t="shared" si="395"/>
        <v>7.9699544999999997E-2</v>
      </c>
      <c r="AK538" s="2">
        <f t="shared" si="408"/>
        <v>6.6833999999999999E-3</v>
      </c>
      <c r="AL538" s="2">
        <f t="shared" si="409"/>
        <v>0.20050199999999999</v>
      </c>
      <c r="AM538" s="2">
        <f t="shared" si="429"/>
        <v>1.146172695</v>
      </c>
      <c r="AN538" s="2">
        <f t="shared" si="410"/>
        <v>40</v>
      </c>
      <c r="AO538" s="2">
        <f t="shared" si="411"/>
        <v>0.83302500000000002</v>
      </c>
      <c r="AP538" s="2">
        <f t="shared" si="412"/>
        <v>1.7711009999999998</v>
      </c>
      <c r="AQ538" s="2">
        <f t="shared" si="430"/>
        <v>41.771101000000002</v>
      </c>
      <c r="AR538" s="2">
        <f t="shared" si="396"/>
        <v>7.5187981800000001</v>
      </c>
      <c r="AS538" s="2">
        <f t="shared" si="413"/>
        <v>6.6833999999999999E-3</v>
      </c>
      <c r="AT538" s="2">
        <f t="shared" si="414"/>
        <v>0.20050199999999999</v>
      </c>
      <c r="AU538" s="2">
        <f t="shared" si="431"/>
        <v>50.330109579999998</v>
      </c>
      <c r="AV538" s="2">
        <f t="shared" si="415"/>
        <v>0.33417000000000002</v>
      </c>
      <c r="AW538" s="2">
        <f t="shared" si="416"/>
        <v>0.16660500000000003</v>
      </c>
      <c r="AX538" s="2">
        <f t="shared" si="417"/>
        <v>7.0175699999999994E-2</v>
      </c>
      <c r="AY538" s="2">
        <f t="shared" si="432"/>
        <v>0.40434570000000003</v>
      </c>
      <c r="AZ538" s="2">
        <f t="shared" si="397"/>
        <v>7.2782226000000005E-2</v>
      </c>
      <c r="BA538" s="2">
        <f t="shared" si="418"/>
        <v>6.6833999999999999E-3</v>
      </c>
      <c r="BB538" s="2">
        <f t="shared" si="419"/>
        <v>0.20050199999999999</v>
      </c>
      <c r="BC538" s="2">
        <f t="shared" si="433"/>
        <v>0.85091832599999995</v>
      </c>
      <c r="BD538" s="2">
        <v>0</v>
      </c>
      <c r="BE538" s="2">
        <f t="shared" si="420"/>
        <v>3.3416999999999999</v>
      </c>
      <c r="BF538" s="2">
        <f t="shared" si="421"/>
        <v>0.10860524999999999</v>
      </c>
      <c r="BG538" s="2">
        <f t="shared" si="434"/>
        <v>0.10860524999999999</v>
      </c>
      <c r="BH538" s="2">
        <f t="shared" si="398"/>
        <v>1.9548944999999998E-2</v>
      </c>
      <c r="BI538" s="2">
        <f t="shared" si="422"/>
        <v>6.6833999999999999E-3</v>
      </c>
      <c r="BJ538" s="2">
        <f t="shared" si="423"/>
        <v>0.20050199999999999</v>
      </c>
      <c r="BK538" s="2">
        <f t="shared" si="435"/>
        <v>3.6770395950000001</v>
      </c>
      <c r="BL538" s="2">
        <f t="shared" si="424"/>
        <v>1675.6499999999999</v>
      </c>
      <c r="BM538" s="2">
        <f t="shared" si="425"/>
        <v>1666.0500000000002</v>
      </c>
      <c r="BN538" s="2">
        <f t="shared" si="436"/>
        <v>3341.7</v>
      </c>
    </row>
    <row r="539" spans="1:66" x14ac:dyDescent="0.25">
      <c r="A539" s="42">
        <v>536</v>
      </c>
      <c r="B539" s="43">
        <v>42940</v>
      </c>
      <c r="C539" s="42" t="s">
        <v>50</v>
      </c>
      <c r="D539" s="42" t="s">
        <v>311</v>
      </c>
      <c r="E539" s="6">
        <f t="shared" si="426"/>
        <v>27.863893239999911</v>
      </c>
      <c r="F539" s="5" t="str">
        <f t="shared" si="437"/>
        <v>Win</v>
      </c>
      <c r="G539" s="4">
        <f t="shared" si="438"/>
        <v>29.599999999999909</v>
      </c>
      <c r="H539" s="46">
        <v>16</v>
      </c>
      <c r="I539" s="42">
        <v>156.75</v>
      </c>
      <c r="N539" s="5">
        <f t="shared" si="439"/>
        <v>16</v>
      </c>
      <c r="O539" s="4">
        <f t="shared" si="440"/>
        <v>156.75</v>
      </c>
      <c r="P539" s="5">
        <f t="shared" si="399"/>
        <v>16</v>
      </c>
      <c r="Q539" s="42">
        <v>158.6</v>
      </c>
      <c r="R539" s="2">
        <f t="shared" si="394"/>
        <v>0</v>
      </c>
      <c r="T539" s="2">
        <f t="shared" si="427"/>
        <v>0</v>
      </c>
      <c r="V539" s="5">
        <f t="shared" si="441"/>
        <v>16</v>
      </c>
      <c r="W539" s="4">
        <f t="shared" si="442"/>
        <v>158.6</v>
      </c>
      <c r="X539" s="14">
        <f t="shared" si="400"/>
        <v>1.8499999999999943</v>
      </c>
      <c r="Y539" s="5">
        <f t="shared" si="401"/>
        <v>29.599999999999909</v>
      </c>
      <c r="Z539" s="2">
        <f t="shared" si="402"/>
        <v>0</v>
      </c>
      <c r="AA539" s="4">
        <f t="shared" si="403"/>
        <v>0</v>
      </c>
      <c r="AB539" s="13">
        <f t="shared" si="404"/>
        <v>1.7361067600000002</v>
      </c>
      <c r="AC539" s="10">
        <f>SUM($E$4:E539)</f>
        <v>-17040.015974785045</v>
      </c>
      <c r="AD539" s="20">
        <f>SUM($AB$4:AB539)</f>
        <v>12783.486674784992</v>
      </c>
      <c r="AF539" s="28">
        <f t="shared" si="405"/>
        <v>0.50456000000000001</v>
      </c>
      <c r="AG539" s="2">
        <f t="shared" si="406"/>
        <v>0.63439999999999996</v>
      </c>
      <c r="AH539" s="2">
        <f t="shared" si="407"/>
        <v>0.16398199999999999</v>
      </c>
      <c r="AI539" s="2">
        <f t="shared" si="428"/>
        <v>0.66854199999999997</v>
      </c>
      <c r="AJ539" s="2">
        <f t="shared" si="395"/>
        <v>0.12033756</v>
      </c>
      <c r="AK539" s="2">
        <f t="shared" si="408"/>
        <v>1.0091200000000002E-2</v>
      </c>
      <c r="AL539" s="2">
        <f t="shared" si="409"/>
        <v>0.30273600000000001</v>
      </c>
      <c r="AM539" s="2">
        <f t="shared" si="429"/>
        <v>1.7361067600000002</v>
      </c>
      <c r="AN539" s="2">
        <f t="shared" si="410"/>
        <v>40</v>
      </c>
      <c r="AO539" s="2">
        <f t="shared" si="411"/>
        <v>1.2687999999999999</v>
      </c>
      <c r="AP539" s="2">
        <f t="shared" si="412"/>
        <v>2.6741679999999999</v>
      </c>
      <c r="AQ539" s="2">
        <f t="shared" si="430"/>
        <v>42.674168000000002</v>
      </c>
      <c r="AR539" s="2">
        <f t="shared" si="396"/>
        <v>7.6813502400000004</v>
      </c>
      <c r="AS539" s="2">
        <f t="shared" si="413"/>
        <v>1.0091200000000002E-2</v>
      </c>
      <c r="AT539" s="2">
        <f t="shared" si="414"/>
        <v>0.30273600000000001</v>
      </c>
      <c r="AU539" s="2">
        <f t="shared" si="431"/>
        <v>51.937145440000002</v>
      </c>
      <c r="AV539" s="2">
        <f t="shared" si="415"/>
        <v>0.50456000000000001</v>
      </c>
      <c r="AW539" s="2">
        <f t="shared" si="416"/>
        <v>0.25375999999999999</v>
      </c>
      <c r="AX539" s="2">
        <f t="shared" si="417"/>
        <v>0.1059576</v>
      </c>
      <c r="AY539" s="2">
        <f t="shared" si="432"/>
        <v>0.61051759999999999</v>
      </c>
      <c r="AZ539" s="2">
        <f t="shared" si="397"/>
        <v>0.109893168</v>
      </c>
      <c r="BA539" s="2">
        <f t="shared" si="418"/>
        <v>1.0091200000000002E-2</v>
      </c>
      <c r="BB539" s="2">
        <f t="shared" si="419"/>
        <v>0.30273600000000001</v>
      </c>
      <c r="BC539" s="2">
        <f t="shared" si="433"/>
        <v>1.2869979680000001</v>
      </c>
      <c r="BD539" s="2">
        <v>0</v>
      </c>
      <c r="BE539" s="2">
        <f t="shared" si="420"/>
        <v>5.0456000000000003</v>
      </c>
      <c r="BF539" s="2">
        <f t="shared" si="421"/>
        <v>0.16398199999999999</v>
      </c>
      <c r="BG539" s="2">
        <f t="shared" si="434"/>
        <v>0.16398199999999999</v>
      </c>
      <c r="BH539" s="2">
        <f t="shared" si="398"/>
        <v>2.9516759999999996E-2</v>
      </c>
      <c r="BI539" s="2">
        <f t="shared" si="422"/>
        <v>1.0091200000000002E-2</v>
      </c>
      <c r="BJ539" s="2">
        <f t="shared" si="423"/>
        <v>0.30273600000000001</v>
      </c>
      <c r="BK539" s="2">
        <f t="shared" si="435"/>
        <v>5.5519259600000002</v>
      </c>
      <c r="BL539" s="2">
        <f t="shared" si="424"/>
        <v>2508</v>
      </c>
      <c r="BM539" s="2">
        <f t="shared" si="425"/>
        <v>2537.6</v>
      </c>
      <c r="BN539" s="2">
        <f t="shared" si="436"/>
        <v>5045.6000000000004</v>
      </c>
    </row>
    <row r="540" spans="1:66" x14ac:dyDescent="0.25">
      <c r="A540" s="42">
        <v>537</v>
      </c>
      <c r="B540" s="43">
        <v>42940</v>
      </c>
      <c r="C540" s="42" t="s">
        <v>50</v>
      </c>
      <c r="D540" s="42" t="s">
        <v>312</v>
      </c>
      <c r="E540" s="6">
        <f t="shared" si="426"/>
        <v>17.843434817500047</v>
      </c>
      <c r="F540" s="5" t="str">
        <f t="shared" si="437"/>
        <v>Win</v>
      </c>
      <c r="G540" s="4">
        <f t="shared" si="438"/>
        <v>18.950000000000045</v>
      </c>
      <c r="H540" s="46">
        <v>1</v>
      </c>
      <c r="I540" s="42">
        <v>1598.5</v>
      </c>
      <c r="N540" s="5">
        <f t="shared" si="439"/>
        <v>1</v>
      </c>
      <c r="O540" s="4">
        <f t="shared" si="440"/>
        <v>1598.5</v>
      </c>
      <c r="P540" s="5">
        <f t="shared" si="399"/>
        <v>1</v>
      </c>
      <c r="Q540" s="42">
        <v>1617.45</v>
      </c>
      <c r="R540" s="2">
        <f t="shared" si="394"/>
        <v>0</v>
      </c>
      <c r="T540" s="2">
        <f t="shared" si="427"/>
        <v>0</v>
      </c>
      <c r="V540" s="5">
        <f t="shared" si="441"/>
        <v>1</v>
      </c>
      <c r="W540" s="4">
        <f t="shared" si="442"/>
        <v>1617.45</v>
      </c>
      <c r="X540" s="14">
        <f t="shared" si="400"/>
        <v>18.950000000000045</v>
      </c>
      <c r="Y540" s="5">
        <f t="shared" si="401"/>
        <v>18.950000000000045</v>
      </c>
      <c r="Z540" s="2">
        <f t="shared" si="402"/>
        <v>0</v>
      </c>
      <c r="AA540" s="4">
        <f t="shared" si="403"/>
        <v>0</v>
      </c>
      <c r="AB540" s="13">
        <f t="shared" si="404"/>
        <v>1.1065651825</v>
      </c>
      <c r="AC540" s="10">
        <f>SUM($E$4:E540)</f>
        <v>-17022.172539967545</v>
      </c>
      <c r="AD540" s="20">
        <f>SUM($AB$4:AB540)</f>
        <v>12784.593239967491</v>
      </c>
      <c r="AF540" s="28">
        <f t="shared" si="405"/>
        <v>0.32159500000000002</v>
      </c>
      <c r="AG540" s="2">
        <f t="shared" si="406"/>
        <v>0.40436250000000001</v>
      </c>
      <c r="AH540" s="2">
        <f t="shared" si="407"/>
        <v>0.10451837499999998</v>
      </c>
      <c r="AI540" s="2">
        <f t="shared" si="428"/>
        <v>0.42611337500000002</v>
      </c>
      <c r="AJ540" s="2">
        <f t="shared" si="395"/>
        <v>7.6700407499999998E-2</v>
      </c>
      <c r="AK540" s="2">
        <f t="shared" si="408"/>
        <v>6.4318999999999999E-3</v>
      </c>
      <c r="AL540" s="2">
        <f t="shared" si="409"/>
        <v>0.19295699999999999</v>
      </c>
      <c r="AM540" s="2">
        <f t="shared" si="429"/>
        <v>1.1065651825</v>
      </c>
      <c r="AN540" s="2">
        <f t="shared" si="410"/>
        <v>40</v>
      </c>
      <c r="AO540" s="2">
        <f t="shared" si="411"/>
        <v>0.80872500000000003</v>
      </c>
      <c r="AP540" s="2">
        <f t="shared" si="412"/>
        <v>1.7044534999999998</v>
      </c>
      <c r="AQ540" s="2">
        <f t="shared" si="430"/>
        <v>41.7044535</v>
      </c>
      <c r="AR540" s="2">
        <f t="shared" si="396"/>
        <v>7.50680163</v>
      </c>
      <c r="AS540" s="2">
        <f t="shared" si="413"/>
        <v>6.4318999999999999E-3</v>
      </c>
      <c r="AT540" s="2">
        <f t="shared" si="414"/>
        <v>0.19295699999999999</v>
      </c>
      <c r="AU540" s="2">
        <f t="shared" si="431"/>
        <v>50.219369030000003</v>
      </c>
      <c r="AV540" s="2">
        <f t="shared" si="415"/>
        <v>0.32159500000000002</v>
      </c>
      <c r="AW540" s="2">
        <f t="shared" si="416"/>
        <v>0.161745</v>
      </c>
      <c r="AX540" s="2">
        <f t="shared" si="417"/>
        <v>6.7534949999999996E-2</v>
      </c>
      <c r="AY540" s="2">
        <f t="shared" si="432"/>
        <v>0.38912995</v>
      </c>
      <c r="AZ540" s="2">
        <f t="shared" si="397"/>
        <v>7.0043390999999997E-2</v>
      </c>
      <c r="BA540" s="2">
        <f t="shared" si="418"/>
        <v>6.4318999999999999E-3</v>
      </c>
      <c r="BB540" s="2">
        <f t="shared" si="419"/>
        <v>0.19295699999999999</v>
      </c>
      <c r="BC540" s="2">
        <f t="shared" si="433"/>
        <v>0.82030724100000008</v>
      </c>
      <c r="BD540" s="2">
        <v>0</v>
      </c>
      <c r="BE540" s="2">
        <f t="shared" si="420"/>
        <v>3.2159499999999999</v>
      </c>
      <c r="BF540" s="2">
        <f t="shared" si="421"/>
        <v>0.10451837499999998</v>
      </c>
      <c r="BG540" s="2">
        <f t="shared" si="434"/>
        <v>0.10451837499999998</v>
      </c>
      <c r="BH540" s="2">
        <f t="shared" si="398"/>
        <v>1.8813307499999998E-2</v>
      </c>
      <c r="BI540" s="2">
        <f t="shared" si="422"/>
        <v>6.4318999999999999E-3</v>
      </c>
      <c r="BJ540" s="2">
        <f t="shared" si="423"/>
        <v>0.19295699999999999</v>
      </c>
      <c r="BK540" s="2">
        <f t="shared" si="435"/>
        <v>3.5386705824999996</v>
      </c>
      <c r="BL540" s="2">
        <f t="shared" si="424"/>
        <v>1598.5</v>
      </c>
      <c r="BM540" s="2">
        <f t="shared" si="425"/>
        <v>1617.45</v>
      </c>
      <c r="BN540" s="2">
        <f t="shared" si="436"/>
        <v>3215.95</v>
      </c>
    </row>
    <row r="541" spans="1:66" x14ac:dyDescent="0.25">
      <c r="A541" s="42">
        <v>538</v>
      </c>
      <c r="B541" s="43">
        <v>42941</v>
      </c>
      <c r="C541" s="42" t="s">
        <v>50</v>
      </c>
      <c r="D541" s="42" t="s">
        <v>311</v>
      </c>
      <c r="E541" s="6">
        <f t="shared" si="426"/>
        <v>-2.0726332849996143</v>
      </c>
      <c r="F541" s="5" t="str">
        <f t="shared" si="437"/>
        <v>Win</v>
      </c>
      <c r="G541" s="4">
        <f t="shared" si="438"/>
        <v>1.7000000000003865</v>
      </c>
      <c r="H541" s="46">
        <v>17</v>
      </c>
      <c r="I541" s="42">
        <v>161.25</v>
      </c>
      <c r="J541" s="42">
        <v>17</v>
      </c>
      <c r="K541" s="42">
        <v>161.85</v>
      </c>
      <c r="N541" s="5">
        <f t="shared" si="439"/>
        <v>34</v>
      </c>
      <c r="O541" s="4">
        <f t="shared" si="440"/>
        <v>161.55000000000001</v>
      </c>
      <c r="P541" s="5">
        <f t="shared" si="399"/>
        <v>17</v>
      </c>
      <c r="Q541" s="42">
        <v>161.30000000000001</v>
      </c>
      <c r="R541" s="2">
        <f t="shared" si="394"/>
        <v>17</v>
      </c>
      <c r="S541" s="42">
        <v>161.9</v>
      </c>
      <c r="T541" s="2">
        <f t="shared" si="427"/>
        <v>0</v>
      </c>
      <c r="V541" s="5">
        <f t="shared" si="441"/>
        <v>34</v>
      </c>
      <c r="W541" s="4">
        <f t="shared" si="442"/>
        <v>161.60000000000002</v>
      </c>
      <c r="X541" s="14">
        <f t="shared" si="400"/>
        <v>0.65000000000000568</v>
      </c>
      <c r="Y541" s="5">
        <f t="shared" si="401"/>
        <v>0.85000000000019327</v>
      </c>
      <c r="Z541" s="2">
        <f t="shared" si="402"/>
        <v>0.85000000000019327</v>
      </c>
      <c r="AA541" s="4">
        <f t="shared" si="403"/>
        <v>0</v>
      </c>
      <c r="AB541" s="13">
        <f t="shared" si="404"/>
        <v>3.7726332850000008</v>
      </c>
      <c r="AC541" s="10">
        <f>SUM($E$4:E541)</f>
        <v>-17024.245173252544</v>
      </c>
      <c r="AD541" s="20">
        <f>SUM($AB$4:AB541)</f>
        <v>12788.365873252491</v>
      </c>
      <c r="AF541" s="28">
        <f t="shared" si="405"/>
        <v>1.0987100000000003</v>
      </c>
      <c r="AG541" s="2">
        <f t="shared" si="406"/>
        <v>1.3736000000000004</v>
      </c>
      <c r="AH541" s="2">
        <f t="shared" si="407"/>
        <v>0.35708075000000006</v>
      </c>
      <c r="AI541" s="2">
        <f t="shared" si="428"/>
        <v>1.4557907500000002</v>
      </c>
      <c r="AJ541" s="2">
        <f t="shared" si="395"/>
        <v>0.26204233500000002</v>
      </c>
      <c r="AK541" s="2">
        <f t="shared" si="408"/>
        <v>2.1974200000000003E-2</v>
      </c>
      <c r="AL541" s="2">
        <f t="shared" si="409"/>
        <v>0.6592260000000002</v>
      </c>
      <c r="AM541" s="2">
        <f t="shared" si="429"/>
        <v>3.7726332850000008</v>
      </c>
      <c r="AN541" s="2">
        <f t="shared" si="410"/>
        <v>80</v>
      </c>
      <c r="AO541" s="2">
        <f t="shared" si="411"/>
        <v>2.7472000000000008</v>
      </c>
      <c r="AP541" s="2">
        <f t="shared" si="412"/>
        <v>5.823163000000001</v>
      </c>
      <c r="AQ541" s="2">
        <f t="shared" si="430"/>
        <v>85.823162999999994</v>
      </c>
      <c r="AR541" s="2">
        <f t="shared" si="396"/>
        <v>15.448169339999998</v>
      </c>
      <c r="AS541" s="2">
        <f t="shared" si="413"/>
        <v>2.1974200000000003E-2</v>
      </c>
      <c r="AT541" s="2">
        <f t="shared" si="414"/>
        <v>0.6592260000000002</v>
      </c>
      <c r="AU541" s="2">
        <f t="shared" si="431"/>
        <v>104.69973254000001</v>
      </c>
      <c r="AV541" s="2">
        <f t="shared" si="415"/>
        <v>1.0987100000000003</v>
      </c>
      <c r="AW541" s="2">
        <f t="shared" si="416"/>
        <v>0.54944000000000015</v>
      </c>
      <c r="AX541" s="2">
        <f t="shared" si="417"/>
        <v>0.23072910000000002</v>
      </c>
      <c r="AY541" s="2">
        <f t="shared" si="432"/>
        <v>1.3294391000000003</v>
      </c>
      <c r="AZ541" s="2">
        <f t="shared" si="397"/>
        <v>0.23929903800000005</v>
      </c>
      <c r="BA541" s="2">
        <f t="shared" si="418"/>
        <v>2.1974200000000003E-2</v>
      </c>
      <c r="BB541" s="2">
        <f t="shared" si="419"/>
        <v>0.6592260000000002</v>
      </c>
      <c r="BC541" s="2">
        <f t="shared" si="433"/>
        <v>2.7993783380000008</v>
      </c>
      <c r="BD541" s="2">
        <v>0</v>
      </c>
      <c r="BE541" s="2">
        <f t="shared" si="420"/>
        <v>10.987100000000002</v>
      </c>
      <c r="BF541" s="2">
        <f t="shared" si="421"/>
        <v>0.35708075000000006</v>
      </c>
      <c r="BG541" s="2">
        <f t="shared" si="434"/>
        <v>0.35708075000000006</v>
      </c>
      <c r="BH541" s="2">
        <f t="shared" si="398"/>
        <v>6.4274535000000008E-2</v>
      </c>
      <c r="BI541" s="2">
        <f t="shared" si="422"/>
        <v>2.1974200000000003E-2</v>
      </c>
      <c r="BJ541" s="2">
        <f t="shared" si="423"/>
        <v>0.6592260000000002</v>
      </c>
      <c r="BK541" s="2">
        <f t="shared" si="435"/>
        <v>12.089655485000002</v>
      </c>
      <c r="BL541" s="2">
        <f t="shared" si="424"/>
        <v>5492.7000000000007</v>
      </c>
      <c r="BM541" s="2">
        <f t="shared" si="425"/>
        <v>5494.4000000000005</v>
      </c>
      <c r="BN541" s="2">
        <f t="shared" si="436"/>
        <v>10987.100000000002</v>
      </c>
    </row>
    <row r="542" spans="1:66" x14ac:dyDescent="0.25">
      <c r="A542" s="42">
        <v>539</v>
      </c>
      <c r="B542" s="43">
        <v>42941</v>
      </c>
      <c r="C542" s="42" t="s">
        <v>50</v>
      </c>
      <c r="D542" s="42" t="s">
        <v>302</v>
      </c>
      <c r="E542" s="6">
        <f t="shared" si="426"/>
        <v>36.964117199999635</v>
      </c>
      <c r="F542" s="5" t="str">
        <f t="shared" si="437"/>
        <v>Win</v>
      </c>
      <c r="G542" s="4">
        <f t="shared" si="438"/>
        <v>38.399999999999636</v>
      </c>
      <c r="H542" s="46">
        <v>16</v>
      </c>
      <c r="I542" s="42">
        <v>129.05000000000001</v>
      </c>
      <c r="N542" s="5">
        <f t="shared" si="439"/>
        <v>16</v>
      </c>
      <c r="O542" s="4">
        <f t="shared" si="440"/>
        <v>129.05000000000001</v>
      </c>
      <c r="P542" s="5">
        <f t="shared" si="399"/>
        <v>16</v>
      </c>
      <c r="Q542" s="42">
        <v>131.44999999999999</v>
      </c>
      <c r="R542" s="2">
        <f t="shared" si="394"/>
        <v>0</v>
      </c>
      <c r="T542" s="2">
        <f t="shared" si="427"/>
        <v>0</v>
      </c>
      <c r="V542" s="5">
        <f t="shared" si="441"/>
        <v>16</v>
      </c>
      <c r="W542" s="4">
        <f t="shared" si="442"/>
        <v>131.44999999999999</v>
      </c>
      <c r="X542" s="14">
        <f t="shared" si="400"/>
        <v>2.3999999999999773</v>
      </c>
      <c r="Y542" s="5">
        <f t="shared" si="401"/>
        <v>38.399999999999636</v>
      </c>
      <c r="Z542" s="2">
        <f t="shared" si="402"/>
        <v>0</v>
      </c>
      <c r="AA542" s="4">
        <f t="shared" si="403"/>
        <v>0</v>
      </c>
      <c r="AB542" s="13">
        <f t="shared" si="404"/>
        <v>1.4358827999999997</v>
      </c>
      <c r="AC542" s="10">
        <f>SUM($E$4:E542)</f>
        <v>-16987.281056052543</v>
      </c>
      <c r="AD542" s="20">
        <f>SUM($AB$4:AB542)</f>
        <v>12789.801756052491</v>
      </c>
      <c r="AF542" s="28">
        <f t="shared" si="405"/>
        <v>0.4168</v>
      </c>
      <c r="AG542" s="2">
        <f t="shared" si="406"/>
        <v>0.52579999999999993</v>
      </c>
      <c r="AH542" s="2">
        <f t="shared" si="407"/>
        <v>0.13546</v>
      </c>
      <c r="AI542" s="2">
        <f t="shared" si="428"/>
        <v>0.55225999999999997</v>
      </c>
      <c r="AJ542" s="2">
        <f t="shared" si="395"/>
        <v>9.940679999999999E-2</v>
      </c>
      <c r="AK542" s="2">
        <f t="shared" si="408"/>
        <v>8.3359999999999997E-3</v>
      </c>
      <c r="AL542" s="2">
        <f t="shared" si="409"/>
        <v>0.25008000000000002</v>
      </c>
      <c r="AM542" s="2">
        <f t="shared" si="429"/>
        <v>1.4358827999999997</v>
      </c>
      <c r="AN542" s="2">
        <f t="shared" si="410"/>
        <v>40</v>
      </c>
      <c r="AO542" s="2">
        <f t="shared" si="411"/>
        <v>1.0515999999999999</v>
      </c>
      <c r="AP542" s="2">
        <f t="shared" si="412"/>
        <v>2.2090399999999999</v>
      </c>
      <c r="AQ542" s="2">
        <f t="shared" si="430"/>
        <v>42.209040000000002</v>
      </c>
      <c r="AR542" s="2">
        <f t="shared" si="396"/>
        <v>7.5976271999999998</v>
      </c>
      <c r="AS542" s="2">
        <f t="shared" si="413"/>
        <v>8.3359999999999997E-3</v>
      </c>
      <c r="AT542" s="2">
        <f t="shared" si="414"/>
        <v>0.25008000000000002</v>
      </c>
      <c r="AU542" s="2">
        <f t="shared" si="431"/>
        <v>51.116683199999997</v>
      </c>
      <c r="AV542" s="2">
        <f t="shared" si="415"/>
        <v>0.4168</v>
      </c>
      <c r="AW542" s="2">
        <f t="shared" si="416"/>
        <v>0.21031999999999998</v>
      </c>
      <c r="AX542" s="2">
        <f t="shared" si="417"/>
        <v>8.7527999999999995E-2</v>
      </c>
      <c r="AY542" s="2">
        <f t="shared" si="432"/>
        <v>0.504328</v>
      </c>
      <c r="AZ542" s="2">
        <f t="shared" si="397"/>
        <v>9.0779039999999991E-2</v>
      </c>
      <c r="BA542" s="2">
        <f t="shared" si="418"/>
        <v>8.3359999999999997E-3</v>
      </c>
      <c r="BB542" s="2">
        <f t="shared" si="419"/>
        <v>0.25008000000000002</v>
      </c>
      <c r="BC542" s="2">
        <f t="shared" si="433"/>
        <v>1.0638430400000001</v>
      </c>
      <c r="BD542" s="2">
        <v>0</v>
      </c>
      <c r="BE542" s="2">
        <f t="shared" si="420"/>
        <v>4.1680000000000001</v>
      </c>
      <c r="BF542" s="2">
        <f t="shared" si="421"/>
        <v>0.13546</v>
      </c>
      <c r="BG542" s="2">
        <f t="shared" si="434"/>
        <v>0.13546</v>
      </c>
      <c r="BH542" s="2">
        <f t="shared" si="398"/>
        <v>2.43828E-2</v>
      </c>
      <c r="BI542" s="2">
        <f t="shared" si="422"/>
        <v>8.3359999999999997E-3</v>
      </c>
      <c r="BJ542" s="2">
        <f t="shared" si="423"/>
        <v>0.25008000000000002</v>
      </c>
      <c r="BK542" s="2">
        <f t="shared" si="435"/>
        <v>4.5862587999999995</v>
      </c>
      <c r="BL542" s="2">
        <f t="shared" si="424"/>
        <v>2064.8000000000002</v>
      </c>
      <c r="BM542" s="2">
        <f t="shared" si="425"/>
        <v>2103.1999999999998</v>
      </c>
      <c r="BN542" s="2">
        <f t="shared" si="436"/>
        <v>4168</v>
      </c>
    </row>
    <row r="543" spans="1:66" x14ac:dyDescent="0.25">
      <c r="A543" s="42">
        <v>540</v>
      </c>
      <c r="B543" s="43">
        <v>42941</v>
      </c>
      <c r="C543" s="42" t="s">
        <v>50</v>
      </c>
      <c r="D543" s="42" t="s">
        <v>313</v>
      </c>
      <c r="E543" s="6">
        <f t="shared" si="426"/>
        <v>-4.3306523724999089</v>
      </c>
      <c r="F543" s="5" t="str">
        <f t="shared" si="437"/>
        <v>Loss</v>
      </c>
      <c r="G543" s="4">
        <f t="shared" si="438"/>
        <v>-3.3499999999999091</v>
      </c>
      <c r="H543" s="46">
        <v>1</v>
      </c>
      <c r="I543" s="42">
        <v>1430.35</v>
      </c>
      <c r="N543" s="5">
        <f t="shared" si="439"/>
        <v>1</v>
      </c>
      <c r="O543" s="4">
        <f t="shared" si="440"/>
        <v>1430.35</v>
      </c>
      <c r="P543" s="5">
        <f t="shared" si="399"/>
        <v>1</v>
      </c>
      <c r="Q543" s="42">
        <v>1427</v>
      </c>
      <c r="R543" s="2">
        <f t="shared" si="394"/>
        <v>0</v>
      </c>
      <c r="T543" s="2">
        <f t="shared" si="427"/>
        <v>0</v>
      </c>
      <c r="V543" s="5">
        <f t="shared" si="441"/>
        <v>1</v>
      </c>
      <c r="W543" s="4">
        <f t="shared" si="442"/>
        <v>1427</v>
      </c>
      <c r="X543" s="14">
        <f t="shared" si="400"/>
        <v>-3.3499999999999091</v>
      </c>
      <c r="Y543" s="5">
        <f t="shared" si="401"/>
        <v>-3.3499999999999091</v>
      </c>
      <c r="Z543" s="2">
        <f t="shared" si="402"/>
        <v>0</v>
      </c>
      <c r="AA543" s="4">
        <f t="shared" si="403"/>
        <v>0</v>
      </c>
      <c r="AB543" s="13">
        <f t="shared" si="404"/>
        <v>0.98065237249999981</v>
      </c>
      <c r="AC543" s="10">
        <f>SUM($E$4:E543)</f>
        <v>-16991.611708425044</v>
      </c>
      <c r="AD543" s="20">
        <f>SUM($AB$4:AB543)</f>
        <v>12790.782408424991</v>
      </c>
      <c r="AF543" s="28">
        <f t="shared" si="405"/>
        <v>0.28573500000000002</v>
      </c>
      <c r="AG543" s="2">
        <f t="shared" si="406"/>
        <v>0.35675000000000001</v>
      </c>
      <c r="AH543" s="2">
        <f t="shared" si="407"/>
        <v>9.2863874999999985E-2</v>
      </c>
      <c r="AI543" s="2">
        <f t="shared" si="428"/>
        <v>0.378598875</v>
      </c>
      <c r="AJ543" s="2">
        <f t="shared" si="395"/>
        <v>6.8147797499999996E-2</v>
      </c>
      <c r="AK543" s="2">
        <f t="shared" si="408"/>
        <v>5.7147000000000005E-3</v>
      </c>
      <c r="AL543" s="2">
        <f t="shared" si="409"/>
        <v>0.17144100000000001</v>
      </c>
      <c r="AM543" s="2">
        <f t="shared" si="429"/>
        <v>0.98065237249999981</v>
      </c>
      <c r="AN543" s="2">
        <f t="shared" si="410"/>
        <v>40</v>
      </c>
      <c r="AO543" s="2">
        <f t="shared" si="411"/>
        <v>0.71350000000000002</v>
      </c>
      <c r="AP543" s="2">
        <f t="shared" si="412"/>
        <v>1.5143955</v>
      </c>
      <c r="AQ543" s="2">
        <f t="shared" si="430"/>
        <v>41.514395499999999</v>
      </c>
      <c r="AR543" s="2">
        <f t="shared" si="396"/>
        <v>7.4725911899999993</v>
      </c>
      <c r="AS543" s="2">
        <f t="shared" si="413"/>
        <v>5.7147000000000005E-3</v>
      </c>
      <c r="AT543" s="2">
        <f t="shared" si="414"/>
        <v>0.17144100000000001</v>
      </c>
      <c r="AU543" s="2">
        <f t="shared" si="431"/>
        <v>49.877642390000005</v>
      </c>
      <c r="AV543" s="2">
        <f t="shared" si="415"/>
        <v>0.28573500000000002</v>
      </c>
      <c r="AW543" s="2">
        <f t="shared" si="416"/>
        <v>0.14269999999999999</v>
      </c>
      <c r="AX543" s="2">
        <f t="shared" si="417"/>
        <v>6.0004349999999998E-2</v>
      </c>
      <c r="AY543" s="2">
        <f t="shared" si="432"/>
        <v>0.34573935</v>
      </c>
      <c r="AZ543" s="2">
        <f t="shared" si="397"/>
        <v>6.2233082999999995E-2</v>
      </c>
      <c r="BA543" s="2">
        <f t="shared" si="418"/>
        <v>5.7147000000000005E-3</v>
      </c>
      <c r="BB543" s="2">
        <f t="shared" si="419"/>
        <v>0.17144100000000001</v>
      </c>
      <c r="BC543" s="2">
        <f t="shared" si="433"/>
        <v>0.72782813300000004</v>
      </c>
      <c r="BD543" s="2">
        <v>0</v>
      </c>
      <c r="BE543" s="2">
        <f t="shared" si="420"/>
        <v>2.8573499999999998</v>
      </c>
      <c r="BF543" s="2">
        <f t="shared" si="421"/>
        <v>9.2863874999999985E-2</v>
      </c>
      <c r="BG543" s="2">
        <f t="shared" si="434"/>
        <v>9.2863874999999985E-2</v>
      </c>
      <c r="BH543" s="2">
        <f t="shared" si="398"/>
        <v>1.6715497499999996E-2</v>
      </c>
      <c r="BI543" s="2">
        <f t="shared" si="422"/>
        <v>5.7147000000000005E-3</v>
      </c>
      <c r="BJ543" s="2">
        <f t="shared" si="423"/>
        <v>0.17144100000000001</v>
      </c>
      <c r="BK543" s="2">
        <f t="shared" si="435"/>
        <v>3.1440850724999998</v>
      </c>
      <c r="BL543" s="2">
        <f t="shared" si="424"/>
        <v>1430.35</v>
      </c>
      <c r="BM543" s="2">
        <f t="shared" si="425"/>
        <v>1427</v>
      </c>
      <c r="BN543" s="2">
        <f t="shared" si="436"/>
        <v>2857.35</v>
      </c>
    </row>
    <row r="544" spans="1:66" x14ac:dyDescent="0.25">
      <c r="A544" s="42">
        <v>541</v>
      </c>
      <c r="B544" s="43">
        <v>42942</v>
      </c>
      <c r="C544" s="42" t="s">
        <v>50</v>
      </c>
      <c r="D544" s="42" t="s">
        <v>314</v>
      </c>
      <c r="E544" s="6">
        <f t="shared" si="426"/>
        <v>-11.746779927500045</v>
      </c>
      <c r="F544" s="5" t="str">
        <f t="shared" si="437"/>
        <v>Loss</v>
      </c>
      <c r="G544" s="4">
        <f t="shared" si="438"/>
        <v>-10.450000000000045</v>
      </c>
      <c r="H544" s="46">
        <v>1</v>
      </c>
      <c r="I544" s="42">
        <v>1895.55</v>
      </c>
      <c r="N544" s="5">
        <f t="shared" si="439"/>
        <v>1</v>
      </c>
      <c r="O544" s="4">
        <f t="shared" si="440"/>
        <v>1895.55</v>
      </c>
      <c r="P544" s="5">
        <f t="shared" si="399"/>
        <v>1</v>
      </c>
      <c r="Q544" s="42">
        <v>1885.1</v>
      </c>
      <c r="R544" s="2">
        <f t="shared" si="394"/>
        <v>0</v>
      </c>
      <c r="T544" s="2">
        <f t="shared" si="427"/>
        <v>0</v>
      </c>
      <c r="V544" s="5">
        <f t="shared" si="441"/>
        <v>1</v>
      </c>
      <c r="W544" s="4">
        <f t="shared" si="442"/>
        <v>1885.1</v>
      </c>
      <c r="X544" s="14">
        <f t="shared" si="400"/>
        <v>-10.450000000000045</v>
      </c>
      <c r="Y544" s="5">
        <f t="shared" si="401"/>
        <v>-10.450000000000045</v>
      </c>
      <c r="Z544" s="2">
        <f t="shared" si="402"/>
        <v>0</v>
      </c>
      <c r="AA544" s="4">
        <f t="shared" si="403"/>
        <v>0</v>
      </c>
      <c r="AB544" s="13">
        <f t="shared" si="404"/>
        <v>1.2967799275</v>
      </c>
      <c r="AC544" s="10">
        <f>SUM($E$4:E544)</f>
        <v>-17003.358488352544</v>
      </c>
      <c r="AD544" s="20">
        <f>SUM($AB$4:AB544)</f>
        <v>12792.079188352491</v>
      </c>
      <c r="AF544" s="28">
        <f t="shared" si="405"/>
        <v>0.37806499999999998</v>
      </c>
      <c r="AG544" s="2">
        <f t="shared" si="406"/>
        <v>0.471275</v>
      </c>
      <c r="AH544" s="2">
        <f t="shared" si="407"/>
        <v>0.12287112499999998</v>
      </c>
      <c r="AI544" s="2">
        <f t="shared" si="428"/>
        <v>0.50093612499999995</v>
      </c>
      <c r="AJ544" s="2">
        <f t="shared" si="395"/>
        <v>9.0168502499999983E-2</v>
      </c>
      <c r="AK544" s="2">
        <f t="shared" si="408"/>
        <v>7.5612999999999991E-3</v>
      </c>
      <c r="AL544" s="2">
        <f t="shared" si="409"/>
        <v>0.22683899999999999</v>
      </c>
      <c r="AM544" s="2">
        <f t="shared" si="429"/>
        <v>1.2967799275</v>
      </c>
      <c r="AN544" s="2">
        <f t="shared" si="410"/>
        <v>40</v>
      </c>
      <c r="AO544" s="2">
        <f t="shared" si="411"/>
        <v>0.94255</v>
      </c>
      <c r="AP544" s="2">
        <f t="shared" si="412"/>
        <v>2.0037444999999998</v>
      </c>
      <c r="AQ544" s="2">
        <f t="shared" si="430"/>
        <v>42.003744499999996</v>
      </c>
      <c r="AR544" s="2">
        <f t="shared" si="396"/>
        <v>7.5606740099999987</v>
      </c>
      <c r="AS544" s="2">
        <f t="shared" si="413"/>
        <v>7.5612999999999991E-3</v>
      </c>
      <c r="AT544" s="2">
        <f t="shared" si="414"/>
        <v>0.22683899999999999</v>
      </c>
      <c r="AU544" s="2">
        <f t="shared" si="431"/>
        <v>50.74136880999999</v>
      </c>
      <c r="AV544" s="2">
        <f t="shared" si="415"/>
        <v>0.37806499999999998</v>
      </c>
      <c r="AW544" s="2">
        <f t="shared" si="416"/>
        <v>0.18851000000000001</v>
      </c>
      <c r="AX544" s="2">
        <f t="shared" si="417"/>
        <v>7.9393649999999982E-2</v>
      </c>
      <c r="AY544" s="2">
        <f t="shared" si="432"/>
        <v>0.45745864999999997</v>
      </c>
      <c r="AZ544" s="2">
        <f t="shared" si="397"/>
        <v>8.2342556999999997E-2</v>
      </c>
      <c r="BA544" s="2">
        <f t="shared" si="418"/>
        <v>7.5612999999999991E-3</v>
      </c>
      <c r="BB544" s="2">
        <f t="shared" si="419"/>
        <v>0.22683899999999999</v>
      </c>
      <c r="BC544" s="2">
        <f t="shared" si="433"/>
        <v>0.96271150700000008</v>
      </c>
      <c r="BD544" s="2">
        <v>0</v>
      </c>
      <c r="BE544" s="2">
        <f t="shared" si="420"/>
        <v>3.7806499999999996</v>
      </c>
      <c r="BF544" s="2">
        <f t="shared" si="421"/>
        <v>0.12287112499999998</v>
      </c>
      <c r="BG544" s="2">
        <f t="shared" si="434"/>
        <v>0.12287112499999998</v>
      </c>
      <c r="BH544" s="2">
        <f t="shared" si="398"/>
        <v>2.2116802499999998E-2</v>
      </c>
      <c r="BI544" s="2">
        <f t="shared" si="422"/>
        <v>7.5612999999999991E-3</v>
      </c>
      <c r="BJ544" s="2">
        <f t="shared" si="423"/>
        <v>0.22683899999999999</v>
      </c>
      <c r="BK544" s="2">
        <f t="shared" si="435"/>
        <v>4.1600382274999994</v>
      </c>
      <c r="BL544" s="2">
        <f t="shared" si="424"/>
        <v>1895.55</v>
      </c>
      <c r="BM544" s="2">
        <f t="shared" si="425"/>
        <v>1885.1</v>
      </c>
      <c r="BN544" s="2">
        <f t="shared" si="436"/>
        <v>3780.6499999999996</v>
      </c>
    </row>
    <row r="545" spans="1:66" x14ac:dyDescent="0.25">
      <c r="A545" s="42">
        <v>542</v>
      </c>
      <c r="B545" s="43">
        <v>42942</v>
      </c>
      <c r="C545" s="42" t="s">
        <v>50</v>
      </c>
      <c r="D545" s="42" t="s">
        <v>302</v>
      </c>
      <c r="E545" s="6">
        <f t="shared" si="426"/>
        <v>-6.4855704650002899</v>
      </c>
      <c r="F545" s="5" t="str">
        <f t="shared" si="437"/>
        <v>Loss</v>
      </c>
      <c r="G545" s="4">
        <f t="shared" si="438"/>
        <v>-3.4000000000002899</v>
      </c>
      <c r="H545" s="46">
        <v>17</v>
      </c>
      <c r="I545" s="42">
        <v>128.05000000000001</v>
      </c>
      <c r="J545" s="42">
        <v>17</v>
      </c>
      <c r="K545" s="42">
        <v>136.4</v>
      </c>
      <c r="N545" s="5">
        <f t="shared" si="439"/>
        <v>34</v>
      </c>
      <c r="O545" s="4">
        <f t="shared" si="440"/>
        <v>132.22500000000002</v>
      </c>
      <c r="P545" s="5">
        <f t="shared" si="399"/>
        <v>17</v>
      </c>
      <c r="Q545" s="42">
        <v>127.25</v>
      </c>
      <c r="R545" s="2">
        <f t="shared" si="394"/>
        <v>17</v>
      </c>
      <c r="S545" s="42">
        <v>137</v>
      </c>
      <c r="T545" s="2">
        <f t="shared" si="427"/>
        <v>0</v>
      </c>
      <c r="V545" s="5">
        <f t="shared" si="441"/>
        <v>34</v>
      </c>
      <c r="W545" s="4">
        <f t="shared" si="442"/>
        <v>132.125</v>
      </c>
      <c r="X545" s="14">
        <f t="shared" si="400"/>
        <v>8.9499999999999886</v>
      </c>
      <c r="Y545" s="5">
        <f t="shared" si="401"/>
        <v>-13.600000000000193</v>
      </c>
      <c r="Z545" s="2">
        <f t="shared" si="402"/>
        <v>10.199999999999903</v>
      </c>
      <c r="AA545" s="4">
        <f t="shared" si="403"/>
        <v>0</v>
      </c>
      <c r="AB545" s="13">
        <f t="shared" si="404"/>
        <v>3.0855704650000004</v>
      </c>
      <c r="AC545" s="10">
        <f>SUM($E$4:E545)</f>
        <v>-17009.844058817544</v>
      </c>
      <c r="AD545" s="20">
        <f>SUM($AB$4:AB545)</f>
        <v>12795.164758817491</v>
      </c>
      <c r="AF545" s="28">
        <f t="shared" si="405"/>
        <v>0.8987900000000002</v>
      </c>
      <c r="AG545" s="2">
        <f t="shared" si="406"/>
        <v>1.1230625000000001</v>
      </c>
      <c r="AH545" s="2">
        <f t="shared" si="407"/>
        <v>0.29210675000000003</v>
      </c>
      <c r="AI545" s="2">
        <f t="shared" si="428"/>
        <v>1.1908967500000003</v>
      </c>
      <c r="AJ545" s="2">
        <f t="shared" si="395"/>
        <v>0.21436141500000006</v>
      </c>
      <c r="AK545" s="2">
        <f t="shared" si="408"/>
        <v>1.7975800000000004E-2</v>
      </c>
      <c r="AL545" s="2">
        <f t="shared" si="409"/>
        <v>0.53927400000000014</v>
      </c>
      <c r="AM545" s="2">
        <f t="shared" si="429"/>
        <v>3.0855704650000004</v>
      </c>
      <c r="AN545" s="2">
        <f t="shared" si="410"/>
        <v>80</v>
      </c>
      <c r="AO545" s="2">
        <f t="shared" si="411"/>
        <v>2.2461250000000001</v>
      </c>
      <c r="AP545" s="2">
        <f t="shared" si="412"/>
        <v>4.7635870000000002</v>
      </c>
      <c r="AQ545" s="2">
        <f t="shared" si="430"/>
        <v>84.763587000000001</v>
      </c>
      <c r="AR545" s="2">
        <f t="shared" si="396"/>
        <v>15.25744566</v>
      </c>
      <c r="AS545" s="2">
        <f t="shared" si="413"/>
        <v>1.7975800000000004E-2</v>
      </c>
      <c r="AT545" s="2">
        <f t="shared" si="414"/>
        <v>0.53927400000000014</v>
      </c>
      <c r="AU545" s="2">
        <f t="shared" si="431"/>
        <v>102.82440746000002</v>
      </c>
      <c r="AV545" s="2">
        <f t="shared" si="415"/>
        <v>0.8987900000000002</v>
      </c>
      <c r="AW545" s="2">
        <f t="shared" si="416"/>
        <v>0.44922500000000004</v>
      </c>
      <c r="AX545" s="2">
        <f t="shared" si="417"/>
        <v>0.18874590000000002</v>
      </c>
      <c r="AY545" s="2">
        <f t="shared" si="432"/>
        <v>1.0875359000000002</v>
      </c>
      <c r="AZ545" s="2">
        <f t="shared" si="397"/>
        <v>0.19575646200000002</v>
      </c>
      <c r="BA545" s="2">
        <f t="shared" si="418"/>
        <v>1.7975800000000004E-2</v>
      </c>
      <c r="BB545" s="2">
        <f t="shared" si="419"/>
        <v>0.53927400000000014</v>
      </c>
      <c r="BC545" s="2">
        <f t="shared" si="433"/>
        <v>2.2897671620000004</v>
      </c>
      <c r="BD545" s="2">
        <v>0</v>
      </c>
      <c r="BE545" s="2">
        <f t="shared" si="420"/>
        <v>8.9879000000000016</v>
      </c>
      <c r="BF545" s="2">
        <f t="shared" si="421"/>
        <v>0.29210675000000003</v>
      </c>
      <c r="BG545" s="2">
        <f t="shared" si="434"/>
        <v>0.29210675000000003</v>
      </c>
      <c r="BH545" s="2">
        <f t="shared" si="398"/>
        <v>5.2579215000000006E-2</v>
      </c>
      <c r="BI545" s="2">
        <f t="shared" si="422"/>
        <v>1.7975800000000004E-2</v>
      </c>
      <c r="BJ545" s="2">
        <f t="shared" si="423"/>
        <v>0.53927400000000014</v>
      </c>
      <c r="BK545" s="2">
        <f t="shared" si="435"/>
        <v>9.8898357650000026</v>
      </c>
      <c r="BL545" s="2">
        <f t="shared" si="424"/>
        <v>4495.6500000000005</v>
      </c>
      <c r="BM545" s="2">
        <f t="shared" si="425"/>
        <v>4492.25</v>
      </c>
      <c r="BN545" s="2">
        <f t="shared" si="436"/>
        <v>8987.9000000000015</v>
      </c>
    </row>
    <row r="546" spans="1:66" x14ac:dyDescent="0.25">
      <c r="A546" s="42">
        <v>543</v>
      </c>
      <c r="B546" s="43">
        <v>42942</v>
      </c>
      <c r="C546" s="42" t="s">
        <v>50</v>
      </c>
      <c r="D546" s="42" t="s">
        <v>275</v>
      </c>
      <c r="E546" s="6">
        <f t="shared" si="426"/>
        <v>-39.673376194165698</v>
      </c>
      <c r="F546" s="5" t="str">
        <f t="shared" si="437"/>
        <v>Loss</v>
      </c>
      <c r="G546" s="4">
        <f t="shared" si="438"/>
        <v>-30.249999999999034</v>
      </c>
      <c r="H546" s="46">
        <v>11</v>
      </c>
      <c r="I546" s="42">
        <v>259.7</v>
      </c>
      <c r="J546" s="42">
        <v>21</v>
      </c>
      <c r="K546" s="42">
        <v>258.55</v>
      </c>
      <c r="L546" s="42">
        <v>21</v>
      </c>
      <c r="M546" s="44">
        <v>259.7</v>
      </c>
      <c r="N546" s="5">
        <f t="shared" si="439"/>
        <v>53</v>
      </c>
      <c r="O546" s="4">
        <f t="shared" si="440"/>
        <v>259.31666666666666</v>
      </c>
      <c r="P546" s="5">
        <f t="shared" si="399"/>
        <v>11</v>
      </c>
      <c r="Q546" s="42">
        <v>259.05</v>
      </c>
      <c r="R546" s="2">
        <f t="shared" si="394"/>
        <v>21</v>
      </c>
      <c r="S546" s="42">
        <v>258.55</v>
      </c>
      <c r="T546" s="2">
        <f t="shared" si="427"/>
        <v>21</v>
      </c>
      <c r="U546" s="44">
        <v>258.60000000000002</v>
      </c>
      <c r="V546" s="5">
        <f t="shared" si="441"/>
        <v>53</v>
      </c>
      <c r="W546" s="4">
        <f t="shared" si="442"/>
        <v>258.73333333333335</v>
      </c>
      <c r="X546" s="14">
        <f t="shared" si="400"/>
        <v>0.5</v>
      </c>
      <c r="Y546" s="5">
        <f t="shared" si="401"/>
        <v>-7.1499999999997499</v>
      </c>
      <c r="Z546" s="2">
        <f t="shared" si="402"/>
        <v>0</v>
      </c>
      <c r="AA546" s="4">
        <f t="shared" si="403"/>
        <v>-23.099999999999284</v>
      </c>
      <c r="AB546" s="13">
        <f t="shared" si="404"/>
        <v>9.4233761941666661</v>
      </c>
      <c r="AC546" s="10">
        <f>SUM($E$4:E546)</f>
        <v>-17049.517435011709</v>
      </c>
      <c r="AD546" s="20">
        <f>SUM($AB$4:AB546)</f>
        <v>12804.588135011658</v>
      </c>
      <c r="AF546" s="28">
        <f t="shared" si="405"/>
        <v>2.7456650000000002</v>
      </c>
      <c r="AG546" s="2">
        <f t="shared" si="406"/>
        <v>3.4282166666666667</v>
      </c>
      <c r="AH546" s="2">
        <f t="shared" si="407"/>
        <v>0.89234112499999996</v>
      </c>
      <c r="AI546" s="2">
        <f t="shared" si="428"/>
        <v>3.6380061250000004</v>
      </c>
      <c r="AJ546" s="2">
        <f t="shared" si="395"/>
        <v>0.65484110250000005</v>
      </c>
      <c r="AK546" s="2">
        <f t="shared" si="408"/>
        <v>5.4913299999999998E-2</v>
      </c>
      <c r="AL546" s="2">
        <f t="shared" si="409"/>
        <v>1.6473990000000001</v>
      </c>
      <c r="AM546" s="2">
        <f t="shared" si="429"/>
        <v>9.4233761941666661</v>
      </c>
      <c r="AN546" s="2">
        <f t="shared" si="410"/>
        <v>120</v>
      </c>
      <c r="AO546" s="2">
        <f t="shared" si="411"/>
        <v>6.8564333333333334</v>
      </c>
      <c r="AP546" s="2">
        <f t="shared" si="412"/>
        <v>14.5520245</v>
      </c>
      <c r="AQ546" s="2">
        <f t="shared" si="430"/>
        <v>134.55202449999999</v>
      </c>
      <c r="AR546" s="2">
        <f t="shared" si="396"/>
        <v>24.219364409999997</v>
      </c>
      <c r="AS546" s="2">
        <f t="shared" si="413"/>
        <v>5.4913299999999998E-2</v>
      </c>
      <c r="AT546" s="2">
        <f t="shared" si="414"/>
        <v>1.6473990000000001</v>
      </c>
      <c r="AU546" s="2">
        <f t="shared" si="431"/>
        <v>167.33013454333334</v>
      </c>
      <c r="AV546" s="2">
        <f t="shared" si="415"/>
        <v>2.7456650000000002</v>
      </c>
      <c r="AW546" s="2">
        <f t="shared" si="416"/>
        <v>1.3712866666666668</v>
      </c>
      <c r="AX546" s="2">
        <f t="shared" si="417"/>
        <v>0.57658964999999995</v>
      </c>
      <c r="AY546" s="2">
        <f t="shared" si="432"/>
        <v>3.3222546500000001</v>
      </c>
      <c r="AZ546" s="2">
        <f t="shared" si="397"/>
        <v>0.59800583699999998</v>
      </c>
      <c r="BA546" s="2">
        <f t="shared" si="418"/>
        <v>5.4913299999999998E-2</v>
      </c>
      <c r="BB546" s="2">
        <f t="shared" si="419"/>
        <v>1.6473990000000001</v>
      </c>
      <c r="BC546" s="2">
        <f t="shared" si="433"/>
        <v>6.9938594536666665</v>
      </c>
      <c r="BD546" s="2">
        <v>0</v>
      </c>
      <c r="BE546" s="2">
        <f t="shared" si="420"/>
        <v>27.456650000000003</v>
      </c>
      <c r="BF546" s="2">
        <f t="shared" si="421"/>
        <v>0.89234112499999996</v>
      </c>
      <c r="BG546" s="2">
        <f t="shared" si="434"/>
        <v>0.89234112499999996</v>
      </c>
      <c r="BH546" s="2">
        <f t="shared" si="398"/>
        <v>0.16062140249999998</v>
      </c>
      <c r="BI546" s="2">
        <f t="shared" si="422"/>
        <v>5.4913299999999998E-2</v>
      </c>
      <c r="BJ546" s="2">
        <f t="shared" si="423"/>
        <v>1.6473990000000001</v>
      </c>
      <c r="BK546" s="2">
        <f t="shared" si="435"/>
        <v>30.211924827500003</v>
      </c>
      <c r="BL546" s="2">
        <f t="shared" si="424"/>
        <v>13743.783333333333</v>
      </c>
      <c r="BM546" s="2">
        <f t="shared" si="425"/>
        <v>13712.866666666667</v>
      </c>
      <c r="BN546" s="2">
        <f t="shared" si="436"/>
        <v>27456.65</v>
      </c>
    </row>
    <row r="547" spans="1:66" x14ac:dyDescent="0.25">
      <c r="A547" s="42">
        <v>544</v>
      </c>
      <c r="B547" s="43">
        <v>42942</v>
      </c>
      <c r="C547" s="42" t="s">
        <v>50</v>
      </c>
      <c r="D547" s="42" t="s">
        <v>311</v>
      </c>
      <c r="E547" s="6">
        <f t="shared" si="426"/>
        <v>-24.501149775000002</v>
      </c>
      <c r="F547" s="5" t="str">
        <f t="shared" si="437"/>
        <v>Loss</v>
      </c>
      <c r="G547" s="4">
        <f t="shared" si="438"/>
        <v>-22.5</v>
      </c>
      <c r="H547" s="46">
        <v>18</v>
      </c>
      <c r="I547" s="42">
        <v>162.75</v>
      </c>
      <c r="N547" s="5">
        <f t="shared" si="439"/>
        <v>18</v>
      </c>
      <c r="O547" s="4">
        <f t="shared" si="440"/>
        <v>162.75</v>
      </c>
      <c r="P547" s="5">
        <f t="shared" si="399"/>
        <v>18</v>
      </c>
      <c r="Q547" s="42">
        <v>161.5</v>
      </c>
      <c r="R547" s="2">
        <f t="shared" si="394"/>
        <v>0</v>
      </c>
      <c r="T547" s="2">
        <f t="shared" si="427"/>
        <v>0</v>
      </c>
      <c r="V547" s="5">
        <f t="shared" si="441"/>
        <v>18</v>
      </c>
      <c r="W547" s="4">
        <f t="shared" si="442"/>
        <v>161.5</v>
      </c>
      <c r="X547" s="14">
        <f t="shared" si="400"/>
        <v>-1.25</v>
      </c>
      <c r="Y547" s="5">
        <f t="shared" si="401"/>
        <v>-22.5</v>
      </c>
      <c r="Z547" s="2">
        <f t="shared" si="402"/>
        <v>0</v>
      </c>
      <c r="AA547" s="4">
        <f t="shared" si="403"/>
        <v>0</v>
      </c>
      <c r="AB547" s="13">
        <f t="shared" si="404"/>
        <v>2.001149775</v>
      </c>
      <c r="AC547" s="10">
        <f>SUM($E$4:E547)</f>
        <v>-17074.018584786707</v>
      </c>
      <c r="AD547" s="20">
        <f>SUM($AB$4:AB547)</f>
        <v>12806.589284786658</v>
      </c>
      <c r="AF547" s="28">
        <f t="shared" si="405"/>
        <v>0.58365</v>
      </c>
      <c r="AG547" s="2">
        <f t="shared" si="406"/>
        <v>0.72675000000000012</v>
      </c>
      <c r="AH547" s="2">
        <f t="shared" si="407"/>
        <v>0.18968624999999997</v>
      </c>
      <c r="AI547" s="2">
        <f t="shared" si="428"/>
        <v>0.77333624999999995</v>
      </c>
      <c r="AJ547" s="2">
        <f t="shared" si="395"/>
        <v>0.13920052499999999</v>
      </c>
      <c r="AK547" s="2">
        <f t="shared" si="408"/>
        <v>1.1672999999999999E-2</v>
      </c>
      <c r="AL547" s="2">
        <f t="shared" si="409"/>
        <v>0.35019</v>
      </c>
      <c r="AM547" s="2">
        <f t="shared" si="429"/>
        <v>2.001149775</v>
      </c>
      <c r="AN547" s="2">
        <f t="shared" si="410"/>
        <v>40</v>
      </c>
      <c r="AO547" s="2">
        <f t="shared" si="411"/>
        <v>1.4535000000000002</v>
      </c>
      <c r="AP547" s="2">
        <f t="shared" si="412"/>
        <v>3.0933449999999998</v>
      </c>
      <c r="AQ547" s="2">
        <f t="shared" si="430"/>
        <v>43.093344999999999</v>
      </c>
      <c r="AR547" s="2">
        <f t="shared" si="396"/>
        <v>7.7568020999999998</v>
      </c>
      <c r="AS547" s="2">
        <f t="shared" si="413"/>
        <v>1.1672999999999999E-2</v>
      </c>
      <c r="AT547" s="2">
        <f t="shared" si="414"/>
        <v>0.35019</v>
      </c>
      <c r="AU547" s="2">
        <f t="shared" si="431"/>
        <v>52.665510099999999</v>
      </c>
      <c r="AV547" s="2">
        <f t="shared" si="415"/>
        <v>0.58365</v>
      </c>
      <c r="AW547" s="2">
        <f t="shared" si="416"/>
        <v>0.29070000000000001</v>
      </c>
      <c r="AX547" s="2">
        <f t="shared" si="417"/>
        <v>0.12256649999999999</v>
      </c>
      <c r="AY547" s="2">
        <f t="shared" si="432"/>
        <v>0.70621650000000002</v>
      </c>
      <c r="AZ547" s="2">
        <f t="shared" si="397"/>
        <v>0.12711897</v>
      </c>
      <c r="BA547" s="2">
        <f t="shared" si="418"/>
        <v>1.1672999999999999E-2</v>
      </c>
      <c r="BB547" s="2">
        <f t="shared" si="419"/>
        <v>0.35019</v>
      </c>
      <c r="BC547" s="2">
        <f t="shared" si="433"/>
        <v>1.48589847</v>
      </c>
      <c r="BD547" s="2">
        <v>0</v>
      </c>
      <c r="BE547" s="2">
        <f t="shared" si="420"/>
        <v>5.8365</v>
      </c>
      <c r="BF547" s="2">
        <f t="shared" si="421"/>
        <v>0.18968624999999997</v>
      </c>
      <c r="BG547" s="2">
        <f t="shared" si="434"/>
        <v>0.18968624999999997</v>
      </c>
      <c r="BH547" s="2">
        <f t="shared" si="398"/>
        <v>3.4143524999999994E-2</v>
      </c>
      <c r="BI547" s="2">
        <f t="shared" si="422"/>
        <v>1.1672999999999999E-2</v>
      </c>
      <c r="BJ547" s="2">
        <f t="shared" si="423"/>
        <v>0.35019</v>
      </c>
      <c r="BK547" s="2">
        <f t="shared" si="435"/>
        <v>6.422192775000001</v>
      </c>
      <c r="BL547" s="2">
        <f t="shared" si="424"/>
        <v>2929.5</v>
      </c>
      <c r="BM547" s="2">
        <f t="shared" si="425"/>
        <v>2907</v>
      </c>
      <c r="BN547" s="2">
        <f t="shared" si="436"/>
        <v>5836.5</v>
      </c>
    </row>
    <row r="548" spans="1:66" x14ac:dyDescent="0.25">
      <c r="A548" s="42">
        <v>545</v>
      </c>
      <c r="B548" s="43">
        <v>42943</v>
      </c>
      <c r="C548" s="42" t="s">
        <v>50</v>
      </c>
      <c r="D548" s="42" t="s">
        <v>313</v>
      </c>
      <c r="E548" s="6">
        <f t="shared" si="426"/>
        <v>-0.78537082999995445</v>
      </c>
      <c r="F548" s="5" t="str">
        <f t="shared" si="437"/>
        <v>Win</v>
      </c>
      <c r="G548" s="4">
        <f t="shared" si="438"/>
        <v>0.20000000000004547</v>
      </c>
      <c r="H548" s="46">
        <v>1</v>
      </c>
      <c r="I548" s="42">
        <v>1434.8</v>
      </c>
      <c r="N548" s="5">
        <f t="shared" si="439"/>
        <v>1</v>
      </c>
      <c r="O548" s="4">
        <f t="shared" si="440"/>
        <v>1434.8</v>
      </c>
      <c r="P548" s="5">
        <f t="shared" si="399"/>
        <v>1</v>
      </c>
      <c r="Q548" s="42">
        <v>1435</v>
      </c>
      <c r="R548" s="2">
        <f t="shared" si="394"/>
        <v>0</v>
      </c>
      <c r="T548" s="2">
        <f t="shared" si="427"/>
        <v>0</v>
      </c>
      <c r="V548" s="5">
        <f t="shared" si="441"/>
        <v>1</v>
      </c>
      <c r="W548" s="4">
        <f t="shared" si="442"/>
        <v>1435</v>
      </c>
      <c r="X548" s="14">
        <f t="shared" si="400"/>
        <v>0.20000000000004547</v>
      </c>
      <c r="Y548" s="5">
        <f t="shared" si="401"/>
        <v>0.20000000000004547</v>
      </c>
      <c r="Z548" s="2">
        <f t="shared" si="402"/>
        <v>0</v>
      </c>
      <c r="AA548" s="4">
        <f t="shared" si="403"/>
        <v>0</v>
      </c>
      <c r="AB548" s="13">
        <f t="shared" si="404"/>
        <v>0.98537082999999992</v>
      </c>
      <c r="AC548" s="10">
        <f>SUM($E$4:E548)</f>
        <v>-17074.803955616706</v>
      </c>
      <c r="AD548" s="20">
        <f>SUM($AB$4:AB548)</f>
        <v>12807.574655616658</v>
      </c>
      <c r="AF548" s="28">
        <f t="shared" si="405"/>
        <v>0.28698000000000001</v>
      </c>
      <c r="AG548" s="2">
        <f t="shared" si="406"/>
        <v>0.35875000000000001</v>
      </c>
      <c r="AH548" s="2">
        <f t="shared" si="407"/>
        <v>9.3268500000000004E-2</v>
      </c>
      <c r="AI548" s="2">
        <f t="shared" si="428"/>
        <v>0.38024849999999999</v>
      </c>
      <c r="AJ548" s="2">
        <f t="shared" si="395"/>
        <v>6.8444729999999995E-2</v>
      </c>
      <c r="AK548" s="2">
        <f t="shared" si="408"/>
        <v>5.7396000000000001E-3</v>
      </c>
      <c r="AL548" s="2">
        <f t="shared" si="409"/>
        <v>0.17218800000000001</v>
      </c>
      <c r="AM548" s="2">
        <f t="shared" si="429"/>
        <v>0.98537082999999992</v>
      </c>
      <c r="AN548" s="2">
        <f t="shared" si="410"/>
        <v>40</v>
      </c>
      <c r="AO548" s="2">
        <f t="shared" si="411"/>
        <v>0.71750000000000003</v>
      </c>
      <c r="AP548" s="2">
        <f t="shared" si="412"/>
        <v>1.520994</v>
      </c>
      <c r="AQ548" s="2">
        <f t="shared" si="430"/>
        <v>41.520994000000002</v>
      </c>
      <c r="AR548" s="2">
        <f t="shared" si="396"/>
        <v>7.47377892</v>
      </c>
      <c r="AS548" s="2">
        <f t="shared" si="413"/>
        <v>5.7396000000000001E-3</v>
      </c>
      <c r="AT548" s="2">
        <f t="shared" si="414"/>
        <v>0.17218800000000001</v>
      </c>
      <c r="AU548" s="2">
        <f t="shared" si="431"/>
        <v>49.89020052</v>
      </c>
      <c r="AV548" s="2">
        <f t="shared" si="415"/>
        <v>0.28698000000000001</v>
      </c>
      <c r="AW548" s="2">
        <f t="shared" si="416"/>
        <v>0.14350000000000002</v>
      </c>
      <c r="AX548" s="2">
        <f t="shared" si="417"/>
        <v>6.0265800000000001E-2</v>
      </c>
      <c r="AY548" s="2">
        <f t="shared" si="432"/>
        <v>0.34724579999999999</v>
      </c>
      <c r="AZ548" s="2">
        <f t="shared" si="397"/>
        <v>6.2504244E-2</v>
      </c>
      <c r="BA548" s="2">
        <f t="shared" si="418"/>
        <v>5.7396000000000001E-3</v>
      </c>
      <c r="BB548" s="2">
        <f t="shared" si="419"/>
        <v>0.17218800000000001</v>
      </c>
      <c r="BC548" s="2">
        <f t="shared" si="433"/>
        <v>0.73117764399999996</v>
      </c>
      <c r="BD548" s="2">
        <v>0</v>
      </c>
      <c r="BE548" s="2">
        <f t="shared" si="420"/>
        <v>2.8698000000000001</v>
      </c>
      <c r="BF548" s="2">
        <f t="shared" si="421"/>
        <v>9.3268500000000004E-2</v>
      </c>
      <c r="BG548" s="2">
        <f t="shared" si="434"/>
        <v>9.3268500000000004E-2</v>
      </c>
      <c r="BH548" s="2">
        <f t="shared" si="398"/>
        <v>1.6788330000000001E-2</v>
      </c>
      <c r="BI548" s="2">
        <f t="shared" si="422"/>
        <v>5.7396000000000001E-3</v>
      </c>
      <c r="BJ548" s="2">
        <f t="shared" si="423"/>
        <v>0.17218800000000001</v>
      </c>
      <c r="BK548" s="2">
        <f t="shared" si="435"/>
        <v>3.1577844300000004</v>
      </c>
      <c r="BL548" s="2">
        <f t="shared" si="424"/>
        <v>1434.8</v>
      </c>
      <c r="BM548" s="2">
        <f t="shared" si="425"/>
        <v>1435</v>
      </c>
      <c r="BN548" s="2">
        <f t="shared" si="436"/>
        <v>2869.8</v>
      </c>
    </row>
    <row r="549" spans="1:66" x14ac:dyDescent="0.25">
      <c r="A549" s="42">
        <v>546</v>
      </c>
      <c r="B549" s="43">
        <v>42943</v>
      </c>
      <c r="C549" s="42" t="s">
        <v>50</v>
      </c>
      <c r="D549" s="42" t="s">
        <v>186</v>
      </c>
      <c r="E549" s="6">
        <f t="shared" si="426"/>
        <v>-14.342735549999874</v>
      </c>
      <c r="F549" s="5" t="str">
        <f t="shared" si="437"/>
        <v>Loss</v>
      </c>
      <c r="G549" s="4">
        <f t="shared" si="438"/>
        <v>-13.199999999999875</v>
      </c>
      <c r="H549" s="46">
        <v>11</v>
      </c>
      <c r="I549" s="42">
        <v>152.1</v>
      </c>
      <c r="N549" s="5">
        <f t="shared" si="439"/>
        <v>11</v>
      </c>
      <c r="O549" s="4">
        <f t="shared" si="440"/>
        <v>152.1</v>
      </c>
      <c r="P549" s="5">
        <f t="shared" si="399"/>
        <v>11</v>
      </c>
      <c r="Q549" s="42">
        <v>150.9</v>
      </c>
      <c r="R549" s="2">
        <f t="shared" si="394"/>
        <v>0</v>
      </c>
      <c r="T549" s="2">
        <f t="shared" si="427"/>
        <v>0</v>
      </c>
      <c r="V549" s="5">
        <f t="shared" si="441"/>
        <v>11</v>
      </c>
      <c r="W549" s="4">
        <f t="shared" si="442"/>
        <v>150.9</v>
      </c>
      <c r="X549" s="14">
        <f t="shared" si="400"/>
        <v>-1.1999999999999886</v>
      </c>
      <c r="Y549" s="5">
        <f t="shared" si="401"/>
        <v>-13.199999999999875</v>
      </c>
      <c r="Z549" s="2">
        <f t="shared" si="402"/>
        <v>0</v>
      </c>
      <c r="AA549" s="4">
        <f t="shared" si="403"/>
        <v>0</v>
      </c>
      <c r="AB549" s="13">
        <f t="shared" si="404"/>
        <v>1.14273555</v>
      </c>
      <c r="AC549" s="10">
        <f>SUM($E$4:E549)</f>
        <v>-17089.146691166705</v>
      </c>
      <c r="AD549" s="20">
        <f>SUM($AB$4:AB549)</f>
        <v>12808.717391166658</v>
      </c>
      <c r="AF549" s="28">
        <f t="shared" si="405"/>
        <v>0.33330000000000004</v>
      </c>
      <c r="AG549" s="2">
        <f t="shared" si="406"/>
        <v>0.41497499999999998</v>
      </c>
      <c r="AH549" s="2">
        <f t="shared" si="407"/>
        <v>0.10832249999999999</v>
      </c>
      <c r="AI549" s="2">
        <f t="shared" si="428"/>
        <v>0.44162250000000003</v>
      </c>
      <c r="AJ549" s="2">
        <f t="shared" si="395"/>
        <v>7.9492050000000009E-2</v>
      </c>
      <c r="AK549" s="2">
        <f t="shared" si="408"/>
        <v>6.6660000000000001E-3</v>
      </c>
      <c r="AL549" s="2">
        <f t="shared" si="409"/>
        <v>0.19998000000000002</v>
      </c>
      <c r="AM549" s="2">
        <f t="shared" si="429"/>
        <v>1.14273555</v>
      </c>
      <c r="AN549" s="2">
        <f t="shared" si="410"/>
        <v>40</v>
      </c>
      <c r="AO549" s="2">
        <f t="shared" si="411"/>
        <v>0.82994999999999997</v>
      </c>
      <c r="AP549" s="2">
        <f t="shared" si="412"/>
        <v>1.7664899999999999</v>
      </c>
      <c r="AQ549" s="2">
        <f t="shared" si="430"/>
        <v>41.766489999999997</v>
      </c>
      <c r="AR549" s="2">
        <f t="shared" si="396"/>
        <v>7.5179681999999994</v>
      </c>
      <c r="AS549" s="2">
        <f t="shared" si="413"/>
        <v>6.6660000000000001E-3</v>
      </c>
      <c r="AT549" s="2">
        <f t="shared" si="414"/>
        <v>0.19998000000000002</v>
      </c>
      <c r="AU549" s="2">
        <f t="shared" si="431"/>
        <v>50.321054199999992</v>
      </c>
      <c r="AV549" s="2">
        <f t="shared" si="415"/>
        <v>0.33330000000000004</v>
      </c>
      <c r="AW549" s="2">
        <f t="shared" si="416"/>
        <v>0.16599000000000003</v>
      </c>
      <c r="AX549" s="2">
        <f t="shared" si="417"/>
        <v>6.9993E-2</v>
      </c>
      <c r="AY549" s="2">
        <f t="shared" si="432"/>
        <v>0.40329300000000001</v>
      </c>
      <c r="AZ549" s="2">
        <f t="shared" si="397"/>
        <v>7.2592740000000003E-2</v>
      </c>
      <c r="BA549" s="2">
        <f t="shared" si="418"/>
        <v>6.6660000000000001E-3</v>
      </c>
      <c r="BB549" s="2">
        <f t="shared" si="419"/>
        <v>0.19998000000000002</v>
      </c>
      <c r="BC549" s="2">
        <f t="shared" si="433"/>
        <v>0.84852174000000014</v>
      </c>
      <c r="BD549" s="2">
        <v>0</v>
      </c>
      <c r="BE549" s="2">
        <f t="shared" si="420"/>
        <v>3.3330000000000002</v>
      </c>
      <c r="BF549" s="2">
        <f t="shared" si="421"/>
        <v>0.10832249999999999</v>
      </c>
      <c r="BG549" s="2">
        <f t="shared" si="434"/>
        <v>0.10832249999999999</v>
      </c>
      <c r="BH549" s="2">
        <f t="shared" si="398"/>
        <v>1.9498049999999996E-2</v>
      </c>
      <c r="BI549" s="2">
        <f t="shared" si="422"/>
        <v>6.6660000000000001E-3</v>
      </c>
      <c r="BJ549" s="2">
        <f t="shared" si="423"/>
        <v>0.19998000000000002</v>
      </c>
      <c r="BK549" s="2">
        <f t="shared" si="435"/>
        <v>3.6674665500000003</v>
      </c>
      <c r="BL549" s="2">
        <f t="shared" si="424"/>
        <v>1673.1</v>
      </c>
      <c r="BM549" s="2">
        <f t="shared" si="425"/>
        <v>1659.9</v>
      </c>
      <c r="BN549" s="2">
        <f t="shared" si="436"/>
        <v>3333</v>
      </c>
    </row>
    <row r="550" spans="1:66" x14ac:dyDescent="0.25">
      <c r="A550" s="42">
        <v>547</v>
      </c>
      <c r="B550" s="43">
        <v>42943</v>
      </c>
      <c r="C550" s="42" t="s">
        <v>50</v>
      </c>
      <c r="D550" s="42" t="s">
        <v>252</v>
      </c>
      <c r="E550" s="6">
        <f t="shared" si="426"/>
        <v>-15.924597502500136</v>
      </c>
      <c r="F550" s="5" t="str">
        <f t="shared" si="437"/>
        <v>Loss</v>
      </c>
      <c r="G550" s="4">
        <f t="shared" si="438"/>
        <v>-14.850000000000136</v>
      </c>
      <c r="H550" s="46">
        <v>3</v>
      </c>
      <c r="I550" s="42">
        <v>525</v>
      </c>
      <c r="N550" s="5">
        <f t="shared" si="439"/>
        <v>3</v>
      </c>
      <c r="O550" s="4">
        <f t="shared" si="440"/>
        <v>525</v>
      </c>
      <c r="P550" s="5">
        <f t="shared" si="399"/>
        <v>3</v>
      </c>
      <c r="Q550" s="42">
        <v>520.04999999999995</v>
      </c>
      <c r="R550" s="2">
        <f t="shared" si="394"/>
        <v>0</v>
      </c>
      <c r="T550" s="2">
        <f t="shared" si="427"/>
        <v>0</v>
      </c>
      <c r="V550" s="5">
        <f t="shared" si="441"/>
        <v>3</v>
      </c>
      <c r="W550" s="4">
        <f t="shared" si="442"/>
        <v>520.04999999999995</v>
      </c>
      <c r="X550" s="14">
        <f t="shared" si="400"/>
        <v>-4.9500000000000455</v>
      </c>
      <c r="Y550" s="5">
        <f t="shared" si="401"/>
        <v>-14.850000000000136</v>
      </c>
      <c r="Z550" s="2">
        <f t="shared" si="402"/>
        <v>0</v>
      </c>
      <c r="AA550" s="4">
        <f t="shared" si="403"/>
        <v>0</v>
      </c>
      <c r="AB550" s="13">
        <f t="shared" si="404"/>
        <v>1.0745975025000001</v>
      </c>
      <c r="AC550" s="10">
        <f>SUM($E$4:E550)</f>
        <v>-17105.071288669205</v>
      </c>
      <c r="AD550" s="20">
        <f>SUM($AB$4:AB550)</f>
        <v>12809.791988669158</v>
      </c>
      <c r="AF550" s="28">
        <f t="shared" si="405"/>
        <v>0.31351499999999999</v>
      </c>
      <c r="AG550" s="2">
        <f t="shared" si="406"/>
        <v>0.39003749999999998</v>
      </c>
      <c r="AH550" s="2">
        <f t="shared" si="407"/>
        <v>0.10189237499999998</v>
      </c>
      <c r="AI550" s="2">
        <f t="shared" si="428"/>
        <v>0.41540737499999997</v>
      </c>
      <c r="AJ550" s="2">
        <f t="shared" si="395"/>
        <v>7.4773327499999986E-2</v>
      </c>
      <c r="AK550" s="2">
        <f t="shared" si="408"/>
        <v>6.2702999999999986E-3</v>
      </c>
      <c r="AL550" s="2">
        <f t="shared" si="409"/>
        <v>0.18810899999999997</v>
      </c>
      <c r="AM550" s="2">
        <f t="shared" si="429"/>
        <v>1.0745975025000001</v>
      </c>
      <c r="AN550" s="2">
        <f t="shared" si="410"/>
        <v>40</v>
      </c>
      <c r="AO550" s="2">
        <f t="shared" si="411"/>
        <v>0.78007499999999996</v>
      </c>
      <c r="AP550" s="2">
        <f t="shared" si="412"/>
        <v>1.6616294999999996</v>
      </c>
      <c r="AQ550" s="2">
        <f t="shared" si="430"/>
        <v>41.661629499999997</v>
      </c>
      <c r="AR550" s="2">
        <f t="shared" si="396"/>
        <v>7.4990933099999992</v>
      </c>
      <c r="AS550" s="2">
        <f t="shared" si="413"/>
        <v>6.2702999999999986E-3</v>
      </c>
      <c r="AT550" s="2">
        <f t="shared" si="414"/>
        <v>0.18810899999999997</v>
      </c>
      <c r="AU550" s="2">
        <f t="shared" si="431"/>
        <v>50.135177109999987</v>
      </c>
      <c r="AV550" s="2">
        <f t="shared" si="415"/>
        <v>0.31351499999999999</v>
      </c>
      <c r="AW550" s="2">
        <f t="shared" si="416"/>
        <v>0.15601499999999999</v>
      </c>
      <c r="AX550" s="2">
        <f t="shared" si="417"/>
        <v>6.5838149999999984E-2</v>
      </c>
      <c r="AY550" s="2">
        <f t="shared" si="432"/>
        <v>0.37935314999999997</v>
      </c>
      <c r="AZ550" s="2">
        <f t="shared" si="397"/>
        <v>6.8283566999999989E-2</v>
      </c>
      <c r="BA550" s="2">
        <f t="shared" si="418"/>
        <v>6.2702999999999986E-3</v>
      </c>
      <c r="BB550" s="2">
        <f t="shared" si="419"/>
        <v>0.18810899999999997</v>
      </c>
      <c r="BC550" s="2">
        <f t="shared" si="433"/>
        <v>0.7980310169999999</v>
      </c>
      <c r="BD550" s="2">
        <v>0</v>
      </c>
      <c r="BE550" s="2">
        <f t="shared" si="420"/>
        <v>3.1351499999999999</v>
      </c>
      <c r="BF550" s="2">
        <f t="shared" si="421"/>
        <v>0.10189237499999998</v>
      </c>
      <c r="BG550" s="2">
        <f t="shared" si="434"/>
        <v>0.10189237499999998</v>
      </c>
      <c r="BH550" s="2">
        <f t="shared" si="398"/>
        <v>1.8340627499999995E-2</v>
      </c>
      <c r="BI550" s="2">
        <f t="shared" si="422"/>
        <v>6.2702999999999986E-3</v>
      </c>
      <c r="BJ550" s="2">
        <f t="shared" si="423"/>
        <v>0.18810899999999997</v>
      </c>
      <c r="BK550" s="2">
        <f t="shared" si="435"/>
        <v>3.4497623024999999</v>
      </c>
      <c r="BL550" s="2">
        <f t="shared" si="424"/>
        <v>1575</v>
      </c>
      <c r="BM550" s="2">
        <f t="shared" si="425"/>
        <v>1560.1499999999999</v>
      </c>
      <c r="BN550" s="2">
        <f t="shared" si="436"/>
        <v>3135.1499999999996</v>
      </c>
    </row>
    <row r="551" spans="1:66" x14ac:dyDescent="0.25">
      <c r="A551" s="42">
        <v>548</v>
      </c>
      <c r="B551" s="43">
        <v>42943</v>
      </c>
      <c r="C551" s="42" t="s">
        <v>50</v>
      </c>
      <c r="D551" s="42" t="s">
        <v>198</v>
      </c>
      <c r="E551" s="6">
        <f t="shared" si="426"/>
        <v>-38.991651699999998</v>
      </c>
      <c r="F551" s="5" t="str">
        <f t="shared" si="437"/>
        <v>Loss</v>
      </c>
      <c r="G551" s="4">
        <f t="shared" si="438"/>
        <v>-38</v>
      </c>
      <c r="H551" s="46">
        <v>4</v>
      </c>
      <c r="I551" s="42">
        <v>367.5</v>
      </c>
      <c r="N551" s="5">
        <f t="shared" si="439"/>
        <v>4</v>
      </c>
      <c r="O551" s="4">
        <f t="shared" si="440"/>
        <v>367.5</v>
      </c>
      <c r="P551" s="5">
        <f t="shared" si="399"/>
        <v>4</v>
      </c>
      <c r="Q551" s="42">
        <v>358</v>
      </c>
      <c r="R551" s="2">
        <f t="shared" si="394"/>
        <v>0</v>
      </c>
      <c r="T551" s="2">
        <f t="shared" si="427"/>
        <v>0</v>
      </c>
      <c r="V551" s="5">
        <f t="shared" si="441"/>
        <v>4</v>
      </c>
      <c r="W551" s="4">
        <f t="shared" si="442"/>
        <v>358</v>
      </c>
      <c r="X551" s="14">
        <f t="shared" si="400"/>
        <v>-9.5</v>
      </c>
      <c r="Y551" s="5">
        <f t="shared" si="401"/>
        <v>-38</v>
      </c>
      <c r="Z551" s="2">
        <f t="shared" si="402"/>
        <v>0</v>
      </c>
      <c r="AA551" s="4">
        <f t="shared" si="403"/>
        <v>0</v>
      </c>
      <c r="AB551" s="13">
        <f t="shared" si="404"/>
        <v>0.99165170000000002</v>
      </c>
      <c r="AC551" s="10">
        <f>SUM($E$4:E551)</f>
        <v>-17144.062940369204</v>
      </c>
      <c r="AD551" s="20">
        <f>SUM($AB$4:AB551)</f>
        <v>12810.783640369158</v>
      </c>
      <c r="AF551" s="28">
        <f t="shared" si="405"/>
        <v>0.29020000000000001</v>
      </c>
      <c r="AG551" s="2">
        <f t="shared" si="406"/>
        <v>0.35799999999999998</v>
      </c>
      <c r="AH551" s="2">
        <f t="shared" si="407"/>
        <v>9.4314999999999996E-2</v>
      </c>
      <c r="AI551" s="2">
        <f t="shared" si="428"/>
        <v>0.384515</v>
      </c>
      <c r="AJ551" s="2">
        <f t="shared" si="395"/>
        <v>6.9212700000000002E-2</v>
      </c>
      <c r="AK551" s="2">
        <f t="shared" si="408"/>
        <v>5.8040000000000001E-3</v>
      </c>
      <c r="AL551" s="2">
        <f t="shared" si="409"/>
        <v>0.17412</v>
      </c>
      <c r="AM551" s="2">
        <f t="shared" si="429"/>
        <v>0.99165170000000002</v>
      </c>
      <c r="AN551" s="2">
        <f t="shared" si="410"/>
        <v>40</v>
      </c>
      <c r="AO551" s="2">
        <f t="shared" si="411"/>
        <v>0.71599999999999997</v>
      </c>
      <c r="AP551" s="2">
        <f t="shared" si="412"/>
        <v>1.53806</v>
      </c>
      <c r="AQ551" s="2">
        <f t="shared" si="430"/>
        <v>41.538060000000002</v>
      </c>
      <c r="AR551" s="2">
        <f t="shared" si="396"/>
        <v>7.4768508000000002</v>
      </c>
      <c r="AS551" s="2">
        <f t="shared" si="413"/>
        <v>5.8040000000000001E-3</v>
      </c>
      <c r="AT551" s="2">
        <f t="shared" si="414"/>
        <v>0.17412</v>
      </c>
      <c r="AU551" s="2">
        <f t="shared" si="431"/>
        <v>49.910834800000003</v>
      </c>
      <c r="AV551" s="2">
        <f t="shared" si="415"/>
        <v>0.29020000000000001</v>
      </c>
      <c r="AW551" s="2">
        <f t="shared" si="416"/>
        <v>0.14319999999999999</v>
      </c>
      <c r="AX551" s="2">
        <f t="shared" si="417"/>
        <v>6.0941999999999996E-2</v>
      </c>
      <c r="AY551" s="2">
        <f t="shared" si="432"/>
        <v>0.35114200000000001</v>
      </c>
      <c r="AZ551" s="2">
        <f t="shared" si="397"/>
        <v>6.3205559999999994E-2</v>
      </c>
      <c r="BA551" s="2">
        <f t="shared" si="418"/>
        <v>5.8040000000000001E-3</v>
      </c>
      <c r="BB551" s="2">
        <f t="shared" si="419"/>
        <v>0.17412</v>
      </c>
      <c r="BC551" s="2">
        <f t="shared" si="433"/>
        <v>0.73747155999999991</v>
      </c>
      <c r="BD551" s="2">
        <v>0</v>
      </c>
      <c r="BE551" s="2">
        <f t="shared" si="420"/>
        <v>2.9020000000000001</v>
      </c>
      <c r="BF551" s="2">
        <f t="shared" si="421"/>
        <v>9.4314999999999996E-2</v>
      </c>
      <c r="BG551" s="2">
        <f t="shared" si="434"/>
        <v>9.4314999999999996E-2</v>
      </c>
      <c r="BH551" s="2">
        <f t="shared" si="398"/>
        <v>1.6976699999999997E-2</v>
      </c>
      <c r="BI551" s="2">
        <f t="shared" si="422"/>
        <v>5.8040000000000001E-3</v>
      </c>
      <c r="BJ551" s="2">
        <f t="shared" si="423"/>
        <v>0.17412</v>
      </c>
      <c r="BK551" s="2">
        <f t="shared" si="435"/>
        <v>3.1932156999999997</v>
      </c>
      <c r="BL551" s="2">
        <f t="shared" si="424"/>
        <v>1470</v>
      </c>
      <c r="BM551" s="2">
        <f t="shared" si="425"/>
        <v>1432</v>
      </c>
      <c r="BN551" s="2">
        <f t="shared" si="436"/>
        <v>2902</v>
      </c>
    </row>
    <row r="552" spans="1:66" x14ac:dyDescent="0.25">
      <c r="A552" s="42">
        <v>549</v>
      </c>
      <c r="B552" s="43">
        <v>42943</v>
      </c>
      <c r="C552" s="42" t="s">
        <v>50</v>
      </c>
      <c r="D552" s="42" t="s">
        <v>254</v>
      </c>
      <c r="E552" s="6">
        <f t="shared" si="426"/>
        <v>12.174694269999863</v>
      </c>
      <c r="F552" s="5" t="str">
        <f t="shared" si="437"/>
        <v>Win</v>
      </c>
      <c r="G552" s="4">
        <f t="shared" si="438"/>
        <v>13.399999999999864</v>
      </c>
      <c r="H552" s="46">
        <v>1</v>
      </c>
      <c r="I552" s="42">
        <v>1775.2</v>
      </c>
      <c r="N552" s="5">
        <f t="shared" si="439"/>
        <v>1</v>
      </c>
      <c r="O552" s="4">
        <f t="shared" si="440"/>
        <v>1775.2</v>
      </c>
      <c r="P552" s="5">
        <f t="shared" si="399"/>
        <v>1</v>
      </c>
      <c r="Q552" s="42">
        <v>1788.6</v>
      </c>
      <c r="R552" s="2">
        <f t="shared" ref="R552:R615" si="443">J552</f>
        <v>0</v>
      </c>
      <c r="T552" s="2">
        <f t="shared" si="427"/>
        <v>0</v>
      </c>
      <c r="V552" s="5">
        <f t="shared" si="441"/>
        <v>1</v>
      </c>
      <c r="W552" s="4">
        <f t="shared" si="442"/>
        <v>1788.6</v>
      </c>
      <c r="X552" s="14">
        <f t="shared" si="400"/>
        <v>13.399999999999864</v>
      </c>
      <c r="Y552" s="5">
        <f t="shared" si="401"/>
        <v>13.399999999999864</v>
      </c>
      <c r="Z552" s="2">
        <f t="shared" si="402"/>
        <v>0</v>
      </c>
      <c r="AA552" s="4">
        <f t="shared" si="403"/>
        <v>0</v>
      </c>
      <c r="AB552" s="13">
        <f t="shared" si="404"/>
        <v>1.2253057300000001</v>
      </c>
      <c r="AC552" s="10">
        <f>SUM($E$4:E552)</f>
        <v>-17131.888246099203</v>
      </c>
      <c r="AD552" s="20">
        <f>SUM($AB$4:AB552)</f>
        <v>12812.008946099158</v>
      </c>
      <c r="AF552" s="28">
        <f t="shared" si="405"/>
        <v>0.35638000000000003</v>
      </c>
      <c r="AG552" s="2">
        <f t="shared" si="406"/>
        <v>0.44714999999999999</v>
      </c>
      <c r="AH552" s="2">
        <f t="shared" si="407"/>
        <v>0.1158235</v>
      </c>
      <c r="AI552" s="2">
        <f t="shared" si="428"/>
        <v>0.4722035</v>
      </c>
      <c r="AJ552" s="2">
        <f t="shared" si="395"/>
        <v>8.499662999999999E-2</v>
      </c>
      <c r="AK552" s="2">
        <f t="shared" si="408"/>
        <v>7.1275999999999996E-3</v>
      </c>
      <c r="AL552" s="2">
        <f t="shared" si="409"/>
        <v>0.21382800000000002</v>
      </c>
      <c r="AM552" s="2">
        <f t="shared" si="429"/>
        <v>1.2253057300000001</v>
      </c>
      <c r="AN552" s="2">
        <f t="shared" si="410"/>
        <v>40</v>
      </c>
      <c r="AO552" s="2">
        <f t="shared" si="411"/>
        <v>0.89429999999999998</v>
      </c>
      <c r="AP552" s="2">
        <f t="shared" si="412"/>
        <v>1.888814</v>
      </c>
      <c r="AQ552" s="2">
        <f t="shared" si="430"/>
        <v>41.888813999999996</v>
      </c>
      <c r="AR552" s="2">
        <f t="shared" si="396"/>
        <v>7.5399865199999994</v>
      </c>
      <c r="AS552" s="2">
        <f t="shared" si="413"/>
        <v>7.1275999999999996E-3</v>
      </c>
      <c r="AT552" s="2">
        <f t="shared" si="414"/>
        <v>0.21382800000000002</v>
      </c>
      <c r="AU552" s="2">
        <f t="shared" si="431"/>
        <v>50.544056119999993</v>
      </c>
      <c r="AV552" s="2">
        <f t="shared" si="415"/>
        <v>0.35638000000000003</v>
      </c>
      <c r="AW552" s="2">
        <f t="shared" si="416"/>
        <v>0.17885999999999999</v>
      </c>
      <c r="AX552" s="2">
        <f t="shared" si="417"/>
        <v>7.4839799999999998E-2</v>
      </c>
      <c r="AY552" s="2">
        <f t="shared" si="432"/>
        <v>0.43121980000000004</v>
      </c>
      <c r="AZ552" s="2">
        <f t="shared" si="397"/>
        <v>7.7619564000000002E-2</v>
      </c>
      <c r="BA552" s="2">
        <f t="shared" si="418"/>
        <v>7.1275999999999996E-3</v>
      </c>
      <c r="BB552" s="2">
        <f t="shared" si="419"/>
        <v>0.21382800000000002</v>
      </c>
      <c r="BC552" s="2">
        <f t="shared" si="433"/>
        <v>0.90865496400000012</v>
      </c>
      <c r="BD552" s="2">
        <v>0</v>
      </c>
      <c r="BE552" s="2">
        <f t="shared" si="420"/>
        <v>3.5638000000000001</v>
      </c>
      <c r="BF552" s="2">
        <f t="shared" si="421"/>
        <v>0.1158235</v>
      </c>
      <c r="BG552" s="2">
        <f t="shared" si="434"/>
        <v>0.1158235</v>
      </c>
      <c r="BH552" s="2">
        <f t="shared" si="398"/>
        <v>2.0848229999999999E-2</v>
      </c>
      <c r="BI552" s="2">
        <f t="shared" si="422"/>
        <v>7.1275999999999996E-3</v>
      </c>
      <c r="BJ552" s="2">
        <f t="shared" si="423"/>
        <v>0.21382800000000002</v>
      </c>
      <c r="BK552" s="2">
        <f t="shared" si="435"/>
        <v>3.9214273299999998</v>
      </c>
      <c r="BL552" s="2">
        <f t="shared" si="424"/>
        <v>1775.2</v>
      </c>
      <c r="BM552" s="2">
        <f t="shared" si="425"/>
        <v>1788.6</v>
      </c>
      <c r="BN552" s="2">
        <f t="shared" si="436"/>
        <v>3563.8</v>
      </c>
    </row>
    <row r="553" spans="1:66" x14ac:dyDescent="0.25">
      <c r="A553" s="42">
        <v>550</v>
      </c>
      <c r="B553" s="43">
        <v>42944</v>
      </c>
      <c r="C553" s="42" t="s">
        <v>50</v>
      </c>
      <c r="D553" s="42" t="s">
        <v>254</v>
      </c>
      <c r="E553" s="6">
        <f t="shared" si="426"/>
        <v>191.241590745</v>
      </c>
      <c r="F553" s="5" t="str">
        <f t="shared" si="437"/>
        <v>Win</v>
      </c>
      <c r="G553" s="4">
        <f t="shared" si="438"/>
        <v>195</v>
      </c>
      <c r="H553" s="46">
        <v>3</v>
      </c>
      <c r="I553" s="42">
        <v>1780.05</v>
      </c>
      <c r="N553" s="5">
        <f t="shared" si="439"/>
        <v>3</v>
      </c>
      <c r="O553" s="4">
        <f t="shared" si="440"/>
        <v>1780.05</v>
      </c>
      <c r="P553" s="5">
        <f t="shared" si="399"/>
        <v>3</v>
      </c>
      <c r="Q553" s="42">
        <v>1845.05</v>
      </c>
      <c r="R553" s="2">
        <f t="shared" si="443"/>
        <v>0</v>
      </c>
      <c r="T553" s="2">
        <f t="shared" si="427"/>
        <v>0</v>
      </c>
      <c r="V553" s="5">
        <f t="shared" si="441"/>
        <v>3</v>
      </c>
      <c r="W553" s="4">
        <f t="shared" si="442"/>
        <v>1845.05</v>
      </c>
      <c r="X553" s="14">
        <f t="shared" si="400"/>
        <v>65</v>
      </c>
      <c r="Y553" s="5">
        <f t="shared" si="401"/>
        <v>195</v>
      </c>
      <c r="Z553" s="2">
        <f t="shared" si="402"/>
        <v>0</v>
      </c>
      <c r="AA553" s="4">
        <f t="shared" si="403"/>
        <v>0</v>
      </c>
      <c r="AB553" s="13">
        <f t="shared" si="404"/>
        <v>3.7584092549999992</v>
      </c>
      <c r="AC553" s="10">
        <f>SUM($E$4:E553)</f>
        <v>-16940.646655354201</v>
      </c>
      <c r="AD553" s="20">
        <f>SUM($AB$4:AB553)</f>
        <v>12815.767355354159</v>
      </c>
      <c r="AF553" s="28">
        <f t="shared" si="405"/>
        <v>1.0875299999999999</v>
      </c>
      <c r="AG553" s="2">
        <f t="shared" si="406"/>
        <v>1.3837874999999999</v>
      </c>
      <c r="AH553" s="2">
        <f t="shared" si="407"/>
        <v>0.35344724999999994</v>
      </c>
      <c r="AI553" s="2">
        <f t="shared" si="428"/>
        <v>1.4409772499999998</v>
      </c>
      <c r="AJ553" s="2">
        <f t="shared" si="395"/>
        <v>0.25937590499999996</v>
      </c>
      <c r="AK553" s="2">
        <f t="shared" si="408"/>
        <v>2.1750599999999998E-2</v>
      </c>
      <c r="AL553" s="2">
        <f t="shared" si="409"/>
        <v>0.65251799999999993</v>
      </c>
      <c r="AM553" s="2">
        <f t="shared" si="429"/>
        <v>3.7584092549999992</v>
      </c>
      <c r="AN553" s="2">
        <f t="shared" si="410"/>
        <v>40</v>
      </c>
      <c r="AO553" s="2">
        <f t="shared" si="411"/>
        <v>2.7675749999999999</v>
      </c>
      <c r="AP553" s="2">
        <f t="shared" si="412"/>
        <v>5.7639089999999991</v>
      </c>
      <c r="AQ553" s="2">
        <f t="shared" si="430"/>
        <v>45.763908999999998</v>
      </c>
      <c r="AR553" s="2">
        <f t="shared" si="396"/>
        <v>8.23750362</v>
      </c>
      <c r="AS553" s="2">
        <f t="shared" si="413"/>
        <v>2.1750599999999998E-2</v>
      </c>
      <c r="AT553" s="2">
        <f t="shared" si="414"/>
        <v>0.65251799999999993</v>
      </c>
      <c r="AU553" s="2">
        <f t="shared" si="431"/>
        <v>57.443256219999995</v>
      </c>
      <c r="AV553" s="2">
        <f t="shared" si="415"/>
        <v>1.0875299999999999</v>
      </c>
      <c r="AW553" s="2">
        <f t="shared" si="416"/>
        <v>0.55351500000000009</v>
      </c>
      <c r="AX553" s="2">
        <f t="shared" si="417"/>
        <v>0.22838129999999998</v>
      </c>
      <c r="AY553" s="2">
        <f t="shared" si="432"/>
        <v>1.3159112999999998</v>
      </c>
      <c r="AZ553" s="2">
        <f t="shared" si="397"/>
        <v>0.23686403399999995</v>
      </c>
      <c r="BA553" s="2">
        <f t="shared" si="418"/>
        <v>2.1750599999999998E-2</v>
      </c>
      <c r="BB553" s="2">
        <f t="shared" si="419"/>
        <v>0.65251799999999993</v>
      </c>
      <c r="BC553" s="2">
        <f t="shared" si="433"/>
        <v>2.7805589340000001</v>
      </c>
      <c r="BD553" s="2">
        <v>0</v>
      </c>
      <c r="BE553" s="2">
        <f t="shared" si="420"/>
        <v>10.875299999999999</v>
      </c>
      <c r="BF553" s="2">
        <f t="shared" si="421"/>
        <v>0.35344724999999994</v>
      </c>
      <c r="BG553" s="2">
        <f t="shared" si="434"/>
        <v>0.35344724999999994</v>
      </c>
      <c r="BH553" s="2">
        <f t="shared" si="398"/>
        <v>6.362050499999998E-2</v>
      </c>
      <c r="BI553" s="2">
        <f t="shared" si="422"/>
        <v>2.1750599999999998E-2</v>
      </c>
      <c r="BJ553" s="2">
        <f t="shared" si="423"/>
        <v>0.65251799999999993</v>
      </c>
      <c r="BK553" s="2">
        <f t="shared" si="435"/>
        <v>11.966636355</v>
      </c>
      <c r="BL553" s="2">
        <f t="shared" si="424"/>
        <v>5340.15</v>
      </c>
      <c r="BM553" s="2">
        <f t="shared" si="425"/>
        <v>5535.15</v>
      </c>
      <c r="BN553" s="2">
        <f t="shared" si="436"/>
        <v>10875.3</v>
      </c>
    </row>
    <row r="554" spans="1:66" x14ac:dyDescent="0.25">
      <c r="A554" s="42">
        <v>551</v>
      </c>
      <c r="B554" s="43">
        <v>42947</v>
      </c>
      <c r="C554" s="42" t="s">
        <v>50</v>
      </c>
      <c r="D554" s="42" t="s">
        <v>185</v>
      </c>
      <c r="E554" s="6">
        <f t="shared" si="426"/>
        <v>-82.213876732499585</v>
      </c>
      <c r="F554" s="5" t="str">
        <f t="shared" si="437"/>
        <v>Loss</v>
      </c>
      <c r="G554" s="4">
        <f t="shared" si="438"/>
        <v>-76.949999999999591</v>
      </c>
      <c r="H554" s="46">
        <v>9</v>
      </c>
      <c r="I554" s="42">
        <v>857.55</v>
      </c>
      <c r="N554" s="5">
        <f t="shared" si="439"/>
        <v>9</v>
      </c>
      <c r="O554" s="4">
        <f t="shared" si="440"/>
        <v>857.55</v>
      </c>
      <c r="P554" s="5">
        <f t="shared" si="399"/>
        <v>9</v>
      </c>
      <c r="Q554" s="42">
        <v>849</v>
      </c>
      <c r="R554" s="2">
        <f t="shared" si="443"/>
        <v>0</v>
      </c>
      <c r="T554" s="2">
        <f t="shared" si="427"/>
        <v>0</v>
      </c>
      <c r="V554" s="5">
        <f t="shared" si="441"/>
        <v>9</v>
      </c>
      <c r="W554" s="4">
        <f t="shared" si="442"/>
        <v>849</v>
      </c>
      <c r="X554" s="14">
        <f t="shared" si="400"/>
        <v>-8.5499999999999545</v>
      </c>
      <c r="Y554" s="5">
        <f t="shared" si="401"/>
        <v>-76.949999999999591</v>
      </c>
      <c r="Z554" s="2">
        <f t="shared" si="402"/>
        <v>0</v>
      </c>
      <c r="AA554" s="4">
        <f t="shared" si="403"/>
        <v>0</v>
      </c>
      <c r="AB554" s="13">
        <f t="shared" si="404"/>
        <v>5.2638767325</v>
      </c>
      <c r="AC554" s="10">
        <f>SUM($E$4:E554)</f>
        <v>-17022.860532086703</v>
      </c>
      <c r="AD554" s="20">
        <f>SUM($AB$4:AB554)</f>
        <v>12821.03123208666</v>
      </c>
      <c r="AF554" s="28">
        <f t="shared" si="405"/>
        <v>1.5358950000000002</v>
      </c>
      <c r="AG554" s="2">
        <f t="shared" si="406"/>
        <v>1.9102500000000002</v>
      </c>
      <c r="AH554" s="2">
        <f t="shared" si="407"/>
        <v>0.49916587499999998</v>
      </c>
      <c r="AI554" s="2">
        <f t="shared" si="428"/>
        <v>2.0350608750000001</v>
      </c>
      <c r="AJ554" s="2">
        <f t="shared" si="395"/>
        <v>0.36631095749999998</v>
      </c>
      <c r="AK554" s="2">
        <f t="shared" si="408"/>
        <v>3.0717899999999999E-2</v>
      </c>
      <c r="AL554" s="2">
        <f t="shared" si="409"/>
        <v>0.92153700000000005</v>
      </c>
      <c r="AM554" s="2">
        <f t="shared" si="429"/>
        <v>5.2638767325</v>
      </c>
      <c r="AN554" s="2">
        <f t="shared" si="410"/>
        <v>40</v>
      </c>
      <c r="AO554" s="2">
        <f t="shared" si="411"/>
        <v>3.8205000000000005</v>
      </c>
      <c r="AP554" s="2">
        <f t="shared" si="412"/>
        <v>8.1402435000000004</v>
      </c>
      <c r="AQ554" s="2">
        <f t="shared" si="430"/>
        <v>48.140243499999997</v>
      </c>
      <c r="AR554" s="2">
        <f t="shared" si="396"/>
        <v>8.6652438299999996</v>
      </c>
      <c r="AS554" s="2">
        <f t="shared" si="413"/>
        <v>3.0717899999999999E-2</v>
      </c>
      <c r="AT554" s="2">
        <f t="shared" si="414"/>
        <v>0.92153700000000005</v>
      </c>
      <c r="AU554" s="2">
        <f t="shared" si="431"/>
        <v>61.578242230000008</v>
      </c>
      <c r="AV554" s="2">
        <f t="shared" si="415"/>
        <v>1.5358950000000002</v>
      </c>
      <c r="AW554" s="2">
        <f t="shared" si="416"/>
        <v>0.76410000000000011</v>
      </c>
      <c r="AX554" s="2">
        <f t="shared" si="417"/>
        <v>0.32253795000000002</v>
      </c>
      <c r="AY554" s="2">
        <f t="shared" si="432"/>
        <v>1.8584329500000003</v>
      </c>
      <c r="AZ554" s="2">
        <f t="shared" si="397"/>
        <v>0.33451793100000005</v>
      </c>
      <c r="BA554" s="2">
        <f t="shared" si="418"/>
        <v>3.0717899999999999E-2</v>
      </c>
      <c r="BB554" s="2">
        <f t="shared" si="419"/>
        <v>0.92153700000000005</v>
      </c>
      <c r="BC554" s="2">
        <f t="shared" si="433"/>
        <v>3.9093057810000005</v>
      </c>
      <c r="BD554" s="2">
        <v>0</v>
      </c>
      <c r="BE554" s="2">
        <f t="shared" si="420"/>
        <v>15.358950000000002</v>
      </c>
      <c r="BF554" s="2">
        <f t="shared" si="421"/>
        <v>0.49916587499999998</v>
      </c>
      <c r="BG554" s="2">
        <f t="shared" si="434"/>
        <v>0.49916587499999998</v>
      </c>
      <c r="BH554" s="2">
        <f t="shared" si="398"/>
        <v>8.9849857499999991E-2</v>
      </c>
      <c r="BI554" s="2">
        <f t="shared" si="422"/>
        <v>3.0717899999999999E-2</v>
      </c>
      <c r="BJ554" s="2">
        <f t="shared" si="423"/>
        <v>0.92153700000000005</v>
      </c>
      <c r="BK554" s="2">
        <f t="shared" si="435"/>
        <v>16.900220632500002</v>
      </c>
      <c r="BL554" s="2">
        <f t="shared" si="424"/>
        <v>7717.95</v>
      </c>
      <c r="BM554" s="2">
        <f t="shared" si="425"/>
        <v>7641</v>
      </c>
      <c r="BN554" s="2">
        <f t="shared" si="436"/>
        <v>15358.95</v>
      </c>
    </row>
    <row r="555" spans="1:66" x14ac:dyDescent="0.25">
      <c r="A555" s="42">
        <v>552</v>
      </c>
      <c r="B555" s="43">
        <v>42947</v>
      </c>
      <c r="C555" s="42" t="s">
        <v>50</v>
      </c>
      <c r="D555" s="42" t="s">
        <v>315</v>
      </c>
      <c r="E555" s="6">
        <f t="shared" si="426"/>
        <v>227.28536325999977</v>
      </c>
      <c r="F555" s="5" t="str">
        <f t="shared" si="437"/>
        <v>Win</v>
      </c>
      <c r="G555" s="4">
        <f t="shared" si="438"/>
        <v>231.79999999999978</v>
      </c>
      <c r="H555" s="46">
        <v>38</v>
      </c>
      <c r="I555" s="42">
        <v>168.85</v>
      </c>
      <c r="N555" s="5">
        <f t="shared" si="439"/>
        <v>38</v>
      </c>
      <c r="O555" s="4">
        <f t="shared" si="440"/>
        <v>168.85</v>
      </c>
      <c r="P555" s="5">
        <f t="shared" si="399"/>
        <v>38</v>
      </c>
      <c r="Q555" s="42">
        <v>174.95</v>
      </c>
      <c r="R555" s="2">
        <f t="shared" si="443"/>
        <v>0</v>
      </c>
      <c r="T555" s="2">
        <f t="shared" si="427"/>
        <v>0</v>
      </c>
      <c r="V555" s="5">
        <f t="shared" si="441"/>
        <v>38</v>
      </c>
      <c r="W555" s="4">
        <f t="shared" si="442"/>
        <v>174.95</v>
      </c>
      <c r="X555" s="14">
        <f t="shared" si="400"/>
        <v>6.0999999999999943</v>
      </c>
      <c r="Y555" s="5">
        <f t="shared" si="401"/>
        <v>231.79999999999978</v>
      </c>
      <c r="Z555" s="2">
        <f t="shared" si="402"/>
        <v>0</v>
      </c>
      <c r="AA555" s="4">
        <f t="shared" si="403"/>
        <v>0</v>
      </c>
      <c r="AB555" s="13">
        <f t="shared" si="404"/>
        <v>4.5146367400000003</v>
      </c>
      <c r="AC555" s="10">
        <f>SUM($E$4:E555)</f>
        <v>-16795.575168826705</v>
      </c>
      <c r="AD555" s="20">
        <f>SUM($AB$4:AB555)</f>
        <v>12825.545868826659</v>
      </c>
      <c r="AF555" s="28">
        <f t="shared" si="405"/>
        <v>1.30644</v>
      </c>
      <c r="AG555" s="2">
        <f t="shared" si="406"/>
        <v>1.6620249999999999</v>
      </c>
      <c r="AH555" s="2">
        <f t="shared" si="407"/>
        <v>0.42459299999999994</v>
      </c>
      <c r="AI555" s="2">
        <f t="shared" si="428"/>
        <v>1.731033</v>
      </c>
      <c r="AJ555" s="2">
        <f t="shared" si="395"/>
        <v>0.31158594000000001</v>
      </c>
      <c r="AK555" s="2">
        <f t="shared" si="408"/>
        <v>2.6128799999999997E-2</v>
      </c>
      <c r="AL555" s="2">
        <f t="shared" si="409"/>
        <v>0.78386400000000001</v>
      </c>
      <c r="AM555" s="2">
        <f t="shared" si="429"/>
        <v>4.5146367400000003</v>
      </c>
      <c r="AN555" s="2">
        <f t="shared" si="410"/>
        <v>40</v>
      </c>
      <c r="AO555" s="2">
        <f t="shared" si="411"/>
        <v>3.3240499999999997</v>
      </c>
      <c r="AP555" s="2">
        <f t="shared" si="412"/>
        <v>6.9241319999999993</v>
      </c>
      <c r="AQ555" s="2">
        <f t="shared" si="430"/>
        <v>46.924132</v>
      </c>
      <c r="AR555" s="2">
        <f t="shared" si="396"/>
        <v>8.4463437599999995</v>
      </c>
      <c r="AS555" s="2">
        <f t="shared" si="413"/>
        <v>2.6128799999999997E-2</v>
      </c>
      <c r="AT555" s="2">
        <f t="shared" si="414"/>
        <v>0.78386400000000001</v>
      </c>
      <c r="AU555" s="2">
        <f t="shared" si="431"/>
        <v>59.504518560000001</v>
      </c>
      <c r="AV555" s="2">
        <f t="shared" si="415"/>
        <v>1.30644</v>
      </c>
      <c r="AW555" s="2">
        <f t="shared" si="416"/>
        <v>0.6648099999999999</v>
      </c>
      <c r="AX555" s="2">
        <f t="shared" si="417"/>
        <v>0.2743524</v>
      </c>
      <c r="AY555" s="2">
        <f t="shared" si="432"/>
        <v>1.5807924</v>
      </c>
      <c r="AZ555" s="2">
        <f t="shared" si="397"/>
        <v>0.28454263199999996</v>
      </c>
      <c r="BA555" s="2">
        <f t="shared" si="418"/>
        <v>2.6128799999999997E-2</v>
      </c>
      <c r="BB555" s="2">
        <f t="shared" si="419"/>
        <v>0.78386400000000001</v>
      </c>
      <c r="BC555" s="2">
        <f t="shared" si="433"/>
        <v>3.3401378319999999</v>
      </c>
      <c r="BD555" s="2">
        <v>0</v>
      </c>
      <c r="BE555" s="2">
        <f t="shared" si="420"/>
        <v>13.064399999999999</v>
      </c>
      <c r="BF555" s="2">
        <f t="shared" si="421"/>
        <v>0.42459299999999994</v>
      </c>
      <c r="BG555" s="2">
        <f t="shared" si="434"/>
        <v>0.42459299999999994</v>
      </c>
      <c r="BH555" s="2">
        <f t="shared" si="398"/>
        <v>7.6426739999999993E-2</v>
      </c>
      <c r="BI555" s="2">
        <f t="shared" si="422"/>
        <v>2.6128799999999997E-2</v>
      </c>
      <c r="BJ555" s="2">
        <f t="shared" si="423"/>
        <v>0.78386400000000001</v>
      </c>
      <c r="BK555" s="2">
        <f t="shared" si="435"/>
        <v>14.375412539999999</v>
      </c>
      <c r="BL555" s="2">
        <f t="shared" si="424"/>
        <v>6416.3</v>
      </c>
      <c r="BM555" s="2">
        <f t="shared" si="425"/>
        <v>6648.0999999999995</v>
      </c>
      <c r="BN555" s="2">
        <f t="shared" si="436"/>
        <v>13064.4</v>
      </c>
    </row>
    <row r="556" spans="1:66" x14ac:dyDescent="0.25">
      <c r="A556" s="42">
        <v>553</v>
      </c>
      <c r="B556" s="43">
        <v>42948</v>
      </c>
      <c r="C556" s="42" t="s">
        <v>50</v>
      </c>
      <c r="D556" s="42" t="s">
        <v>316</v>
      </c>
      <c r="E556" s="6">
        <f t="shared" si="426"/>
        <v>-32.899244429999271</v>
      </c>
      <c r="F556" s="5" t="str">
        <f t="shared" si="437"/>
        <v>Loss</v>
      </c>
      <c r="G556" s="4">
        <f t="shared" si="438"/>
        <v>-25.799999999999272</v>
      </c>
      <c r="H556" s="46">
        <v>10</v>
      </c>
      <c r="I556" s="42">
        <v>1035.58</v>
      </c>
      <c r="N556" s="5">
        <f t="shared" si="439"/>
        <v>10</v>
      </c>
      <c r="O556" s="4">
        <f t="shared" si="440"/>
        <v>1035.58</v>
      </c>
      <c r="P556" s="5">
        <f t="shared" si="399"/>
        <v>10</v>
      </c>
      <c r="Q556" s="42">
        <v>1033</v>
      </c>
      <c r="R556" s="2">
        <f t="shared" si="443"/>
        <v>0</v>
      </c>
      <c r="T556" s="2">
        <f t="shared" si="427"/>
        <v>0</v>
      </c>
      <c r="V556" s="5">
        <f t="shared" si="441"/>
        <v>10</v>
      </c>
      <c r="W556" s="4">
        <f t="shared" si="442"/>
        <v>1033</v>
      </c>
      <c r="X556" s="14">
        <f t="shared" si="400"/>
        <v>-2.5799999999999272</v>
      </c>
      <c r="Y556" s="5">
        <f t="shared" si="401"/>
        <v>-25.799999999999272</v>
      </c>
      <c r="Z556" s="2">
        <f t="shared" si="402"/>
        <v>0</v>
      </c>
      <c r="AA556" s="4">
        <f t="shared" si="403"/>
        <v>0</v>
      </c>
      <c r="AB556" s="13">
        <f t="shared" si="404"/>
        <v>7.0992444299999997</v>
      </c>
      <c r="AC556" s="10">
        <f>SUM($E$4:E556)</f>
        <v>-16828.474413256703</v>
      </c>
      <c r="AD556" s="20">
        <f>SUM($AB$4:AB556)</f>
        <v>12832.64511325666</v>
      </c>
      <c r="AF556" s="28">
        <f t="shared" si="405"/>
        <v>2.0685799999999999</v>
      </c>
      <c r="AG556" s="2">
        <f t="shared" si="406"/>
        <v>2.5825</v>
      </c>
      <c r="AH556" s="2">
        <f t="shared" si="407"/>
        <v>0.67228849999999996</v>
      </c>
      <c r="AI556" s="2">
        <f t="shared" si="428"/>
        <v>2.7408684999999999</v>
      </c>
      <c r="AJ556" s="2">
        <f t="shared" si="395"/>
        <v>0.49335632999999995</v>
      </c>
      <c r="AK556" s="2">
        <f t="shared" si="408"/>
        <v>4.1371600000000001E-2</v>
      </c>
      <c r="AL556" s="2">
        <f t="shared" si="409"/>
        <v>1.2411479999999999</v>
      </c>
      <c r="AM556" s="2">
        <f t="shared" si="429"/>
        <v>7.0992444299999997</v>
      </c>
      <c r="AN556" s="2">
        <f t="shared" si="410"/>
        <v>40</v>
      </c>
      <c r="AO556" s="2">
        <f t="shared" si="411"/>
        <v>5.165</v>
      </c>
      <c r="AP556" s="2">
        <f t="shared" si="412"/>
        <v>10.963474</v>
      </c>
      <c r="AQ556" s="2">
        <f t="shared" si="430"/>
        <v>50.963473999999998</v>
      </c>
      <c r="AR556" s="2">
        <f t="shared" si="396"/>
        <v>9.1734253199999998</v>
      </c>
      <c r="AS556" s="2">
        <f t="shared" si="413"/>
        <v>4.1371600000000001E-2</v>
      </c>
      <c r="AT556" s="2">
        <f t="shared" si="414"/>
        <v>1.2411479999999999</v>
      </c>
      <c r="AU556" s="2">
        <f t="shared" si="431"/>
        <v>66.58441891999999</v>
      </c>
      <c r="AV556" s="2">
        <f t="shared" si="415"/>
        <v>2.0685799999999999</v>
      </c>
      <c r="AW556" s="2">
        <f t="shared" si="416"/>
        <v>1.0329999999999999</v>
      </c>
      <c r="AX556" s="2">
        <f t="shared" si="417"/>
        <v>0.43440179999999995</v>
      </c>
      <c r="AY556" s="2">
        <f t="shared" si="432"/>
        <v>2.5029817999999997</v>
      </c>
      <c r="AZ556" s="2">
        <f t="shared" si="397"/>
        <v>0.45053672399999994</v>
      </c>
      <c r="BA556" s="2">
        <f t="shared" si="418"/>
        <v>4.1371600000000001E-2</v>
      </c>
      <c r="BB556" s="2">
        <f t="shared" si="419"/>
        <v>1.2411479999999999</v>
      </c>
      <c r="BC556" s="2">
        <f t="shared" si="433"/>
        <v>5.2690381239999997</v>
      </c>
      <c r="BD556" s="2">
        <v>0</v>
      </c>
      <c r="BE556" s="2">
        <f t="shared" si="420"/>
        <v>20.6858</v>
      </c>
      <c r="BF556" s="2">
        <f t="shared" si="421"/>
        <v>0.67228849999999996</v>
      </c>
      <c r="BG556" s="2">
        <f t="shared" si="434"/>
        <v>0.67228849999999996</v>
      </c>
      <c r="BH556" s="2">
        <f t="shared" si="398"/>
        <v>0.12101192999999999</v>
      </c>
      <c r="BI556" s="2">
        <f t="shared" si="422"/>
        <v>4.1371600000000001E-2</v>
      </c>
      <c r="BJ556" s="2">
        <f t="shared" si="423"/>
        <v>1.2411479999999999</v>
      </c>
      <c r="BK556" s="2">
        <f t="shared" si="435"/>
        <v>22.761620030000003</v>
      </c>
      <c r="BL556" s="2">
        <f t="shared" si="424"/>
        <v>10355.799999999999</v>
      </c>
      <c r="BM556" s="2">
        <f t="shared" si="425"/>
        <v>10330</v>
      </c>
      <c r="BN556" s="2">
        <f t="shared" si="436"/>
        <v>20685.8</v>
      </c>
    </row>
    <row r="557" spans="1:66" x14ac:dyDescent="0.25">
      <c r="A557" s="42">
        <v>554</v>
      </c>
      <c r="B557" s="43">
        <v>42948</v>
      </c>
      <c r="C557" s="42" t="s">
        <v>50</v>
      </c>
      <c r="D557" s="42" t="s">
        <v>227</v>
      </c>
      <c r="E557" s="6">
        <f t="shared" si="426"/>
        <v>-87.415443865000427</v>
      </c>
      <c r="F557" s="5" t="str">
        <f t="shared" si="437"/>
        <v>Loss</v>
      </c>
      <c r="G557" s="4">
        <f t="shared" si="438"/>
        <v>-77.900000000000432</v>
      </c>
      <c r="H557" s="46">
        <v>38</v>
      </c>
      <c r="I557" s="42">
        <v>366.05</v>
      </c>
      <c r="N557" s="5">
        <f t="shared" si="439"/>
        <v>38</v>
      </c>
      <c r="O557" s="4">
        <f t="shared" si="440"/>
        <v>366.05</v>
      </c>
      <c r="P557" s="5">
        <f t="shared" si="399"/>
        <v>38</v>
      </c>
      <c r="Q557" s="42">
        <v>364</v>
      </c>
      <c r="R557" s="2">
        <f t="shared" si="443"/>
        <v>0</v>
      </c>
      <c r="T557" s="2">
        <f t="shared" si="427"/>
        <v>0</v>
      </c>
      <c r="V557" s="5">
        <f t="shared" si="441"/>
        <v>38</v>
      </c>
      <c r="W557" s="4">
        <f t="shared" si="442"/>
        <v>364</v>
      </c>
      <c r="X557" s="14">
        <f t="shared" si="400"/>
        <v>-2.0500000000000114</v>
      </c>
      <c r="Y557" s="5">
        <f t="shared" si="401"/>
        <v>-77.900000000000432</v>
      </c>
      <c r="Z557" s="2">
        <f t="shared" si="402"/>
        <v>0</v>
      </c>
      <c r="AA557" s="4">
        <f t="shared" si="403"/>
        <v>0</v>
      </c>
      <c r="AB557" s="13">
        <f t="shared" si="404"/>
        <v>9.5154438649999999</v>
      </c>
      <c r="AC557" s="10">
        <f>SUM($E$4:E557)</f>
        <v>-16915.889857121703</v>
      </c>
      <c r="AD557" s="20">
        <f>SUM($AB$4:AB557)</f>
        <v>12842.160557121661</v>
      </c>
      <c r="AF557" s="28">
        <f t="shared" si="405"/>
        <v>2.7741900000000004</v>
      </c>
      <c r="AG557" s="2">
        <f t="shared" si="406"/>
        <v>3.4579999999999997</v>
      </c>
      <c r="AH557" s="2">
        <f t="shared" si="407"/>
        <v>0.90161174999999993</v>
      </c>
      <c r="AI557" s="2">
        <f t="shared" si="428"/>
        <v>3.6758017500000002</v>
      </c>
      <c r="AJ557" s="2">
        <f t="shared" si="395"/>
        <v>0.66164431499999998</v>
      </c>
      <c r="AK557" s="2">
        <f t="shared" si="408"/>
        <v>5.54838E-2</v>
      </c>
      <c r="AL557" s="2">
        <f t="shared" si="409"/>
        <v>1.664514</v>
      </c>
      <c r="AM557" s="2">
        <f t="shared" si="429"/>
        <v>9.5154438649999999</v>
      </c>
      <c r="AN557" s="2">
        <f t="shared" si="410"/>
        <v>40</v>
      </c>
      <c r="AO557" s="2">
        <f t="shared" si="411"/>
        <v>6.9159999999999995</v>
      </c>
      <c r="AP557" s="2">
        <f t="shared" si="412"/>
        <v>14.703207000000001</v>
      </c>
      <c r="AQ557" s="2">
        <f t="shared" si="430"/>
        <v>54.703206999999999</v>
      </c>
      <c r="AR557" s="2">
        <f t="shared" si="396"/>
        <v>9.8465772600000001</v>
      </c>
      <c r="AS557" s="2">
        <f t="shared" si="413"/>
        <v>5.54838E-2</v>
      </c>
      <c r="AT557" s="2">
        <f t="shared" si="414"/>
        <v>1.664514</v>
      </c>
      <c r="AU557" s="2">
        <f t="shared" si="431"/>
        <v>73.185782059999994</v>
      </c>
      <c r="AV557" s="2">
        <f t="shared" si="415"/>
        <v>2.7741900000000004</v>
      </c>
      <c r="AW557" s="2">
        <f t="shared" si="416"/>
        <v>1.3832</v>
      </c>
      <c r="AX557" s="2">
        <f t="shared" si="417"/>
        <v>0.58257990000000004</v>
      </c>
      <c r="AY557" s="2">
        <f t="shared" si="432"/>
        <v>3.3567699000000006</v>
      </c>
      <c r="AZ557" s="2">
        <f t="shared" si="397"/>
        <v>0.60421858200000012</v>
      </c>
      <c r="BA557" s="2">
        <f t="shared" si="418"/>
        <v>5.54838E-2</v>
      </c>
      <c r="BB557" s="2">
        <f t="shared" si="419"/>
        <v>1.664514</v>
      </c>
      <c r="BC557" s="2">
        <f t="shared" si="433"/>
        <v>7.0641862819999997</v>
      </c>
      <c r="BD557" s="2">
        <v>0</v>
      </c>
      <c r="BE557" s="2">
        <f t="shared" si="420"/>
        <v>27.741900000000001</v>
      </c>
      <c r="BF557" s="2">
        <f t="shared" si="421"/>
        <v>0.90161174999999993</v>
      </c>
      <c r="BG557" s="2">
        <f t="shared" si="434"/>
        <v>0.90161174999999993</v>
      </c>
      <c r="BH557" s="2">
        <f t="shared" si="398"/>
        <v>0.16229011499999998</v>
      </c>
      <c r="BI557" s="2">
        <f t="shared" si="422"/>
        <v>5.54838E-2</v>
      </c>
      <c r="BJ557" s="2">
        <f t="shared" si="423"/>
        <v>1.664514</v>
      </c>
      <c r="BK557" s="2">
        <f t="shared" si="435"/>
        <v>30.525799665000005</v>
      </c>
      <c r="BL557" s="2">
        <f t="shared" si="424"/>
        <v>13909.9</v>
      </c>
      <c r="BM557" s="2">
        <f t="shared" si="425"/>
        <v>13832</v>
      </c>
      <c r="BN557" s="2">
        <f t="shared" si="436"/>
        <v>27741.9</v>
      </c>
    </row>
    <row r="558" spans="1:66" x14ac:dyDescent="0.25">
      <c r="A558" s="42">
        <v>555</v>
      </c>
      <c r="B558" s="43">
        <v>42949</v>
      </c>
      <c r="C558" s="42" t="s">
        <v>50</v>
      </c>
      <c r="D558" s="42" t="s">
        <v>206</v>
      </c>
      <c r="E558" s="6">
        <f t="shared" si="426"/>
        <v>10.394055269999591</v>
      </c>
      <c r="F558" s="5" t="str">
        <f t="shared" si="437"/>
        <v>Win</v>
      </c>
      <c r="G558" s="4">
        <f t="shared" si="438"/>
        <v>16.199999999999591</v>
      </c>
      <c r="H558" s="46">
        <v>36</v>
      </c>
      <c r="I558" s="42">
        <v>234.55</v>
      </c>
      <c r="N558" s="5">
        <f t="shared" si="439"/>
        <v>36</v>
      </c>
      <c r="O558" s="4">
        <f t="shared" si="440"/>
        <v>234.55</v>
      </c>
      <c r="P558" s="5">
        <f t="shared" si="399"/>
        <v>36</v>
      </c>
      <c r="Q558" s="42">
        <v>235</v>
      </c>
      <c r="R558" s="2">
        <f t="shared" si="443"/>
        <v>0</v>
      </c>
      <c r="T558" s="2">
        <f t="shared" si="427"/>
        <v>0</v>
      </c>
      <c r="V558" s="5">
        <f t="shared" si="441"/>
        <v>36</v>
      </c>
      <c r="W558" s="4">
        <f t="shared" si="442"/>
        <v>235</v>
      </c>
      <c r="X558" s="14">
        <f t="shared" si="400"/>
        <v>0.44999999999998863</v>
      </c>
      <c r="Y558" s="5">
        <f t="shared" si="401"/>
        <v>16.199999999999591</v>
      </c>
      <c r="Z558" s="2">
        <f t="shared" si="402"/>
        <v>0</v>
      </c>
      <c r="AA558" s="4">
        <f t="shared" si="403"/>
        <v>0</v>
      </c>
      <c r="AB558" s="13">
        <f t="shared" si="404"/>
        <v>5.8059447300000002</v>
      </c>
      <c r="AC558" s="10">
        <f>SUM($E$4:E558)</f>
        <v>-16905.495801851703</v>
      </c>
      <c r="AD558" s="20">
        <f>SUM($AB$4:AB558)</f>
        <v>12847.966501851661</v>
      </c>
      <c r="AF558" s="28">
        <f t="shared" si="405"/>
        <v>1.6903800000000004</v>
      </c>
      <c r="AG558" s="2">
        <f t="shared" si="406"/>
        <v>2.1150000000000002</v>
      </c>
      <c r="AH558" s="2">
        <f t="shared" si="407"/>
        <v>0.54937350000000007</v>
      </c>
      <c r="AI558" s="2">
        <f t="shared" si="428"/>
        <v>2.2397535000000004</v>
      </c>
      <c r="AJ558" s="2">
        <f t="shared" ref="AJ558:AJ621" si="444">0.18*AI558</f>
        <v>0.40315563000000004</v>
      </c>
      <c r="AK558" s="2">
        <f t="shared" si="408"/>
        <v>3.3807600000000007E-2</v>
      </c>
      <c r="AL558" s="2">
        <f t="shared" si="409"/>
        <v>1.0142280000000001</v>
      </c>
      <c r="AM558" s="2">
        <f t="shared" si="429"/>
        <v>5.8059447300000002</v>
      </c>
      <c r="AN558" s="2">
        <f t="shared" si="410"/>
        <v>40</v>
      </c>
      <c r="AO558" s="2">
        <f t="shared" si="411"/>
        <v>4.2300000000000004</v>
      </c>
      <c r="AP558" s="2">
        <f t="shared" si="412"/>
        <v>8.9590140000000016</v>
      </c>
      <c r="AQ558" s="2">
        <f t="shared" si="430"/>
        <v>48.959014000000003</v>
      </c>
      <c r="AR558" s="2">
        <f t="shared" ref="AR558:AR621" si="445">0.18*AQ558</f>
        <v>8.8126225199999997</v>
      </c>
      <c r="AS558" s="2">
        <f t="shared" si="413"/>
        <v>3.3807600000000007E-2</v>
      </c>
      <c r="AT558" s="2">
        <f t="shared" si="414"/>
        <v>1.0142280000000001</v>
      </c>
      <c r="AU558" s="2">
        <f t="shared" si="431"/>
        <v>63.049672120000011</v>
      </c>
      <c r="AV558" s="2">
        <f t="shared" si="415"/>
        <v>1.6903800000000004</v>
      </c>
      <c r="AW558" s="2">
        <f t="shared" si="416"/>
        <v>0.84600000000000009</v>
      </c>
      <c r="AX558" s="2">
        <f t="shared" si="417"/>
        <v>0.35497980000000007</v>
      </c>
      <c r="AY558" s="2">
        <f t="shared" si="432"/>
        <v>2.0453598000000004</v>
      </c>
      <c r="AZ558" s="2">
        <f t="shared" ref="AZ558:AZ621" si="446">0.18*AY558</f>
        <v>0.36816476400000003</v>
      </c>
      <c r="BA558" s="2">
        <f t="shared" si="418"/>
        <v>3.3807600000000007E-2</v>
      </c>
      <c r="BB558" s="2">
        <f t="shared" si="419"/>
        <v>1.0142280000000001</v>
      </c>
      <c r="BC558" s="2">
        <f t="shared" si="433"/>
        <v>4.3075601639999999</v>
      </c>
      <c r="BD558" s="2">
        <v>0</v>
      </c>
      <c r="BE558" s="2">
        <f t="shared" si="420"/>
        <v>16.903800000000004</v>
      </c>
      <c r="BF558" s="2">
        <f t="shared" si="421"/>
        <v>0.54937350000000007</v>
      </c>
      <c r="BG558" s="2">
        <f t="shared" si="434"/>
        <v>0.54937350000000007</v>
      </c>
      <c r="BH558" s="2">
        <f t="shared" ref="BH558:BH621" si="447">0.18*BG558</f>
        <v>9.8887230000000007E-2</v>
      </c>
      <c r="BI558" s="2">
        <f t="shared" si="422"/>
        <v>3.3807600000000007E-2</v>
      </c>
      <c r="BJ558" s="2">
        <f t="shared" si="423"/>
        <v>1.0142280000000001</v>
      </c>
      <c r="BK558" s="2">
        <f t="shared" si="435"/>
        <v>18.600096330000003</v>
      </c>
      <c r="BL558" s="2">
        <f t="shared" si="424"/>
        <v>8443.8000000000011</v>
      </c>
      <c r="BM558" s="2">
        <f t="shared" si="425"/>
        <v>8460</v>
      </c>
      <c r="BN558" s="2">
        <f t="shared" si="436"/>
        <v>16903.800000000003</v>
      </c>
    </row>
    <row r="559" spans="1:66" x14ac:dyDescent="0.25">
      <c r="A559" s="42">
        <v>556</v>
      </c>
      <c r="B559" s="43">
        <v>42950</v>
      </c>
      <c r="C559" s="42" t="s">
        <v>50</v>
      </c>
      <c r="D559" s="42" t="s">
        <v>268</v>
      </c>
      <c r="E559" s="6">
        <f t="shared" si="426"/>
        <v>82.027299747500237</v>
      </c>
      <c r="F559" s="5" t="str">
        <f t="shared" si="437"/>
        <v>Win</v>
      </c>
      <c r="G559" s="4">
        <f t="shared" si="438"/>
        <v>88.150000000000233</v>
      </c>
      <c r="H559" s="46">
        <v>41</v>
      </c>
      <c r="I559" s="42">
        <v>216</v>
      </c>
      <c r="N559" s="5">
        <f t="shared" si="439"/>
        <v>41</v>
      </c>
      <c r="O559" s="4">
        <f t="shared" si="440"/>
        <v>216</v>
      </c>
      <c r="P559" s="5">
        <f t="shared" si="399"/>
        <v>41</v>
      </c>
      <c r="Q559" s="42">
        <v>218.15</v>
      </c>
      <c r="R559" s="2">
        <f t="shared" si="443"/>
        <v>0</v>
      </c>
      <c r="T559" s="2">
        <f t="shared" si="427"/>
        <v>0</v>
      </c>
      <c r="V559" s="5">
        <f t="shared" si="441"/>
        <v>41</v>
      </c>
      <c r="W559" s="4">
        <f t="shared" si="442"/>
        <v>218.15</v>
      </c>
      <c r="X559" s="14">
        <f t="shared" si="400"/>
        <v>2.1500000000000057</v>
      </c>
      <c r="Y559" s="5">
        <f t="shared" si="401"/>
        <v>88.150000000000233</v>
      </c>
      <c r="Z559" s="2">
        <f t="shared" si="402"/>
        <v>0</v>
      </c>
      <c r="AA559" s="4">
        <f t="shared" si="403"/>
        <v>0</v>
      </c>
      <c r="AB559" s="13">
        <f t="shared" si="404"/>
        <v>6.1227002525000005</v>
      </c>
      <c r="AC559" s="10">
        <f>SUM($E$4:E559)</f>
        <v>-16823.468502104202</v>
      </c>
      <c r="AD559" s="20">
        <f>SUM($AB$4:AB559)</f>
        <v>12854.08920210416</v>
      </c>
      <c r="AF559" s="28">
        <f t="shared" si="405"/>
        <v>1.7800150000000001</v>
      </c>
      <c r="AG559" s="2">
        <f t="shared" si="406"/>
        <v>2.2360375000000001</v>
      </c>
      <c r="AH559" s="2">
        <f t="shared" si="407"/>
        <v>0.57850487500000003</v>
      </c>
      <c r="AI559" s="2">
        <f t="shared" si="428"/>
        <v>2.3585198750000003</v>
      </c>
      <c r="AJ559" s="2">
        <f t="shared" si="444"/>
        <v>0.42453357750000004</v>
      </c>
      <c r="AK559" s="2">
        <f t="shared" si="408"/>
        <v>3.5600300000000001E-2</v>
      </c>
      <c r="AL559" s="2">
        <f t="shared" si="409"/>
        <v>1.0680090000000002</v>
      </c>
      <c r="AM559" s="2">
        <f t="shared" si="429"/>
        <v>6.1227002525000005</v>
      </c>
      <c r="AN559" s="2">
        <f t="shared" si="410"/>
        <v>40</v>
      </c>
      <c r="AO559" s="2">
        <f t="shared" si="411"/>
        <v>4.4720750000000002</v>
      </c>
      <c r="AP559" s="2">
        <f t="shared" si="412"/>
        <v>9.4340795000000011</v>
      </c>
      <c r="AQ559" s="2">
        <f t="shared" si="430"/>
        <v>49.434079500000003</v>
      </c>
      <c r="AR559" s="2">
        <f t="shared" si="445"/>
        <v>8.8981343099999997</v>
      </c>
      <c r="AS559" s="2">
        <f t="shared" si="413"/>
        <v>3.5600300000000001E-2</v>
      </c>
      <c r="AT559" s="2">
        <f t="shared" si="414"/>
        <v>1.0680090000000002</v>
      </c>
      <c r="AU559" s="2">
        <f t="shared" si="431"/>
        <v>63.907898110000005</v>
      </c>
      <c r="AV559" s="2">
        <f t="shared" si="415"/>
        <v>1.7800150000000001</v>
      </c>
      <c r="AW559" s="2">
        <f t="shared" si="416"/>
        <v>0.89441500000000007</v>
      </c>
      <c r="AX559" s="2">
        <f t="shared" si="417"/>
        <v>0.37380315000000003</v>
      </c>
      <c r="AY559" s="2">
        <f t="shared" si="432"/>
        <v>2.1538181500000002</v>
      </c>
      <c r="AZ559" s="2">
        <f t="shared" si="446"/>
        <v>0.387687267</v>
      </c>
      <c r="BA559" s="2">
        <f t="shared" si="418"/>
        <v>3.5600300000000001E-2</v>
      </c>
      <c r="BB559" s="2">
        <f t="shared" si="419"/>
        <v>1.0680090000000002</v>
      </c>
      <c r="BC559" s="2">
        <f t="shared" si="433"/>
        <v>4.5395297170000006</v>
      </c>
      <c r="BD559" s="2">
        <v>0</v>
      </c>
      <c r="BE559" s="2">
        <f t="shared" si="420"/>
        <v>17.800150000000002</v>
      </c>
      <c r="BF559" s="2">
        <f t="shared" si="421"/>
        <v>0.57850487500000003</v>
      </c>
      <c r="BG559" s="2">
        <f t="shared" si="434"/>
        <v>0.57850487500000003</v>
      </c>
      <c r="BH559" s="2">
        <f t="shared" si="447"/>
        <v>0.1041308775</v>
      </c>
      <c r="BI559" s="2">
        <f t="shared" si="422"/>
        <v>3.5600300000000001E-2</v>
      </c>
      <c r="BJ559" s="2">
        <f t="shared" si="423"/>
        <v>1.0680090000000002</v>
      </c>
      <c r="BK559" s="2">
        <f t="shared" si="435"/>
        <v>19.586395052500002</v>
      </c>
      <c r="BL559" s="2">
        <f t="shared" si="424"/>
        <v>8856</v>
      </c>
      <c r="BM559" s="2">
        <f t="shared" si="425"/>
        <v>8944.15</v>
      </c>
      <c r="BN559" s="2">
        <f t="shared" si="436"/>
        <v>17800.150000000001</v>
      </c>
    </row>
    <row r="560" spans="1:66" x14ac:dyDescent="0.25">
      <c r="A560" s="42">
        <v>557</v>
      </c>
      <c r="B560" s="43">
        <v>42951</v>
      </c>
      <c r="C560" s="42" t="s">
        <v>50</v>
      </c>
      <c r="D560" s="42" t="s">
        <v>206</v>
      </c>
      <c r="E560" s="6">
        <f t="shared" si="426"/>
        <v>-13.559749280000158</v>
      </c>
      <c r="F560" s="5" t="str">
        <f t="shared" si="437"/>
        <v>Loss</v>
      </c>
      <c r="G560" s="4">
        <f t="shared" si="438"/>
        <v>-11.200000000000159</v>
      </c>
      <c r="H560" s="46">
        <v>14</v>
      </c>
      <c r="I560" s="42">
        <v>246</v>
      </c>
      <c r="N560" s="5">
        <f t="shared" si="439"/>
        <v>14</v>
      </c>
      <c r="O560" s="4">
        <f t="shared" si="440"/>
        <v>246</v>
      </c>
      <c r="P560" s="5">
        <f t="shared" si="399"/>
        <v>14</v>
      </c>
      <c r="Q560" s="42">
        <v>245.2</v>
      </c>
      <c r="R560" s="2">
        <f t="shared" si="443"/>
        <v>0</v>
      </c>
      <c r="T560" s="2">
        <f t="shared" si="427"/>
        <v>0</v>
      </c>
      <c r="V560" s="5">
        <f t="shared" si="441"/>
        <v>14</v>
      </c>
      <c r="W560" s="4">
        <f t="shared" si="442"/>
        <v>245.2</v>
      </c>
      <c r="X560" s="14">
        <f t="shared" si="400"/>
        <v>-0.80000000000001137</v>
      </c>
      <c r="Y560" s="5">
        <f t="shared" si="401"/>
        <v>-11.200000000000159</v>
      </c>
      <c r="Z560" s="2">
        <f t="shared" si="402"/>
        <v>0</v>
      </c>
      <c r="AA560" s="4">
        <f t="shared" si="403"/>
        <v>0</v>
      </c>
      <c r="AB560" s="13">
        <f t="shared" si="404"/>
        <v>2.3597492799999999</v>
      </c>
      <c r="AC560" s="10">
        <f>SUM($E$4:E560)</f>
        <v>-16837.028251384203</v>
      </c>
      <c r="AD560" s="20">
        <f>SUM($AB$4:AB560)</f>
        <v>12856.44895138416</v>
      </c>
      <c r="AF560" s="28">
        <f t="shared" si="405"/>
        <v>0.68767999999999996</v>
      </c>
      <c r="AG560" s="2">
        <f t="shared" si="406"/>
        <v>0.85819999999999996</v>
      </c>
      <c r="AH560" s="2">
        <f t="shared" si="407"/>
        <v>0.22349599999999994</v>
      </c>
      <c r="AI560" s="2">
        <f t="shared" si="428"/>
        <v>0.91117599999999987</v>
      </c>
      <c r="AJ560" s="2">
        <f t="shared" si="444"/>
        <v>0.16401167999999997</v>
      </c>
      <c r="AK560" s="2">
        <f t="shared" si="408"/>
        <v>1.37536E-2</v>
      </c>
      <c r="AL560" s="2">
        <f t="shared" si="409"/>
        <v>0.41260799999999997</v>
      </c>
      <c r="AM560" s="2">
        <f t="shared" si="429"/>
        <v>2.3597492799999999</v>
      </c>
      <c r="AN560" s="2">
        <f t="shared" si="410"/>
        <v>40</v>
      </c>
      <c r="AO560" s="2">
        <f t="shared" si="411"/>
        <v>1.7163999999999999</v>
      </c>
      <c r="AP560" s="2">
        <f t="shared" si="412"/>
        <v>3.6447039999999995</v>
      </c>
      <c r="AQ560" s="2">
        <f t="shared" si="430"/>
        <v>43.644703999999997</v>
      </c>
      <c r="AR560" s="2">
        <f t="shared" si="445"/>
        <v>7.8560467199999993</v>
      </c>
      <c r="AS560" s="2">
        <f t="shared" si="413"/>
        <v>1.37536E-2</v>
      </c>
      <c r="AT560" s="2">
        <f t="shared" si="414"/>
        <v>0.41260799999999997</v>
      </c>
      <c r="AU560" s="2">
        <f t="shared" si="431"/>
        <v>53.643512319999999</v>
      </c>
      <c r="AV560" s="2">
        <f t="shared" si="415"/>
        <v>0.68767999999999996</v>
      </c>
      <c r="AW560" s="2">
        <f t="shared" si="416"/>
        <v>0.34327999999999997</v>
      </c>
      <c r="AX560" s="2">
        <f t="shared" si="417"/>
        <v>0.14441279999999998</v>
      </c>
      <c r="AY560" s="2">
        <f t="shared" si="432"/>
        <v>0.83209279999999997</v>
      </c>
      <c r="AZ560" s="2">
        <f t="shared" si="446"/>
        <v>0.14977670399999998</v>
      </c>
      <c r="BA560" s="2">
        <f t="shared" si="418"/>
        <v>1.37536E-2</v>
      </c>
      <c r="BB560" s="2">
        <f t="shared" si="419"/>
        <v>0.41260799999999997</v>
      </c>
      <c r="BC560" s="2">
        <f t="shared" si="433"/>
        <v>1.751511104</v>
      </c>
      <c r="BD560" s="2">
        <v>0</v>
      </c>
      <c r="BE560" s="2">
        <f t="shared" si="420"/>
        <v>6.8767999999999994</v>
      </c>
      <c r="BF560" s="2">
        <f t="shared" si="421"/>
        <v>0.22349599999999994</v>
      </c>
      <c r="BG560" s="2">
        <f t="shared" si="434"/>
        <v>0.22349599999999994</v>
      </c>
      <c r="BH560" s="2">
        <f t="shared" si="447"/>
        <v>4.0229279999999985E-2</v>
      </c>
      <c r="BI560" s="2">
        <f t="shared" si="422"/>
        <v>1.37536E-2</v>
      </c>
      <c r="BJ560" s="2">
        <f t="shared" si="423"/>
        <v>0.41260799999999997</v>
      </c>
      <c r="BK560" s="2">
        <f t="shared" si="435"/>
        <v>7.5668868799999993</v>
      </c>
      <c r="BL560" s="2">
        <f t="shared" si="424"/>
        <v>3444</v>
      </c>
      <c r="BM560" s="2">
        <f t="shared" si="425"/>
        <v>3432.7999999999997</v>
      </c>
      <c r="BN560" s="2">
        <f t="shared" si="436"/>
        <v>6876.7999999999993</v>
      </c>
    </row>
    <row r="561" spans="1:66" x14ac:dyDescent="0.25">
      <c r="A561" s="42">
        <v>558</v>
      </c>
      <c r="B561" s="43">
        <v>42951</v>
      </c>
      <c r="C561" s="42" t="s">
        <v>50</v>
      </c>
      <c r="D561" s="42" t="s">
        <v>316</v>
      </c>
      <c r="E561" s="6">
        <f t="shared" si="426"/>
        <v>-70.391697412499795</v>
      </c>
      <c r="F561" s="5" t="str">
        <f t="shared" si="437"/>
        <v>Loss</v>
      </c>
      <c r="G561" s="4">
        <f t="shared" si="438"/>
        <v>-64.349999999999795</v>
      </c>
      <c r="H561" s="46">
        <v>3</v>
      </c>
      <c r="I561" s="42">
        <v>979</v>
      </c>
      <c r="J561" s="42">
        <v>3</v>
      </c>
      <c r="K561" s="42">
        <v>984</v>
      </c>
      <c r="L561" s="42">
        <v>3</v>
      </c>
      <c r="M561" s="44">
        <v>984.35</v>
      </c>
      <c r="N561" s="5">
        <f t="shared" si="439"/>
        <v>9</v>
      </c>
      <c r="O561" s="4">
        <f t="shared" si="440"/>
        <v>982.44999999999993</v>
      </c>
      <c r="P561" s="5">
        <f t="shared" si="399"/>
        <v>3</v>
      </c>
      <c r="Q561" s="42">
        <v>979</v>
      </c>
      <c r="R561" s="2">
        <f t="shared" si="443"/>
        <v>3</v>
      </c>
      <c r="S561" s="42">
        <v>971.95</v>
      </c>
      <c r="T561" s="2">
        <f t="shared" si="427"/>
        <v>3</v>
      </c>
      <c r="U561" s="44">
        <v>974.95</v>
      </c>
      <c r="V561" s="5">
        <f t="shared" si="441"/>
        <v>9</v>
      </c>
      <c r="W561" s="4">
        <f t="shared" si="442"/>
        <v>975.30000000000007</v>
      </c>
      <c r="X561" s="14">
        <f t="shared" si="400"/>
        <v>0</v>
      </c>
      <c r="Y561" s="5">
        <f t="shared" si="401"/>
        <v>0</v>
      </c>
      <c r="Z561" s="2">
        <f t="shared" si="402"/>
        <v>-36.149999999999864</v>
      </c>
      <c r="AA561" s="4">
        <f t="shared" si="403"/>
        <v>-28.199999999999932</v>
      </c>
      <c r="AB561" s="13">
        <f t="shared" si="404"/>
        <v>6.0416974125000014</v>
      </c>
      <c r="AC561" s="10">
        <f>SUM($E$4:E561)</f>
        <v>-16907.419948796702</v>
      </c>
      <c r="AD561" s="20">
        <f>SUM($AB$4:AB561)</f>
        <v>12862.49064879666</v>
      </c>
      <c r="AF561" s="28">
        <f t="shared" si="405"/>
        <v>1.7619750000000001</v>
      </c>
      <c r="AG561" s="2">
        <f t="shared" si="406"/>
        <v>2.1944250000000003</v>
      </c>
      <c r="AH561" s="2">
        <f t="shared" si="407"/>
        <v>0.57264187499999997</v>
      </c>
      <c r="AI561" s="2">
        <f t="shared" si="428"/>
        <v>2.334616875</v>
      </c>
      <c r="AJ561" s="2">
        <f t="shared" si="444"/>
        <v>0.42023103750000002</v>
      </c>
      <c r="AK561" s="2">
        <f t="shared" si="408"/>
        <v>3.52395E-2</v>
      </c>
      <c r="AL561" s="2">
        <f t="shared" si="409"/>
        <v>1.057185</v>
      </c>
      <c r="AM561" s="2">
        <f t="shared" si="429"/>
        <v>6.0416974125000014</v>
      </c>
      <c r="AN561" s="2">
        <f t="shared" si="410"/>
        <v>120</v>
      </c>
      <c r="AO561" s="2">
        <f t="shared" si="411"/>
        <v>4.3888500000000006</v>
      </c>
      <c r="AP561" s="2">
        <f t="shared" si="412"/>
        <v>9.3384675000000001</v>
      </c>
      <c r="AQ561" s="2">
        <f t="shared" si="430"/>
        <v>129.33846750000001</v>
      </c>
      <c r="AR561" s="2">
        <f t="shared" si="445"/>
        <v>23.280924150000001</v>
      </c>
      <c r="AS561" s="2">
        <f t="shared" si="413"/>
        <v>3.52395E-2</v>
      </c>
      <c r="AT561" s="2">
        <f t="shared" si="414"/>
        <v>1.057185</v>
      </c>
      <c r="AU561" s="2">
        <f t="shared" si="431"/>
        <v>158.10066615</v>
      </c>
      <c r="AV561" s="2">
        <f t="shared" si="415"/>
        <v>1.7619750000000001</v>
      </c>
      <c r="AW561" s="2">
        <f t="shared" si="416"/>
        <v>0.87777000000000016</v>
      </c>
      <c r="AX561" s="2">
        <f t="shared" si="417"/>
        <v>0.37001475</v>
      </c>
      <c r="AY561" s="2">
        <f t="shared" si="432"/>
        <v>2.1319897500000002</v>
      </c>
      <c r="AZ561" s="2">
        <f t="shared" si="446"/>
        <v>0.38375815500000005</v>
      </c>
      <c r="BA561" s="2">
        <f t="shared" si="418"/>
        <v>3.52395E-2</v>
      </c>
      <c r="BB561" s="2">
        <f t="shared" si="419"/>
        <v>1.057185</v>
      </c>
      <c r="BC561" s="2">
        <f t="shared" si="433"/>
        <v>4.4859424050000012</v>
      </c>
      <c r="BD561" s="2">
        <v>0</v>
      </c>
      <c r="BE561" s="2">
        <f t="shared" si="420"/>
        <v>17.61975</v>
      </c>
      <c r="BF561" s="2">
        <f t="shared" si="421"/>
        <v>0.57264187499999997</v>
      </c>
      <c r="BG561" s="2">
        <f t="shared" si="434"/>
        <v>0.57264187499999997</v>
      </c>
      <c r="BH561" s="2">
        <f t="shared" si="447"/>
        <v>0.10307553749999999</v>
      </c>
      <c r="BI561" s="2">
        <f t="shared" si="422"/>
        <v>3.52395E-2</v>
      </c>
      <c r="BJ561" s="2">
        <f t="shared" si="423"/>
        <v>1.057185</v>
      </c>
      <c r="BK561" s="2">
        <f t="shared" si="435"/>
        <v>19.387891912499999</v>
      </c>
      <c r="BL561" s="2">
        <f t="shared" si="424"/>
        <v>8842.0499999999993</v>
      </c>
      <c r="BM561" s="2">
        <f t="shared" si="425"/>
        <v>8777.7000000000007</v>
      </c>
      <c r="BN561" s="2">
        <f t="shared" si="436"/>
        <v>17619.75</v>
      </c>
    </row>
    <row r="562" spans="1:66" x14ac:dyDescent="0.25">
      <c r="A562" s="42">
        <v>559</v>
      </c>
      <c r="B562" s="43">
        <v>42951</v>
      </c>
      <c r="C562" s="42" t="s">
        <v>50</v>
      </c>
      <c r="D562" s="42" t="s">
        <v>268</v>
      </c>
      <c r="E562" s="6">
        <f t="shared" si="426"/>
        <v>-42.085276484999923</v>
      </c>
      <c r="F562" s="5" t="str">
        <f t="shared" si="437"/>
        <v>Loss</v>
      </c>
      <c r="G562" s="4">
        <f t="shared" si="438"/>
        <v>-39.89999999999992</v>
      </c>
      <c r="H562" s="46">
        <v>14</v>
      </c>
      <c r="I562" s="42">
        <v>229.25</v>
      </c>
      <c r="N562" s="5">
        <f t="shared" si="439"/>
        <v>14</v>
      </c>
      <c r="O562" s="4">
        <f t="shared" si="440"/>
        <v>229.25</v>
      </c>
      <c r="P562" s="5">
        <f t="shared" si="399"/>
        <v>14</v>
      </c>
      <c r="Q562" s="42">
        <v>226.4</v>
      </c>
      <c r="R562" s="2">
        <f t="shared" si="443"/>
        <v>0</v>
      </c>
      <c r="T562" s="2">
        <f t="shared" si="427"/>
        <v>0</v>
      </c>
      <c r="V562" s="5">
        <f t="shared" si="441"/>
        <v>14</v>
      </c>
      <c r="W562" s="4">
        <f t="shared" si="442"/>
        <v>226.4</v>
      </c>
      <c r="X562" s="14">
        <f t="shared" si="400"/>
        <v>-2.8499999999999943</v>
      </c>
      <c r="Y562" s="5">
        <f t="shared" si="401"/>
        <v>-39.89999999999992</v>
      </c>
      <c r="Z562" s="2">
        <f t="shared" si="402"/>
        <v>0</v>
      </c>
      <c r="AA562" s="4">
        <f t="shared" si="403"/>
        <v>0</v>
      </c>
      <c r="AB562" s="13">
        <f t="shared" si="404"/>
        <v>2.1852764850000002</v>
      </c>
      <c r="AC562" s="10">
        <f>SUM($E$4:E562)</f>
        <v>-16949.5052252817</v>
      </c>
      <c r="AD562" s="20">
        <f>SUM($AB$4:AB562)</f>
        <v>12864.675925281659</v>
      </c>
      <c r="AF562" s="28">
        <f t="shared" si="405"/>
        <v>0.63791000000000009</v>
      </c>
      <c r="AG562" s="2">
        <f t="shared" si="406"/>
        <v>0.79239999999999999</v>
      </c>
      <c r="AH562" s="2">
        <f t="shared" si="407"/>
        <v>0.20732075</v>
      </c>
      <c r="AI562" s="2">
        <f t="shared" si="428"/>
        <v>0.84523075000000003</v>
      </c>
      <c r="AJ562" s="2">
        <f t="shared" si="444"/>
        <v>0.15214153499999999</v>
      </c>
      <c r="AK562" s="2">
        <f t="shared" si="408"/>
        <v>1.2758200000000001E-2</v>
      </c>
      <c r="AL562" s="2">
        <f t="shared" si="409"/>
        <v>0.38274600000000003</v>
      </c>
      <c r="AM562" s="2">
        <f t="shared" si="429"/>
        <v>2.1852764850000002</v>
      </c>
      <c r="AN562" s="2">
        <f t="shared" si="410"/>
        <v>40</v>
      </c>
      <c r="AO562" s="2">
        <f t="shared" si="411"/>
        <v>1.5848</v>
      </c>
      <c r="AP562" s="2">
        <f t="shared" si="412"/>
        <v>3.3809230000000001</v>
      </c>
      <c r="AQ562" s="2">
        <f t="shared" si="430"/>
        <v>43.380923000000003</v>
      </c>
      <c r="AR562" s="2">
        <f t="shared" si="445"/>
        <v>7.8085661399999999</v>
      </c>
      <c r="AS562" s="2">
        <f t="shared" si="413"/>
        <v>1.2758200000000001E-2</v>
      </c>
      <c r="AT562" s="2">
        <f t="shared" si="414"/>
        <v>0.38274600000000003</v>
      </c>
      <c r="AU562" s="2">
        <f t="shared" si="431"/>
        <v>53.169793340000005</v>
      </c>
      <c r="AV562" s="2">
        <f t="shared" si="415"/>
        <v>0.63791000000000009</v>
      </c>
      <c r="AW562" s="2">
        <f t="shared" si="416"/>
        <v>0.31696000000000002</v>
      </c>
      <c r="AX562" s="2">
        <f t="shared" si="417"/>
        <v>0.1339611</v>
      </c>
      <c r="AY562" s="2">
        <f t="shared" si="432"/>
        <v>0.77187110000000003</v>
      </c>
      <c r="AZ562" s="2">
        <f t="shared" si="446"/>
        <v>0.138936798</v>
      </c>
      <c r="BA562" s="2">
        <f t="shared" si="418"/>
        <v>1.2758200000000001E-2</v>
      </c>
      <c r="BB562" s="2">
        <f t="shared" si="419"/>
        <v>0.38274600000000003</v>
      </c>
      <c r="BC562" s="2">
        <f t="shared" si="433"/>
        <v>1.6232720980000002</v>
      </c>
      <c r="BD562" s="2">
        <v>0</v>
      </c>
      <c r="BE562" s="2">
        <f t="shared" si="420"/>
        <v>6.3791000000000002</v>
      </c>
      <c r="BF562" s="2">
        <f t="shared" si="421"/>
        <v>0.20732075</v>
      </c>
      <c r="BG562" s="2">
        <f t="shared" si="434"/>
        <v>0.20732075</v>
      </c>
      <c r="BH562" s="2">
        <f t="shared" si="447"/>
        <v>3.7317734999999998E-2</v>
      </c>
      <c r="BI562" s="2">
        <f t="shared" si="422"/>
        <v>1.2758200000000001E-2</v>
      </c>
      <c r="BJ562" s="2">
        <f t="shared" si="423"/>
        <v>0.38274600000000003</v>
      </c>
      <c r="BK562" s="2">
        <f t="shared" si="435"/>
        <v>7.0192426850000009</v>
      </c>
      <c r="BL562" s="2">
        <f t="shared" si="424"/>
        <v>3209.5</v>
      </c>
      <c r="BM562" s="2">
        <f t="shared" si="425"/>
        <v>3169.6</v>
      </c>
      <c r="BN562" s="2">
        <f t="shared" si="436"/>
        <v>6379.1</v>
      </c>
    </row>
    <row r="563" spans="1:66" x14ac:dyDescent="0.25">
      <c r="A563" s="42">
        <v>560</v>
      </c>
      <c r="B563" s="43">
        <v>42951</v>
      </c>
      <c r="C563" s="42" t="s">
        <v>50</v>
      </c>
      <c r="D563" s="42" t="s">
        <v>316</v>
      </c>
      <c r="E563" s="6">
        <f t="shared" si="426"/>
        <v>57.545398750000636</v>
      </c>
      <c r="F563" s="5" t="str">
        <f t="shared" si="437"/>
        <v>Win</v>
      </c>
      <c r="G563" s="4">
        <f t="shared" si="438"/>
        <v>62.300000000000637</v>
      </c>
      <c r="H563" s="46">
        <v>7</v>
      </c>
      <c r="I563" s="42">
        <v>983.05</v>
      </c>
      <c r="N563" s="5">
        <f t="shared" si="439"/>
        <v>7</v>
      </c>
      <c r="O563" s="4">
        <f t="shared" si="440"/>
        <v>983.05</v>
      </c>
      <c r="P563" s="5">
        <f t="shared" si="399"/>
        <v>7</v>
      </c>
      <c r="Q563" s="42">
        <v>991.95</v>
      </c>
      <c r="R563" s="2">
        <f t="shared" si="443"/>
        <v>0</v>
      </c>
      <c r="T563" s="2">
        <f t="shared" si="427"/>
        <v>0</v>
      </c>
      <c r="V563" s="5">
        <f t="shared" si="441"/>
        <v>7</v>
      </c>
      <c r="W563" s="4">
        <f t="shared" si="442"/>
        <v>991.95</v>
      </c>
      <c r="X563" s="14">
        <f t="shared" si="400"/>
        <v>8.9000000000000909</v>
      </c>
      <c r="Y563" s="5">
        <f t="shared" si="401"/>
        <v>62.300000000000637</v>
      </c>
      <c r="Z563" s="2">
        <f t="shared" si="402"/>
        <v>0</v>
      </c>
      <c r="AA563" s="4">
        <f t="shared" si="403"/>
        <v>0</v>
      </c>
      <c r="AB563" s="13">
        <f t="shared" si="404"/>
        <v>4.7546012500000003</v>
      </c>
      <c r="AC563" s="10">
        <f>SUM($E$4:E563)</f>
        <v>-16891.9598265317</v>
      </c>
      <c r="AD563" s="20">
        <f>SUM($AB$4:AB563)</f>
        <v>12869.43052653166</v>
      </c>
      <c r="AF563" s="28">
        <f t="shared" si="405"/>
        <v>1.3825000000000001</v>
      </c>
      <c r="AG563" s="2">
        <f t="shared" si="406"/>
        <v>1.7359125000000002</v>
      </c>
      <c r="AH563" s="2">
        <f t="shared" si="407"/>
        <v>0.44931249999999995</v>
      </c>
      <c r="AI563" s="2">
        <f t="shared" si="428"/>
        <v>1.8318125000000001</v>
      </c>
      <c r="AJ563" s="2">
        <f t="shared" si="444"/>
        <v>0.32972625</v>
      </c>
      <c r="AK563" s="2">
        <f t="shared" si="408"/>
        <v>2.7650000000000001E-2</v>
      </c>
      <c r="AL563" s="2">
        <f t="shared" si="409"/>
        <v>0.82950000000000002</v>
      </c>
      <c r="AM563" s="2">
        <f t="shared" si="429"/>
        <v>4.7546012500000003</v>
      </c>
      <c r="AN563" s="2">
        <f t="shared" si="410"/>
        <v>40</v>
      </c>
      <c r="AO563" s="2">
        <f t="shared" si="411"/>
        <v>3.4718250000000004</v>
      </c>
      <c r="AP563" s="2">
        <f t="shared" si="412"/>
        <v>7.3272499999999994</v>
      </c>
      <c r="AQ563" s="2">
        <f t="shared" si="430"/>
        <v>47.327249999999999</v>
      </c>
      <c r="AR563" s="2">
        <f t="shared" si="445"/>
        <v>8.5189050000000002</v>
      </c>
      <c r="AS563" s="2">
        <f t="shared" si="413"/>
        <v>2.7650000000000001E-2</v>
      </c>
      <c r="AT563" s="2">
        <f t="shared" si="414"/>
        <v>0.82950000000000002</v>
      </c>
      <c r="AU563" s="2">
        <f t="shared" si="431"/>
        <v>60.17513000000001</v>
      </c>
      <c r="AV563" s="2">
        <f t="shared" si="415"/>
        <v>1.3825000000000001</v>
      </c>
      <c r="AW563" s="2">
        <f t="shared" si="416"/>
        <v>0.69436500000000001</v>
      </c>
      <c r="AX563" s="2">
        <f t="shared" si="417"/>
        <v>0.290325</v>
      </c>
      <c r="AY563" s="2">
        <f t="shared" si="432"/>
        <v>1.672825</v>
      </c>
      <c r="AZ563" s="2">
        <f t="shared" si="446"/>
        <v>0.3011085</v>
      </c>
      <c r="BA563" s="2">
        <f t="shared" si="418"/>
        <v>2.7650000000000001E-2</v>
      </c>
      <c r="BB563" s="2">
        <f t="shared" si="419"/>
        <v>0.82950000000000002</v>
      </c>
      <c r="BC563" s="2">
        <f t="shared" si="433"/>
        <v>3.5254485000000004</v>
      </c>
      <c r="BD563" s="2">
        <v>0</v>
      </c>
      <c r="BE563" s="2">
        <f t="shared" si="420"/>
        <v>13.825000000000001</v>
      </c>
      <c r="BF563" s="2">
        <f t="shared" si="421"/>
        <v>0.44931249999999995</v>
      </c>
      <c r="BG563" s="2">
        <f t="shared" si="434"/>
        <v>0.44931249999999995</v>
      </c>
      <c r="BH563" s="2">
        <f t="shared" si="447"/>
        <v>8.0876249999999983E-2</v>
      </c>
      <c r="BI563" s="2">
        <f t="shared" si="422"/>
        <v>2.7650000000000001E-2</v>
      </c>
      <c r="BJ563" s="2">
        <f t="shared" si="423"/>
        <v>0.82950000000000002</v>
      </c>
      <c r="BK563" s="2">
        <f t="shared" si="435"/>
        <v>15.212338749999999</v>
      </c>
      <c r="BL563" s="2">
        <f t="shared" si="424"/>
        <v>6881.3499999999995</v>
      </c>
      <c r="BM563" s="2">
        <f t="shared" si="425"/>
        <v>6943.6500000000005</v>
      </c>
      <c r="BN563" s="2">
        <f t="shared" si="436"/>
        <v>13825</v>
      </c>
    </row>
    <row r="564" spans="1:66" x14ac:dyDescent="0.25">
      <c r="A564" s="42">
        <v>561</v>
      </c>
      <c r="B564" s="43">
        <v>42954</v>
      </c>
      <c r="C564" s="42" t="s">
        <v>50</v>
      </c>
      <c r="D564" s="42" t="s">
        <v>163</v>
      </c>
      <c r="E564" s="6">
        <f t="shared" si="426"/>
        <v>-60.035523300000342</v>
      </c>
      <c r="F564" s="5" t="str">
        <f t="shared" si="437"/>
        <v>Loss</v>
      </c>
      <c r="G564" s="4">
        <f t="shared" si="438"/>
        <v>-54.000000000000341</v>
      </c>
      <c r="H564" s="46">
        <v>120</v>
      </c>
      <c r="I564" s="42">
        <v>73.55</v>
      </c>
      <c r="N564" s="5">
        <f t="shared" si="439"/>
        <v>120</v>
      </c>
      <c r="O564" s="4">
        <f t="shared" si="440"/>
        <v>73.55</v>
      </c>
      <c r="P564" s="5">
        <f t="shared" si="399"/>
        <v>120</v>
      </c>
      <c r="Q564" s="42">
        <v>73.099999999999994</v>
      </c>
      <c r="R564" s="2">
        <f t="shared" si="443"/>
        <v>0</v>
      </c>
      <c r="T564" s="2">
        <f t="shared" si="427"/>
        <v>0</v>
      </c>
      <c r="V564" s="5">
        <f t="shared" si="441"/>
        <v>120</v>
      </c>
      <c r="W564" s="4">
        <f t="shared" si="442"/>
        <v>73.099999999999994</v>
      </c>
      <c r="X564" s="14">
        <f t="shared" si="400"/>
        <v>-0.45000000000000284</v>
      </c>
      <c r="Y564" s="5">
        <f t="shared" si="401"/>
        <v>-54.000000000000341</v>
      </c>
      <c r="Z564" s="2">
        <f t="shared" si="402"/>
        <v>0</v>
      </c>
      <c r="AA564" s="4">
        <f t="shared" si="403"/>
        <v>0</v>
      </c>
      <c r="AB564" s="13">
        <f t="shared" si="404"/>
        <v>6.0355232999999995</v>
      </c>
      <c r="AC564" s="10">
        <f>SUM($E$4:E564)</f>
        <v>-16951.995349831701</v>
      </c>
      <c r="AD564" s="20">
        <f>SUM($AB$4:AB564)</f>
        <v>12875.466049831659</v>
      </c>
      <c r="AF564" s="28">
        <f t="shared" si="405"/>
        <v>1.7598</v>
      </c>
      <c r="AG564" s="2">
        <f t="shared" si="406"/>
        <v>2.1929999999999996</v>
      </c>
      <c r="AH564" s="2">
        <f t="shared" si="407"/>
        <v>0.57193499999999997</v>
      </c>
      <c r="AI564" s="2">
        <f t="shared" si="428"/>
        <v>2.3317350000000001</v>
      </c>
      <c r="AJ564" s="2">
        <f t="shared" si="444"/>
        <v>0.41971229999999998</v>
      </c>
      <c r="AK564" s="2">
        <f t="shared" si="408"/>
        <v>3.5195999999999998E-2</v>
      </c>
      <c r="AL564" s="2">
        <f t="shared" si="409"/>
        <v>1.0558799999999999</v>
      </c>
      <c r="AM564" s="2">
        <f t="shared" si="429"/>
        <v>6.0355232999999995</v>
      </c>
      <c r="AN564" s="2">
        <f t="shared" si="410"/>
        <v>40</v>
      </c>
      <c r="AO564" s="2">
        <f t="shared" si="411"/>
        <v>4.3859999999999992</v>
      </c>
      <c r="AP564" s="2">
        <f t="shared" si="412"/>
        <v>9.3269400000000005</v>
      </c>
      <c r="AQ564" s="2">
        <f t="shared" si="430"/>
        <v>49.32694</v>
      </c>
      <c r="AR564" s="2">
        <f t="shared" si="445"/>
        <v>8.8788491999999994</v>
      </c>
      <c r="AS564" s="2">
        <f t="shared" si="413"/>
        <v>3.5195999999999998E-2</v>
      </c>
      <c r="AT564" s="2">
        <f t="shared" si="414"/>
        <v>1.0558799999999999</v>
      </c>
      <c r="AU564" s="2">
        <f t="shared" si="431"/>
        <v>63.682865199999995</v>
      </c>
      <c r="AV564" s="2">
        <f t="shared" si="415"/>
        <v>1.7598</v>
      </c>
      <c r="AW564" s="2">
        <f t="shared" si="416"/>
        <v>0.87719999999999998</v>
      </c>
      <c r="AX564" s="2">
        <f t="shared" si="417"/>
        <v>0.369558</v>
      </c>
      <c r="AY564" s="2">
        <f t="shared" si="432"/>
        <v>2.1293579999999999</v>
      </c>
      <c r="AZ564" s="2">
        <f t="shared" si="446"/>
        <v>0.38328443999999995</v>
      </c>
      <c r="BA564" s="2">
        <f t="shared" si="418"/>
        <v>3.5195999999999998E-2</v>
      </c>
      <c r="BB564" s="2">
        <f t="shared" si="419"/>
        <v>1.0558799999999999</v>
      </c>
      <c r="BC564" s="2">
        <f t="shared" si="433"/>
        <v>4.4809184399999999</v>
      </c>
      <c r="BD564" s="2">
        <v>0</v>
      </c>
      <c r="BE564" s="2">
        <f t="shared" si="420"/>
        <v>17.597999999999999</v>
      </c>
      <c r="BF564" s="2">
        <f t="shared" si="421"/>
        <v>0.57193499999999997</v>
      </c>
      <c r="BG564" s="2">
        <f t="shared" si="434"/>
        <v>0.57193499999999997</v>
      </c>
      <c r="BH564" s="2">
        <f t="shared" si="447"/>
        <v>0.10294829999999999</v>
      </c>
      <c r="BI564" s="2">
        <f t="shared" si="422"/>
        <v>3.5195999999999998E-2</v>
      </c>
      <c r="BJ564" s="2">
        <f t="shared" si="423"/>
        <v>1.0558799999999999</v>
      </c>
      <c r="BK564" s="2">
        <f t="shared" si="435"/>
        <v>19.363959299999998</v>
      </c>
      <c r="BL564" s="2">
        <f t="shared" si="424"/>
        <v>8826</v>
      </c>
      <c r="BM564" s="2">
        <f t="shared" si="425"/>
        <v>8772</v>
      </c>
      <c r="BN564" s="2">
        <f t="shared" si="436"/>
        <v>17598</v>
      </c>
    </row>
    <row r="565" spans="1:66" x14ac:dyDescent="0.25">
      <c r="A565" s="42">
        <v>562</v>
      </c>
      <c r="B565" s="43">
        <v>42954</v>
      </c>
      <c r="C565" s="42" t="s">
        <v>50</v>
      </c>
      <c r="D565" s="42" t="s">
        <v>163</v>
      </c>
      <c r="E565" s="6">
        <f t="shared" si="426"/>
        <v>105.01454200000086</v>
      </c>
      <c r="F565" s="5" t="str">
        <f t="shared" si="437"/>
        <v>Win</v>
      </c>
      <c r="G565" s="4">
        <f t="shared" si="438"/>
        <v>110.00000000000085</v>
      </c>
      <c r="H565" s="46">
        <v>100</v>
      </c>
      <c r="I565" s="42">
        <v>71.849999999999994</v>
      </c>
      <c r="N565" s="5">
        <f t="shared" si="439"/>
        <v>100</v>
      </c>
      <c r="O565" s="4">
        <f t="shared" si="440"/>
        <v>71.849999999999994</v>
      </c>
      <c r="P565" s="5">
        <f t="shared" si="399"/>
        <v>100</v>
      </c>
      <c r="Q565" s="42">
        <v>72.95</v>
      </c>
      <c r="R565" s="2">
        <f t="shared" si="443"/>
        <v>0</v>
      </c>
      <c r="T565" s="2">
        <f t="shared" si="427"/>
        <v>0</v>
      </c>
      <c r="V565" s="5">
        <f t="shared" si="441"/>
        <v>100</v>
      </c>
      <c r="W565" s="4">
        <f t="shared" si="442"/>
        <v>72.95</v>
      </c>
      <c r="X565" s="14">
        <f t="shared" si="400"/>
        <v>1.1000000000000085</v>
      </c>
      <c r="Y565" s="5">
        <f t="shared" si="401"/>
        <v>110.00000000000085</v>
      </c>
      <c r="Z565" s="2">
        <f t="shared" si="402"/>
        <v>0</v>
      </c>
      <c r="AA565" s="4">
        <f t="shared" si="403"/>
        <v>0</v>
      </c>
      <c r="AB565" s="13">
        <f t="shared" si="404"/>
        <v>4.9854580000000004</v>
      </c>
      <c r="AC565" s="10">
        <f>SUM($E$4:E565)</f>
        <v>-16846.9808078317</v>
      </c>
      <c r="AD565" s="20">
        <f>SUM($AB$4:AB565)</f>
        <v>12880.451507831658</v>
      </c>
      <c r="AF565" s="28">
        <f t="shared" si="405"/>
        <v>1.4480000000000002</v>
      </c>
      <c r="AG565" s="2">
        <f t="shared" si="406"/>
        <v>1.8237500000000002</v>
      </c>
      <c r="AH565" s="2">
        <f t="shared" si="407"/>
        <v>0.47059999999999996</v>
      </c>
      <c r="AI565" s="2">
        <f t="shared" si="428"/>
        <v>1.9186000000000001</v>
      </c>
      <c r="AJ565" s="2">
        <f t="shared" si="444"/>
        <v>0.34534799999999999</v>
      </c>
      <c r="AK565" s="2">
        <f t="shared" si="408"/>
        <v>2.896E-2</v>
      </c>
      <c r="AL565" s="2">
        <f t="shared" si="409"/>
        <v>0.86880000000000002</v>
      </c>
      <c r="AM565" s="2">
        <f t="shared" si="429"/>
        <v>4.9854580000000004</v>
      </c>
      <c r="AN565" s="2">
        <f t="shared" si="410"/>
        <v>40</v>
      </c>
      <c r="AO565" s="2">
        <f t="shared" si="411"/>
        <v>3.6475000000000004</v>
      </c>
      <c r="AP565" s="2">
        <f t="shared" si="412"/>
        <v>7.6743999999999994</v>
      </c>
      <c r="AQ565" s="2">
        <f t="shared" si="430"/>
        <v>47.674399999999999</v>
      </c>
      <c r="AR565" s="2">
        <f t="shared" si="445"/>
        <v>8.5813919999999992</v>
      </c>
      <c r="AS565" s="2">
        <f t="shared" si="413"/>
        <v>2.896E-2</v>
      </c>
      <c r="AT565" s="2">
        <f t="shared" si="414"/>
        <v>0.86880000000000002</v>
      </c>
      <c r="AU565" s="2">
        <f t="shared" si="431"/>
        <v>60.801051999999999</v>
      </c>
      <c r="AV565" s="2">
        <f t="shared" si="415"/>
        <v>1.4480000000000002</v>
      </c>
      <c r="AW565" s="2">
        <f t="shared" si="416"/>
        <v>0.72950000000000004</v>
      </c>
      <c r="AX565" s="2">
        <f t="shared" si="417"/>
        <v>0.30407999999999996</v>
      </c>
      <c r="AY565" s="2">
        <f t="shared" si="432"/>
        <v>1.7520800000000001</v>
      </c>
      <c r="AZ565" s="2">
        <f t="shared" si="446"/>
        <v>0.3153744</v>
      </c>
      <c r="BA565" s="2">
        <f t="shared" si="418"/>
        <v>2.896E-2</v>
      </c>
      <c r="BB565" s="2">
        <f t="shared" si="419"/>
        <v>0.86880000000000002</v>
      </c>
      <c r="BC565" s="2">
        <f t="shared" si="433"/>
        <v>3.6947144000000005</v>
      </c>
      <c r="BD565" s="2">
        <v>0</v>
      </c>
      <c r="BE565" s="2">
        <f t="shared" si="420"/>
        <v>14.48</v>
      </c>
      <c r="BF565" s="2">
        <f t="shared" si="421"/>
        <v>0.47059999999999996</v>
      </c>
      <c r="BG565" s="2">
        <f t="shared" si="434"/>
        <v>0.47059999999999996</v>
      </c>
      <c r="BH565" s="2">
        <f t="shared" si="447"/>
        <v>8.4707999999999992E-2</v>
      </c>
      <c r="BI565" s="2">
        <f t="shared" si="422"/>
        <v>2.896E-2</v>
      </c>
      <c r="BJ565" s="2">
        <f t="shared" si="423"/>
        <v>0.86880000000000002</v>
      </c>
      <c r="BK565" s="2">
        <f t="shared" si="435"/>
        <v>15.933067999999999</v>
      </c>
      <c r="BL565" s="2">
        <f t="shared" si="424"/>
        <v>7184.9999999999991</v>
      </c>
      <c r="BM565" s="2">
        <f t="shared" si="425"/>
        <v>7295</v>
      </c>
      <c r="BN565" s="2">
        <f t="shared" si="436"/>
        <v>14480</v>
      </c>
    </row>
    <row r="566" spans="1:66" x14ac:dyDescent="0.25">
      <c r="A566" s="42">
        <v>563</v>
      </c>
      <c r="B566" s="43">
        <v>42955</v>
      </c>
      <c r="C566" s="42" t="s">
        <v>50</v>
      </c>
      <c r="D566" s="42" t="s">
        <v>317</v>
      </c>
      <c r="E566" s="6">
        <f t="shared" si="426"/>
        <v>-53.36665823000039</v>
      </c>
      <c r="F566" s="5" t="str">
        <f t="shared" si="437"/>
        <v>Loss</v>
      </c>
      <c r="G566" s="4">
        <f t="shared" si="438"/>
        <v>-44.200000000000387</v>
      </c>
      <c r="H566" s="46">
        <v>34</v>
      </c>
      <c r="I566" s="42">
        <v>393.5</v>
      </c>
      <c r="N566" s="5">
        <f t="shared" si="439"/>
        <v>34</v>
      </c>
      <c r="O566" s="4">
        <f t="shared" si="440"/>
        <v>393.5</v>
      </c>
      <c r="P566" s="5">
        <f t="shared" si="399"/>
        <v>34</v>
      </c>
      <c r="Q566" s="42">
        <v>392.2</v>
      </c>
      <c r="R566" s="2">
        <f t="shared" si="443"/>
        <v>0</v>
      </c>
      <c r="T566" s="2">
        <f t="shared" si="427"/>
        <v>0</v>
      </c>
      <c r="V566" s="5">
        <f t="shared" si="441"/>
        <v>34</v>
      </c>
      <c r="W566" s="4">
        <f t="shared" si="442"/>
        <v>392.2</v>
      </c>
      <c r="X566" s="14">
        <f t="shared" si="400"/>
        <v>-1.3000000000000114</v>
      </c>
      <c r="Y566" s="5">
        <f t="shared" si="401"/>
        <v>-44.200000000000387</v>
      </c>
      <c r="Z566" s="2">
        <f t="shared" si="402"/>
        <v>0</v>
      </c>
      <c r="AA566" s="4">
        <f t="shared" si="403"/>
        <v>0</v>
      </c>
      <c r="AB566" s="13">
        <f t="shared" si="404"/>
        <v>9.1666582300000012</v>
      </c>
      <c r="AC566" s="10">
        <f>SUM($E$4:E566)</f>
        <v>-16900.347466061699</v>
      </c>
      <c r="AD566" s="20">
        <f>SUM($AB$4:AB566)</f>
        <v>12889.618166061658</v>
      </c>
      <c r="AF566" s="28">
        <f t="shared" si="405"/>
        <v>2.6713800000000001</v>
      </c>
      <c r="AG566" s="2">
        <f t="shared" si="406"/>
        <v>3.3337000000000003</v>
      </c>
      <c r="AH566" s="2">
        <f t="shared" si="407"/>
        <v>0.86819849999999987</v>
      </c>
      <c r="AI566" s="2">
        <f t="shared" si="428"/>
        <v>3.5395785000000002</v>
      </c>
      <c r="AJ566" s="2">
        <f t="shared" si="444"/>
        <v>0.63712413000000001</v>
      </c>
      <c r="AK566" s="2">
        <f t="shared" si="408"/>
        <v>5.3427600000000006E-2</v>
      </c>
      <c r="AL566" s="2">
        <f t="shared" si="409"/>
        <v>1.6028279999999999</v>
      </c>
      <c r="AM566" s="2">
        <f t="shared" si="429"/>
        <v>9.1666582300000012</v>
      </c>
      <c r="AN566" s="2">
        <f t="shared" si="410"/>
        <v>40</v>
      </c>
      <c r="AO566" s="2">
        <f t="shared" si="411"/>
        <v>6.6674000000000007</v>
      </c>
      <c r="AP566" s="2">
        <f t="shared" si="412"/>
        <v>14.158313999999999</v>
      </c>
      <c r="AQ566" s="2">
        <f t="shared" si="430"/>
        <v>54.158313999999997</v>
      </c>
      <c r="AR566" s="2">
        <f t="shared" si="445"/>
        <v>9.7484965199999998</v>
      </c>
      <c r="AS566" s="2">
        <f t="shared" si="413"/>
        <v>5.3427600000000006E-2</v>
      </c>
      <c r="AT566" s="2">
        <f t="shared" si="414"/>
        <v>1.6028279999999999</v>
      </c>
      <c r="AU566" s="2">
        <f t="shared" si="431"/>
        <v>72.230466120000003</v>
      </c>
      <c r="AV566" s="2">
        <f t="shared" si="415"/>
        <v>2.6713800000000001</v>
      </c>
      <c r="AW566" s="2">
        <f t="shared" si="416"/>
        <v>1.33348</v>
      </c>
      <c r="AX566" s="2">
        <f t="shared" si="417"/>
        <v>0.56098979999999998</v>
      </c>
      <c r="AY566" s="2">
        <f t="shared" si="432"/>
        <v>3.2323697999999998</v>
      </c>
      <c r="AZ566" s="2">
        <f t="shared" si="446"/>
        <v>0.58182656399999999</v>
      </c>
      <c r="BA566" s="2">
        <f t="shared" si="418"/>
        <v>5.3427600000000006E-2</v>
      </c>
      <c r="BB566" s="2">
        <f t="shared" si="419"/>
        <v>1.6028279999999999</v>
      </c>
      <c r="BC566" s="2">
        <f t="shared" si="433"/>
        <v>6.8039319639999993</v>
      </c>
      <c r="BD566" s="2">
        <v>0</v>
      </c>
      <c r="BE566" s="2">
        <f t="shared" si="420"/>
        <v>26.713799999999999</v>
      </c>
      <c r="BF566" s="2">
        <f t="shared" si="421"/>
        <v>0.86819849999999987</v>
      </c>
      <c r="BG566" s="2">
        <f t="shared" si="434"/>
        <v>0.86819849999999987</v>
      </c>
      <c r="BH566" s="2">
        <f t="shared" si="447"/>
        <v>0.15627572999999997</v>
      </c>
      <c r="BI566" s="2">
        <f t="shared" si="422"/>
        <v>5.3427600000000006E-2</v>
      </c>
      <c r="BJ566" s="2">
        <f t="shared" si="423"/>
        <v>1.6028279999999999</v>
      </c>
      <c r="BK566" s="2">
        <f t="shared" si="435"/>
        <v>29.394529829999996</v>
      </c>
      <c r="BL566" s="2">
        <f t="shared" si="424"/>
        <v>13379</v>
      </c>
      <c r="BM566" s="2">
        <f t="shared" si="425"/>
        <v>13334.8</v>
      </c>
      <c r="BN566" s="2">
        <f t="shared" si="436"/>
        <v>26713.8</v>
      </c>
    </row>
    <row r="567" spans="1:66" x14ac:dyDescent="0.25">
      <c r="A567" s="42">
        <v>564</v>
      </c>
      <c r="B567" s="43">
        <v>42955</v>
      </c>
      <c r="C567" s="42" t="s">
        <v>50</v>
      </c>
      <c r="D567" s="42" t="s">
        <v>268</v>
      </c>
      <c r="E567" s="6">
        <f t="shared" si="426"/>
        <v>-116.83121239499999</v>
      </c>
      <c r="F567" s="5" t="str">
        <f t="shared" si="437"/>
        <v>Loss</v>
      </c>
      <c r="G567" s="4">
        <f t="shared" si="438"/>
        <v>-111</v>
      </c>
      <c r="H567" s="46">
        <v>37</v>
      </c>
      <c r="I567" s="42">
        <v>231.55</v>
      </c>
      <c r="N567" s="5">
        <f t="shared" si="439"/>
        <v>37</v>
      </c>
      <c r="O567" s="4">
        <f t="shared" si="440"/>
        <v>231.55</v>
      </c>
      <c r="P567" s="5">
        <f t="shared" si="399"/>
        <v>37</v>
      </c>
      <c r="Q567" s="42">
        <v>228.55</v>
      </c>
      <c r="R567" s="2">
        <f t="shared" si="443"/>
        <v>0</v>
      </c>
      <c r="T567" s="2">
        <f t="shared" si="427"/>
        <v>0</v>
      </c>
      <c r="V567" s="5">
        <f t="shared" si="441"/>
        <v>37</v>
      </c>
      <c r="W567" s="4">
        <f t="shared" si="442"/>
        <v>228.55</v>
      </c>
      <c r="X567" s="14">
        <f t="shared" si="400"/>
        <v>-3</v>
      </c>
      <c r="Y567" s="5">
        <f t="shared" si="401"/>
        <v>-111</v>
      </c>
      <c r="Z567" s="2">
        <f t="shared" si="402"/>
        <v>0</v>
      </c>
      <c r="AA567" s="4">
        <f t="shared" si="403"/>
        <v>0</v>
      </c>
      <c r="AB567" s="13">
        <f t="shared" si="404"/>
        <v>5.8312123950000005</v>
      </c>
      <c r="AC567" s="10">
        <f>SUM($E$4:E567)</f>
        <v>-17017.178678456701</v>
      </c>
      <c r="AD567" s="20">
        <f>SUM($AB$4:AB567)</f>
        <v>12895.449378456658</v>
      </c>
      <c r="AF567" s="28">
        <f t="shared" si="405"/>
        <v>1.7023700000000002</v>
      </c>
      <c r="AG567" s="2">
        <f t="shared" si="406"/>
        <v>2.1140875000000001</v>
      </c>
      <c r="AH567" s="2">
        <f t="shared" si="407"/>
        <v>0.55327024999999996</v>
      </c>
      <c r="AI567" s="2">
        <f t="shared" si="428"/>
        <v>2.2556402499999999</v>
      </c>
      <c r="AJ567" s="2">
        <f t="shared" si="444"/>
        <v>0.40601524499999997</v>
      </c>
      <c r="AK567" s="2">
        <f t="shared" si="408"/>
        <v>3.4047400000000005E-2</v>
      </c>
      <c r="AL567" s="2">
        <f t="shared" si="409"/>
        <v>1.0214220000000001</v>
      </c>
      <c r="AM567" s="2">
        <f t="shared" si="429"/>
        <v>5.8312123950000005</v>
      </c>
      <c r="AN567" s="2">
        <f t="shared" si="410"/>
        <v>40</v>
      </c>
      <c r="AO567" s="2">
        <f t="shared" si="411"/>
        <v>4.2281750000000002</v>
      </c>
      <c r="AP567" s="2">
        <f t="shared" si="412"/>
        <v>9.0225609999999996</v>
      </c>
      <c r="AQ567" s="2">
        <f t="shared" si="430"/>
        <v>49.022560999999996</v>
      </c>
      <c r="AR567" s="2">
        <f t="shared" si="445"/>
        <v>8.8240609799999987</v>
      </c>
      <c r="AS567" s="2">
        <f t="shared" si="413"/>
        <v>3.4047400000000005E-2</v>
      </c>
      <c r="AT567" s="2">
        <f t="shared" si="414"/>
        <v>1.0214220000000001</v>
      </c>
      <c r="AU567" s="2">
        <f t="shared" si="431"/>
        <v>63.130266380000002</v>
      </c>
      <c r="AV567" s="2">
        <f t="shared" si="415"/>
        <v>1.7023700000000002</v>
      </c>
      <c r="AW567" s="2">
        <f t="shared" si="416"/>
        <v>0.84563500000000003</v>
      </c>
      <c r="AX567" s="2">
        <f t="shared" si="417"/>
        <v>0.35749769999999997</v>
      </c>
      <c r="AY567" s="2">
        <f t="shared" si="432"/>
        <v>2.0598677000000003</v>
      </c>
      <c r="AZ567" s="2">
        <f t="shared" si="446"/>
        <v>0.37077618600000006</v>
      </c>
      <c r="BA567" s="2">
        <f t="shared" si="418"/>
        <v>3.4047400000000005E-2</v>
      </c>
      <c r="BB567" s="2">
        <f t="shared" si="419"/>
        <v>1.0214220000000001</v>
      </c>
      <c r="BC567" s="2">
        <f t="shared" si="433"/>
        <v>4.3317482860000007</v>
      </c>
      <c r="BD567" s="2">
        <v>0</v>
      </c>
      <c r="BE567" s="2">
        <f t="shared" si="420"/>
        <v>17.023700000000002</v>
      </c>
      <c r="BF567" s="2">
        <f t="shared" si="421"/>
        <v>0.55327024999999996</v>
      </c>
      <c r="BG567" s="2">
        <f t="shared" si="434"/>
        <v>0.55327024999999996</v>
      </c>
      <c r="BH567" s="2">
        <f t="shared" si="447"/>
        <v>9.958864499999999E-2</v>
      </c>
      <c r="BI567" s="2">
        <f t="shared" si="422"/>
        <v>3.4047400000000005E-2</v>
      </c>
      <c r="BJ567" s="2">
        <f t="shared" si="423"/>
        <v>1.0214220000000001</v>
      </c>
      <c r="BK567" s="2">
        <f t="shared" si="435"/>
        <v>18.732028295000003</v>
      </c>
      <c r="BL567" s="2">
        <f t="shared" si="424"/>
        <v>8567.35</v>
      </c>
      <c r="BM567" s="2">
        <f t="shared" si="425"/>
        <v>8456.35</v>
      </c>
      <c r="BN567" s="2">
        <f t="shared" si="436"/>
        <v>17023.7</v>
      </c>
    </row>
    <row r="568" spans="1:66" x14ac:dyDescent="0.25">
      <c r="A568" s="42">
        <v>565</v>
      </c>
      <c r="B568" s="43">
        <v>42955</v>
      </c>
      <c r="C568" s="42" t="s">
        <v>50</v>
      </c>
      <c r="D568" s="42" t="s">
        <v>163</v>
      </c>
      <c r="E568" s="6">
        <f t="shared" si="426"/>
        <v>171.43343425000086</v>
      </c>
      <c r="F568" s="5" t="str">
        <f t="shared" si="437"/>
        <v>Win</v>
      </c>
      <c r="G568" s="4">
        <f t="shared" si="438"/>
        <v>185.00000000000085</v>
      </c>
      <c r="H568" s="46">
        <v>100</v>
      </c>
      <c r="I568" s="42">
        <v>66.8</v>
      </c>
      <c r="J568" s="42">
        <v>100</v>
      </c>
      <c r="K568" s="42">
        <v>65.05</v>
      </c>
      <c r="L568" s="42">
        <v>100</v>
      </c>
      <c r="M568" s="44">
        <v>64.45</v>
      </c>
      <c r="N568" s="5">
        <f t="shared" si="439"/>
        <v>300</v>
      </c>
      <c r="O568" s="4">
        <f t="shared" si="440"/>
        <v>65.433333333333337</v>
      </c>
      <c r="P568" s="5">
        <f t="shared" si="399"/>
        <v>100</v>
      </c>
      <c r="Q568" s="42">
        <v>67.05</v>
      </c>
      <c r="R568" s="2">
        <f t="shared" si="443"/>
        <v>100</v>
      </c>
      <c r="S568" s="42">
        <v>66.650000000000006</v>
      </c>
      <c r="T568" s="2">
        <f t="shared" si="427"/>
        <v>100</v>
      </c>
      <c r="U568" s="44">
        <v>64.45</v>
      </c>
      <c r="V568" s="5">
        <f t="shared" si="441"/>
        <v>300</v>
      </c>
      <c r="W568" s="4">
        <f t="shared" si="442"/>
        <v>66.05</v>
      </c>
      <c r="X568" s="14">
        <f t="shared" si="400"/>
        <v>2.5999999999999943</v>
      </c>
      <c r="Y568" s="5">
        <f t="shared" si="401"/>
        <v>25</v>
      </c>
      <c r="Z568" s="2">
        <f t="shared" si="402"/>
        <v>160.00000000000085</v>
      </c>
      <c r="AA568" s="4">
        <f t="shared" si="403"/>
        <v>0</v>
      </c>
      <c r="AB568" s="13">
        <f t="shared" si="404"/>
        <v>13.566565749999999</v>
      </c>
      <c r="AC568" s="10">
        <f>SUM($E$4:E568)</f>
        <v>-16845.745244206701</v>
      </c>
      <c r="AD568" s="20">
        <f>SUM($AB$4:AB568)</f>
        <v>12909.015944206658</v>
      </c>
      <c r="AF568" s="28">
        <f t="shared" si="405"/>
        <v>3.9445000000000001</v>
      </c>
      <c r="AG568" s="2">
        <f t="shared" si="406"/>
        <v>4.9537499999999994</v>
      </c>
      <c r="AH568" s="2">
        <f t="shared" si="407"/>
        <v>1.2819624999999999</v>
      </c>
      <c r="AI568" s="2">
        <f t="shared" si="428"/>
        <v>5.2264625000000002</v>
      </c>
      <c r="AJ568" s="2">
        <f t="shared" si="444"/>
        <v>0.94076325000000005</v>
      </c>
      <c r="AK568" s="2">
        <f t="shared" si="408"/>
        <v>7.8890000000000002E-2</v>
      </c>
      <c r="AL568" s="2">
        <f t="shared" si="409"/>
        <v>2.3667000000000002</v>
      </c>
      <c r="AM568" s="2">
        <f t="shared" si="429"/>
        <v>13.566565749999999</v>
      </c>
      <c r="AN568" s="2">
        <f t="shared" si="410"/>
        <v>120</v>
      </c>
      <c r="AO568" s="2">
        <f t="shared" si="411"/>
        <v>9.9074999999999989</v>
      </c>
      <c r="AP568" s="2">
        <f t="shared" si="412"/>
        <v>20.905850000000001</v>
      </c>
      <c r="AQ568" s="2">
        <f t="shared" si="430"/>
        <v>140.90584999999999</v>
      </c>
      <c r="AR568" s="2">
        <f t="shared" si="445"/>
        <v>25.363052999999997</v>
      </c>
      <c r="AS568" s="2">
        <f t="shared" si="413"/>
        <v>7.8890000000000002E-2</v>
      </c>
      <c r="AT568" s="2">
        <f t="shared" si="414"/>
        <v>2.3667000000000002</v>
      </c>
      <c r="AU568" s="2">
        <f t="shared" si="431"/>
        <v>178.62199300000003</v>
      </c>
      <c r="AV568" s="2">
        <f t="shared" si="415"/>
        <v>3.9445000000000001</v>
      </c>
      <c r="AW568" s="2">
        <f t="shared" si="416"/>
        <v>1.9815</v>
      </c>
      <c r="AX568" s="2">
        <f t="shared" si="417"/>
        <v>0.828345</v>
      </c>
      <c r="AY568" s="2">
        <f t="shared" si="432"/>
        <v>4.7728450000000002</v>
      </c>
      <c r="AZ568" s="2">
        <f t="shared" si="446"/>
        <v>0.85911210000000005</v>
      </c>
      <c r="BA568" s="2">
        <f t="shared" si="418"/>
        <v>7.8890000000000002E-2</v>
      </c>
      <c r="BB568" s="2">
        <f t="shared" si="419"/>
        <v>2.3667000000000002</v>
      </c>
      <c r="BC568" s="2">
        <f t="shared" si="433"/>
        <v>10.059047100000001</v>
      </c>
      <c r="BD568" s="2">
        <v>0</v>
      </c>
      <c r="BE568" s="2">
        <f t="shared" si="420"/>
        <v>39.445</v>
      </c>
      <c r="BF568" s="2">
        <f t="shared" si="421"/>
        <v>1.2819624999999999</v>
      </c>
      <c r="BG568" s="2">
        <f t="shared" si="434"/>
        <v>1.2819624999999999</v>
      </c>
      <c r="BH568" s="2">
        <f t="shared" si="447"/>
        <v>0.23075324999999997</v>
      </c>
      <c r="BI568" s="2">
        <f t="shared" si="422"/>
        <v>7.8890000000000002E-2</v>
      </c>
      <c r="BJ568" s="2">
        <f t="shared" si="423"/>
        <v>2.3667000000000002</v>
      </c>
      <c r="BK568" s="2">
        <f t="shared" si="435"/>
        <v>43.403305750000001</v>
      </c>
      <c r="BL568" s="2">
        <f t="shared" si="424"/>
        <v>19630</v>
      </c>
      <c r="BM568" s="2">
        <f t="shared" si="425"/>
        <v>19815</v>
      </c>
      <c r="BN568" s="2">
        <f t="shared" si="436"/>
        <v>39445</v>
      </c>
    </row>
    <row r="569" spans="1:66" x14ac:dyDescent="0.25">
      <c r="A569" s="42">
        <v>566</v>
      </c>
      <c r="B569" s="43">
        <v>42957</v>
      </c>
      <c r="C569" s="42" t="s">
        <v>50</v>
      </c>
      <c r="D569" s="42" t="s">
        <v>316</v>
      </c>
      <c r="E569" s="6">
        <f t="shared" si="426"/>
        <v>-182.56757320000023</v>
      </c>
      <c r="F569" s="5" t="str">
        <f t="shared" si="437"/>
        <v>Loss</v>
      </c>
      <c r="G569" s="4">
        <f t="shared" si="438"/>
        <v>-176.00000000000023</v>
      </c>
      <c r="H569" s="46">
        <v>10</v>
      </c>
      <c r="I569" s="42">
        <v>968.4</v>
      </c>
      <c r="N569" s="5">
        <f t="shared" si="439"/>
        <v>10</v>
      </c>
      <c r="O569" s="4">
        <f t="shared" si="440"/>
        <v>968.4</v>
      </c>
      <c r="P569" s="5">
        <f t="shared" si="399"/>
        <v>10</v>
      </c>
      <c r="Q569" s="42">
        <v>950.8</v>
      </c>
      <c r="R569" s="2">
        <f t="shared" si="443"/>
        <v>0</v>
      </c>
      <c r="T569" s="2">
        <f t="shared" si="427"/>
        <v>0</v>
      </c>
      <c r="V569" s="5">
        <f t="shared" si="441"/>
        <v>10</v>
      </c>
      <c r="W569" s="4">
        <f t="shared" si="442"/>
        <v>950.8</v>
      </c>
      <c r="X569" s="14">
        <f t="shared" si="400"/>
        <v>-17.600000000000023</v>
      </c>
      <c r="Y569" s="5">
        <f t="shared" si="401"/>
        <v>-176.00000000000023</v>
      </c>
      <c r="Z569" s="2">
        <f t="shared" si="402"/>
        <v>0</v>
      </c>
      <c r="AA569" s="4">
        <f t="shared" si="403"/>
        <v>0</v>
      </c>
      <c r="AB569" s="13">
        <f t="shared" si="404"/>
        <v>6.5675732</v>
      </c>
      <c r="AC569" s="10">
        <f>SUM($E$4:E569)</f>
        <v>-17028.312817406702</v>
      </c>
      <c r="AD569" s="20">
        <f>SUM($AB$4:AB569)</f>
        <v>12915.583517406658</v>
      </c>
      <c r="AF569" s="28">
        <f t="shared" si="405"/>
        <v>1.9192</v>
      </c>
      <c r="AG569" s="2">
        <f t="shared" si="406"/>
        <v>2.3769999999999998</v>
      </c>
      <c r="AH569" s="2">
        <f t="shared" si="407"/>
        <v>0.62373999999999996</v>
      </c>
      <c r="AI569" s="2">
        <f t="shared" si="428"/>
        <v>2.5429399999999998</v>
      </c>
      <c r="AJ569" s="2">
        <f t="shared" si="444"/>
        <v>0.45772919999999995</v>
      </c>
      <c r="AK569" s="2">
        <f t="shared" si="408"/>
        <v>3.8384000000000001E-2</v>
      </c>
      <c r="AL569" s="2">
        <f t="shared" si="409"/>
        <v>1.1515200000000001</v>
      </c>
      <c r="AM569" s="2">
        <f t="shared" si="429"/>
        <v>6.5675732</v>
      </c>
      <c r="AN569" s="2">
        <f t="shared" si="410"/>
        <v>40</v>
      </c>
      <c r="AO569" s="2">
        <f t="shared" si="411"/>
        <v>4.7539999999999996</v>
      </c>
      <c r="AP569" s="2">
        <f t="shared" si="412"/>
        <v>10.171759999999999</v>
      </c>
      <c r="AQ569" s="2">
        <f t="shared" si="430"/>
        <v>50.171759999999999</v>
      </c>
      <c r="AR569" s="2">
        <f t="shared" si="445"/>
        <v>9.0309168</v>
      </c>
      <c r="AS569" s="2">
        <f t="shared" si="413"/>
        <v>3.8384000000000001E-2</v>
      </c>
      <c r="AT569" s="2">
        <f t="shared" si="414"/>
        <v>1.1515200000000001</v>
      </c>
      <c r="AU569" s="2">
        <f t="shared" si="431"/>
        <v>65.146580799999995</v>
      </c>
      <c r="AV569" s="2">
        <f t="shared" si="415"/>
        <v>1.9192</v>
      </c>
      <c r="AW569" s="2">
        <f t="shared" si="416"/>
        <v>0.95079999999999998</v>
      </c>
      <c r="AX569" s="2">
        <f t="shared" si="417"/>
        <v>0.403032</v>
      </c>
      <c r="AY569" s="2">
        <f t="shared" si="432"/>
        <v>2.3222320000000001</v>
      </c>
      <c r="AZ569" s="2">
        <f t="shared" si="446"/>
        <v>0.41800176</v>
      </c>
      <c r="BA569" s="2">
        <f t="shared" si="418"/>
        <v>3.8384000000000001E-2</v>
      </c>
      <c r="BB569" s="2">
        <f t="shared" si="419"/>
        <v>1.1515200000000001</v>
      </c>
      <c r="BC569" s="2">
        <f t="shared" si="433"/>
        <v>4.8809377600000001</v>
      </c>
      <c r="BD569" s="2">
        <v>0</v>
      </c>
      <c r="BE569" s="2">
        <f t="shared" si="420"/>
        <v>19.192</v>
      </c>
      <c r="BF569" s="2">
        <f t="shared" si="421"/>
        <v>0.62373999999999996</v>
      </c>
      <c r="BG569" s="2">
        <f t="shared" si="434"/>
        <v>0.62373999999999996</v>
      </c>
      <c r="BH569" s="2">
        <f t="shared" si="447"/>
        <v>0.11227319999999999</v>
      </c>
      <c r="BI569" s="2">
        <f t="shared" si="422"/>
        <v>3.8384000000000001E-2</v>
      </c>
      <c r="BJ569" s="2">
        <f t="shared" si="423"/>
        <v>1.1515200000000001</v>
      </c>
      <c r="BK569" s="2">
        <f t="shared" si="435"/>
        <v>21.117917200000004</v>
      </c>
      <c r="BL569" s="2">
        <f t="shared" si="424"/>
        <v>9684</v>
      </c>
      <c r="BM569" s="2">
        <f t="shared" si="425"/>
        <v>9508</v>
      </c>
      <c r="BN569" s="2">
        <f t="shared" si="436"/>
        <v>19192</v>
      </c>
    </row>
    <row r="570" spans="1:66" x14ac:dyDescent="0.25">
      <c r="A570" s="42">
        <v>567</v>
      </c>
      <c r="B570" s="43">
        <v>42957</v>
      </c>
      <c r="C570" s="42" t="s">
        <v>50</v>
      </c>
      <c r="D570" s="42" t="s">
        <v>318</v>
      </c>
      <c r="E570" s="6">
        <f t="shared" si="426"/>
        <v>250.48031655000011</v>
      </c>
      <c r="F570" s="5" t="str">
        <f t="shared" si="437"/>
        <v>Win</v>
      </c>
      <c r="G570" s="4">
        <f t="shared" si="438"/>
        <v>258.00000000000011</v>
      </c>
      <c r="H570" s="46">
        <v>5</v>
      </c>
      <c r="I570" s="42">
        <v>733.85</v>
      </c>
      <c r="J570" s="42">
        <v>5</v>
      </c>
      <c r="K570" s="42">
        <v>736.55</v>
      </c>
      <c r="L570" s="42">
        <v>5</v>
      </c>
      <c r="M570" s="44">
        <v>684.5</v>
      </c>
      <c r="N570" s="5">
        <f t="shared" si="439"/>
        <v>15</v>
      </c>
      <c r="O570" s="4">
        <f t="shared" si="440"/>
        <v>718.30000000000007</v>
      </c>
      <c r="P570" s="5">
        <f t="shared" si="399"/>
        <v>5</v>
      </c>
      <c r="Q570" s="42">
        <v>735</v>
      </c>
      <c r="R570" s="2">
        <f t="shared" si="443"/>
        <v>5</v>
      </c>
      <c r="S570" s="42">
        <v>737</v>
      </c>
      <c r="T570" s="2">
        <f t="shared" si="427"/>
        <v>5</v>
      </c>
      <c r="U570" s="44">
        <v>734.5</v>
      </c>
      <c r="V570" s="5">
        <f t="shared" si="441"/>
        <v>15</v>
      </c>
      <c r="W570" s="4">
        <f t="shared" si="442"/>
        <v>735.5</v>
      </c>
      <c r="X570" s="14">
        <f t="shared" si="400"/>
        <v>52.5</v>
      </c>
      <c r="Y570" s="5">
        <f t="shared" si="401"/>
        <v>5.7499999999998863</v>
      </c>
      <c r="Z570" s="2">
        <f t="shared" si="402"/>
        <v>2.2500000000002274</v>
      </c>
      <c r="AA570" s="4">
        <f t="shared" si="403"/>
        <v>250</v>
      </c>
      <c r="AB570" s="13">
        <f t="shared" si="404"/>
        <v>7.5196834499999996</v>
      </c>
      <c r="AC570" s="10">
        <f>SUM($E$4:E570)</f>
        <v>-16777.832500856701</v>
      </c>
      <c r="AD570" s="20">
        <f>SUM($AB$4:AB570)</f>
        <v>12923.103200856658</v>
      </c>
      <c r="AF570" s="28">
        <f t="shared" si="405"/>
        <v>2.1807000000000003</v>
      </c>
      <c r="AG570" s="2">
        <f t="shared" si="406"/>
        <v>2.7581249999999997</v>
      </c>
      <c r="AH570" s="2">
        <f t="shared" si="407"/>
        <v>0.70872749999999995</v>
      </c>
      <c r="AI570" s="2">
        <f t="shared" si="428"/>
        <v>2.8894275</v>
      </c>
      <c r="AJ570" s="2">
        <f t="shared" si="444"/>
        <v>0.52009695</v>
      </c>
      <c r="AK570" s="2">
        <f t="shared" si="408"/>
        <v>4.3614E-2</v>
      </c>
      <c r="AL570" s="2">
        <f t="shared" si="409"/>
        <v>1.3084200000000001</v>
      </c>
      <c r="AM570" s="2">
        <f t="shared" si="429"/>
        <v>7.5196834499999996</v>
      </c>
      <c r="AN570" s="2">
        <f t="shared" si="410"/>
        <v>120</v>
      </c>
      <c r="AO570" s="2">
        <f t="shared" si="411"/>
        <v>5.5162499999999994</v>
      </c>
      <c r="AP570" s="2">
        <f t="shared" si="412"/>
        <v>11.55771</v>
      </c>
      <c r="AQ570" s="2">
        <f t="shared" si="430"/>
        <v>131.55770999999999</v>
      </c>
      <c r="AR570" s="2">
        <f t="shared" si="445"/>
        <v>23.680387799999998</v>
      </c>
      <c r="AS570" s="2">
        <f t="shared" si="413"/>
        <v>4.3614E-2</v>
      </c>
      <c r="AT570" s="2">
        <f t="shared" si="414"/>
        <v>1.3084200000000001</v>
      </c>
      <c r="AU570" s="2">
        <f t="shared" si="431"/>
        <v>162.10638180000001</v>
      </c>
      <c r="AV570" s="2">
        <f t="shared" si="415"/>
        <v>2.1807000000000003</v>
      </c>
      <c r="AW570" s="2">
        <f t="shared" si="416"/>
        <v>1.1032500000000001</v>
      </c>
      <c r="AX570" s="2">
        <f t="shared" si="417"/>
        <v>0.45794699999999999</v>
      </c>
      <c r="AY570" s="2">
        <f t="shared" si="432"/>
        <v>2.6386470000000002</v>
      </c>
      <c r="AZ570" s="2">
        <f t="shared" si="446"/>
        <v>0.47495646000000002</v>
      </c>
      <c r="BA570" s="2">
        <f t="shared" si="418"/>
        <v>4.3614E-2</v>
      </c>
      <c r="BB570" s="2">
        <f t="shared" si="419"/>
        <v>1.3084200000000001</v>
      </c>
      <c r="BC570" s="2">
        <f t="shared" si="433"/>
        <v>5.56888746</v>
      </c>
      <c r="BD570" s="2">
        <v>0</v>
      </c>
      <c r="BE570" s="2">
        <f t="shared" si="420"/>
        <v>21.807000000000002</v>
      </c>
      <c r="BF570" s="2">
        <f t="shared" si="421"/>
        <v>0.70872749999999995</v>
      </c>
      <c r="BG570" s="2">
        <f t="shared" si="434"/>
        <v>0.70872749999999995</v>
      </c>
      <c r="BH570" s="2">
        <f t="shared" si="447"/>
        <v>0.12757094999999999</v>
      </c>
      <c r="BI570" s="2">
        <f t="shared" si="422"/>
        <v>4.3614E-2</v>
      </c>
      <c r="BJ570" s="2">
        <f t="shared" si="423"/>
        <v>1.3084200000000001</v>
      </c>
      <c r="BK570" s="2">
        <f t="shared" si="435"/>
        <v>23.995332450000003</v>
      </c>
      <c r="BL570" s="2">
        <f t="shared" si="424"/>
        <v>10774.500000000002</v>
      </c>
      <c r="BM570" s="2">
        <f t="shared" si="425"/>
        <v>11032.5</v>
      </c>
      <c r="BN570" s="2">
        <f t="shared" si="436"/>
        <v>21807</v>
      </c>
    </row>
    <row r="571" spans="1:66" x14ac:dyDescent="0.25">
      <c r="A571" s="42">
        <v>568</v>
      </c>
      <c r="B571" s="43">
        <v>42958</v>
      </c>
      <c r="C571" s="42" t="s">
        <v>50</v>
      </c>
      <c r="D571" s="42" t="s">
        <v>318</v>
      </c>
      <c r="E571" s="6">
        <f t="shared" si="426"/>
        <v>-147.18869416333359</v>
      </c>
      <c r="F571" s="5" t="str">
        <f t="shared" si="437"/>
        <v>Loss</v>
      </c>
      <c r="G571" s="4">
        <f t="shared" si="438"/>
        <v>-133.95000000000027</v>
      </c>
      <c r="H571" s="46">
        <v>16</v>
      </c>
      <c r="I571" s="42">
        <v>687</v>
      </c>
      <c r="J571" s="42">
        <v>9</v>
      </c>
      <c r="K571" s="42">
        <v>692.75</v>
      </c>
      <c r="L571" s="42">
        <v>3</v>
      </c>
      <c r="M571" s="44">
        <v>695</v>
      </c>
      <c r="N571" s="5">
        <f t="shared" si="439"/>
        <v>28</v>
      </c>
      <c r="O571" s="4">
        <f t="shared" si="440"/>
        <v>691.58333333333337</v>
      </c>
      <c r="P571" s="5">
        <f t="shared" si="399"/>
        <v>16</v>
      </c>
      <c r="Q571" s="42">
        <v>681</v>
      </c>
      <c r="R571" s="2">
        <f t="shared" si="443"/>
        <v>9</v>
      </c>
      <c r="S571" s="42">
        <v>690.15</v>
      </c>
      <c r="T571" s="2">
        <f t="shared" si="427"/>
        <v>3</v>
      </c>
      <c r="U571" s="44">
        <v>690.15</v>
      </c>
      <c r="V571" s="5">
        <f t="shared" si="441"/>
        <v>28</v>
      </c>
      <c r="W571" s="4">
        <f t="shared" si="442"/>
        <v>687.1</v>
      </c>
      <c r="X571" s="14">
        <f t="shared" si="400"/>
        <v>3.1499999999999773</v>
      </c>
      <c r="Y571" s="5">
        <f t="shared" si="401"/>
        <v>-96</v>
      </c>
      <c r="Z571" s="2">
        <f t="shared" si="402"/>
        <v>-23.400000000000205</v>
      </c>
      <c r="AA571" s="4">
        <f t="shared" si="403"/>
        <v>-14.550000000000068</v>
      </c>
      <c r="AB571" s="13">
        <f t="shared" si="404"/>
        <v>13.238694163333331</v>
      </c>
      <c r="AC571" s="10">
        <f>SUM($E$4:E571)</f>
        <v>-16925.021195020036</v>
      </c>
      <c r="AD571" s="20">
        <f>SUM($AB$4:AB571)</f>
        <v>12936.341895019992</v>
      </c>
      <c r="AF571" s="28">
        <f t="shared" si="405"/>
        <v>3.8603133333333335</v>
      </c>
      <c r="AG571" s="2">
        <f t="shared" si="406"/>
        <v>4.8097000000000003</v>
      </c>
      <c r="AH571" s="2">
        <f t="shared" si="407"/>
        <v>1.2546018333333331</v>
      </c>
      <c r="AI571" s="2">
        <f t="shared" si="428"/>
        <v>5.1149151666666661</v>
      </c>
      <c r="AJ571" s="2">
        <f t="shared" si="444"/>
        <v>0.92068472999999984</v>
      </c>
      <c r="AK571" s="2">
        <f t="shared" si="408"/>
        <v>7.7206266666666662E-2</v>
      </c>
      <c r="AL571" s="2">
        <f t="shared" si="409"/>
        <v>2.3161879999999999</v>
      </c>
      <c r="AM571" s="2">
        <f t="shared" si="429"/>
        <v>13.238694163333331</v>
      </c>
      <c r="AN571" s="2">
        <f t="shared" si="410"/>
        <v>120</v>
      </c>
      <c r="AO571" s="2">
        <f t="shared" si="411"/>
        <v>9.6194000000000006</v>
      </c>
      <c r="AP571" s="2">
        <f t="shared" si="412"/>
        <v>20.459660666666664</v>
      </c>
      <c r="AQ571" s="2">
        <f t="shared" si="430"/>
        <v>140.45966066666665</v>
      </c>
      <c r="AR571" s="2">
        <f t="shared" si="445"/>
        <v>25.282738919999996</v>
      </c>
      <c r="AS571" s="2">
        <f t="shared" si="413"/>
        <v>7.7206266666666662E-2</v>
      </c>
      <c r="AT571" s="2">
        <f t="shared" si="414"/>
        <v>2.3161879999999999</v>
      </c>
      <c r="AU571" s="2">
        <f t="shared" si="431"/>
        <v>177.75519385333337</v>
      </c>
      <c r="AV571" s="2">
        <f t="shared" si="415"/>
        <v>3.8603133333333335</v>
      </c>
      <c r="AW571" s="2">
        <f t="shared" si="416"/>
        <v>1.92388</v>
      </c>
      <c r="AX571" s="2">
        <f t="shared" si="417"/>
        <v>0.81066579999999988</v>
      </c>
      <c r="AY571" s="2">
        <f t="shared" si="432"/>
        <v>4.6709791333333337</v>
      </c>
      <c r="AZ571" s="2">
        <f t="shared" si="446"/>
        <v>0.84077624400000006</v>
      </c>
      <c r="BA571" s="2">
        <f t="shared" si="418"/>
        <v>7.7206266666666662E-2</v>
      </c>
      <c r="BB571" s="2">
        <f t="shared" si="419"/>
        <v>2.3161879999999999</v>
      </c>
      <c r="BC571" s="2">
        <f t="shared" si="433"/>
        <v>9.8290296440000002</v>
      </c>
      <c r="BD571" s="2">
        <v>0</v>
      </c>
      <c r="BE571" s="2">
        <f t="shared" si="420"/>
        <v>38.603133333333332</v>
      </c>
      <c r="BF571" s="2">
        <f t="shared" si="421"/>
        <v>1.2546018333333331</v>
      </c>
      <c r="BG571" s="2">
        <f t="shared" si="434"/>
        <v>1.2546018333333331</v>
      </c>
      <c r="BH571" s="2">
        <f t="shared" si="447"/>
        <v>0.22582832999999994</v>
      </c>
      <c r="BI571" s="2">
        <f t="shared" si="422"/>
        <v>7.7206266666666662E-2</v>
      </c>
      <c r="BJ571" s="2">
        <f t="shared" si="423"/>
        <v>2.3161879999999999</v>
      </c>
      <c r="BK571" s="2">
        <f t="shared" si="435"/>
        <v>42.476957763333324</v>
      </c>
      <c r="BL571" s="2">
        <f t="shared" si="424"/>
        <v>19364.333333333336</v>
      </c>
      <c r="BM571" s="2">
        <f t="shared" si="425"/>
        <v>19238.8</v>
      </c>
      <c r="BN571" s="2">
        <f t="shared" si="436"/>
        <v>38603.133333333331</v>
      </c>
    </row>
    <row r="572" spans="1:66" x14ac:dyDescent="0.25">
      <c r="A572" s="42">
        <v>569</v>
      </c>
      <c r="B572" s="43">
        <v>42958</v>
      </c>
      <c r="C572" s="42" t="s">
        <v>50</v>
      </c>
      <c r="D572" s="42" t="s">
        <v>318</v>
      </c>
      <c r="E572" s="6">
        <f t="shared" si="426"/>
        <v>-30.283007009999455</v>
      </c>
      <c r="F572" s="5" t="str">
        <f t="shared" si="437"/>
        <v>Loss</v>
      </c>
      <c r="G572" s="4">
        <f t="shared" si="438"/>
        <v>-24.599999999999454</v>
      </c>
      <c r="H572" s="46">
        <v>12</v>
      </c>
      <c r="I572" s="42">
        <v>691.05</v>
      </c>
      <c r="N572" s="5">
        <f t="shared" si="439"/>
        <v>12</v>
      </c>
      <c r="O572" s="4">
        <f t="shared" si="440"/>
        <v>691.05</v>
      </c>
      <c r="P572" s="5">
        <f t="shared" si="399"/>
        <v>12</v>
      </c>
      <c r="Q572" s="42">
        <v>689</v>
      </c>
      <c r="R572" s="2">
        <f t="shared" si="443"/>
        <v>0</v>
      </c>
      <c r="T572" s="2">
        <f t="shared" si="427"/>
        <v>0</v>
      </c>
      <c r="V572" s="5">
        <f t="shared" si="441"/>
        <v>12</v>
      </c>
      <c r="W572" s="4">
        <f t="shared" si="442"/>
        <v>689</v>
      </c>
      <c r="X572" s="14">
        <f t="shared" si="400"/>
        <v>-2.0499999999999545</v>
      </c>
      <c r="Y572" s="5">
        <f t="shared" si="401"/>
        <v>-24.599999999999454</v>
      </c>
      <c r="Z572" s="2">
        <f t="shared" si="402"/>
        <v>0</v>
      </c>
      <c r="AA572" s="4">
        <f t="shared" si="403"/>
        <v>0</v>
      </c>
      <c r="AB572" s="13">
        <f t="shared" si="404"/>
        <v>5.6830070100000007</v>
      </c>
      <c r="AC572" s="10">
        <f>SUM($E$4:E572)</f>
        <v>-16955.304202030035</v>
      </c>
      <c r="AD572" s="20">
        <f>SUM($AB$4:AB572)</f>
        <v>12942.024902029993</v>
      </c>
      <c r="AF572" s="28">
        <f t="shared" si="405"/>
        <v>1.6560599999999999</v>
      </c>
      <c r="AG572" s="2">
        <f t="shared" si="406"/>
        <v>2.0670000000000002</v>
      </c>
      <c r="AH572" s="2">
        <f t="shared" si="407"/>
        <v>0.53821949999999985</v>
      </c>
      <c r="AI572" s="2">
        <f t="shared" si="428"/>
        <v>2.1942794999999995</v>
      </c>
      <c r="AJ572" s="2">
        <f t="shared" si="444"/>
        <v>0.39497030999999988</v>
      </c>
      <c r="AK572" s="2">
        <f t="shared" si="408"/>
        <v>3.3121199999999996E-2</v>
      </c>
      <c r="AL572" s="2">
        <f t="shared" si="409"/>
        <v>0.99363599999999996</v>
      </c>
      <c r="AM572" s="2">
        <f t="shared" si="429"/>
        <v>5.6830070100000007</v>
      </c>
      <c r="AN572" s="2">
        <f t="shared" si="410"/>
        <v>40</v>
      </c>
      <c r="AO572" s="2">
        <f t="shared" si="411"/>
        <v>4.1340000000000003</v>
      </c>
      <c r="AP572" s="2">
        <f t="shared" si="412"/>
        <v>8.7771179999999998</v>
      </c>
      <c r="AQ572" s="2">
        <f t="shared" si="430"/>
        <v>48.777118000000002</v>
      </c>
      <c r="AR572" s="2">
        <f t="shared" si="445"/>
        <v>8.7798812399999999</v>
      </c>
      <c r="AS572" s="2">
        <f t="shared" si="413"/>
        <v>3.3121199999999996E-2</v>
      </c>
      <c r="AT572" s="2">
        <f t="shared" si="414"/>
        <v>0.99363599999999996</v>
      </c>
      <c r="AU572" s="2">
        <f t="shared" si="431"/>
        <v>62.717756440000002</v>
      </c>
      <c r="AV572" s="2">
        <f t="shared" si="415"/>
        <v>1.6560599999999999</v>
      </c>
      <c r="AW572" s="2">
        <f t="shared" si="416"/>
        <v>0.82680000000000009</v>
      </c>
      <c r="AX572" s="2">
        <f t="shared" si="417"/>
        <v>0.34777259999999993</v>
      </c>
      <c r="AY572" s="2">
        <f t="shared" si="432"/>
        <v>2.0038326</v>
      </c>
      <c r="AZ572" s="2">
        <f t="shared" si="446"/>
        <v>0.36068986799999997</v>
      </c>
      <c r="BA572" s="2">
        <f t="shared" si="418"/>
        <v>3.3121199999999996E-2</v>
      </c>
      <c r="BB572" s="2">
        <f t="shared" si="419"/>
        <v>0.99363599999999996</v>
      </c>
      <c r="BC572" s="2">
        <f t="shared" si="433"/>
        <v>4.2180796679999997</v>
      </c>
      <c r="BD572" s="2">
        <v>0</v>
      </c>
      <c r="BE572" s="2">
        <f t="shared" si="420"/>
        <v>16.560599999999997</v>
      </c>
      <c r="BF572" s="2">
        <f t="shared" si="421"/>
        <v>0.53821949999999985</v>
      </c>
      <c r="BG572" s="2">
        <f t="shared" si="434"/>
        <v>0.53821949999999985</v>
      </c>
      <c r="BH572" s="2">
        <f t="shared" si="447"/>
        <v>9.6879509999999974E-2</v>
      </c>
      <c r="BI572" s="2">
        <f t="shared" si="422"/>
        <v>3.3121199999999996E-2</v>
      </c>
      <c r="BJ572" s="2">
        <f t="shared" si="423"/>
        <v>0.99363599999999996</v>
      </c>
      <c r="BK572" s="2">
        <f t="shared" si="435"/>
        <v>18.222456209999997</v>
      </c>
      <c r="BL572" s="2">
        <f t="shared" si="424"/>
        <v>8292.5999999999985</v>
      </c>
      <c r="BM572" s="2">
        <f t="shared" si="425"/>
        <v>8268</v>
      </c>
      <c r="BN572" s="2">
        <f t="shared" si="436"/>
        <v>16560.599999999999</v>
      </c>
    </row>
    <row r="573" spans="1:66" x14ac:dyDescent="0.25">
      <c r="A573" s="42">
        <v>570</v>
      </c>
      <c r="B573" s="43">
        <v>42958</v>
      </c>
      <c r="C573" s="42" t="s">
        <v>50</v>
      </c>
      <c r="D573" s="42" t="s">
        <v>318</v>
      </c>
      <c r="E573" s="6">
        <f t="shared" si="426"/>
        <v>-102.72907015000068</v>
      </c>
      <c r="F573" s="5" t="str">
        <f t="shared" si="437"/>
        <v>Loss</v>
      </c>
      <c r="G573" s="4">
        <f t="shared" si="438"/>
        <v>-98.000000000000682</v>
      </c>
      <c r="H573" s="46">
        <v>10</v>
      </c>
      <c r="I573" s="42">
        <v>695.35</v>
      </c>
      <c r="N573" s="5">
        <f t="shared" si="439"/>
        <v>10</v>
      </c>
      <c r="O573" s="4">
        <f t="shared" si="440"/>
        <v>695.35</v>
      </c>
      <c r="P573" s="5">
        <f t="shared" si="399"/>
        <v>10</v>
      </c>
      <c r="Q573" s="42">
        <v>685.55</v>
      </c>
      <c r="R573" s="2">
        <f t="shared" si="443"/>
        <v>0</v>
      </c>
      <c r="T573" s="2">
        <f t="shared" si="427"/>
        <v>0</v>
      </c>
      <c r="V573" s="5">
        <f t="shared" si="441"/>
        <v>10</v>
      </c>
      <c r="W573" s="4">
        <f t="shared" si="442"/>
        <v>685.55</v>
      </c>
      <c r="X573" s="14">
        <f t="shared" si="400"/>
        <v>-9.8000000000000682</v>
      </c>
      <c r="Y573" s="5">
        <f t="shared" si="401"/>
        <v>-98.000000000000682</v>
      </c>
      <c r="Z573" s="2">
        <f t="shared" si="402"/>
        <v>0</v>
      </c>
      <c r="AA573" s="4">
        <f t="shared" si="403"/>
        <v>0</v>
      </c>
      <c r="AB573" s="13">
        <f t="shared" si="404"/>
        <v>4.7290701500000001</v>
      </c>
      <c r="AC573" s="10">
        <f>SUM($E$4:E573)</f>
        <v>-17058.033272180037</v>
      </c>
      <c r="AD573" s="20">
        <f>SUM($AB$4:AB573)</f>
        <v>12946.753972179993</v>
      </c>
      <c r="AF573" s="28">
        <f t="shared" si="405"/>
        <v>1.3809</v>
      </c>
      <c r="AG573" s="2">
        <f t="shared" si="406"/>
        <v>1.7138749999999998</v>
      </c>
      <c r="AH573" s="2">
        <f t="shared" si="407"/>
        <v>0.44879249999999998</v>
      </c>
      <c r="AI573" s="2">
        <f t="shared" si="428"/>
        <v>1.8296924999999999</v>
      </c>
      <c r="AJ573" s="2">
        <f t="shared" si="444"/>
        <v>0.32934464999999996</v>
      </c>
      <c r="AK573" s="2">
        <f t="shared" si="408"/>
        <v>2.7618E-2</v>
      </c>
      <c r="AL573" s="2">
        <f t="shared" si="409"/>
        <v>0.82854000000000005</v>
      </c>
      <c r="AM573" s="2">
        <f t="shared" si="429"/>
        <v>4.7290701500000001</v>
      </c>
      <c r="AN573" s="2">
        <f t="shared" si="410"/>
        <v>40</v>
      </c>
      <c r="AO573" s="2">
        <f t="shared" si="411"/>
        <v>3.4277499999999996</v>
      </c>
      <c r="AP573" s="2">
        <f t="shared" si="412"/>
        <v>7.3187699999999998</v>
      </c>
      <c r="AQ573" s="2">
        <f t="shared" si="430"/>
        <v>47.318770000000001</v>
      </c>
      <c r="AR573" s="2">
        <f t="shared" si="445"/>
        <v>8.5173786000000007</v>
      </c>
      <c r="AS573" s="2">
        <f t="shared" si="413"/>
        <v>2.7618E-2</v>
      </c>
      <c r="AT573" s="2">
        <f t="shared" si="414"/>
        <v>0.82854000000000005</v>
      </c>
      <c r="AU573" s="2">
        <f t="shared" si="431"/>
        <v>60.120056599999998</v>
      </c>
      <c r="AV573" s="2">
        <f t="shared" si="415"/>
        <v>1.3809</v>
      </c>
      <c r="AW573" s="2">
        <f t="shared" si="416"/>
        <v>0.68554999999999999</v>
      </c>
      <c r="AX573" s="2">
        <f t="shared" si="417"/>
        <v>0.289989</v>
      </c>
      <c r="AY573" s="2">
        <f t="shared" si="432"/>
        <v>1.6708890000000001</v>
      </c>
      <c r="AZ573" s="2">
        <f t="shared" si="446"/>
        <v>0.30076002000000002</v>
      </c>
      <c r="BA573" s="2">
        <f t="shared" si="418"/>
        <v>2.7618E-2</v>
      </c>
      <c r="BB573" s="2">
        <f t="shared" si="419"/>
        <v>0.82854000000000005</v>
      </c>
      <c r="BC573" s="2">
        <f t="shared" si="433"/>
        <v>3.5133570199999999</v>
      </c>
      <c r="BD573" s="2">
        <v>0</v>
      </c>
      <c r="BE573" s="2">
        <f t="shared" si="420"/>
        <v>13.809000000000001</v>
      </c>
      <c r="BF573" s="2">
        <f t="shared" si="421"/>
        <v>0.44879249999999998</v>
      </c>
      <c r="BG573" s="2">
        <f t="shared" si="434"/>
        <v>0.44879249999999998</v>
      </c>
      <c r="BH573" s="2">
        <f t="shared" si="447"/>
        <v>8.0782649999999998E-2</v>
      </c>
      <c r="BI573" s="2">
        <f t="shared" si="422"/>
        <v>2.7618E-2</v>
      </c>
      <c r="BJ573" s="2">
        <f t="shared" si="423"/>
        <v>0.82854000000000005</v>
      </c>
      <c r="BK573" s="2">
        <f t="shared" si="435"/>
        <v>15.194733150000001</v>
      </c>
      <c r="BL573" s="2">
        <f t="shared" si="424"/>
        <v>6953.5</v>
      </c>
      <c r="BM573" s="2">
        <f t="shared" si="425"/>
        <v>6855.5</v>
      </c>
      <c r="BN573" s="2">
        <f t="shared" si="436"/>
        <v>13809</v>
      </c>
    </row>
    <row r="574" spans="1:66" x14ac:dyDescent="0.25">
      <c r="A574" s="42">
        <v>571</v>
      </c>
      <c r="B574" s="43">
        <v>42958</v>
      </c>
      <c r="C574" s="42" t="s">
        <v>50</v>
      </c>
      <c r="D574" s="42" t="s">
        <v>318</v>
      </c>
      <c r="E574" s="6">
        <f t="shared" si="426"/>
        <v>128.06716785500046</v>
      </c>
      <c r="F574" s="5" t="str">
        <f t="shared" si="437"/>
        <v>Win</v>
      </c>
      <c r="G574" s="4">
        <f t="shared" si="438"/>
        <v>137.00000000000045</v>
      </c>
      <c r="H574" s="46">
        <v>8</v>
      </c>
      <c r="I574" s="42">
        <v>706.3</v>
      </c>
      <c r="J574" s="42">
        <v>10</v>
      </c>
      <c r="K574" s="42">
        <v>727</v>
      </c>
      <c r="N574" s="5">
        <f t="shared" si="439"/>
        <v>18</v>
      </c>
      <c r="O574" s="4">
        <f t="shared" si="440"/>
        <v>716.65</v>
      </c>
      <c r="P574" s="5">
        <f t="shared" si="399"/>
        <v>8</v>
      </c>
      <c r="Q574" s="42">
        <v>726.3</v>
      </c>
      <c r="R574" s="2">
        <f t="shared" si="443"/>
        <v>10</v>
      </c>
      <c r="S574" s="42">
        <v>724.7</v>
      </c>
      <c r="T574" s="2">
        <f t="shared" si="427"/>
        <v>0</v>
      </c>
      <c r="V574" s="5">
        <f t="shared" si="441"/>
        <v>18</v>
      </c>
      <c r="W574" s="4">
        <f t="shared" si="442"/>
        <v>725.5</v>
      </c>
      <c r="X574" s="14">
        <f t="shared" si="400"/>
        <v>20</v>
      </c>
      <c r="Y574" s="5">
        <f t="shared" si="401"/>
        <v>160</v>
      </c>
      <c r="Z574" s="2">
        <f t="shared" si="402"/>
        <v>-22.999999999999545</v>
      </c>
      <c r="AA574" s="4">
        <f t="shared" si="403"/>
        <v>0</v>
      </c>
      <c r="AB574" s="13">
        <f t="shared" si="404"/>
        <v>8.932832144999999</v>
      </c>
      <c r="AC574" s="10">
        <f>SUM($E$4:E574)</f>
        <v>-16929.966104325038</v>
      </c>
      <c r="AD574" s="20">
        <f>SUM($AB$4:AB574)</f>
        <v>12955.686804324992</v>
      </c>
      <c r="AF574" s="28">
        <f t="shared" si="405"/>
        <v>2.5958699999999997</v>
      </c>
      <c r="AG574" s="2">
        <f t="shared" si="406"/>
        <v>3.2647500000000003</v>
      </c>
      <c r="AH574" s="2">
        <f t="shared" si="407"/>
        <v>0.84365774999999987</v>
      </c>
      <c r="AI574" s="2">
        <f t="shared" si="428"/>
        <v>3.4395277499999994</v>
      </c>
      <c r="AJ574" s="2">
        <f t="shared" si="444"/>
        <v>0.61911499499999989</v>
      </c>
      <c r="AK574" s="2">
        <f t="shared" si="408"/>
        <v>5.1917399999999995E-2</v>
      </c>
      <c r="AL574" s="2">
        <f t="shared" si="409"/>
        <v>1.5575219999999999</v>
      </c>
      <c r="AM574" s="2">
        <f t="shared" si="429"/>
        <v>8.932832144999999</v>
      </c>
      <c r="AN574" s="2">
        <f t="shared" si="410"/>
        <v>80</v>
      </c>
      <c r="AO574" s="2">
        <f t="shared" si="411"/>
        <v>6.5295000000000005</v>
      </c>
      <c r="AP574" s="2">
        <f t="shared" si="412"/>
        <v>13.758110999999998</v>
      </c>
      <c r="AQ574" s="2">
        <f t="shared" si="430"/>
        <v>93.758111</v>
      </c>
      <c r="AR574" s="2">
        <f t="shared" si="445"/>
        <v>16.87645998</v>
      </c>
      <c r="AS574" s="2">
        <f t="shared" si="413"/>
        <v>5.1917399999999995E-2</v>
      </c>
      <c r="AT574" s="2">
        <f t="shared" si="414"/>
        <v>1.5575219999999999</v>
      </c>
      <c r="AU574" s="2">
        <f t="shared" si="431"/>
        <v>118.77351037999999</v>
      </c>
      <c r="AV574" s="2">
        <f t="shared" si="415"/>
        <v>2.5958699999999997</v>
      </c>
      <c r="AW574" s="2">
        <f t="shared" si="416"/>
        <v>1.3059000000000001</v>
      </c>
      <c r="AX574" s="2">
        <f t="shared" si="417"/>
        <v>0.54513269999999991</v>
      </c>
      <c r="AY574" s="2">
        <f t="shared" si="432"/>
        <v>3.1410026999999996</v>
      </c>
      <c r="AZ574" s="2">
        <f t="shared" si="446"/>
        <v>0.5653804859999999</v>
      </c>
      <c r="BA574" s="2">
        <f t="shared" si="418"/>
        <v>5.1917399999999995E-2</v>
      </c>
      <c r="BB574" s="2">
        <f t="shared" si="419"/>
        <v>1.5575219999999999</v>
      </c>
      <c r="BC574" s="2">
        <f t="shared" si="433"/>
        <v>6.6217225859999989</v>
      </c>
      <c r="BD574" s="2">
        <v>0</v>
      </c>
      <c r="BE574" s="2">
        <f t="shared" si="420"/>
        <v>25.958699999999997</v>
      </c>
      <c r="BF574" s="2">
        <f t="shared" si="421"/>
        <v>0.84365774999999987</v>
      </c>
      <c r="BG574" s="2">
        <f t="shared" si="434"/>
        <v>0.84365774999999987</v>
      </c>
      <c r="BH574" s="2">
        <f t="shared" si="447"/>
        <v>0.15185839499999998</v>
      </c>
      <c r="BI574" s="2">
        <f t="shared" si="422"/>
        <v>5.1917399999999995E-2</v>
      </c>
      <c r="BJ574" s="2">
        <f t="shared" si="423"/>
        <v>1.5575219999999999</v>
      </c>
      <c r="BK574" s="2">
        <f t="shared" si="435"/>
        <v>28.563655544999996</v>
      </c>
      <c r="BL574" s="2">
        <f t="shared" si="424"/>
        <v>12899.699999999999</v>
      </c>
      <c r="BM574" s="2">
        <f t="shared" si="425"/>
        <v>13059</v>
      </c>
      <c r="BN574" s="2">
        <f t="shared" si="436"/>
        <v>25958.699999999997</v>
      </c>
    </row>
    <row r="575" spans="1:66" x14ac:dyDescent="0.25">
      <c r="A575" s="42">
        <v>572</v>
      </c>
      <c r="B575" s="43">
        <v>42958</v>
      </c>
      <c r="C575" s="42" t="s">
        <v>50</v>
      </c>
      <c r="D575" s="42" t="s">
        <v>318</v>
      </c>
      <c r="E575" s="6">
        <f t="shared" si="426"/>
        <v>12.927223047500819</v>
      </c>
      <c r="F575" s="5" t="str">
        <f t="shared" si="437"/>
        <v>Win</v>
      </c>
      <c r="G575" s="4">
        <f t="shared" si="438"/>
        <v>27.850000000000819</v>
      </c>
      <c r="H575" s="46">
        <v>10</v>
      </c>
      <c r="I575" s="42">
        <v>720.91499999999996</v>
      </c>
      <c r="J575" s="42">
        <v>10</v>
      </c>
      <c r="K575" s="42">
        <v>730.9</v>
      </c>
      <c r="L575" s="42">
        <v>10</v>
      </c>
      <c r="M575" s="44">
        <v>719.4</v>
      </c>
      <c r="N575" s="5">
        <f t="shared" si="439"/>
        <v>30</v>
      </c>
      <c r="O575" s="4">
        <f t="shared" si="440"/>
        <v>723.73833333333334</v>
      </c>
      <c r="P575" s="5">
        <f t="shared" si="399"/>
        <v>10</v>
      </c>
      <c r="Q575" s="42">
        <v>722.05</v>
      </c>
      <c r="R575" s="2">
        <f t="shared" si="443"/>
        <v>10</v>
      </c>
      <c r="S575" s="42">
        <v>724.95</v>
      </c>
      <c r="T575" s="2">
        <f t="shared" si="427"/>
        <v>10</v>
      </c>
      <c r="U575" s="44">
        <v>727</v>
      </c>
      <c r="V575" s="5">
        <f t="shared" si="441"/>
        <v>30</v>
      </c>
      <c r="W575" s="4">
        <f t="shared" si="442"/>
        <v>724.66666666666663</v>
      </c>
      <c r="X575" s="14">
        <f t="shared" si="400"/>
        <v>7.6000000000000227</v>
      </c>
      <c r="Y575" s="5">
        <f t="shared" si="401"/>
        <v>11.349999999999909</v>
      </c>
      <c r="Z575" s="2">
        <f t="shared" si="402"/>
        <v>-59.499999999999318</v>
      </c>
      <c r="AA575" s="4">
        <f t="shared" si="403"/>
        <v>76.000000000000227</v>
      </c>
      <c r="AB575" s="13">
        <f t="shared" si="404"/>
        <v>14.9227769525</v>
      </c>
      <c r="AC575" s="10">
        <f>SUM($E$4:E575)</f>
        <v>-16917.038881277538</v>
      </c>
      <c r="AD575" s="20">
        <f>SUM($AB$4:AB575)</f>
        <v>12970.609581277493</v>
      </c>
      <c r="AF575" s="28">
        <f t="shared" si="405"/>
        <v>4.3452150000000005</v>
      </c>
      <c r="AG575" s="2">
        <f t="shared" si="406"/>
        <v>5.4349999999999996</v>
      </c>
      <c r="AH575" s="2">
        <f t="shared" si="407"/>
        <v>1.412194875</v>
      </c>
      <c r="AI575" s="2">
        <f t="shared" si="428"/>
        <v>5.7574098750000005</v>
      </c>
      <c r="AJ575" s="2">
        <f t="shared" si="444"/>
        <v>1.0363337775000001</v>
      </c>
      <c r="AK575" s="2">
        <f t="shared" si="408"/>
        <v>8.6904300000000004E-2</v>
      </c>
      <c r="AL575" s="2">
        <f t="shared" si="409"/>
        <v>2.607129</v>
      </c>
      <c r="AM575" s="2">
        <f t="shared" si="429"/>
        <v>14.9227769525</v>
      </c>
      <c r="AN575" s="2">
        <f t="shared" si="410"/>
        <v>120</v>
      </c>
      <c r="AO575" s="2">
        <f t="shared" si="411"/>
        <v>10.87</v>
      </c>
      <c r="AP575" s="2">
        <f t="shared" si="412"/>
        <v>23.029639499999998</v>
      </c>
      <c r="AQ575" s="2">
        <f t="shared" si="430"/>
        <v>143.0296395</v>
      </c>
      <c r="AR575" s="2">
        <f t="shared" si="445"/>
        <v>25.745335109999999</v>
      </c>
      <c r="AS575" s="2">
        <f t="shared" si="413"/>
        <v>8.6904300000000004E-2</v>
      </c>
      <c r="AT575" s="2">
        <f t="shared" si="414"/>
        <v>2.607129</v>
      </c>
      <c r="AU575" s="2">
        <f t="shared" si="431"/>
        <v>182.33900790999999</v>
      </c>
      <c r="AV575" s="2">
        <f t="shared" si="415"/>
        <v>4.3452150000000005</v>
      </c>
      <c r="AW575" s="2">
        <f t="shared" si="416"/>
        <v>2.1739999999999999</v>
      </c>
      <c r="AX575" s="2">
        <f t="shared" si="417"/>
        <v>0.91249515000000003</v>
      </c>
      <c r="AY575" s="2">
        <f t="shared" si="432"/>
        <v>5.2577101500000003</v>
      </c>
      <c r="AZ575" s="2">
        <f t="shared" si="446"/>
        <v>0.94638782700000001</v>
      </c>
      <c r="BA575" s="2">
        <f t="shared" si="418"/>
        <v>8.6904300000000004E-2</v>
      </c>
      <c r="BB575" s="2">
        <f t="shared" si="419"/>
        <v>2.607129</v>
      </c>
      <c r="BC575" s="2">
        <f t="shared" si="433"/>
        <v>11.072131277000002</v>
      </c>
      <c r="BD575" s="2">
        <v>0</v>
      </c>
      <c r="BE575" s="2">
        <f t="shared" si="420"/>
        <v>43.452150000000003</v>
      </c>
      <c r="BF575" s="2">
        <f t="shared" si="421"/>
        <v>1.412194875</v>
      </c>
      <c r="BG575" s="2">
        <f t="shared" si="434"/>
        <v>1.412194875</v>
      </c>
      <c r="BH575" s="2">
        <f t="shared" si="447"/>
        <v>0.25419507749999998</v>
      </c>
      <c r="BI575" s="2">
        <f t="shared" si="422"/>
        <v>8.6904300000000004E-2</v>
      </c>
      <c r="BJ575" s="2">
        <f t="shared" si="423"/>
        <v>2.607129</v>
      </c>
      <c r="BK575" s="2">
        <f t="shared" si="435"/>
        <v>47.812573252500002</v>
      </c>
      <c r="BL575" s="2">
        <f t="shared" si="424"/>
        <v>21712.15</v>
      </c>
      <c r="BM575" s="2">
        <f t="shared" si="425"/>
        <v>21740</v>
      </c>
      <c r="BN575" s="2">
        <f t="shared" si="436"/>
        <v>43452.15</v>
      </c>
    </row>
    <row r="576" spans="1:66" x14ac:dyDescent="0.25">
      <c r="A576" s="42">
        <v>573</v>
      </c>
      <c r="B576" s="43">
        <v>42958</v>
      </c>
      <c r="C576" s="42" t="s">
        <v>50</v>
      </c>
      <c r="D576" s="42" t="s">
        <v>318</v>
      </c>
      <c r="E576" s="6">
        <f t="shared" si="426"/>
        <v>-23.897174849999772</v>
      </c>
      <c r="F576" s="5" t="str">
        <f t="shared" si="437"/>
        <v>Loss</v>
      </c>
      <c r="G576" s="4">
        <f t="shared" si="438"/>
        <v>-8.9999999999997726</v>
      </c>
      <c r="H576" s="46">
        <v>10</v>
      </c>
      <c r="I576" s="42">
        <v>721</v>
      </c>
      <c r="J576" s="42">
        <v>10</v>
      </c>
      <c r="K576" s="42">
        <v>718</v>
      </c>
      <c r="L576" s="42">
        <v>10</v>
      </c>
      <c r="M576" s="44">
        <v>731</v>
      </c>
      <c r="N576" s="5">
        <f t="shared" si="439"/>
        <v>30</v>
      </c>
      <c r="O576" s="4">
        <f t="shared" si="440"/>
        <v>723.33333333333337</v>
      </c>
      <c r="P576" s="5">
        <f t="shared" si="399"/>
        <v>10</v>
      </c>
      <c r="Q576" s="42">
        <v>719.1</v>
      </c>
      <c r="R576" s="2">
        <f t="shared" si="443"/>
        <v>10</v>
      </c>
      <c r="S576" s="42">
        <v>725</v>
      </c>
      <c r="T576" s="2">
        <f t="shared" si="427"/>
        <v>10</v>
      </c>
      <c r="U576" s="44">
        <v>725</v>
      </c>
      <c r="V576" s="5">
        <f t="shared" si="441"/>
        <v>30</v>
      </c>
      <c r="W576" s="4">
        <f t="shared" si="442"/>
        <v>723.0333333333333</v>
      </c>
      <c r="X576" s="14">
        <f t="shared" si="400"/>
        <v>7</v>
      </c>
      <c r="Y576" s="5">
        <f t="shared" si="401"/>
        <v>-18.999999999999773</v>
      </c>
      <c r="Z576" s="2">
        <f t="shared" si="402"/>
        <v>70</v>
      </c>
      <c r="AA576" s="4">
        <f t="shared" si="403"/>
        <v>-60</v>
      </c>
      <c r="AB576" s="13">
        <f t="shared" si="404"/>
        <v>14.897174849999999</v>
      </c>
      <c r="AC576" s="10">
        <f>SUM($E$4:E576)</f>
        <v>-16940.936056127539</v>
      </c>
      <c r="AD576" s="20">
        <f>SUM($AB$4:AB576)</f>
        <v>12985.506756127494</v>
      </c>
      <c r="AF576" s="28">
        <f t="shared" si="405"/>
        <v>4.3391000000000002</v>
      </c>
      <c r="AG576" s="2">
        <f t="shared" si="406"/>
        <v>5.4227499999999997</v>
      </c>
      <c r="AH576" s="2">
        <f t="shared" si="407"/>
        <v>1.4102074999999998</v>
      </c>
      <c r="AI576" s="2">
        <f t="shared" si="428"/>
        <v>5.7493075000000005</v>
      </c>
      <c r="AJ576" s="2">
        <f t="shared" si="444"/>
        <v>1.0348753500000001</v>
      </c>
      <c r="AK576" s="2">
        <f t="shared" si="408"/>
        <v>8.6781999999999998E-2</v>
      </c>
      <c r="AL576" s="2">
        <f t="shared" si="409"/>
        <v>2.6034600000000001</v>
      </c>
      <c r="AM576" s="2">
        <f t="shared" si="429"/>
        <v>14.897174849999999</v>
      </c>
      <c r="AN576" s="2">
        <f t="shared" si="410"/>
        <v>120</v>
      </c>
      <c r="AO576" s="2">
        <f t="shared" si="411"/>
        <v>10.845499999999999</v>
      </c>
      <c r="AP576" s="2">
        <f t="shared" si="412"/>
        <v>22.997229999999998</v>
      </c>
      <c r="AQ576" s="2">
        <f t="shared" si="430"/>
        <v>142.99723</v>
      </c>
      <c r="AR576" s="2">
        <f t="shared" si="445"/>
        <v>25.739501399999998</v>
      </c>
      <c r="AS576" s="2">
        <f t="shared" si="413"/>
        <v>8.6781999999999998E-2</v>
      </c>
      <c r="AT576" s="2">
        <f t="shared" si="414"/>
        <v>2.6034600000000001</v>
      </c>
      <c r="AU576" s="2">
        <f t="shared" si="431"/>
        <v>182.2724734</v>
      </c>
      <c r="AV576" s="2">
        <f t="shared" si="415"/>
        <v>4.3391000000000002</v>
      </c>
      <c r="AW576" s="2">
        <f t="shared" si="416"/>
        <v>2.1690999999999998</v>
      </c>
      <c r="AX576" s="2">
        <f t="shared" si="417"/>
        <v>0.91121099999999999</v>
      </c>
      <c r="AY576" s="2">
        <f t="shared" si="432"/>
        <v>5.250311</v>
      </c>
      <c r="AZ576" s="2">
        <f t="shared" si="446"/>
        <v>0.94505597999999991</v>
      </c>
      <c r="BA576" s="2">
        <f t="shared" si="418"/>
        <v>8.6781999999999998E-2</v>
      </c>
      <c r="BB576" s="2">
        <f t="shared" si="419"/>
        <v>2.6034600000000001</v>
      </c>
      <c r="BC576" s="2">
        <f t="shared" si="433"/>
        <v>11.054708979999999</v>
      </c>
      <c r="BD576" s="2">
        <v>0</v>
      </c>
      <c r="BE576" s="2">
        <f t="shared" si="420"/>
        <v>43.390999999999998</v>
      </c>
      <c r="BF576" s="2">
        <f t="shared" si="421"/>
        <v>1.4102074999999998</v>
      </c>
      <c r="BG576" s="2">
        <f t="shared" si="434"/>
        <v>1.4102074999999998</v>
      </c>
      <c r="BH576" s="2">
        <f t="shared" si="447"/>
        <v>0.25383734999999996</v>
      </c>
      <c r="BI576" s="2">
        <f t="shared" si="422"/>
        <v>8.6781999999999998E-2</v>
      </c>
      <c r="BJ576" s="2">
        <f t="shared" si="423"/>
        <v>2.6034600000000001</v>
      </c>
      <c r="BK576" s="2">
        <f t="shared" si="435"/>
        <v>47.745286849999992</v>
      </c>
      <c r="BL576" s="2">
        <f t="shared" si="424"/>
        <v>21700</v>
      </c>
      <c r="BM576" s="2">
        <f t="shared" si="425"/>
        <v>21691</v>
      </c>
      <c r="BN576" s="2">
        <f t="shared" si="436"/>
        <v>43391</v>
      </c>
    </row>
    <row r="577" spans="1:66" x14ac:dyDescent="0.25">
      <c r="A577" s="42">
        <v>574</v>
      </c>
      <c r="B577" s="43">
        <v>42958</v>
      </c>
      <c r="C577" s="42" t="s">
        <v>50</v>
      </c>
      <c r="D577" s="42" t="s">
        <v>163</v>
      </c>
      <c r="E577" s="6">
        <f t="shared" si="426"/>
        <v>-91.630542383333989</v>
      </c>
      <c r="F577" s="5" t="str">
        <f t="shared" si="437"/>
        <v>Loss</v>
      </c>
      <c r="G577" s="4">
        <f t="shared" si="438"/>
        <v>-85.400000000000659</v>
      </c>
      <c r="H577" s="46">
        <v>155</v>
      </c>
      <c r="I577" s="42">
        <v>58.35</v>
      </c>
      <c r="J577" s="42">
        <v>1</v>
      </c>
      <c r="K577" s="42">
        <v>57.7</v>
      </c>
      <c r="L577" s="42">
        <v>1</v>
      </c>
      <c r="M577" s="44">
        <v>57.8</v>
      </c>
      <c r="N577" s="5">
        <f t="shared" si="439"/>
        <v>157</v>
      </c>
      <c r="O577" s="4">
        <f t="shared" si="440"/>
        <v>57.949999999999996</v>
      </c>
      <c r="P577" s="5">
        <f t="shared" si="399"/>
        <v>155</v>
      </c>
      <c r="Q577" s="42">
        <v>57.8</v>
      </c>
      <c r="R577" s="2">
        <f t="shared" si="443"/>
        <v>1</v>
      </c>
      <c r="S577" s="42">
        <v>57.7</v>
      </c>
      <c r="T577" s="2">
        <f t="shared" si="427"/>
        <v>1</v>
      </c>
      <c r="U577" s="44">
        <v>57.65</v>
      </c>
      <c r="V577" s="5">
        <f t="shared" si="441"/>
        <v>157</v>
      </c>
      <c r="W577" s="4">
        <f t="shared" si="442"/>
        <v>57.716666666666669</v>
      </c>
      <c r="X577" s="14">
        <f t="shared" si="400"/>
        <v>9.9999999999994316E-2</v>
      </c>
      <c r="Y577" s="5">
        <f t="shared" si="401"/>
        <v>-85.250000000000654</v>
      </c>
      <c r="Z577" s="2">
        <f t="shared" si="402"/>
        <v>0</v>
      </c>
      <c r="AA577" s="4">
        <f t="shared" si="403"/>
        <v>-0.14999999999999858</v>
      </c>
      <c r="AB577" s="13">
        <f t="shared" si="404"/>
        <v>6.2305423833333329</v>
      </c>
      <c r="AC577" s="10">
        <f>SUM($E$4:E577)</f>
        <v>-17032.566598510872</v>
      </c>
      <c r="AD577" s="20">
        <f>SUM($AB$4:AB577)</f>
        <v>12991.737298510827</v>
      </c>
      <c r="AF577" s="28">
        <f t="shared" si="405"/>
        <v>1.8159666666666665</v>
      </c>
      <c r="AG577" s="2">
        <f t="shared" si="406"/>
        <v>2.2653791666666669</v>
      </c>
      <c r="AH577" s="2">
        <f t="shared" si="407"/>
        <v>0.59018916666666654</v>
      </c>
      <c r="AI577" s="2">
        <f t="shared" si="428"/>
        <v>2.406155833333333</v>
      </c>
      <c r="AJ577" s="2">
        <f t="shared" si="444"/>
        <v>0.43310804999999991</v>
      </c>
      <c r="AK577" s="2">
        <f t="shared" si="408"/>
        <v>3.6319333333333328E-2</v>
      </c>
      <c r="AL577" s="2">
        <f t="shared" si="409"/>
        <v>1.08958</v>
      </c>
      <c r="AM577" s="2">
        <f t="shared" si="429"/>
        <v>6.2305423833333329</v>
      </c>
      <c r="AN577" s="2">
        <f t="shared" si="410"/>
        <v>120</v>
      </c>
      <c r="AO577" s="2">
        <f t="shared" si="411"/>
        <v>4.5307583333333339</v>
      </c>
      <c r="AP577" s="2">
        <f t="shared" si="412"/>
        <v>9.6246233333333322</v>
      </c>
      <c r="AQ577" s="2">
        <f t="shared" si="430"/>
        <v>129.62462333333332</v>
      </c>
      <c r="AR577" s="2">
        <f t="shared" si="445"/>
        <v>23.332432199999996</v>
      </c>
      <c r="AS577" s="2">
        <f t="shared" si="413"/>
        <v>3.6319333333333328E-2</v>
      </c>
      <c r="AT577" s="2">
        <f t="shared" si="414"/>
        <v>1.08958</v>
      </c>
      <c r="AU577" s="2">
        <f t="shared" si="431"/>
        <v>158.61371320000001</v>
      </c>
      <c r="AV577" s="2">
        <f t="shared" si="415"/>
        <v>1.8159666666666665</v>
      </c>
      <c r="AW577" s="2">
        <f t="shared" si="416"/>
        <v>0.9061516666666668</v>
      </c>
      <c r="AX577" s="2">
        <f t="shared" si="417"/>
        <v>0.38135299999999994</v>
      </c>
      <c r="AY577" s="2">
        <f t="shared" si="432"/>
        <v>2.1973196666666666</v>
      </c>
      <c r="AZ577" s="2">
        <f t="shared" si="446"/>
        <v>0.39551753999999995</v>
      </c>
      <c r="BA577" s="2">
        <f t="shared" si="418"/>
        <v>3.6319333333333328E-2</v>
      </c>
      <c r="BB577" s="2">
        <f t="shared" si="419"/>
        <v>1.08958</v>
      </c>
      <c r="BC577" s="2">
        <f t="shared" si="433"/>
        <v>4.6248882066666663</v>
      </c>
      <c r="BD577" s="2">
        <v>0</v>
      </c>
      <c r="BE577" s="2">
        <f t="shared" si="420"/>
        <v>18.159666666666663</v>
      </c>
      <c r="BF577" s="2">
        <f t="shared" si="421"/>
        <v>0.59018916666666654</v>
      </c>
      <c r="BG577" s="2">
        <f t="shared" si="434"/>
        <v>0.59018916666666654</v>
      </c>
      <c r="BH577" s="2">
        <f t="shared" si="447"/>
        <v>0.10623404999999997</v>
      </c>
      <c r="BI577" s="2">
        <f t="shared" si="422"/>
        <v>3.6319333333333328E-2</v>
      </c>
      <c r="BJ577" s="2">
        <f t="shared" si="423"/>
        <v>1.08958</v>
      </c>
      <c r="BK577" s="2">
        <f t="shared" si="435"/>
        <v>19.981989216666665</v>
      </c>
      <c r="BL577" s="2">
        <f t="shared" si="424"/>
        <v>9098.15</v>
      </c>
      <c r="BM577" s="2">
        <f t="shared" si="425"/>
        <v>9061.5166666666664</v>
      </c>
      <c r="BN577" s="2">
        <f t="shared" si="436"/>
        <v>18159.666666666664</v>
      </c>
    </row>
    <row r="578" spans="1:66" x14ac:dyDescent="0.25">
      <c r="A578" s="42">
        <v>575</v>
      </c>
      <c r="B578" s="43">
        <v>42958</v>
      </c>
      <c r="C578" s="42" t="s">
        <v>50</v>
      </c>
      <c r="D578" s="42" t="s">
        <v>318</v>
      </c>
      <c r="E578" s="6">
        <f t="shared" si="426"/>
        <v>159.51085440000091</v>
      </c>
      <c r="F578" s="5" t="str">
        <f t="shared" si="437"/>
        <v>Win</v>
      </c>
      <c r="G578" s="4">
        <f t="shared" si="438"/>
        <v>174.00000000000091</v>
      </c>
      <c r="H578" s="46">
        <v>10</v>
      </c>
      <c r="I578" s="42">
        <v>705</v>
      </c>
      <c r="J578" s="42">
        <v>10</v>
      </c>
      <c r="K578" s="42">
        <v>703.05</v>
      </c>
      <c r="L578" s="42">
        <v>10</v>
      </c>
      <c r="M578" s="44">
        <v>690.05</v>
      </c>
      <c r="N578" s="5">
        <f t="shared" si="439"/>
        <v>30</v>
      </c>
      <c r="O578" s="4">
        <f t="shared" si="440"/>
        <v>699.36666666666667</v>
      </c>
      <c r="P578" s="5">
        <f t="shared" si="399"/>
        <v>10</v>
      </c>
      <c r="Q578" s="42">
        <v>710</v>
      </c>
      <c r="R578" s="2">
        <f t="shared" si="443"/>
        <v>10</v>
      </c>
      <c r="S578" s="42">
        <v>702.8</v>
      </c>
      <c r="T578" s="2">
        <f t="shared" si="427"/>
        <v>10</v>
      </c>
      <c r="U578" s="44">
        <v>702.7</v>
      </c>
      <c r="V578" s="5">
        <f t="shared" si="441"/>
        <v>30</v>
      </c>
      <c r="W578" s="4">
        <f t="shared" si="442"/>
        <v>705.16666666666663</v>
      </c>
      <c r="X578" s="14">
        <f t="shared" si="400"/>
        <v>19.950000000000045</v>
      </c>
      <c r="Y578" s="5">
        <f t="shared" si="401"/>
        <v>50</v>
      </c>
      <c r="Z578" s="2">
        <f t="shared" si="402"/>
        <v>-2.5</v>
      </c>
      <c r="AA578" s="4">
        <f t="shared" si="403"/>
        <v>126.50000000000091</v>
      </c>
      <c r="AB578" s="13">
        <f t="shared" si="404"/>
        <v>14.489145600000001</v>
      </c>
      <c r="AC578" s="10">
        <f>SUM($E$4:E578)</f>
        <v>-16873.055744110872</v>
      </c>
      <c r="AD578" s="20">
        <f>SUM($AB$4:AB578)</f>
        <v>13006.226444110827</v>
      </c>
      <c r="AF578" s="28">
        <f t="shared" si="405"/>
        <v>4.2136000000000005</v>
      </c>
      <c r="AG578" s="2">
        <f t="shared" si="406"/>
        <v>5.2887499999999994</v>
      </c>
      <c r="AH578" s="2">
        <f t="shared" si="407"/>
        <v>1.3694199999999999</v>
      </c>
      <c r="AI578" s="2">
        <f t="shared" si="428"/>
        <v>5.5830200000000003</v>
      </c>
      <c r="AJ578" s="2">
        <f t="shared" si="444"/>
        <v>1.0049436</v>
      </c>
      <c r="AK578" s="2">
        <f t="shared" si="408"/>
        <v>8.4271999999999986E-2</v>
      </c>
      <c r="AL578" s="2">
        <f t="shared" si="409"/>
        <v>2.5281600000000002</v>
      </c>
      <c r="AM578" s="2">
        <f t="shared" si="429"/>
        <v>14.489145600000001</v>
      </c>
      <c r="AN578" s="2">
        <f t="shared" si="410"/>
        <v>120</v>
      </c>
      <c r="AO578" s="2">
        <f t="shared" si="411"/>
        <v>10.577499999999999</v>
      </c>
      <c r="AP578" s="2">
        <f t="shared" si="412"/>
        <v>22.332079999999998</v>
      </c>
      <c r="AQ578" s="2">
        <f t="shared" si="430"/>
        <v>142.33207999999999</v>
      </c>
      <c r="AR578" s="2">
        <f t="shared" si="445"/>
        <v>25.619774399999997</v>
      </c>
      <c r="AS578" s="2">
        <f t="shared" si="413"/>
        <v>8.4271999999999986E-2</v>
      </c>
      <c r="AT578" s="2">
        <f t="shared" si="414"/>
        <v>2.5281600000000002</v>
      </c>
      <c r="AU578" s="2">
        <f t="shared" si="431"/>
        <v>181.1417864</v>
      </c>
      <c r="AV578" s="2">
        <f t="shared" si="415"/>
        <v>4.2136000000000005</v>
      </c>
      <c r="AW578" s="2">
        <f t="shared" si="416"/>
        <v>2.1154999999999999</v>
      </c>
      <c r="AX578" s="2">
        <f t="shared" si="417"/>
        <v>0.88485599999999998</v>
      </c>
      <c r="AY578" s="2">
        <f t="shared" si="432"/>
        <v>5.0984560000000005</v>
      </c>
      <c r="AZ578" s="2">
        <f t="shared" si="446"/>
        <v>0.91772208000000011</v>
      </c>
      <c r="BA578" s="2">
        <f t="shared" si="418"/>
        <v>8.4271999999999986E-2</v>
      </c>
      <c r="BB578" s="2">
        <f t="shared" si="419"/>
        <v>2.5281600000000002</v>
      </c>
      <c r="BC578" s="2">
        <f t="shared" si="433"/>
        <v>10.74411008</v>
      </c>
      <c r="BD578" s="2">
        <v>0</v>
      </c>
      <c r="BE578" s="2">
        <f t="shared" si="420"/>
        <v>42.136000000000003</v>
      </c>
      <c r="BF578" s="2">
        <f t="shared" si="421"/>
        <v>1.3694199999999999</v>
      </c>
      <c r="BG578" s="2">
        <f t="shared" si="434"/>
        <v>1.3694199999999999</v>
      </c>
      <c r="BH578" s="2">
        <f t="shared" si="447"/>
        <v>0.24649559999999995</v>
      </c>
      <c r="BI578" s="2">
        <f t="shared" si="422"/>
        <v>8.4271999999999986E-2</v>
      </c>
      <c r="BJ578" s="2">
        <f t="shared" si="423"/>
        <v>2.5281600000000002</v>
      </c>
      <c r="BK578" s="2">
        <f t="shared" si="435"/>
        <v>46.364347600000002</v>
      </c>
      <c r="BL578" s="2">
        <f t="shared" si="424"/>
        <v>20981</v>
      </c>
      <c r="BM578" s="2">
        <f t="shared" si="425"/>
        <v>21155</v>
      </c>
      <c r="BN578" s="2">
        <f t="shared" si="436"/>
        <v>42136</v>
      </c>
    </row>
    <row r="579" spans="1:66" x14ac:dyDescent="0.25">
      <c r="A579" s="42">
        <v>576</v>
      </c>
      <c r="B579" s="43">
        <v>42958</v>
      </c>
      <c r="C579" s="42" t="s">
        <v>50</v>
      </c>
      <c r="D579" s="42" t="s">
        <v>318</v>
      </c>
      <c r="E579" s="6">
        <f t="shared" si="426"/>
        <v>-26.23983437500091</v>
      </c>
      <c r="F579" s="5" t="str">
        <f t="shared" si="437"/>
        <v>Loss</v>
      </c>
      <c r="G579" s="4">
        <f t="shared" si="438"/>
        <v>-21.500000000000909</v>
      </c>
      <c r="H579" s="46">
        <v>10</v>
      </c>
      <c r="I579" s="42">
        <v>691.7</v>
      </c>
      <c r="N579" s="5">
        <f t="shared" si="439"/>
        <v>10</v>
      </c>
      <c r="O579" s="4">
        <f t="shared" si="440"/>
        <v>691.7</v>
      </c>
      <c r="P579" s="5">
        <f t="shared" si="399"/>
        <v>10</v>
      </c>
      <c r="Q579" s="42">
        <v>689.55</v>
      </c>
      <c r="R579" s="2">
        <f t="shared" si="443"/>
        <v>0</v>
      </c>
      <c r="T579" s="2">
        <f t="shared" si="427"/>
        <v>0</v>
      </c>
      <c r="V579" s="5">
        <f t="shared" si="441"/>
        <v>10</v>
      </c>
      <c r="W579" s="4">
        <f t="shared" si="442"/>
        <v>689.55</v>
      </c>
      <c r="X579" s="14">
        <f t="shared" si="400"/>
        <v>-2.1500000000000909</v>
      </c>
      <c r="Y579" s="5">
        <f t="shared" si="401"/>
        <v>-21.500000000000909</v>
      </c>
      <c r="Z579" s="2">
        <f t="shared" si="402"/>
        <v>0</v>
      </c>
      <c r="AA579" s="4">
        <f t="shared" si="403"/>
        <v>0</v>
      </c>
      <c r="AB579" s="13">
        <f t="shared" si="404"/>
        <v>4.739834375</v>
      </c>
      <c r="AC579" s="10">
        <f>SUM($E$4:E579)</f>
        <v>-16899.295578485871</v>
      </c>
      <c r="AD579" s="20">
        <f>SUM($AB$4:AB579)</f>
        <v>13010.966278485826</v>
      </c>
      <c r="AF579" s="28">
        <f t="shared" si="405"/>
        <v>1.3812500000000001</v>
      </c>
      <c r="AG579" s="2">
        <f t="shared" si="406"/>
        <v>1.7238749999999998</v>
      </c>
      <c r="AH579" s="2">
        <f t="shared" si="407"/>
        <v>0.44890624999999995</v>
      </c>
      <c r="AI579" s="2">
        <f t="shared" si="428"/>
        <v>1.8301562499999999</v>
      </c>
      <c r="AJ579" s="2">
        <f t="shared" si="444"/>
        <v>0.32942812499999996</v>
      </c>
      <c r="AK579" s="2">
        <f t="shared" si="408"/>
        <v>2.7625000000000004E-2</v>
      </c>
      <c r="AL579" s="2">
        <f t="shared" si="409"/>
        <v>0.82874999999999999</v>
      </c>
      <c r="AM579" s="2">
        <f t="shared" si="429"/>
        <v>4.739834375</v>
      </c>
      <c r="AN579" s="2">
        <f t="shared" si="410"/>
        <v>40</v>
      </c>
      <c r="AO579" s="2">
        <f t="shared" si="411"/>
        <v>3.4477499999999996</v>
      </c>
      <c r="AP579" s="2">
        <f t="shared" si="412"/>
        <v>7.3206249999999997</v>
      </c>
      <c r="AQ579" s="2">
        <f t="shared" si="430"/>
        <v>47.320625</v>
      </c>
      <c r="AR579" s="2">
        <f t="shared" si="445"/>
        <v>8.5177125</v>
      </c>
      <c r="AS579" s="2">
        <f t="shared" si="413"/>
        <v>2.7625000000000004E-2</v>
      </c>
      <c r="AT579" s="2">
        <f t="shared" si="414"/>
        <v>0.82874999999999999</v>
      </c>
      <c r="AU579" s="2">
        <f t="shared" si="431"/>
        <v>60.142462500000001</v>
      </c>
      <c r="AV579" s="2">
        <f t="shared" si="415"/>
        <v>1.3812500000000001</v>
      </c>
      <c r="AW579" s="2">
        <f t="shared" si="416"/>
        <v>0.68955</v>
      </c>
      <c r="AX579" s="2">
        <f t="shared" si="417"/>
        <v>0.2900625</v>
      </c>
      <c r="AY579" s="2">
        <f t="shared" si="432"/>
        <v>1.6713125</v>
      </c>
      <c r="AZ579" s="2">
        <f t="shared" si="446"/>
        <v>0.30083624999999997</v>
      </c>
      <c r="BA579" s="2">
        <f t="shared" si="418"/>
        <v>2.7625000000000004E-2</v>
      </c>
      <c r="BB579" s="2">
        <f t="shared" si="419"/>
        <v>0.82874999999999999</v>
      </c>
      <c r="BC579" s="2">
        <f t="shared" si="433"/>
        <v>3.5180737500000001</v>
      </c>
      <c r="BD579" s="2">
        <v>0</v>
      </c>
      <c r="BE579" s="2">
        <f t="shared" si="420"/>
        <v>13.8125</v>
      </c>
      <c r="BF579" s="2">
        <f t="shared" si="421"/>
        <v>0.44890624999999995</v>
      </c>
      <c r="BG579" s="2">
        <f t="shared" si="434"/>
        <v>0.44890624999999995</v>
      </c>
      <c r="BH579" s="2">
        <f t="shared" si="447"/>
        <v>8.080312499999999E-2</v>
      </c>
      <c r="BI579" s="2">
        <f t="shared" si="422"/>
        <v>2.7625000000000004E-2</v>
      </c>
      <c r="BJ579" s="2">
        <f t="shared" si="423"/>
        <v>0.82874999999999999</v>
      </c>
      <c r="BK579" s="2">
        <f t="shared" si="435"/>
        <v>15.198584374999999</v>
      </c>
      <c r="BL579" s="2">
        <f t="shared" si="424"/>
        <v>6917</v>
      </c>
      <c r="BM579" s="2">
        <f t="shared" si="425"/>
        <v>6895.5</v>
      </c>
      <c r="BN579" s="2">
        <f t="shared" si="436"/>
        <v>13812.5</v>
      </c>
    </row>
    <row r="580" spans="1:66" x14ac:dyDescent="0.25">
      <c r="A580" s="42">
        <v>577</v>
      </c>
      <c r="B580" s="43">
        <v>42958</v>
      </c>
      <c r="C580" s="42" t="s">
        <v>50</v>
      </c>
      <c r="D580" s="42" t="s">
        <v>163</v>
      </c>
      <c r="E580" s="6">
        <f t="shared" si="426"/>
        <v>81.001364750000135</v>
      </c>
      <c r="F580" s="5" t="str">
        <f t="shared" si="437"/>
        <v>Win</v>
      </c>
      <c r="G580" s="4">
        <f t="shared" si="438"/>
        <v>85.000000000000142</v>
      </c>
      <c r="H580" s="46">
        <v>100</v>
      </c>
      <c r="I580" s="42">
        <v>57.65</v>
      </c>
      <c r="N580" s="5">
        <f t="shared" si="439"/>
        <v>100</v>
      </c>
      <c r="O580" s="4">
        <f t="shared" si="440"/>
        <v>57.65</v>
      </c>
      <c r="P580" s="5">
        <f t="shared" ref="P580:P643" si="448">H580</f>
        <v>100</v>
      </c>
      <c r="Q580" s="42">
        <v>58.5</v>
      </c>
      <c r="R580" s="2">
        <f t="shared" si="443"/>
        <v>0</v>
      </c>
      <c r="T580" s="2">
        <f t="shared" si="427"/>
        <v>0</v>
      </c>
      <c r="V580" s="5">
        <f t="shared" si="441"/>
        <v>100</v>
      </c>
      <c r="W580" s="4">
        <f t="shared" si="442"/>
        <v>58.5</v>
      </c>
      <c r="X580" s="14">
        <f t="shared" ref="X580:X643" si="449">MAX(Q580,S580,U580)-MIN(I580,K580,M580)</f>
        <v>0.85000000000000142</v>
      </c>
      <c r="Y580" s="5">
        <f t="shared" ref="Y580:Y643" si="450">P580*(Q580-I580)</f>
        <v>85.000000000000142</v>
      </c>
      <c r="Z580" s="2">
        <f t="shared" ref="Z580:Z643" si="451">R580*(S580-K580)</f>
        <v>0</v>
      </c>
      <c r="AA580" s="4">
        <f t="shared" ref="AA580:AA643" si="452">T580*(U580-M580)</f>
        <v>0</v>
      </c>
      <c r="AB580" s="13">
        <f t="shared" ref="AB580:AB643" si="453">IF(C580="EQ Intraday",AM580,IF(C580="Index Option",AU580,IF(C580="Index Future",BC580,IF(C580="EQ Delivery",BK580,IF(C580="Stock Option",AU580,IF(C580="Stock Future",BC580,IF(C580="",0,"Error")))))))</f>
        <v>3.99863525</v>
      </c>
      <c r="AC580" s="10">
        <f>SUM($E$4:E580)</f>
        <v>-16818.29421373587</v>
      </c>
      <c r="AD580" s="20">
        <f>SUM($AB$4:AB580)</f>
        <v>13014.964913735826</v>
      </c>
      <c r="AF580" s="28">
        <f t="shared" ref="AF580:AF643" si="454">MIN(IF(ISBLANK(U580)=FALSE,120,IF(ISBLANK(S580)=FALSE,80,40)),(((V580*W580)+(N580*O580))*0.0001))</f>
        <v>1.1615</v>
      </c>
      <c r="AG580" s="2">
        <f t="shared" ref="AG580:AG643" si="455">(0.00025*V580*W580)</f>
        <v>1.4625000000000001</v>
      </c>
      <c r="AH580" s="2">
        <f t="shared" ref="AH580:AH643" si="456">(0.0000325*((V580*W580)+(N580*O580)))</f>
        <v>0.37748749999999998</v>
      </c>
      <c r="AI580" s="2">
        <f t="shared" si="428"/>
        <v>1.5389875</v>
      </c>
      <c r="AJ580" s="2">
        <f t="shared" si="444"/>
        <v>0.27701775000000001</v>
      </c>
      <c r="AK580" s="2">
        <f t="shared" ref="AK580:AK643" si="457">(((V580*W580)+(N580*O580))/10000000)*20</f>
        <v>2.3230000000000001E-2</v>
      </c>
      <c r="AL580" s="2">
        <f t="shared" ref="AL580:AL643" si="458">0.00006*((V580*W580)+(N580*O580))</f>
        <v>0.69689999999999996</v>
      </c>
      <c r="AM580" s="2">
        <f t="shared" si="429"/>
        <v>3.99863525</v>
      </c>
      <c r="AN580" s="2">
        <f t="shared" ref="AN580:AN643" si="459">COUNT(H580,J580,L580)*40</f>
        <v>40</v>
      </c>
      <c r="AO580" s="2">
        <f t="shared" ref="AO580:AO643" si="460">0.0005*V580*W580</f>
        <v>2.9250000000000003</v>
      </c>
      <c r="AP580" s="2">
        <f t="shared" ref="AP580:AP643" si="461">0.00053*((N580*O580)+(V580*W580))</f>
        <v>6.1559499999999998</v>
      </c>
      <c r="AQ580" s="2">
        <f t="shared" si="430"/>
        <v>46.155949999999997</v>
      </c>
      <c r="AR580" s="2">
        <f t="shared" si="445"/>
        <v>8.308071</v>
      </c>
      <c r="AS580" s="2">
        <f t="shared" ref="AS580:AS643" si="462">(((V580*W580)+(N580*O580))/10000000)*20</f>
        <v>2.3230000000000001E-2</v>
      </c>
      <c r="AT580" s="2">
        <f t="shared" ref="AT580:AT643" si="463">0.00006*((V580*W580)+(N580*O580))</f>
        <v>0.69689999999999996</v>
      </c>
      <c r="AU580" s="2">
        <f t="shared" si="431"/>
        <v>58.10915099999999</v>
      </c>
      <c r="AV580" s="2">
        <f t="shared" ref="AV580:AV643" si="464">MIN(IF(ISBLANK(U580)=FALSE,120,IF(ISBLANK(S580)=FALSE,80,40)),(((V580*W580)+(N580*O580))*0.0001))</f>
        <v>1.1615</v>
      </c>
      <c r="AW580" s="2">
        <f t="shared" ref="AW580:AW643" si="465">0.0001*V580*W580</f>
        <v>0.58499999999999996</v>
      </c>
      <c r="AX580" s="2">
        <f t="shared" ref="AX580:AX643" si="466">0.000021*((N580*O580)+(V580*W580))</f>
        <v>0.24391499999999999</v>
      </c>
      <c r="AY580" s="2">
        <f t="shared" si="432"/>
        <v>1.4054150000000001</v>
      </c>
      <c r="AZ580" s="2">
        <f t="shared" si="446"/>
        <v>0.2529747</v>
      </c>
      <c r="BA580" s="2">
        <f t="shared" ref="BA580:BA643" si="467">(((V580*W580)+(N580*O580))/10000000)*20</f>
        <v>2.3230000000000001E-2</v>
      </c>
      <c r="BB580" s="2">
        <f t="shared" ref="BB580:BB643" si="468">0.00006*((V580*W580)+(N580*O580))</f>
        <v>0.69689999999999996</v>
      </c>
      <c r="BC580" s="2">
        <f t="shared" si="433"/>
        <v>2.9635196999999995</v>
      </c>
      <c r="BD580" s="2">
        <v>0</v>
      </c>
      <c r="BE580" s="2">
        <f t="shared" ref="BE580:BE643" si="469">0.001*((N580*O580)+(V580*W580))</f>
        <v>11.615</v>
      </c>
      <c r="BF580" s="2">
        <f t="shared" ref="BF580:BF643" si="470">(0.0000325*((V580*W580)+(N580*O580)))</f>
        <v>0.37748749999999998</v>
      </c>
      <c r="BG580" s="2">
        <f t="shared" si="434"/>
        <v>0.37748749999999998</v>
      </c>
      <c r="BH580" s="2">
        <f t="shared" si="447"/>
        <v>6.7947749999999987E-2</v>
      </c>
      <c r="BI580" s="2">
        <f t="shared" ref="BI580:BI643" si="471">(((V580*W580)+(N580*O580))/10000000)*20</f>
        <v>2.3230000000000001E-2</v>
      </c>
      <c r="BJ580" s="2">
        <f t="shared" ref="BJ580:BJ643" si="472">0.00006*((V580*W580)+(N580*O580))</f>
        <v>0.69689999999999996</v>
      </c>
      <c r="BK580" s="2">
        <f t="shared" si="435"/>
        <v>12.780565249999999</v>
      </c>
      <c r="BL580" s="2">
        <f t="shared" ref="BL580:BL643" si="473">N580*O580</f>
        <v>5765</v>
      </c>
      <c r="BM580" s="2">
        <f t="shared" ref="BM580:BM643" si="474">V580*W580</f>
        <v>5850</v>
      </c>
      <c r="BN580" s="2">
        <f t="shared" si="436"/>
        <v>11615</v>
      </c>
    </row>
    <row r="581" spans="1:66" x14ac:dyDescent="0.25">
      <c r="A581" s="42">
        <v>578</v>
      </c>
      <c r="B581" s="43">
        <v>42979</v>
      </c>
      <c r="C581" s="42" t="s">
        <v>50</v>
      </c>
      <c r="D581" s="42" t="s">
        <v>181</v>
      </c>
      <c r="E581" s="6">
        <f t="shared" ref="E581:E644" si="475">G581-AB581</f>
        <v>-17.730006100000089</v>
      </c>
      <c r="F581" s="5" t="str">
        <f t="shared" si="437"/>
        <v>Loss</v>
      </c>
      <c r="G581" s="4">
        <f t="shared" si="438"/>
        <v>-16.400000000000091</v>
      </c>
      <c r="H581" s="46">
        <v>4</v>
      </c>
      <c r="I581" s="42">
        <v>766.75</v>
      </c>
      <c r="J581" s="42">
        <v>1</v>
      </c>
      <c r="K581" s="42">
        <v>21</v>
      </c>
      <c r="N581" s="5">
        <f t="shared" si="439"/>
        <v>5</v>
      </c>
      <c r="O581" s="4">
        <f t="shared" si="440"/>
        <v>393.875</v>
      </c>
      <c r="P581" s="5">
        <f t="shared" si="448"/>
        <v>4</v>
      </c>
      <c r="Q581" s="42">
        <v>767.65</v>
      </c>
      <c r="R581" s="2">
        <f t="shared" si="443"/>
        <v>1</v>
      </c>
      <c r="S581" s="42">
        <v>1</v>
      </c>
      <c r="T581" s="2">
        <f t="shared" ref="T581:T644" si="476">L581</f>
        <v>0</v>
      </c>
      <c r="V581" s="5">
        <f t="shared" si="441"/>
        <v>5</v>
      </c>
      <c r="W581" s="4">
        <f t="shared" si="442"/>
        <v>384.32499999999999</v>
      </c>
      <c r="X581" s="14">
        <f t="shared" si="449"/>
        <v>746.65</v>
      </c>
      <c r="Y581" s="5">
        <f t="shared" si="450"/>
        <v>3.5999999999999091</v>
      </c>
      <c r="Z581" s="2">
        <f t="shared" si="451"/>
        <v>-20</v>
      </c>
      <c r="AA581" s="4">
        <f t="shared" si="452"/>
        <v>0</v>
      </c>
      <c r="AB581" s="13">
        <f t="shared" si="453"/>
        <v>1.3300060999999999</v>
      </c>
      <c r="AC581" s="10">
        <f>SUM($E$4:E581)</f>
        <v>-16836.024219835868</v>
      </c>
      <c r="AD581" s="20">
        <f>SUM($AB$4:AB581)</f>
        <v>13016.294919835827</v>
      </c>
      <c r="AF581" s="28">
        <f t="shared" si="454"/>
        <v>0.3891</v>
      </c>
      <c r="AG581" s="2">
        <f t="shared" si="455"/>
        <v>0.48040624999999998</v>
      </c>
      <c r="AH581" s="2">
        <f t="shared" si="456"/>
        <v>0.1264575</v>
      </c>
      <c r="AI581" s="2">
        <f t="shared" ref="AI581:AI644" si="477">AH581+AF581</f>
        <v>0.5155575</v>
      </c>
      <c r="AJ581" s="2">
        <f t="shared" si="444"/>
        <v>9.2800350000000004E-2</v>
      </c>
      <c r="AK581" s="2">
        <f t="shared" si="457"/>
        <v>7.7820000000000007E-3</v>
      </c>
      <c r="AL581" s="2">
        <f t="shared" si="458"/>
        <v>0.23346</v>
      </c>
      <c r="AM581" s="2">
        <f t="shared" ref="AM581:AM644" si="478">SUM(AF581:AH581,AJ581:AL581)</f>
        <v>1.3300060999999999</v>
      </c>
      <c r="AN581" s="2">
        <f t="shared" si="459"/>
        <v>80</v>
      </c>
      <c r="AO581" s="2">
        <f t="shared" si="460"/>
        <v>0.96081249999999996</v>
      </c>
      <c r="AP581" s="2">
        <f t="shared" si="461"/>
        <v>2.06223</v>
      </c>
      <c r="AQ581" s="2">
        <f t="shared" ref="AQ581:AQ644" si="479">AN581+AP581</f>
        <v>82.06223</v>
      </c>
      <c r="AR581" s="2">
        <f t="shared" si="445"/>
        <v>14.771201399999999</v>
      </c>
      <c r="AS581" s="2">
        <f t="shared" si="462"/>
        <v>7.7820000000000007E-3</v>
      </c>
      <c r="AT581" s="2">
        <f t="shared" si="463"/>
        <v>0.23346</v>
      </c>
      <c r="AU581" s="2">
        <f t="shared" ref="AU581:AU644" si="480">SUM(AN581:AP581,AR581:AT581)</f>
        <v>98.035485899999998</v>
      </c>
      <c r="AV581" s="2">
        <f t="shared" si="464"/>
        <v>0.3891</v>
      </c>
      <c r="AW581" s="2">
        <f t="shared" si="465"/>
        <v>0.19216249999999999</v>
      </c>
      <c r="AX581" s="2">
        <f t="shared" si="466"/>
        <v>8.1710999999999992E-2</v>
      </c>
      <c r="AY581" s="2">
        <f t="shared" ref="AY581:AY644" si="481">AV581+AX581</f>
        <v>0.47081099999999998</v>
      </c>
      <c r="AZ581" s="2">
        <f t="shared" si="446"/>
        <v>8.4745979999999999E-2</v>
      </c>
      <c r="BA581" s="2">
        <f t="shared" si="467"/>
        <v>7.7820000000000007E-3</v>
      </c>
      <c r="BB581" s="2">
        <f t="shared" si="468"/>
        <v>0.23346</v>
      </c>
      <c r="BC581" s="2">
        <f t="shared" ref="BC581:BC644" si="482">SUM(AV581:AX581,AZ581:BB581)</f>
        <v>0.98896147999999995</v>
      </c>
      <c r="BD581" s="2">
        <v>0</v>
      </c>
      <c r="BE581" s="2">
        <f t="shared" si="469"/>
        <v>3.891</v>
      </c>
      <c r="BF581" s="2">
        <f t="shared" si="470"/>
        <v>0.1264575</v>
      </c>
      <c r="BG581" s="2">
        <f t="shared" ref="BG581:BG644" si="483">BD581+BF581</f>
        <v>0.1264575</v>
      </c>
      <c r="BH581" s="2">
        <f t="shared" si="447"/>
        <v>2.2762350000000001E-2</v>
      </c>
      <c r="BI581" s="2">
        <f t="shared" si="471"/>
        <v>7.7820000000000007E-3</v>
      </c>
      <c r="BJ581" s="2">
        <f t="shared" si="472"/>
        <v>0.23346</v>
      </c>
      <c r="BK581" s="2">
        <f t="shared" ref="BK581:BK644" si="484">SUM(BD581:BF581,BH581:BJ581)</f>
        <v>4.2814618499999995</v>
      </c>
      <c r="BL581" s="2">
        <f t="shared" si="473"/>
        <v>1969.375</v>
      </c>
      <c r="BM581" s="2">
        <f t="shared" si="474"/>
        <v>1921.625</v>
      </c>
      <c r="BN581" s="2">
        <f t="shared" ref="BN581:BN644" si="485">BM581+BL581</f>
        <v>3891</v>
      </c>
    </row>
    <row r="582" spans="1:66" x14ac:dyDescent="0.25">
      <c r="A582" s="42">
        <v>579</v>
      </c>
      <c r="B582" s="43">
        <v>42982</v>
      </c>
      <c r="C582" s="42" t="s">
        <v>50</v>
      </c>
      <c r="D582" s="42" t="s">
        <v>187</v>
      </c>
      <c r="E582" s="6">
        <f t="shared" si="475"/>
        <v>-24.829775525000084</v>
      </c>
      <c r="F582" s="5" t="str">
        <f t="shared" ref="F582:F645" si="486">IF(G582&gt;0,"Win",IF(G582=0,"Break Even","Loss"))</f>
        <v>Loss</v>
      </c>
      <c r="G582" s="4">
        <f t="shared" ref="G582:G645" si="487">SUM(Y582,Z582,AA582)</f>
        <v>-23.500000000000085</v>
      </c>
      <c r="H582" s="46">
        <v>5</v>
      </c>
      <c r="I582" s="42">
        <v>130.15</v>
      </c>
      <c r="J582" s="42">
        <v>5</v>
      </c>
      <c r="K582" s="42">
        <v>130.15</v>
      </c>
      <c r="L582" s="42">
        <v>5</v>
      </c>
      <c r="M582" s="44">
        <v>130.19999999999999</v>
      </c>
      <c r="N582" s="5">
        <f t="shared" ref="N582:N645" si="488">SUM(H582,J582,L582)</f>
        <v>15</v>
      </c>
      <c r="O582" s="4">
        <f t="shared" ref="O582:O645" si="489">AVERAGE(M582,K582,I582)</f>
        <v>130.16666666666666</v>
      </c>
      <c r="P582" s="5">
        <f t="shared" si="448"/>
        <v>5</v>
      </c>
      <c r="Q582" s="42">
        <v>128.69999999999999</v>
      </c>
      <c r="R582" s="2">
        <f t="shared" si="443"/>
        <v>5</v>
      </c>
      <c r="S582" s="42">
        <v>128.5</v>
      </c>
      <c r="T582" s="2">
        <f t="shared" si="476"/>
        <v>5</v>
      </c>
      <c r="U582" s="44">
        <v>128.6</v>
      </c>
      <c r="V582" s="5">
        <f t="shared" ref="V582:V645" si="490">SUM(P582,R582,T582)</f>
        <v>15</v>
      </c>
      <c r="W582" s="4">
        <f t="shared" ref="W582:W645" si="491">AVERAGE(Q582,S582,U582)</f>
        <v>128.6</v>
      </c>
      <c r="X582" s="14">
        <f t="shared" si="449"/>
        <v>-1.4500000000000171</v>
      </c>
      <c r="Y582" s="5">
        <f t="shared" si="450"/>
        <v>-7.2500000000000853</v>
      </c>
      <c r="Z582" s="2">
        <f t="shared" si="451"/>
        <v>-8.2500000000000284</v>
      </c>
      <c r="AA582" s="4">
        <f t="shared" si="452"/>
        <v>-7.9999999999999716</v>
      </c>
      <c r="AB582" s="13">
        <f t="shared" si="453"/>
        <v>1.3297755249999998</v>
      </c>
      <c r="AC582" s="10">
        <f>SUM($E$4:E582)</f>
        <v>-16860.853995360867</v>
      </c>
      <c r="AD582" s="20">
        <f>SUM($AB$4:AB582)</f>
        <v>13017.624695360828</v>
      </c>
      <c r="AF582" s="28">
        <f t="shared" si="454"/>
        <v>0.38815</v>
      </c>
      <c r="AG582" s="2">
        <f t="shared" si="455"/>
        <v>0.48224999999999996</v>
      </c>
      <c r="AH582" s="2">
        <f t="shared" si="456"/>
        <v>0.12614874999999998</v>
      </c>
      <c r="AI582" s="2">
        <f t="shared" si="477"/>
        <v>0.51429875000000003</v>
      </c>
      <c r="AJ582" s="2">
        <f t="shared" si="444"/>
        <v>9.2573774999999997E-2</v>
      </c>
      <c r="AK582" s="2">
        <f t="shared" si="457"/>
        <v>7.7629999999999991E-3</v>
      </c>
      <c r="AL582" s="2">
        <f t="shared" si="458"/>
        <v>0.23289000000000001</v>
      </c>
      <c r="AM582" s="2">
        <f t="shared" si="478"/>
        <v>1.3297755249999998</v>
      </c>
      <c r="AN582" s="2">
        <f t="shared" si="459"/>
        <v>120</v>
      </c>
      <c r="AO582" s="2">
        <f t="shared" si="460"/>
        <v>0.96449999999999991</v>
      </c>
      <c r="AP582" s="2">
        <f t="shared" si="461"/>
        <v>2.0571950000000001</v>
      </c>
      <c r="AQ582" s="2">
        <f t="shared" si="479"/>
        <v>122.05719500000001</v>
      </c>
      <c r="AR582" s="2">
        <f t="shared" si="445"/>
        <v>21.970295100000001</v>
      </c>
      <c r="AS582" s="2">
        <f t="shared" si="462"/>
        <v>7.7629999999999991E-3</v>
      </c>
      <c r="AT582" s="2">
        <f t="shared" si="463"/>
        <v>0.23289000000000001</v>
      </c>
      <c r="AU582" s="2">
        <f t="shared" si="480"/>
        <v>145.23264310000002</v>
      </c>
      <c r="AV582" s="2">
        <f t="shared" si="464"/>
        <v>0.38815</v>
      </c>
      <c r="AW582" s="2">
        <f t="shared" si="465"/>
        <v>0.19289999999999999</v>
      </c>
      <c r="AX582" s="2">
        <f t="shared" si="466"/>
        <v>8.1511500000000001E-2</v>
      </c>
      <c r="AY582" s="2">
        <f t="shared" si="481"/>
        <v>0.46966150000000001</v>
      </c>
      <c r="AZ582" s="2">
        <f t="shared" si="446"/>
        <v>8.4539069999999994E-2</v>
      </c>
      <c r="BA582" s="2">
        <f t="shared" si="467"/>
        <v>7.7629999999999991E-3</v>
      </c>
      <c r="BB582" s="2">
        <f t="shared" si="468"/>
        <v>0.23289000000000001</v>
      </c>
      <c r="BC582" s="2">
        <f t="shared" si="482"/>
        <v>0.98775356999999997</v>
      </c>
      <c r="BD582" s="2">
        <v>0</v>
      </c>
      <c r="BE582" s="2">
        <f t="shared" si="469"/>
        <v>3.8815</v>
      </c>
      <c r="BF582" s="2">
        <f t="shared" si="470"/>
        <v>0.12614874999999998</v>
      </c>
      <c r="BG582" s="2">
        <f t="shared" si="483"/>
        <v>0.12614874999999998</v>
      </c>
      <c r="BH582" s="2">
        <f t="shared" si="447"/>
        <v>2.2706774999999995E-2</v>
      </c>
      <c r="BI582" s="2">
        <f t="shared" si="471"/>
        <v>7.7629999999999991E-3</v>
      </c>
      <c r="BJ582" s="2">
        <f t="shared" si="472"/>
        <v>0.23289000000000001</v>
      </c>
      <c r="BK582" s="2">
        <f t="shared" si="484"/>
        <v>4.2710085249999992</v>
      </c>
      <c r="BL582" s="2">
        <f t="shared" si="473"/>
        <v>1952.4999999999998</v>
      </c>
      <c r="BM582" s="2">
        <f t="shared" si="474"/>
        <v>1929</v>
      </c>
      <c r="BN582" s="2">
        <f t="shared" si="485"/>
        <v>3881.5</v>
      </c>
    </row>
    <row r="583" spans="1:66" x14ac:dyDescent="0.25">
      <c r="A583" s="42">
        <v>580</v>
      </c>
      <c r="B583" s="43">
        <v>42982</v>
      </c>
      <c r="C583" s="42" t="s">
        <v>50</v>
      </c>
      <c r="D583" s="42" t="s">
        <v>187</v>
      </c>
      <c r="E583" s="6">
        <f t="shared" si="475"/>
        <v>-14.626048508333248</v>
      </c>
      <c r="F583" s="5" t="str">
        <f t="shared" si="486"/>
        <v>Loss</v>
      </c>
      <c r="G583" s="4">
        <f t="shared" si="487"/>
        <v>-11.499999999999915</v>
      </c>
      <c r="H583" s="46">
        <v>5</v>
      </c>
      <c r="I583" s="42">
        <v>130.15</v>
      </c>
      <c r="J583" s="42">
        <v>15</v>
      </c>
      <c r="K583" s="42">
        <v>129.9</v>
      </c>
      <c r="L583" s="42">
        <v>15</v>
      </c>
      <c r="M583" s="44">
        <v>131.1</v>
      </c>
      <c r="N583" s="5">
        <f t="shared" si="488"/>
        <v>35</v>
      </c>
      <c r="O583" s="4">
        <f t="shared" si="489"/>
        <v>130.38333333333333</v>
      </c>
      <c r="P583" s="5">
        <f t="shared" si="448"/>
        <v>5</v>
      </c>
      <c r="Q583" s="42">
        <v>129.19999999999999</v>
      </c>
      <c r="R583" s="2">
        <f t="shared" si="443"/>
        <v>15</v>
      </c>
      <c r="S583" s="42">
        <v>130.30000000000001</v>
      </c>
      <c r="T583" s="2">
        <f t="shared" si="476"/>
        <v>15</v>
      </c>
      <c r="U583" s="44">
        <v>130.25</v>
      </c>
      <c r="V583" s="5">
        <f t="shared" si="490"/>
        <v>35</v>
      </c>
      <c r="W583" s="4">
        <f t="shared" si="491"/>
        <v>129.91666666666666</v>
      </c>
      <c r="X583" s="14">
        <f t="shared" si="449"/>
        <v>0.40000000000000568</v>
      </c>
      <c r="Y583" s="5">
        <f t="shared" si="450"/>
        <v>-4.7500000000000853</v>
      </c>
      <c r="Z583" s="2">
        <f t="shared" si="451"/>
        <v>6.0000000000000853</v>
      </c>
      <c r="AA583" s="4">
        <f t="shared" si="452"/>
        <v>-12.749999999999915</v>
      </c>
      <c r="AB583" s="13">
        <f t="shared" si="453"/>
        <v>3.1260485083333331</v>
      </c>
      <c r="AC583" s="10">
        <f>SUM($E$4:E583)</f>
        <v>-16875.4800438692</v>
      </c>
      <c r="AD583" s="20">
        <f>SUM($AB$4:AB583)</f>
        <v>13020.750743869161</v>
      </c>
      <c r="AF583" s="28">
        <f t="shared" si="454"/>
        <v>0.91105000000000003</v>
      </c>
      <c r="AG583" s="2">
        <f t="shared" si="455"/>
        <v>1.1367708333333333</v>
      </c>
      <c r="AH583" s="2">
        <f t="shared" si="456"/>
        <v>0.29609124999999997</v>
      </c>
      <c r="AI583" s="2">
        <f t="shared" si="477"/>
        <v>1.2071412500000001</v>
      </c>
      <c r="AJ583" s="2">
        <f t="shared" si="444"/>
        <v>0.217285425</v>
      </c>
      <c r="AK583" s="2">
        <f t="shared" si="457"/>
        <v>1.8221000000000001E-2</v>
      </c>
      <c r="AL583" s="2">
        <f t="shared" si="458"/>
        <v>0.54663000000000006</v>
      </c>
      <c r="AM583" s="2">
        <f t="shared" si="478"/>
        <v>3.1260485083333331</v>
      </c>
      <c r="AN583" s="2">
        <f t="shared" si="459"/>
        <v>120</v>
      </c>
      <c r="AO583" s="2">
        <f t="shared" si="460"/>
        <v>2.2735416666666666</v>
      </c>
      <c r="AP583" s="2">
        <f t="shared" si="461"/>
        <v>4.8285650000000002</v>
      </c>
      <c r="AQ583" s="2">
        <f t="shared" si="479"/>
        <v>124.828565</v>
      </c>
      <c r="AR583" s="2">
        <f t="shared" si="445"/>
        <v>22.469141699999998</v>
      </c>
      <c r="AS583" s="2">
        <f t="shared" si="462"/>
        <v>1.8221000000000001E-2</v>
      </c>
      <c r="AT583" s="2">
        <f t="shared" si="463"/>
        <v>0.54663000000000006</v>
      </c>
      <c r="AU583" s="2">
        <f t="shared" si="480"/>
        <v>150.13609936666666</v>
      </c>
      <c r="AV583" s="2">
        <f t="shared" si="464"/>
        <v>0.91105000000000003</v>
      </c>
      <c r="AW583" s="2">
        <f t="shared" si="465"/>
        <v>0.45470833333333333</v>
      </c>
      <c r="AX583" s="2">
        <f t="shared" si="466"/>
        <v>0.19132049999999998</v>
      </c>
      <c r="AY583" s="2">
        <f t="shared" si="481"/>
        <v>1.1023704999999999</v>
      </c>
      <c r="AZ583" s="2">
        <f t="shared" si="446"/>
        <v>0.19842668999999999</v>
      </c>
      <c r="BA583" s="2">
        <f t="shared" si="467"/>
        <v>1.8221000000000001E-2</v>
      </c>
      <c r="BB583" s="2">
        <f t="shared" si="468"/>
        <v>0.54663000000000006</v>
      </c>
      <c r="BC583" s="2">
        <f t="shared" si="482"/>
        <v>2.3203565233333334</v>
      </c>
      <c r="BD583" s="2">
        <v>0</v>
      </c>
      <c r="BE583" s="2">
        <f t="shared" si="469"/>
        <v>9.1105</v>
      </c>
      <c r="BF583" s="2">
        <f t="shared" si="470"/>
        <v>0.29609124999999997</v>
      </c>
      <c r="BG583" s="2">
        <f t="shared" si="483"/>
        <v>0.29609124999999997</v>
      </c>
      <c r="BH583" s="2">
        <f t="shared" si="447"/>
        <v>5.3296424999999994E-2</v>
      </c>
      <c r="BI583" s="2">
        <f t="shared" si="471"/>
        <v>1.8221000000000001E-2</v>
      </c>
      <c r="BJ583" s="2">
        <f t="shared" si="472"/>
        <v>0.54663000000000006</v>
      </c>
      <c r="BK583" s="2">
        <f t="shared" si="484"/>
        <v>10.024738675</v>
      </c>
      <c r="BL583" s="2">
        <f t="shared" si="473"/>
        <v>4563.4166666666661</v>
      </c>
      <c r="BM583" s="2">
        <f t="shared" si="474"/>
        <v>4547.083333333333</v>
      </c>
      <c r="BN583" s="2">
        <f t="shared" si="485"/>
        <v>9110.5</v>
      </c>
    </row>
    <row r="584" spans="1:66" x14ac:dyDescent="0.25">
      <c r="A584" s="42">
        <v>581</v>
      </c>
      <c r="B584" s="43">
        <v>42983</v>
      </c>
      <c r="C584" s="42" t="s">
        <v>50</v>
      </c>
      <c r="D584" s="42" t="s">
        <v>319</v>
      </c>
      <c r="E584" s="6">
        <f t="shared" si="475"/>
        <v>-84.135130875000002</v>
      </c>
      <c r="F584" s="5" t="str">
        <f t="shared" si="486"/>
        <v>Loss</v>
      </c>
      <c r="G584" s="4">
        <f t="shared" si="487"/>
        <v>-83.25</v>
      </c>
      <c r="H584" s="46">
        <v>9</v>
      </c>
      <c r="I584" s="42">
        <v>106</v>
      </c>
      <c r="J584" s="42">
        <v>3</v>
      </c>
      <c r="K584" s="42">
        <v>116.5</v>
      </c>
      <c r="N584" s="5">
        <f t="shared" si="488"/>
        <v>12</v>
      </c>
      <c r="O584" s="4">
        <f t="shared" si="489"/>
        <v>111.25</v>
      </c>
      <c r="P584" s="5">
        <f t="shared" si="448"/>
        <v>9</v>
      </c>
      <c r="Q584" s="42">
        <v>97.75</v>
      </c>
      <c r="R584" s="2">
        <f t="shared" si="443"/>
        <v>3</v>
      </c>
      <c r="S584" s="42">
        <v>113.5</v>
      </c>
      <c r="T584" s="2">
        <f t="shared" si="476"/>
        <v>0</v>
      </c>
      <c r="V584" s="5">
        <f t="shared" si="490"/>
        <v>12</v>
      </c>
      <c r="W584" s="4">
        <f t="shared" si="491"/>
        <v>105.625</v>
      </c>
      <c r="X584" s="14">
        <f t="shared" si="449"/>
        <v>7.5</v>
      </c>
      <c r="Y584" s="5">
        <f t="shared" si="450"/>
        <v>-74.25</v>
      </c>
      <c r="Z584" s="2">
        <f t="shared" si="451"/>
        <v>-9</v>
      </c>
      <c r="AA584" s="4">
        <f t="shared" si="452"/>
        <v>0</v>
      </c>
      <c r="AB584" s="13">
        <f t="shared" si="453"/>
        <v>0.88513087500000021</v>
      </c>
      <c r="AC584" s="10">
        <f>SUM($E$4:E584)</f>
        <v>-16959.615174744202</v>
      </c>
      <c r="AD584" s="20">
        <f>SUM($AB$4:AB584)</f>
        <v>13021.635874744161</v>
      </c>
      <c r="AF584" s="28">
        <f t="shared" si="454"/>
        <v>0.26025000000000004</v>
      </c>
      <c r="AG584" s="2">
        <f t="shared" si="455"/>
        <v>0.31687500000000002</v>
      </c>
      <c r="AH584" s="2">
        <f t="shared" si="456"/>
        <v>8.4581249999999997E-2</v>
      </c>
      <c r="AI584" s="2">
        <f t="shared" si="477"/>
        <v>0.34483125000000003</v>
      </c>
      <c r="AJ584" s="2">
        <f t="shared" si="444"/>
        <v>6.2069625000000003E-2</v>
      </c>
      <c r="AK584" s="2">
        <f t="shared" si="457"/>
        <v>5.2050000000000004E-3</v>
      </c>
      <c r="AL584" s="2">
        <f t="shared" si="458"/>
        <v>0.15615000000000001</v>
      </c>
      <c r="AM584" s="2">
        <f t="shared" si="478"/>
        <v>0.88513087500000021</v>
      </c>
      <c r="AN584" s="2">
        <f t="shared" si="459"/>
        <v>80</v>
      </c>
      <c r="AO584" s="2">
        <f t="shared" si="460"/>
        <v>0.63375000000000004</v>
      </c>
      <c r="AP584" s="2">
        <f t="shared" si="461"/>
        <v>1.3793249999999999</v>
      </c>
      <c r="AQ584" s="2">
        <f t="shared" si="479"/>
        <v>81.379324999999994</v>
      </c>
      <c r="AR584" s="2">
        <f t="shared" si="445"/>
        <v>14.648278499999998</v>
      </c>
      <c r="AS584" s="2">
        <f t="shared" si="462"/>
        <v>5.2050000000000004E-3</v>
      </c>
      <c r="AT584" s="2">
        <f t="shared" si="463"/>
        <v>0.15615000000000001</v>
      </c>
      <c r="AU584" s="2">
        <f t="shared" si="480"/>
        <v>96.822708500000005</v>
      </c>
      <c r="AV584" s="2">
        <f t="shared" si="464"/>
        <v>0.26025000000000004</v>
      </c>
      <c r="AW584" s="2">
        <f t="shared" si="465"/>
        <v>0.12675</v>
      </c>
      <c r="AX584" s="2">
        <f t="shared" si="466"/>
        <v>5.46525E-2</v>
      </c>
      <c r="AY584" s="2">
        <f t="shared" si="481"/>
        <v>0.31490250000000003</v>
      </c>
      <c r="AZ584" s="2">
        <f t="shared" si="446"/>
        <v>5.6682450000000002E-2</v>
      </c>
      <c r="BA584" s="2">
        <f t="shared" si="467"/>
        <v>5.2050000000000004E-3</v>
      </c>
      <c r="BB584" s="2">
        <f t="shared" si="468"/>
        <v>0.15615000000000001</v>
      </c>
      <c r="BC584" s="2">
        <f t="shared" si="482"/>
        <v>0.65968994999999997</v>
      </c>
      <c r="BD584" s="2">
        <v>0</v>
      </c>
      <c r="BE584" s="2">
        <f t="shared" si="469"/>
        <v>2.6025</v>
      </c>
      <c r="BF584" s="2">
        <f t="shared" si="470"/>
        <v>8.4581249999999997E-2</v>
      </c>
      <c r="BG584" s="2">
        <f t="shared" si="483"/>
        <v>8.4581249999999997E-2</v>
      </c>
      <c r="BH584" s="2">
        <f t="shared" si="447"/>
        <v>1.5224624999999999E-2</v>
      </c>
      <c r="BI584" s="2">
        <f t="shared" si="471"/>
        <v>5.2050000000000004E-3</v>
      </c>
      <c r="BJ584" s="2">
        <f t="shared" si="472"/>
        <v>0.15615000000000001</v>
      </c>
      <c r="BK584" s="2">
        <f t="shared" si="484"/>
        <v>2.8636608749999999</v>
      </c>
      <c r="BL584" s="2">
        <f t="shared" si="473"/>
        <v>1335</v>
      </c>
      <c r="BM584" s="2">
        <f t="shared" si="474"/>
        <v>1267.5</v>
      </c>
      <c r="BN584" s="2">
        <f t="shared" si="485"/>
        <v>2602.5</v>
      </c>
    </row>
    <row r="585" spans="1:66" x14ac:dyDescent="0.25">
      <c r="A585" s="42">
        <v>582</v>
      </c>
      <c r="B585" s="43">
        <v>42991</v>
      </c>
      <c r="C585" s="42" t="s">
        <v>50</v>
      </c>
      <c r="D585" s="42" t="s">
        <v>278</v>
      </c>
      <c r="E585" s="6">
        <f t="shared" si="475"/>
        <v>-380.93924447648646</v>
      </c>
      <c r="F585" s="5" t="str">
        <f t="shared" si="486"/>
        <v>Loss</v>
      </c>
      <c r="G585" s="4">
        <f t="shared" si="487"/>
        <v>-309.28999999998643</v>
      </c>
      <c r="H585" s="46">
        <v>157</v>
      </c>
      <c r="I585" s="42">
        <v>665.92</v>
      </c>
      <c r="N585" s="5">
        <f t="shared" si="488"/>
        <v>157</v>
      </c>
      <c r="O585" s="4">
        <f t="shared" si="489"/>
        <v>665.92</v>
      </c>
      <c r="P585" s="5">
        <f t="shared" si="448"/>
        <v>157</v>
      </c>
      <c r="Q585" s="42">
        <v>663.95</v>
      </c>
      <c r="R585" s="2">
        <f t="shared" si="443"/>
        <v>0</v>
      </c>
      <c r="T585" s="2">
        <f t="shared" si="476"/>
        <v>0</v>
      </c>
      <c r="V585" s="5">
        <f t="shared" si="490"/>
        <v>157</v>
      </c>
      <c r="W585" s="4">
        <f t="shared" si="491"/>
        <v>663.95</v>
      </c>
      <c r="X585" s="14">
        <f t="shared" si="449"/>
        <v>-1.9699999999999136</v>
      </c>
      <c r="Y585" s="5">
        <f t="shared" si="450"/>
        <v>-309.28999999998643</v>
      </c>
      <c r="Z585" s="2">
        <f t="shared" si="451"/>
        <v>0</v>
      </c>
      <c r="AA585" s="4">
        <f t="shared" si="452"/>
        <v>0</v>
      </c>
      <c r="AB585" s="13">
        <f t="shared" si="453"/>
        <v>71.649244476500002</v>
      </c>
      <c r="AC585" s="10">
        <f>SUM($E$4:E585)</f>
        <v>-17340.554419220687</v>
      </c>
      <c r="AD585" s="20">
        <f>SUM($AB$4:AB585)</f>
        <v>13093.285119220662</v>
      </c>
      <c r="AF585" s="28">
        <f t="shared" si="454"/>
        <v>20.878959000000002</v>
      </c>
      <c r="AG585" s="2">
        <f t="shared" si="455"/>
        <v>26.060037500000004</v>
      </c>
      <c r="AH585" s="2">
        <f t="shared" si="456"/>
        <v>6.7856616749999992</v>
      </c>
      <c r="AI585" s="2">
        <f t="shared" si="477"/>
        <v>27.664620675000002</v>
      </c>
      <c r="AJ585" s="2">
        <f t="shared" si="444"/>
        <v>4.9796317215000006</v>
      </c>
      <c r="AK585" s="2">
        <f t="shared" si="457"/>
        <v>0.41757917999999999</v>
      </c>
      <c r="AL585" s="2">
        <f t="shared" si="458"/>
        <v>12.5273754</v>
      </c>
      <c r="AM585" s="2">
        <f t="shared" si="478"/>
        <v>71.649244476500002</v>
      </c>
      <c r="AN585" s="2">
        <f t="shared" si="459"/>
        <v>40</v>
      </c>
      <c r="AO585" s="2">
        <f t="shared" si="460"/>
        <v>52.120075000000007</v>
      </c>
      <c r="AP585" s="2">
        <f t="shared" si="461"/>
        <v>110.65848269999999</v>
      </c>
      <c r="AQ585" s="2">
        <f t="shared" si="479"/>
        <v>150.65848269999998</v>
      </c>
      <c r="AR585" s="2">
        <f t="shared" si="445"/>
        <v>27.118526885999994</v>
      </c>
      <c r="AS585" s="2">
        <f t="shared" si="462"/>
        <v>0.41757917999999999</v>
      </c>
      <c r="AT585" s="2">
        <f t="shared" si="463"/>
        <v>12.5273754</v>
      </c>
      <c r="AU585" s="2">
        <f t="shared" si="480"/>
        <v>242.84203916600001</v>
      </c>
      <c r="AV585" s="2">
        <f t="shared" si="464"/>
        <v>20.878959000000002</v>
      </c>
      <c r="AW585" s="2">
        <f t="shared" si="465"/>
        <v>10.424015000000002</v>
      </c>
      <c r="AX585" s="2">
        <f t="shared" si="466"/>
        <v>4.3845813899999992</v>
      </c>
      <c r="AY585" s="2">
        <f t="shared" si="481"/>
        <v>25.263540390000003</v>
      </c>
      <c r="AZ585" s="2">
        <f t="shared" si="446"/>
        <v>4.5474372702000005</v>
      </c>
      <c r="BA585" s="2">
        <f t="shared" si="467"/>
        <v>0.41757917999999999</v>
      </c>
      <c r="BB585" s="2">
        <f t="shared" si="468"/>
        <v>12.5273754</v>
      </c>
      <c r="BC585" s="2">
        <f t="shared" si="482"/>
        <v>53.179947240200008</v>
      </c>
      <c r="BD585" s="2">
        <v>0</v>
      </c>
      <c r="BE585" s="2">
        <f t="shared" si="469"/>
        <v>208.78959</v>
      </c>
      <c r="BF585" s="2">
        <f t="shared" si="470"/>
        <v>6.7856616749999992</v>
      </c>
      <c r="BG585" s="2">
        <f t="shared" si="483"/>
        <v>6.7856616749999992</v>
      </c>
      <c r="BH585" s="2">
        <f t="shared" si="447"/>
        <v>1.2214191014999998</v>
      </c>
      <c r="BI585" s="2">
        <f t="shared" si="471"/>
        <v>0.41757917999999999</v>
      </c>
      <c r="BJ585" s="2">
        <f t="shared" si="472"/>
        <v>12.5273754</v>
      </c>
      <c r="BK585" s="2">
        <f t="shared" si="484"/>
        <v>229.74162535650001</v>
      </c>
      <c r="BL585" s="2">
        <f t="shared" si="473"/>
        <v>104549.43999999999</v>
      </c>
      <c r="BM585" s="2">
        <f t="shared" si="474"/>
        <v>104240.15000000001</v>
      </c>
      <c r="BN585" s="2">
        <f t="shared" si="485"/>
        <v>208789.59</v>
      </c>
    </row>
    <row r="586" spans="1:66" x14ac:dyDescent="0.25">
      <c r="A586" s="42">
        <v>583</v>
      </c>
      <c r="B586" s="43">
        <v>42991</v>
      </c>
      <c r="C586" s="42" t="s">
        <v>50</v>
      </c>
      <c r="D586" s="42" t="s">
        <v>320</v>
      </c>
      <c r="E586" s="6">
        <f t="shared" si="475"/>
        <v>-1946.7206051129963</v>
      </c>
      <c r="F586" s="5" t="str">
        <f t="shared" si="486"/>
        <v>Loss</v>
      </c>
      <c r="G586" s="4">
        <f t="shared" si="487"/>
        <v>-1825.5899999999963</v>
      </c>
      <c r="H586" s="46">
        <v>110</v>
      </c>
      <c r="I586" s="42">
        <v>852.27949999999998</v>
      </c>
      <c r="J586" s="42">
        <v>50</v>
      </c>
      <c r="K586" s="42">
        <v>840</v>
      </c>
      <c r="L586" s="42">
        <v>50</v>
      </c>
      <c r="M586" s="44">
        <v>842.99599999999998</v>
      </c>
      <c r="N586" s="5">
        <f t="shared" si="488"/>
        <v>210</v>
      </c>
      <c r="O586" s="4">
        <f t="shared" si="489"/>
        <v>845.0918333333334</v>
      </c>
      <c r="P586" s="5">
        <f t="shared" si="448"/>
        <v>110</v>
      </c>
      <c r="Q586" s="42">
        <v>840.60050000000001</v>
      </c>
      <c r="R586" s="2">
        <f t="shared" si="443"/>
        <v>50</v>
      </c>
      <c r="S586" s="42">
        <v>835.87800000000004</v>
      </c>
      <c r="T586" s="2">
        <f t="shared" si="476"/>
        <v>50</v>
      </c>
      <c r="U586" s="44">
        <v>836.3</v>
      </c>
      <c r="V586" s="5">
        <f t="shared" si="490"/>
        <v>210</v>
      </c>
      <c r="W586" s="4">
        <f t="shared" si="491"/>
        <v>837.59283333333349</v>
      </c>
      <c r="X586" s="14">
        <f t="shared" si="449"/>
        <v>0.60050000000001091</v>
      </c>
      <c r="Y586" s="5">
        <f t="shared" si="450"/>
        <v>-1284.6899999999971</v>
      </c>
      <c r="Z586" s="2">
        <f t="shared" si="451"/>
        <v>-206.09999999999786</v>
      </c>
      <c r="AA586" s="4">
        <f t="shared" si="452"/>
        <v>-334.80000000000132</v>
      </c>
      <c r="AB586" s="13">
        <f t="shared" si="453"/>
        <v>121.13060511300002</v>
      </c>
      <c r="AC586" s="10">
        <f>SUM($E$4:E586)</f>
        <v>-19287.275024333685</v>
      </c>
      <c r="AD586" s="20">
        <f>SUM($AB$4:AB586)</f>
        <v>13214.415724333661</v>
      </c>
      <c r="AF586" s="28">
        <f t="shared" si="454"/>
        <v>35.336378000000003</v>
      </c>
      <c r="AG586" s="2">
        <f t="shared" si="455"/>
        <v>43.973623750000009</v>
      </c>
      <c r="AH586" s="2">
        <f t="shared" si="456"/>
        <v>11.48432285</v>
      </c>
      <c r="AI586" s="2">
        <f t="shared" si="477"/>
        <v>46.820700850000001</v>
      </c>
      <c r="AJ586" s="2">
        <f t="shared" si="444"/>
        <v>8.4277261530000001</v>
      </c>
      <c r="AK586" s="2">
        <f t="shared" si="457"/>
        <v>0.70672756000000003</v>
      </c>
      <c r="AL586" s="2">
        <f t="shared" si="458"/>
        <v>21.201826800000003</v>
      </c>
      <c r="AM586" s="2">
        <f t="shared" si="478"/>
        <v>121.13060511300002</v>
      </c>
      <c r="AN586" s="2">
        <f t="shared" si="459"/>
        <v>120</v>
      </c>
      <c r="AO586" s="2">
        <f t="shared" si="460"/>
        <v>87.947247500000017</v>
      </c>
      <c r="AP586" s="2">
        <f t="shared" si="461"/>
        <v>187.28280340000001</v>
      </c>
      <c r="AQ586" s="2">
        <f t="shared" si="479"/>
        <v>307.28280340000003</v>
      </c>
      <c r="AR586" s="2">
        <f t="shared" si="445"/>
        <v>55.310904612000002</v>
      </c>
      <c r="AS586" s="2">
        <f t="shared" si="462"/>
        <v>0.70672756000000003</v>
      </c>
      <c r="AT586" s="2">
        <f t="shared" si="463"/>
        <v>21.201826800000003</v>
      </c>
      <c r="AU586" s="2">
        <f t="shared" si="480"/>
        <v>472.44950987200002</v>
      </c>
      <c r="AV586" s="2">
        <f t="shared" si="464"/>
        <v>35.336378000000003</v>
      </c>
      <c r="AW586" s="2">
        <f t="shared" si="465"/>
        <v>17.589449500000004</v>
      </c>
      <c r="AX586" s="2">
        <f t="shared" si="466"/>
        <v>7.4206393799999999</v>
      </c>
      <c r="AY586" s="2">
        <f t="shared" si="481"/>
        <v>42.757017380000001</v>
      </c>
      <c r="AZ586" s="2">
        <f t="shared" si="446"/>
        <v>7.6962631284</v>
      </c>
      <c r="BA586" s="2">
        <f t="shared" si="467"/>
        <v>0.70672756000000003</v>
      </c>
      <c r="BB586" s="2">
        <f t="shared" si="468"/>
        <v>21.201826800000003</v>
      </c>
      <c r="BC586" s="2">
        <f t="shared" si="482"/>
        <v>89.951284368400025</v>
      </c>
      <c r="BD586" s="2">
        <v>0</v>
      </c>
      <c r="BE586" s="2">
        <f t="shared" si="469"/>
        <v>353.36378000000002</v>
      </c>
      <c r="BF586" s="2">
        <f t="shared" si="470"/>
        <v>11.48432285</v>
      </c>
      <c r="BG586" s="2">
        <f t="shared" si="483"/>
        <v>11.48432285</v>
      </c>
      <c r="BH586" s="2">
        <f t="shared" si="447"/>
        <v>2.0671781129999998</v>
      </c>
      <c r="BI586" s="2">
        <f t="shared" si="471"/>
        <v>0.70672756000000003</v>
      </c>
      <c r="BJ586" s="2">
        <f t="shared" si="472"/>
        <v>21.201826800000003</v>
      </c>
      <c r="BK586" s="2">
        <f t="shared" si="484"/>
        <v>388.82383532300003</v>
      </c>
      <c r="BL586" s="2">
        <f t="shared" si="473"/>
        <v>177469.285</v>
      </c>
      <c r="BM586" s="2">
        <f t="shared" si="474"/>
        <v>175894.49500000002</v>
      </c>
      <c r="BN586" s="2">
        <f t="shared" si="485"/>
        <v>353363.78</v>
      </c>
    </row>
    <row r="587" spans="1:66" x14ac:dyDescent="0.25">
      <c r="A587" s="42">
        <v>584</v>
      </c>
      <c r="B587" s="43">
        <v>42991</v>
      </c>
      <c r="C587" s="42" t="s">
        <v>50</v>
      </c>
      <c r="D587" s="42" t="s">
        <v>215</v>
      </c>
      <c r="E587" s="6">
        <f t="shared" si="475"/>
        <v>-1474.7407016152697</v>
      </c>
      <c r="F587" s="5" t="str">
        <f t="shared" si="486"/>
        <v>Loss</v>
      </c>
      <c r="G587" s="4">
        <f t="shared" si="487"/>
        <v>-1339.5149000000113</v>
      </c>
      <c r="H587" s="46">
        <v>99</v>
      </c>
      <c r="I587" s="42">
        <v>669.85</v>
      </c>
      <c r="J587" s="42">
        <v>100</v>
      </c>
      <c r="K587" s="42">
        <v>670.45</v>
      </c>
      <c r="L587" s="42">
        <v>96</v>
      </c>
      <c r="M587" s="44">
        <v>671.77809999999999</v>
      </c>
      <c r="N587" s="5">
        <f t="shared" si="488"/>
        <v>295</v>
      </c>
      <c r="O587" s="4">
        <f t="shared" si="489"/>
        <v>670.69270000000006</v>
      </c>
      <c r="P587" s="5">
        <f t="shared" si="448"/>
        <v>99</v>
      </c>
      <c r="Q587" s="42">
        <v>671.12729999999999</v>
      </c>
      <c r="R587" s="2">
        <f t="shared" si="443"/>
        <v>100</v>
      </c>
      <c r="S587" s="42">
        <v>668.53729999999996</v>
      </c>
      <c r="T587" s="2">
        <f t="shared" si="476"/>
        <v>96</v>
      </c>
      <c r="U587" s="44">
        <v>658.5</v>
      </c>
      <c r="V587" s="5">
        <f t="shared" si="490"/>
        <v>295</v>
      </c>
      <c r="W587" s="4">
        <f t="shared" si="491"/>
        <v>666.05486666666673</v>
      </c>
      <c r="X587" s="14">
        <f t="shared" si="449"/>
        <v>1.2772999999999683</v>
      </c>
      <c r="Y587" s="5">
        <f t="shared" si="450"/>
        <v>126.45269999999687</v>
      </c>
      <c r="Z587" s="2">
        <f t="shared" si="451"/>
        <v>-191.27000000000862</v>
      </c>
      <c r="AA587" s="4">
        <f t="shared" si="452"/>
        <v>-1274.6975999999995</v>
      </c>
      <c r="AB587" s="13">
        <f t="shared" si="453"/>
        <v>135.22580161525835</v>
      </c>
      <c r="AC587" s="10">
        <f>SUM($E$4:E587)</f>
        <v>-20762.015725948953</v>
      </c>
      <c r="AD587" s="20">
        <f>SUM($AB$4:AB587)</f>
        <v>13349.64152594892</v>
      </c>
      <c r="AF587" s="28">
        <f t="shared" si="454"/>
        <v>39.434053216666669</v>
      </c>
      <c r="AG587" s="2">
        <f t="shared" si="455"/>
        <v>49.121546416666668</v>
      </c>
      <c r="AH587" s="2">
        <f t="shared" si="456"/>
        <v>12.816067295416667</v>
      </c>
      <c r="AI587" s="2">
        <f t="shared" si="477"/>
        <v>52.250120512083335</v>
      </c>
      <c r="AJ587" s="2">
        <f t="shared" si="444"/>
        <v>9.4050216921749996</v>
      </c>
      <c r="AK587" s="2">
        <f t="shared" si="457"/>
        <v>0.78868106433333329</v>
      </c>
      <c r="AL587" s="2">
        <f t="shared" si="458"/>
        <v>23.660431930000001</v>
      </c>
      <c r="AM587" s="2">
        <f t="shared" si="478"/>
        <v>135.22580161525835</v>
      </c>
      <c r="AN587" s="2">
        <f t="shared" si="459"/>
        <v>120</v>
      </c>
      <c r="AO587" s="2">
        <f t="shared" si="460"/>
        <v>98.243092833333336</v>
      </c>
      <c r="AP587" s="2">
        <f t="shared" si="461"/>
        <v>209.00048204833334</v>
      </c>
      <c r="AQ587" s="2">
        <f t="shared" si="479"/>
        <v>329.00048204833331</v>
      </c>
      <c r="AR587" s="2">
        <f t="shared" si="445"/>
        <v>59.220086768699993</v>
      </c>
      <c r="AS587" s="2">
        <f t="shared" si="462"/>
        <v>0.78868106433333329</v>
      </c>
      <c r="AT587" s="2">
        <f t="shared" si="463"/>
        <v>23.660431930000001</v>
      </c>
      <c r="AU587" s="2">
        <f t="shared" si="480"/>
        <v>510.91277464469999</v>
      </c>
      <c r="AV587" s="2">
        <f t="shared" si="464"/>
        <v>39.434053216666669</v>
      </c>
      <c r="AW587" s="2">
        <f t="shared" si="465"/>
        <v>19.64861856666667</v>
      </c>
      <c r="AX587" s="2">
        <f t="shared" si="466"/>
        <v>8.2811511754999998</v>
      </c>
      <c r="AY587" s="2">
        <f t="shared" si="481"/>
        <v>47.715204392166669</v>
      </c>
      <c r="AZ587" s="2">
        <f t="shared" si="446"/>
        <v>8.5887367905899996</v>
      </c>
      <c r="BA587" s="2">
        <f t="shared" si="467"/>
        <v>0.78868106433333329</v>
      </c>
      <c r="BB587" s="2">
        <f t="shared" si="468"/>
        <v>23.660431930000001</v>
      </c>
      <c r="BC587" s="2">
        <f t="shared" si="482"/>
        <v>100.40167274375668</v>
      </c>
      <c r="BD587" s="2">
        <v>0</v>
      </c>
      <c r="BE587" s="2">
        <f t="shared" si="469"/>
        <v>394.34053216666672</v>
      </c>
      <c r="BF587" s="2">
        <f t="shared" si="470"/>
        <v>12.816067295416667</v>
      </c>
      <c r="BG587" s="2">
        <f t="shared" si="483"/>
        <v>12.816067295416667</v>
      </c>
      <c r="BH587" s="2">
        <f t="shared" si="447"/>
        <v>2.306892113175</v>
      </c>
      <c r="BI587" s="2">
        <f t="shared" si="471"/>
        <v>0.78868106433333329</v>
      </c>
      <c r="BJ587" s="2">
        <f t="shared" si="472"/>
        <v>23.660431930000001</v>
      </c>
      <c r="BK587" s="2">
        <f t="shared" si="484"/>
        <v>433.91260456959174</v>
      </c>
      <c r="BL587" s="2">
        <f t="shared" si="473"/>
        <v>197854.34650000001</v>
      </c>
      <c r="BM587" s="2">
        <f t="shared" si="474"/>
        <v>196486.18566666669</v>
      </c>
      <c r="BN587" s="2">
        <f t="shared" si="485"/>
        <v>394340.5321666667</v>
      </c>
    </row>
    <row r="588" spans="1:66" x14ac:dyDescent="0.25">
      <c r="A588" s="42">
        <v>585</v>
      </c>
      <c r="B588" s="43">
        <v>42991</v>
      </c>
      <c r="C588" s="42" t="s">
        <v>50</v>
      </c>
      <c r="D588" s="42" t="s">
        <v>215</v>
      </c>
      <c r="E588" s="6">
        <f t="shared" si="475"/>
        <v>124.46748624303419</v>
      </c>
      <c r="F588" s="5" t="str">
        <f t="shared" si="486"/>
        <v>Win</v>
      </c>
      <c r="G588" s="4">
        <f t="shared" si="487"/>
        <v>153.20340000000419</v>
      </c>
      <c r="H588" s="46">
        <v>63</v>
      </c>
      <c r="I588" s="42">
        <v>662.56979999999999</v>
      </c>
      <c r="N588" s="5">
        <f t="shared" si="488"/>
        <v>63</v>
      </c>
      <c r="O588" s="4">
        <f t="shared" si="489"/>
        <v>662.56979999999999</v>
      </c>
      <c r="P588" s="5">
        <f t="shared" si="448"/>
        <v>63</v>
      </c>
      <c r="Q588" s="42">
        <v>665.00160000000005</v>
      </c>
      <c r="R588" s="2">
        <f t="shared" si="443"/>
        <v>0</v>
      </c>
      <c r="T588" s="2">
        <f t="shared" si="476"/>
        <v>0</v>
      </c>
      <c r="V588" s="5">
        <f t="shared" si="490"/>
        <v>63</v>
      </c>
      <c r="W588" s="4">
        <f t="shared" si="491"/>
        <v>665.00160000000005</v>
      </c>
      <c r="X588" s="14">
        <f t="shared" si="449"/>
        <v>2.4318000000000666</v>
      </c>
      <c r="Y588" s="5">
        <f t="shared" si="450"/>
        <v>153.20340000000419</v>
      </c>
      <c r="Z588" s="2">
        <f t="shared" si="451"/>
        <v>0</v>
      </c>
      <c r="AA588" s="4">
        <f t="shared" si="452"/>
        <v>0</v>
      </c>
      <c r="AB588" s="13">
        <f t="shared" si="453"/>
        <v>28.73591375697</v>
      </c>
      <c r="AC588" s="10">
        <f>SUM($E$4:E588)</f>
        <v>-20637.54823970592</v>
      </c>
      <c r="AD588" s="20">
        <f>SUM($AB$4:AB588)</f>
        <v>13378.37743970589</v>
      </c>
      <c r="AF588" s="28">
        <f t="shared" si="454"/>
        <v>8.3636998200000008</v>
      </c>
      <c r="AG588" s="2">
        <f t="shared" si="455"/>
        <v>10.4737752</v>
      </c>
      <c r="AH588" s="2">
        <f t="shared" si="456"/>
        <v>2.7182024414999999</v>
      </c>
      <c r="AI588" s="2">
        <f t="shared" si="477"/>
        <v>11.081902261500002</v>
      </c>
      <c r="AJ588" s="2">
        <f t="shared" si="444"/>
        <v>1.9947424070700002</v>
      </c>
      <c r="AK588" s="2">
        <f t="shared" si="457"/>
        <v>0.16727399640000001</v>
      </c>
      <c r="AL588" s="2">
        <f t="shared" si="458"/>
        <v>5.0182198920000003</v>
      </c>
      <c r="AM588" s="2">
        <f t="shared" si="478"/>
        <v>28.73591375697</v>
      </c>
      <c r="AN588" s="2">
        <f t="shared" si="459"/>
        <v>40</v>
      </c>
      <c r="AO588" s="2">
        <f t="shared" si="460"/>
        <v>20.947550400000001</v>
      </c>
      <c r="AP588" s="2">
        <f t="shared" si="461"/>
        <v>44.327609045999999</v>
      </c>
      <c r="AQ588" s="2">
        <f t="shared" si="479"/>
        <v>84.327609045999992</v>
      </c>
      <c r="AR588" s="2">
        <f t="shared" si="445"/>
        <v>15.178969628279997</v>
      </c>
      <c r="AS588" s="2">
        <f t="shared" si="462"/>
        <v>0.16727399640000001</v>
      </c>
      <c r="AT588" s="2">
        <f t="shared" si="463"/>
        <v>5.0182198920000003</v>
      </c>
      <c r="AU588" s="2">
        <f t="shared" si="480"/>
        <v>125.63962296268001</v>
      </c>
      <c r="AV588" s="2">
        <f t="shared" si="464"/>
        <v>8.3636998200000008</v>
      </c>
      <c r="AW588" s="2">
        <f t="shared" si="465"/>
        <v>4.1895100800000007</v>
      </c>
      <c r="AX588" s="2">
        <f t="shared" si="466"/>
        <v>1.7563769621999998</v>
      </c>
      <c r="AY588" s="2">
        <f t="shared" si="481"/>
        <v>10.1200767822</v>
      </c>
      <c r="AZ588" s="2">
        <f t="shared" si="446"/>
        <v>1.821613820796</v>
      </c>
      <c r="BA588" s="2">
        <f t="shared" si="467"/>
        <v>0.16727399640000001</v>
      </c>
      <c r="BB588" s="2">
        <f t="shared" si="468"/>
        <v>5.0182198920000003</v>
      </c>
      <c r="BC588" s="2">
        <f t="shared" si="482"/>
        <v>21.316694571396003</v>
      </c>
      <c r="BD588" s="2">
        <v>0</v>
      </c>
      <c r="BE588" s="2">
        <f t="shared" si="469"/>
        <v>83.636998200000008</v>
      </c>
      <c r="BF588" s="2">
        <f t="shared" si="470"/>
        <v>2.7182024414999999</v>
      </c>
      <c r="BG588" s="2">
        <f t="shared" si="483"/>
        <v>2.7182024414999999</v>
      </c>
      <c r="BH588" s="2">
        <f t="shared" si="447"/>
        <v>0.48927643946999999</v>
      </c>
      <c r="BI588" s="2">
        <f t="shared" si="471"/>
        <v>0.16727399640000001</v>
      </c>
      <c r="BJ588" s="2">
        <f t="shared" si="472"/>
        <v>5.0182198920000003</v>
      </c>
      <c r="BK588" s="2">
        <f t="shared" si="484"/>
        <v>92.029970969370012</v>
      </c>
      <c r="BL588" s="2">
        <f t="shared" si="473"/>
        <v>41741.897400000002</v>
      </c>
      <c r="BM588" s="2">
        <f t="shared" si="474"/>
        <v>41895.1008</v>
      </c>
      <c r="BN588" s="2">
        <f t="shared" si="485"/>
        <v>83636.998200000002</v>
      </c>
    </row>
    <row r="589" spans="1:66" x14ac:dyDescent="0.25">
      <c r="A589" s="42">
        <v>586</v>
      </c>
      <c r="B589" s="43">
        <v>42991</v>
      </c>
      <c r="C589" s="42" t="s">
        <v>50</v>
      </c>
      <c r="D589" s="42" t="s">
        <v>320</v>
      </c>
      <c r="E589" s="6">
        <f t="shared" si="475"/>
        <v>-142.39857194167371</v>
      </c>
      <c r="F589" s="5" t="str">
        <f t="shared" si="486"/>
        <v>Loss</v>
      </c>
      <c r="G589" s="4">
        <f t="shared" si="487"/>
        <v>-122.25149999999871</v>
      </c>
      <c r="H589" s="46">
        <v>35</v>
      </c>
      <c r="I589" s="42">
        <v>840.6386</v>
      </c>
      <c r="N589" s="5">
        <f t="shared" si="488"/>
        <v>35</v>
      </c>
      <c r="O589" s="4">
        <f t="shared" si="489"/>
        <v>840.6386</v>
      </c>
      <c r="P589" s="5">
        <f t="shared" si="448"/>
        <v>35</v>
      </c>
      <c r="Q589" s="42">
        <v>837.14570000000003</v>
      </c>
      <c r="R589" s="2">
        <f t="shared" si="443"/>
        <v>0</v>
      </c>
      <c r="T589" s="2">
        <f t="shared" si="476"/>
        <v>0</v>
      </c>
      <c r="V589" s="5">
        <f t="shared" si="490"/>
        <v>35</v>
      </c>
      <c r="W589" s="4">
        <f t="shared" si="491"/>
        <v>837.14570000000003</v>
      </c>
      <c r="X589" s="14">
        <f t="shared" si="449"/>
        <v>-3.4928999999999633</v>
      </c>
      <c r="Y589" s="5">
        <f t="shared" si="450"/>
        <v>-122.25149999999871</v>
      </c>
      <c r="Z589" s="2">
        <f t="shared" si="451"/>
        <v>0</v>
      </c>
      <c r="AA589" s="4">
        <f t="shared" si="452"/>
        <v>0</v>
      </c>
      <c r="AB589" s="13">
        <f t="shared" si="453"/>
        <v>20.147071941675001</v>
      </c>
      <c r="AC589" s="10">
        <f>SUM($E$4:E589)</f>
        <v>-20779.946811647595</v>
      </c>
      <c r="AD589" s="20">
        <f>SUM($AB$4:AB589)</f>
        <v>13398.524511647565</v>
      </c>
      <c r="AF589" s="28">
        <f t="shared" si="454"/>
        <v>5.8722450500000001</v>
      </c>
      <c r="AG589" s="2">
        <f t="shared" si="455"/>
        <v>7.3250248750000013</v>
      </c>
      <c r="AH589" s="2">
        <f t="shared" si="456"/>
        <v>1.9084796412499998</v>
      </c>
      <c r="AI589" s="2">
        <f t="shared" si="477"/>
        <v>7.7807246912499997</v>
      </c>
      <c r="AJ589" s="2">
        <f t="shared" si="444"/>
        <v>1.400530444425</v>
      </c>
      <c r="AK589" s="2">
        <f t="shared" si="457"/>
        <v>0.11744490099999999</v>
      </c>
      <c r="AL589" s="2">
        <f t="shared" si="458"/>
        <v>3.52334703</v>
      </c>
      <c r="AM589" s="2">
        <f t="shared" si="478"/>
        <v>20.147071941675001</v>
      </c>
      <c r="AN589" s="2">
        <f t="shared" si="459"/>
        <v>40</v>
      </c>
      <c r="AO589" s="2">
        <f t="shared" si="460"/>
        <v>14.650049750000003</v>
      </c>
      <c r="AP589" s="2">
        <f t="shared" si="461"/>
        <v>31.122898764999999</v>
      </c>
      <c r="AQ589" s="2">
        <f t="shared" si="479"/>
        <v>71.122898765000002</v>
      </c>
      <c r="AR589" s="2">
        <f t="shared" si="445"/>
        <v>12.8021217777</v>
      </c>
      <c r="AS589" s="2">
        <f t="shared" si="462"/>
        <v>0.11744490099999999</v>
      </c>
      <c r="AT589" s="2">
        <f t="shared" si="463"/>
        <v>3.52334703</v>
      </c>
      <c r="AU589" s="2">
        <f t="shared" si="480"/>
        <v>102.21586222369999</v>
      </c>
      <c r="AV589" s="2">
        <f t="shared" si="464"/>
        <v>5.8722450500000001</v>
      </c>
      <c r="AW589" s="2">
        <f t="shared" si="465"/>
        <v>2.9300099500000001</v>
      </c>
      <c r="AX589" s="2">
        <f t="shared" si="466"/>
        <v>1.2331714604999999</v>
      </c>
      <c r="AY589" s="2">
        <f t="shared" si="481"/>
        <v>7.1054165104999996</v>
      </c>
      <c r="AZ589" s="2">
        <f t="shared" si="446"/>
        <v>1.2789749718899999</v>
      </c>
      <c r="BA589" s="2">
        <f t="shared" si="467"/>
        <v>0.11744490099999999</v>
      </c>
      <c r="BB589" s="2">
        <f t="shared" si="468"/>
        <v>3.52334703</v>
      </c>
      <c r="BC589" s="2">
        <f t="shared" si="482"/>
        <v>14.95519336339</v>
      </c>
      <c r="BD589" s="2">
        <v>0</v>
      </c>
      <c r="BE589" s="2">
        <f t="shared" si="469"/>
        <v>58.722450500000001</v>
      </c>
      <c r="BF589" s="2">
        <f t="shared" si="470"/>
        <v>1.9084796412499998</v>
      </c>
      <c r="BG589" s="2">
        <f t="shared" si="483"/>
        <v>1.9084796412499998</v>
      </c>
      <c r="BH589" s="2">
        <f t="shared" si="447"/>
        <v>0.34352633542499994</v>
      </c>
      <c r="BI589" s="2">
        <f t="shared" si="471"/>
        <v>0.11744490099999999</v>
      </c>
      <c r="BJ589" s="2">
        <f t="shared" si="472"/>
        <v>3.52334703</v>
      </c>
      <c r="BK589" s="2">
        <f t="shared" si="484"/>
        <v>64.615248407674997</v>
      </c>
      <c r="BL589" s="2">
        <f t="shared" si="473"/>
        <v>29422.350999999999</v>
      </c>
      <c r="BM589" s="2">
        <f t="shared" si="474"/>
        <v>29300.0995</v>
      </c>
      <c r="BN589" s="2">
        <f t="shared" si="485"/>
        <v>58722.450499999999</v>
      </c>
    </row>
    <row r="590" spans="1:66" x14ac:dyDescent="0.25">
      <c r="A590" s="42">
        <v>587</v>
      </c>
      <c r="B590" s="43">
        <v>42999</v>
      </c>
      <c r="C590" s="42" t="s">
        <v>50</v>
      </c>
      <c r="D590" s="42" t="s">
        <v>322</v>
      </c>
      <c r="E590" s="6">
        <f t="shared" si="475"/>
        <v>101.38724825</v>
      </c>
      <c r="F590" s="5" t="str">
        <f t="shared" si="486"/>
        <v>Win</v>
      </c>
      <c r="G590" s="4">
        <f t="shared" si="487"/>
        <v>115</v>
      </c>
      <c r="H590" s="46">
        <v>20</v>
      </c>
      <c r="I590" s="42">
        <v>987.25</v>
      </c>
      <c r="N590" s="5">
        <f t="shared" si="488"/>
        <v>20</v>
      </c>
      <c r="O590" s="4">
        <f t="shared" si="489"/>
        <v>987.25</v>
      </c>
      <c r="P590" s="5">
        <f t="shared" si="448"/>
        <v>20</v>
      </c>
      <c r="Q590" s="42">
        <v>993</v>
      </c>
      <c r="R590" s="2">
        <f t="shared" si="443"/>
        <v>0</v>
      </c>
      <c r="T590" s="2">
        <f t="shared" si="476"/>
        <v>0</v>
      </c>
      <c r="V590" s="5">
        <f t="shared" si="490"/>
        <v>20</v>
      </c>
      <c r="W590" s="4">
        <f t="shared" si="491"/>
        <v>993</v>
      </c>
      <c r="X590" s="14">
        <f t="shared" si="449"/>
        <v>5.75</v>
      </c>
      <c r="Y590" s="5">
        <f t="shared" si="450"/>
        <v>115</v>
      </c>
      <c r="Z590" s="2">
        <f t="shared" si="451"/>
        <v>0</v>
      </c>
      <c r="AA590" s="4">
        <f t="shared" si="452"/>
        <v>0</v>
      </c>
      <c r="AB590" s="13">
        <f t="shared" si="453"/>
        <v>13.612751750000001</v>
      </c>
      <c r="AC590" s="10">
        <f>SUM($E$4:E590)</f>
        <v>-20678.559563397594</v>
      </c>
      <c r="AD590" s="20">
        <f>SUM($AB$4:AB590)</f>
        <v>13412.137263397566</v>
      </c>
      <c r="AF590" s="28">
        <f t="shared" si="454"/>
        <v>3.9605000000000001</v>
      </c>
      <c r="AG590" s="2">
        <f t="shared" si="455"/>
        <v>4.9649999999999999</v>
      </c>
      <c r="AH590" s="2">
        <f t="shared" si="456"/>
        <v>1.2871625</v>
      </c>
      <c r="AI590" s="2">
        <f t="shared" si="477"/>
        <v>5.2476625000000006</v>
      </c>
      <c r="AJ590" s="2">
        <f t="shared" si="444"/>
        <v>0.94457925000000009</v>
      </c>
      <c r="AK590" s="2">
        <f t="shared" si="457"/>
        <v>7.9209999999999989E-2</v>
      </c>
      <c r="AL590" s="2">
        <f t="shared" si="458"/>
        <v>2.3763000000000001</v>
      </c>
      <c r="AM590" s="2">
        <f t="shared" si="478"/>
        <v>13.612751750000001</v>
      </c>
      <c r="AN590" s="2">
        <f t="shared" si="459"/>
        <v>40</v>
      </c>
      <c r="AO590" s="2">
        <f t="shared" si="460"/>
        <v>9.93</v>
      </c>
      <c r="AP590" s="2">
        <f t="shared" si="461"/>
        <v>20.990649999999999</v>
      </c>
      <c r="AQ590" s="2">
        <f t="shared" si="479"/>
        <v>60.990650000000002</v>
      </c>
      <c r="AR590" s="2">
        <f t="shared" si="445"/>
        <v>10.978317000000001</v>
      </c>
      <c r="AS590" s="2">
        <f t="shared" si="462"/>
        <v>7.9209999999999989E-2</v>
      </c>
      <c r="AT590" s="2">
        <f t="shared" si="463"/>
        <v>2.3763000000000001</v>
      </c>
      <c r="AU590" s="2">
        <f t="shared" si="480"/>
        <v>84.354477000000003</v>
      </c>
      <c r="AV590" s="2">
        <f t="shared" si="464"/>
        <v>3.9605000000000001</v>
      </c>
      <c r="AW590" s="2">
        <f t="shared" si="465"/>
        <v>1.986</v>
      </c>
      <c r="AX590" s="2">
        <f t="shared" si="466"/>
        <v>0.83170499999999992</v>
      </c>
      <c r="AY590" s="2">
        <f t="shared" si="481"/>
        <v>4.792205</v>
      </c>
      <c r="AZ590" s="2">
        <f t="shared" si="446"/>
        <v>0.8625969</v>
      </c>
      <c r="BA590" s="2">
        <f t="shared" si="467"/>
        <v>7.9209999999999989E-2</v>
      </c>
      <c r="BB590" s="2">
        <f t="shared" si="468"/>
        <v>2.3763000000000001</v>
      </c>
      <c r="BC590" s="2">
        <f t="shared" si="482"/>
        <v>10.0963119</v>
      </c>
      <c r="BD590" s="2">
        <v>0</v>
      </c>
      <c r="BE590" s="2">
        <f t="shared" si="469"/>
        <v>39.605000000000004</v>
      </c>
      <c r="BF590" s="2">
        <f t="shared" si="470"/>
        <v>1.2871625</v>
      </c>
      <c r="BG590" s="2">
        <f t="shared" si="483"/>
        <v>1.2871625</v>
      </c>
      <c r="BH590" s="2">
        <f t="shared" si="447"/>
        <v>0.23168924999999999</v>
      </c>
      <c r="BI590" s="2">
        <f t="shared" si="471"/>
        <v>7.9209999999999989E-2</v>
      </c>
      <c r="BJ590" s="2">
        <f t="shared" si="472"/>
        <v>2.3763000000000001</v>
      </c>
      <c r="BK590" s="2">
        <f t="shared" si="484"/>
        <v>43.579361750000011</v>
      </c>
      <c r="BL590" s="2">
        <f t="shared" si="473"/>
        <v>19745</v>
      </c>
      <c r="BM590" s="2">
        <f t="shared" si="474"/>
        <v>19860</v>
      </c>
      <c r="BN590" s="2">
        <f t="shared" si="485"/>
        <v>39605</v>
      </c>
    </row>
    <row r="591" spans="1:66" x14ac:dyDescent="0.25">
      <c r="A591" s="42">
        <v>588</v>
      </c>
      <c r="B591" s="43">
        <v>43000</v>
      </c>
      <c r="C591" s="42" t="s">
        <v>50</v>
      </c>
      <c r="D591" s="42" t="s">
        <v>323</v>
      </c>
      <c r="E591" s="6">
        <f t="shared" si="475"/>
        <v>-205.32339567481847</v>
      </c>
      <c r="F591" s="5" t="str">
        <f t="shared" si="486"/>
        <v>Loss</v>
      </c>
      <c r="G591" s="4">
        <f t="shared" si="487"/>
        <v>-187.00110000000348</v>
      </c>
      <c r="H591" s="46">
        <v>99</v>
      </c>
      <c r="I591" s="42">
        <v>270.8</v>
      </c>
      <c r="N591" s="5">
        <f t="shared" si="488"/>
        <v>99</v>
      </c>
      <c r="O591" s="4">
        <f t="shared" si="489"/>
        <v>270.8</v>
      </c>
      <c r="P591" s="5">
        <f t="shared" si="448"/>
        <v>99</v>
      </c>
      <c r="Q591" s="42">
        <v>268.91109999999998</v>
      </c>
      <c r="R591" s="2">
        <f t="shared" si="443"/>
        <v>0</v>
      </c>
      <c r="T591" s="2">
        <f t="shared" si="476"/>
        <v>0</v>
      </c>
      <c r="V591" s="5">
        <f t="shared" si="490"/>
        <v>99</v>
      </c>
      <c r="W591" s="4">
        <f t="shared" si="491"/>
        <v>268.91109999999998</v>
      </c>
      <c r="X591" s="14">
        <f t="shared" si="449"/>
        <v>-1.8889000000000351</v>
      </c>
      <c r="Y591" s="5">
        <f t="shared" si="450"/>
        <v>-187.00110000000348</v>
      </c>
      <c r="Z591" s="2">
        <f t="shared" si="451"/>
        <v>0</v>
      </c>
      <c r="AA591" s="4">
        <f t="shared" si="452"/>
        <v>0</v>
      </c>
      <c r="AB591" s="13">
        <f t="shared" si="453"/>
        <v>18.322295674814999</v>
      </c>
      <c r="AC591" s="10">
        <f>SUM($E$4:E591)</f>
        <v>-20883.882959072413</v>
      </c>
      <c r="AD591" s="20">
        <f>SUM($AB$4:AB591)</f>
        <v>13430.459559072382</v>
      </c>
      <c r="AF591" s="28">
        <f t="shared" si="454"/>
        <v>5.3431398900000007</v>
      </c>
      <c r="AG591" s="2">
        <f t="shared" si="455"/>
        <v>6.6555497249999993</v>
      </c>
      <c r="AH591" s="2">
        <f t="shared" si="456"/>
        <v>1.7365204642499998</v>
      </c>
      <c r="AI591" s="2">
        <f t="shared" si="477"/>
        <v>7.0796603542500005</v>
      </c>
      <c r="AJ591" s="2">
        <f t="shared" si="444"/>
        <v>1.2743388637649999</v>
      </c>
      <c r="AK591" s="2">
        <f t="shared" si="457"/>
        <v>0.10686279780000001</v>
      </c>
      <c r="AL591" s="2">
        <f t="shared" si="458"/>
        <v>3.205883934</v>
      </c>
      <c r="AM591" s="2">
        <f t="shared" si="478"/>
        <v>18.322295674814999</v>
      </c>
      <c r="AN591" s="2">
        <f t="shared" si="459"/>
        <v>40</v>
      </c>
      <c r="AO591" s="2">
        <f t="shared" si="460"/>
        <v>13.311099449999999</v>
      </c>
      <c r="AP591" s="2">
        <f t="shared" si="461"/>
        <v>28.318641416999998</v>
      </c>
      <c r="AQ591" s="2">
        <f t="shared" si="479"/>
        <v>68.318641416999995</v>
      </c>
      <c r="AR591" s="2">
        <f t="shared" si="445"/>
        <v>12.297355455059998</v>
      </c>
      <c r="AS591" s="2">
        <f t="shared" si="462"/>
        <v>0.10686279780000001</v>
      </c>
      <c r="AT591" s="2">
        <f t="shared" si="463"/>
        <v>3.205883934</v>
      </c>
      <c r="AU591" s="2">
        <f t="shared" si="480"/>
        <v>97.23984305386</v>
      </c>
      <c r="AV591" s="2">
        <f t="shared" si="464"/>
        <v>5.3431398900000007</v>
      </c>
      <c r="AW591" s="2">
        <f t="shared" si="465"/>
        <v>2.6622198899999998</v>
      </c>
      <c r="AX591" s="2">
        <f t="shared" si="466"/>
        <v>1.1220593769</v>
      </c>
      <c r="AY591" s="2">
        <f t="shared" si="481"/>
        <v>6.4651992669000009</v>
      </c>
      <c r="AZ591" s="2">
        <f t="shared" si="446"/>
        <v>1.163735868042</v>
      </c>
      <c r="BA591" s="2">
        <f t="shared" si="467"/>
        <v>0.10686279780000001</v>
      </c>
      <c r="BB591" s="2">
        <f t="shared" si="468"/>
        <v>3.205883934</v>
      </c>
      <c r="BC591" s="2">
        <f t="shared" si="482"/>
        <v>13.603901756742001</v>
      </c>
      <c r="BD591" s="2">
        <v>0</v>
      </c>
      <c r="BE591" s="2">
        <f t="shared" si="469"/>
        <v>53.431398899999998</v>
      </c>
      <c r="BF591" s="2">
        <f t="shared" si="470"/>
        <v>1.7365204642499998</v>
      </c>
      <c r="BG591" s="2">
        <f t="shared" si="483"/>
        <v>1.7365204642499998</v>
      </c>
      <c r="BH591" s="2">
        <f t="shared" si="447"/>
        <v>0.31257368356499998</v>
      </c>
      <c r="BI591" s="2">
        <f t="shared" si="471"/>
        <v>0.10686279780000001</v>
      </c>
      <c r="BJ591" s="2">
        <f t="shared" si="472"/>
        <v>3.205883934</v>
      </c>
      <c r="BK591" s="2">
        <f t="shared" si="484"/>
        <v>58.793239779614993</v>
      </c>
      <c r="BL591" s="2">
        <f t="shared" si="473"/>
        <v>26809.200000000001</v>
      </c>
      <c r="BM591" s="2">
        <f t="shared" si="474"/>
        <v>26622.198899999999</v>
      </c>
      <c r="BN591" s="2">
        <f t="shared" si="485"/>
        <v>53431.3989</v>
      </c>
    </row>
    <row r="592" spans="1:66" x14ac:dyDescent="0.25">
      <c r="A592" s="42">
        <v>589</v>
      </c>
      <c r="B592" s="43">
        <v>43000</v>
      </c>
      <c r="C592" s="42" t="s">
        <v>50</v>
      </c>
      <c r="D592" s="42" t="s">
        <v>322</v>
      </c>
      <c r="E592" s="6">
        <f t="shared" si="475"/>
        <v>461.26637533664996</v>
      </c>
      <c r="F592" s="5" t="str">
        <f t="shared" si="486"/>
        <v>Win</v>
      </c>
      <c r="G592" s="4">
        <f t="shared" si="487"/>
        <v>475.29899999999998</v>
      </c>
      <c r="H592" s="46">
        <v>30</v>
      </c>
      <c r="I592" s="42">
        <v>670.35670000000005</v>
      </c>
      <c r="N592" s="5">
        <f t="shared" si="488"/>
        <v>30</v>
      </c>
      <c r="O592" s="4">
        <f t="shared" si="489"/>
        <v>670.35670000000005</v>
      </c>
      <c r="P592" s="5">
        <f t="shared" si="448"/>
        <v>30</v>
      </c>
      <c r="Q592" s="42">
        <v>686.2</v>
      </c>
      <c r="R592" s="2">
        <f t="shared" si="443"/>
        <v>0</v>
      </c>
      <c r="T592" s="2">
        <f t="shared" si="476"/>
        <v>0</v>
      </c>
      <c r="V592" s="5">
        <f t="shared" si="490"/>
        <v>30</v>
      </c>
      <c r="W592" s="4">
        <f t="shared" si="491"/>
        <v>686.2</v>
      </c>
      <c r="X592" s="14">
        <f t="shared" si="449"/>
        <v>15.843299999999999</v>
      </c>
      <c r="Y592" s="5">
        <f t="shared" si="450"/>
        <v>475.29899999999998</v>
      </c>
      <c r="Z592" s="2">
        <f t="shared" si="451"/>
        <v>0</v>
      </c>
      <c r="AA592" s="4">
        <f t="shared" si="452"/>
        <v>0</v>
      </c>
      <c r="AB592" s="13">
        <f t="shared" si="453"/>
        <v>14.032624663350001</v>
      </c>
      <c r="AC592" s="10">
        <f>SUM($E$4:E592)</f>
        <v>-20422.616583735762</v>
      </c>
      <c r="AD592" s="20">
        <f>SUM($AB$4:AB592)</f>
        <v>13444.492183735732</v>
      </c>
      <c r="AF592" s="28">
        <f t="shared" si="454"/>
        <v>4.0696701000000006</v>
      </c>
      <c r="AG592" s="2">
        <f t="shared" si="455"/>
        <v>5.1465000000000005</v>
      </c>
      <c r="AH592" s="2">
        <f t="shared" si="456"/>
        <v>1.3226427825</v>
      </c>
      <c r="AI592" s="2">
        <f t="shared" si="477"/>
        <v>5.3923128825000006</v>
      </c>
      <c r="AJ592" s="2">
        <f t="shared" si="444"/>
        <v>0.9706163188500001</v>
      </c>
      <c r="AK592" s="2">
        <f t="shared" si="457"/>
        <v>8.1393402000000004E-2</v>
      </c>
      <c r="AL592" s="2">
        <f t="shared" si="458"/>
        <v>2.4418020600000001</v>
      </c>
      <c r="AM592" s="2">
        <f t="shared" si="478"/>
        <v>14.032624663350001</v>
      </c>
      <c r="AN592" s="2">
        <f t="shared" si="459"/>
        <v>40</v>
      </c>
      <c r="AO592" s="2">
        <f t="shared" si="460"/>
        <v>10.293000000000001</v>
      </c>
      <c r="AP592" s="2">
        <f t="shared" si="461"/>
        <v>21.569251529999999</v>
      </c>
      <c r="AQ592" s="2">
        <f t="shared" si="479"/>
        <v>61.569251530000003</v>
      </c>
      <c r="AR592" s="2">
        <f t="shared" si="445"/>
        <v>11.082465275400001</v>
      </c>
      <c r="AS592" s="2">
        <f t="shared" si="462"/>
        <v>8.1393402000000004E-2</v>
      </c>
      <c r="AT592" s="2">
        <f t="shared" si="463"/>
        <v>2.4418020600000001</v>
      </c>
      <c r="AU592" s="2">
        <f t="shared" si="480"/>
        <v>85.467912267399996</v>
      </c>
      <c r="AV592" s="2">
        <f t="shared" si="464"/>
        <v>4.0696701000000006</v>
      </c>
      <c r="AW592" s="2">
        <f t="shared" si="465"/>
        <v>2.0586000000000002</v>
      </c>
      <c r="AX592" s="2">
        <f t="shared" si="466"/>
        <v>0.85463072099999993</v>
      </c>
      <c r="AY592" s="2">
        <f t="shared" si="481"/>
        <v>4.924300821000001</v>
      </c>
      <c r="AZ592" s="2">
        <f t="shared" si="446"/>
        <v>0.88637414778000012</v>
      </c>
      <c r="BA592" s="2">
        <f t="shared" si="467"/>
        <v>8.1393402000000004E-2</v>
      </c>
      <c r="BB592" s="2">
        <f t="shared" si="468"/>
        <v>2.4418020600000001</v>
      </c>
      <c r="BC592" s="2">
        <f t="shared" si="482"/>
        <v>10.392470430780001</v>
      </c>
      <c r="BD592" s="2">
        <v>0</v>
      </c>
      <c r="BE592" s="2">
        <f t="shared" si="469"/>
        <v>40.696701000000004</v>
      </c>
      <c r="BF592" s="2">
        <f t="shared" si="470"/>
        <v>1.3226427825</v>
      </c>
      <c r="BG592" s="2">
        <f t="shared" si="483"/>
        <v>1.3226427825</v>
      </c>
      <c r="BH592" s="2">
        <f t="shared" si="447"/>
        <v>0.23807570084999999</v>
      </c>
      <c r="BI592" s="2">
        <f t="shared" si="471"/>
        <v>8.1393402000000004E-2</v>
      </c>
      <c r="BJ592" s="2">
        <f t="shared" si="472"/>
        <v>2.4418020600000001</v>
      </c>
      <c r="BK592" s="2">
        <f t="shared" si="484"/>
        <v>44.780614945350003</v>
      </c>
      <c r="BL592" s="2">
        <f t="shared" si="473"/>
        <v>20110.701000000001</v>
      </c>
      <c r="BM592" s="2">
        <f t="shared" si="474"/>
        <v>20586</v>
      </c>
      <c r="BN592" s="2">
        <f t="shared" si="485"/>
        <v>40696.701000000001</v>
      </c>
    </row>
    <row r="593" spans="1:66" x14ac:dyDescent="0.25">
      <c r="A593" s="42">
        <v>590</v>
      </c>
      <c r="B593" s="43">
        <v>43003</v>
      </c>
      <c r="C593" s="42" t="s">
        <v>50</v>
      </c>
      <c r="D593" s="42" t="s">
        <v>202</v>
      </c>
      <c r="E593" s="6">
        <f t="shared" si="475"/>
        <v>0.14022550500055786</v>
      </c>
      <c r="F593" s="5" t="str">
        <f t="shared" si="486"/>
        <v>Win</v>
      </c>
      <c r="G593" s="4">
        <f t="shared" si="487"/>
        <v>14.700000000000557</v>
      </c>
      <c r="H593" s="46">
        <v>49</v>
      </c>
      <c r="I593" s="42">
        <v>432.5</v>
      </c>
      <c r="N593" s="5">
        <f t="shared" si="488"/>
        <v>49</v>
      </c>
      <c r="O593" s="4">
        <f t="shared" si="489"/>
        <v>432.5</v>
      </c>
      <c r="P593" s="5">
        <f t="shared" si="448"/>
        <v>49</v>
      </c>
      <c r="Q593" s="42">
        <v>432.8</v>
      </c>
      <c r="R593" s="2">
        <f t="shared" si="443"/>
        <v>0</v>
      </c>
      <c r="T593" s="2">
        <f t="shared" si="476"/>
        <v>0</v>
      </c>
      <c r="V593" s="5">
        <f t="shared" si="490"/>
        <v>49</v>
      </c>
      <c r="W593" s="4">
        <f t="shared" si="491"/>
        <v>432.8</v>
      </c>
      <c r="X593" s="14">
        <f t="shared" si="449"/>
        <v>0.30000000000001137</v>
      </c>
      <c r="Y593" s="5">
        <f t="shared" si="450"/>
        <v>14.700000000000557</v>
      </c>
      <c r="Z593" s="2">
        <f t="shared" si="451"/>
        <v>0</v>
      </c>
      <c r="AA593" s="4">
        <f t="shared" si="452"/>
        <v>0</v>
      </c>
      <c r="AB593" s="13">
        <f t="shared" si="453"/>
        <v>14.559774494999999</v>
      </c>
      <c r="AC593" s="10">
        <f>SUM($E$4:E593)</f>
        <v>-20422.476358230761</v>
      </c>
      <c r="AD593" s="20">
        <f>SUM($AB$4:AB593)</f>
        <v>13459.051958230732</v>
      </c>
      <c r="AF593" s="28">
        <f t="shared" si="454"/>
        <v>4.2399699999999996</v>
      </c>
      <c r="AG593" s="2">
        <f t="shared" si="455"/>
        <v>5.3018000000000001</v>
      </c>
      <c r="AH593" s="2">
        <f t="shared" si="456"/>
        <v>1.3779902499999999</v>
      </c>
      <c r="AI593" s="2">
        <f t="shared" si="477"/>
        <v>5.6179602499999994</v>
      </c>
      <c r="AJ593" s="2">
        <f t="shared" si="444"/>
        <v>1.0112328449999999</v>
      </c>
      <c r="AK593" s="2">
        <f t="shared" si="457"/>
        <v>8.4799399999999997E-2</v>
      </c>
      <c r="AL593" s="2">
        <f t="shared" si="458"/>
        <v>2.5439819999999997</v>
      </c>
      <c r="AM593" s="2">
        <f t="shared" si="478"/>
        <v>14.559774494999999</v>
      </c>
      <c r="AN593" s="2">
        <f t="shared" si="459"/>
        <v>40</v>
      </c>
      <c r="AO593" s="2">
        <f t="shared" si="460"/>
        <v>10.6036</v>
      </c>
      <c r="AP593" s="2">
        <f t="shared" si="461"/>
        <v>22.471840999999998</v>
      </c>
      <c r="AQ593" s="2">
        <f t="shared" si="479"/>
        <v>62.471840999999998</v>
      </c>
      <c r="AR593" s="2">
        <f t="shared" si="445"/>
        <v>11.244931379999999</v>
      </c>
      <c r="AS593" s="2">
        <f t="shared" si="462"/>
        <v>8.4799399999999997E-2</v>
      </c>
      <c r="AT593" s="2">
        <f t="shared" si="463"/>
        <v>2.5439819999999997</v>
      </c>
      <c r="AU593" s="2">
        <f t="shared" si="480"/>
        <v>86.949153779999989</v>
      </c>
      <c r="AV593" s="2">
        <f t="shared" si="464"/>
        <v>4.2399699999999996</v>
      </c>
      <c r="AW593" s="2">
        <f t="shared" si="465"/>
        <v>2.1207199999999999</v>
      </c>
      <c r="AX593" s="2">
        <f t="shared" si="466"/>
        <v>0.89039369999999984</v>
      </c>
      <c r="AY593" s="2">
        <f t="shared" si="481"/>
        <v>5.1303636999999993</v>
      </c>
      <c r="AZ593" s="2">
        <f t="shared" si="446"/>
        <v>0.92346546599999979</v>
      </c>
      <c r="BA593" s="2">
        <f t="shared" si="467"/>
        <v>8.4799399999999997E-2</v>
      </c>
      <c r="BB593" s="2">
        <f t="shared" si="468"/>
        <v>2.5439819999999997</v>
      </c>
      <c r="BC593" s="2">
        <f t="shared" si="482"/>
        <v>10.803330566</v>
      </c>
      <c r="BD593" s="2">
        <v>0</v>
      </c>
      <c r="BE593" s="2">
        <f t="shared" si="469"/>
        <v>42.399699999999996</v>
      </c>
      <c r="BF593" s="2">
        <f t="shared" si="470"/>
        <v>1.3779902499999999</v>
      </c>
      <c r="BG593" s="2">
        <f t="shared" si="483"/>
        <v>1.3779902499999999</v>
      </c>
      <c r="BH593" s="2">
        <f t="shared" si="447"/>
        <v>0.24803824499999996</v>
      </c>
      <c r="BI593" s="2">
        <f t="shared" si="471"/>
        <v>8.4799399999999997E-2</v>
      </c>
      <c r="BJ593" s="2">
        <f t="shared" si="472"/>
        <v>2.5439819999999997</v>
      </c>
      <c r="BK593" s="2">
        <f t="shared" si="484"/>
        <v>46.65450989499999</v>
      </c>
      <c r="BL593" s="2">
        <f t="shared" si="473"/>
        <v>21192.5</v>
      </c>
      <c r="BM593" s="2">
        <f t="shared" si="474"/>
        <v>21207.200000000001</v>
      </c>
      <c r="BN593" s="2">
        <f t="shared" si="485"/>
        <v>42399.7</v>
      </c>
    </row>
    <row r="594" spans="1:66" x14ac:dyDescent="0.25">
      <c r="A594" s="42">
        <v>591</v>
      </c>
      <c r="B594" s="43">
        <v>43004</v>
      </c>
      <c r="C594" s="42" t="s">
        <v>50</v>
      </c>
      <c r="D594" s="42" t="s">
        <v>324</v>
      </c>
      <c r="E594" s="6">
        <f t="shared" si="475"/>
        <v>-217.07770640999814</v>
      </c>
      <c r="F594" s="5" t="str">
        <f t="shared" si="486"/>
        <v>Loss</v>
      </c>
      <c r="G594" s="4">
        <f t="shared" si="487"/>
        <v>-195.59999999999815</v>
      </c>
      <c r="H594" s="46">
        <v>163</v>
      </c>
      <c r="I594" s="42">
        <v>192.7</v>
      </c>
      <c r="N594" s="5">
        <f t="shared" si="488"/>
        <v>163</v>
      </c>
      <c r="O594" s="4">
        <f t="shared" si="489"/>
        <v>192.7</v>
      </c>
      <c r="P594" s="5">
        <f t="shared" si="448"/>
        <v>163</v>
      </c>
      <c r="Q594" s="42">
        <v>191.5</v>
      </c>
      <c r="R594" s="2">
        <f t="shared" si="443"/>
        <v>0</v>
      </c>
      <c r="T594" s="2">
        <f t="shared" si="476"/>
        <v>0</v>
      </c>
      <c r="V594" s="5">
        <f t="shared" si="490"/>
        <v>163</v>
      </c>
      <c r="W594" s="4">
        <f t="shared" si="491"/>
        <v>191.5</v>
      </c>
      <c r="X594" s="14">
        <f t="shared" si="449"/>
        <v>-1.1999999999999886</v>
      </c>
      <c r="Y594" s="5">
        <f t="shared" si="450"/>
        <v>-195.59999999999815</v>
      </c>
      <c r="Z594" s="2">
        <f t="shared" si="451"/>
        <v>0</v>
      </c>
      <c r="AA594" s="4">
        <f t="shared" si="452"/>
        <v>0</v>
      </c>
      <c r="AB594" s="13">
        <f t="shared" si="453"/>
        <v>21.47770641</v>
      </c>
      <c r="AC594" s="10">
        <f>SUM($E$4:E594)</f>
        <v>-20639.554064640757</v>
      </c>
      <c r="AD594" s="20">
        <f>SUM($AB$4:AB594)</f>
        <v>13480.529664640731</v>
      </c>
      <c r="AF594" s="28">
        <f t="shared" si="454"/>
        <v>6.2624599999999999</v>
      </c>
      <c r="AG594" s="2">
        <f t="shared" si="455"/>
        <v>7.8036250000000003</v>
      </c>
      <c r="AH594" s="2">
        <f t="shared" si="456"/>
        <v>2.0352994999999998</v>
      </c>
      <c r="AI594" s="2">
        <f t="shared" si="477"/>
        <v>8.2977594999999997</v>
      </c>
      <c r="AJ594" s="2">
        <f t="shared" si="444"/>
        <v>1.4935967099999998</v>
      </c>
      <c r="AK594" s="2">
        <f t="shared" si="457"/>
        <v>0.1252492</v>
      </c>
      <c r="AL594" s="2">
        <f t="shared" si="458"/>
        <v>3.757476</v>
      </c>
      <c r="AM594" s="2">
        <f t="shared" si="478"/>
        <v>21.47770641</v>
      </c>
      <c r="AN594" s="2">
        <f t="shared" si="459"/>
        <v>40</v>
      </c>
      <c r="AO594" s="2">
        <f t="shared" si="460"/>
        <v>15.607250000000001</v>
      </c>
      <c r="AP594" s="2">
        <f t="shared" si="461"/>
        <v>33.191037999999999</v>
      </c>
      <c r="AQ594" s="2">
        <f t="shared" si="479"/>
        <v>73.191037999999992</v>
      </c>
      <c r="AR594" s="2">
        <f t="shared" si="445"/>
        <v>13.174386839999999</v>
      </c>
      <c r="AS594" s="2">
        <f t="shared" si="462"/>
        <v>0.1252492</v>
      </c>
      <c r="AT594" s="2">
        <f t="shared" si="463"/>
        <v>3.757476</v>
      </c>
      <c r="AU594" s="2">
        <f t="shared" si="480"/>
        <v>105.85540003999999</v>
      </c>
      <c r="AV594" s="2">
        <f t="shared" si="464"/>
        <v>6.2624599999999999</v>
      </c>
      <c r="AW594" s="2">
        <f t="shared" si="465"/>
        <v>3.1214500000000003</v>
      </c>
      <c r="AX594" s="2">
        <f t="shared" si="466"/>
        <v>1.3151165999999999</v>
      </c>
      <c r="AY594" s="2">
        <f t="shared" si="481"/>
        <v>7.5775765999999996</v>
      </c>
      <c r="AZ594" s="2">
        <f t="shared" si="446"/>
        <v>1.363963788</v>
      </c>
      <c r="BA594" s="2">
        <f t="shared" si="467"/>
        <v>0.1252492</v>
      </c>
      <c r="BB594" s="2">
        <f t="shared" si="468"/>
        <v>3.757476</v>
      </c>
      <c r="BC594" s="2">
        <f t="shared" si="482"/>
        <v>15.945715588000001</v>
      </c>
      <c r="BD594" s="2">
        <v>0</v>
      </c>
      <c r="BE594" s="2">
        <f t="shared" si="469"/>
        <v>62.624600000000001</v>
      </c>
      <c r="BF594" s="2">
        <f t="shared" si="470"/>
        <v>2.0352994999999998</v>
      </c>
      <c r="BG594" s="2">
        <f t="shared" si="483"/>
        <v>2.0352994999999998</v>
      </c>
      <c r="BH594" s="2">
        <f t="shared" si="447"/>
        <v>0.36635390999999995</v>
      </c>
      <c r="BI594" s="2">
        <f t="shared" si="471"/>
        <v>0.1252492</v>
      </c>
      <c r="BJ594" s="2">
        <f t="shared" si="472"/>
        <v>3.757476</v>
      </c>
      <c r="BK594" s="2">
        <f t="shared" si="484"/>
        <v>68.908978609999991</v>
      </c>
      <c r="BL594" s="2">
        <f t="shared" si="473"/>
        <v>31410.1</v>
      </c>
      <c r="BM594" s="2">
        <f t="shared" si="474"/>
        <v>31214.5</v>
      </c>
      <c r="BN594" s="2">
        <f t="shared" si="485"/>
        <v>62624.6</v>
      </c>
    </row>
    <row r="595" spans="1:66" x14ac:dyDescent="0.25">
      <c r="A595" s="42">
        <v>592</v>
      </c>
      <c r="B595" s="43">
        <v>43004</v>
      </c>
      <c r="C595" s="42" t="s">
        <v>50</v>
      </c>
      <c r="D595" s="42" t="s">
        <v>178</v>
      </c>
      <c r="E595" s="6">
        <f t="shared" si="475"/>
        <v>-1105.0848483900027</v>
      </c>
      <c r="F595" s="5" t="str">
        <f t="shared" si="486"/>
        <v>Loss</v>
      </c>
      <c r="G595" s="4">
        <f t="shared" si="487"/>
        <v>-1071.3000000000027</v>
      </c>
      <c r="H595" s="46">
        <v>208</v>
      </c>
      <c r="I595" s="42">
        <v>130.65</v>
      </c>
      <c r="J595" s="42">
        <v>112</v>
      </c>
      <c r="K595" s="42">
        <v>127.9</v>
      </c>
      <c r="L595" s="42">
        <v>69</v>
      </c>
      <c r="M595" s="44">
        <v>126.4</v>
      </c>
      <c r="N595" s="5">
        <f t="shared" si="488"/>
        <v>389</v>
      </c>
      <c r="O595" s="4">
        <f t="shared" si="489"/>
        <v>128.31666666666669</v>
      </c>
      <c r="P595" s="5">
        <f t="shared" si="448"/>
        <v>208</v>
      </c>
      <c r="Q595" s="42">
        <v>128</v>
      </c>
      <c r="R595" s="2">
        <f t="shared" si="443"/>
        <v>112</v>
      </c>
      <c r="S595" s="42">
        <v>124.55</v>
      </c>
      <c r="T595" s="2">
        <f t="shared" si="476"/>
        <v>69</v>
      </c>
      <c r="U595" s="44">
        <v>124.3</v>
      </c>
      <c r="V595" s="5">
        <f t="shared" si="490"/>
        <v>389</v>
      </c>
      <c r="W595" s="4">
        <f t="shared" si="491"/>
        <v>125.61666666666667</v>
      </c>
      <c r="X595" s="14">
        <f t="shared" si="449"/>
        <v>1.5999999999999943</v>
      </c>
      <c r="Y595" s="5">
        <f t="shared" si="450"/>
        <v>-551.20000000000118</v>
      </c>
      <c r="Z595" s="2">
        <f t="shared" si="451"/>
        <v>-375.20000000000095</v>
      </c>
      <c r="AA595" s="4">
        <f t="shared" si="452"/>
        <v>-144.9000000000006</v>
      </c>
      <c r="AB595" s="13">
        <f t="shared" si="453"/>
        <v>33.784848390000008</v>
      </c>
      <c r="AC595" s="10">
        <f>SUM($E$4:E595)</f>
        <v>-21744.638913030758</v>
      </c>
      <c r="AD595" s="20">
        <f>SUM($AB$4:AB595)</f>
        <v>13514.314513030731</v>
      </c>
      <c r="AF595" s="28">
        <f t="shared" si="454"/>
        <v>9.8780066666666677</v>
      </c>
      <c r="AG595" s="2">
        <f t="shared" si="455"/>
        <v>12.216220833333335</v>
      </c>
      <c r="AH595" s="2">
        <f t="shared" si="456"/>
        <v>3.210352166666667</v>
      </c>
      <c r="AI595" s="2">
        <f t="shared" si="477"/>
        <v>13.088358833333334</v>
      </c>
      <c r="AJ595" s="2">
        <f t="shared" si="444"/>
        <v>2.3559045900000002</v>
      </c>
      <c r="AK595" s="2">
        <f t="shared" si="457"/>
        <v>0.19756013333333336</v>
      </c>
      <c r="AL595" s="2">
        <f t="shared" si="458"/>
        <v>5.9268040000000006</v>
      </c>
      <c r="AM595" s="2">
        <f t="shared" si="478"/>
        <v>33.784848390000008</v>
      </c>
      <c r="AN595" s="2">
        <f t="shared" si="459"/>
        <v>120</v>
      </c>
      <c r="AO595" s="2">
        <f t="shared" si="460"/>
        <v>24.432441666666669</v>
      </c>
      <c r="AP595" s="2">
        <f t="shared" si="461"/>
        <v>52.353435333333337</v>
      </c>
      <c r="AQ595" s="2">
        <f t="shared" si="479"/>
        <v>172.35343533333332</v>
      </c>
      <c r="AR595" s="2">
        <f t="shared" si="445"/>
        <v>31.023618359999997</v>
      </c>
      <c r="AS595" s="2">
        <f t="shared" si="462"/>
        <v>0.19756013333333336</v>
      </c>
      <c r="AT595" s="2">
        <f t="shared" si="463"/>
        <v>5.9268040000000006</v>
      </c>
      <c r="AU595" s="2">
        <f t="shared" si="480"/>
        <v>233.93385949333336</v>
      </c>
      <c r="AV595" s="2">
        <f t="shared" si="464"/>
        <v>9.8780066666666677</v>
      </c>
      <c r="AW595" s="2">
        <f t="shared" si="465"/>
        <v>4.8864883333333342</v>
      </c>
      <c r="AX595" s="2">
        <f t="shared" si="466"/>
        <v>2.0743814</v>
      </c>
      <c r="AY595" s="2">
        <f t="shared" si="481"/>
        <v>11.952388066666668</v>
      </c>
      <c r="AZ595" s="2">
        <f t="shared" si="446"/>
        <v>2.1514298520000001</v>
      </c>
      <c r="BA595" s="2">
        <f t="shared" si="467"/>
        <v>0.19756013333333336</v>
      </c>
      <c r="BB595" s="2">
        <f t="shared" si="468"/>
        <v>5.9268040000000006</v>
      </c>
      <c r="BC595" s="2">
        <f t="shared" si="482"/>
        <v>25.114670385333337</v>
      </c>
      <c r="BD595" s="2">
        <v>0</v>
      </c>
      <c r="BE595" s="2">
        <f t="shared" si="469"/>
        <v>98.780066666666684</v>
      </c>
      <c r="BF595" s="2">
        <f t="shared" si="470"/>
        <v>3.210352166666667</v>
      </c>
      <c r="BG595" s="2">
        <f t="shared" si="483"/>
        <v>3.210352166666667</v>
      </c>
      <c r="BH595" s="2">
        <f t="shared" si="447"/>
        <v>0.57786339000000009</v>
      </c>
      <c r="BI595" s="2">
        <f t="shared" si="471"/>
        <v>0.19756013333333336</v>
      </c>
      <c r="BJ595" s="2">
        <f t="shared" si="472"/>
        <v>5.9268040000000006</v>
      </c>
      <c r="BK595" s="2">
        <f t="shared" si="484"/>
        <v>108.6926463566667</v>
      </c>
      <c r="BL595" s="2">
        <f t="shared" si="473"/>
        <v>49915.183333333342</v>
      </c>
      <c r="BM595" s="2">
        <f t="shared" si="474"/>
        <v>48864.883333333339</v>
      </c>
      <c r="BN595" s="2">
        <f t="shared" si="485"/>
        <v>98780.06666666668</v>
      </c>
    </row>
    <row r="596" spans="1:66" x14ac:dyDescent="0.25">
      <c r="A596" s="42">
        <v>593</v>
      </c>
      <c r="B596" s="43">
        <v>43038</v>
      </c>
      <c r="C596" s="42" t="s">
        <v>50</v>
      </c>
      <c r="D596" s="42" t="s">
        <v>302</v>
      </c>
      <c r="E596" s="6">
        <f t="shared" si="475"/>
        <v>-160.36016456426489</v>
      </c>
      <c r="F596" s="5" t="str">
        <f t="shared" si="486"/>
        <v>Loss</v>
      </c>
      <c r="G596" s="4">
        <f t="shared" si="487"/>
        <v>-148.70029999999824</v>
      </c>
      <c r="H596" s="46">
        <v>52</v>
      </c>
      <c r="I596" s="42">
        <v>133.44999999999999</v>
      </c>
      <c r="J596" s="42">
        <v>53</v>
      </c>
      <c r="K596" s="42">
        <v>133.44999999999999</v>
      </c>
      <c r="L596" s="42">
        <v>23</v>
      </c>
      <c r="M596" s="44">
        <v>133.44999999999999</v>
      </c>
      <c r="N596" s="5">
        <f t="shared" si="488"/>
        <v>128</v>
      </c>
      <c r="O596" s="4">
        <f t="shared" si="489"/>
        <v>133.44999999999999</v>
      </c>
      <c r="P596" s="5">
        <f t="shared" si="448"/>
        <v>52</v>
      </c>
      <c r="Q596" s="42">
        <v>132.3058</v>
      </c>
      <c r="R596" s="2">
        <f t="shared" si="443"/>
        <v>53</v>
      </c>
      <c r="S596" s="42">
        <v>132.2877</v>
      </c>
      <c r="T596" s="2">
        <f t="shared" si="476"/>
        <v>23</v>
      </c>
      <c r="U596" s="44">
        <v>132.25</v>
      </c>
      <c r="V596" s="5">
        <f t="shared" si="490"/>
        <v>128</v>
      </c>
      <c r="W596" s="4">
        <f t="shared" si="491"/>
        <v>132.28116666666668</v>
      </c>
      <c r="X596" s="14">
        <f t="shared" si="449"/>
        <v>-1.1441999999999837</v>
      </c>
      <c r="Y596" s="5">
        <f t="shared" si="450"/>
        <v>-59.498399999999151</v>
      </c>
      <c r="Z596" s="2">
        <f t="shared" si="451"/>
        <v>-61.601899999999347</v>
      </c>
      <c r="AA596" s="4">
        <f t="shared" si="452"/>
        <v>-27.599999999999739</v>
      </c>
      <c r="AB596" s="13">
        <f t="shared" si="453"/>
        <v>11.659864564266668</v>
      </c>
      <c r="AC596" s="10">
        <f>SUM($E$4:E596)</f>
        <v>-21904.999077595025</v>
      </c>
      <c r="AD596" s="20">
        <f>SUM($AB$4:AB596)</f>
        <v>13525.974377594997</v>
      </c>
      <c r="AF596" s="28">
        <f t="shared" si="454"/>
        <v>3.4013589333333338</v>
      </c>
      <c r="AG596" s="2">
        <f t="shared" si="455"/>
        <v>4.2329973333333335</v>
      </c>
      <c r="AH596" s="2">
        <f t="shared" si="456"/>
        <v>1.1054416533333333</v>
      </c>
      <c r="AI596" s="2">
        <f t="shared" si="477"/>
        <v>4.5068005866666674</v>
      </c>
      <c r="AJ596" s="2">
        <f t="shared" si="444"/>
        <v>0.81122410560000013</v>
      </c>
      <c r="AK596" s="2">
        <f t="shared" si="457"/>
        <v>6.8027178666666674E-2</v>
      </c>
      <c r="AL596" s="2">
        <f t="shared" si="458"/>
        <v>2.0408153600000003</v>
      </c>
      <c r="AM596" s="2">
        <f t="shared" si="478"/>
        <v>11.659864564266668</v>
      </c>
      <c r="AN596" s="2">
        <f t="shared" si="459"/>
        <v>120</v>
      </c>
      <c r="AO596" s="2">
        <f t="shared" si="460"/>
        <v>8.465994666666667</v>
      </c>
      <c r="AP596" s="2">
        <f t="shared" si="461"/>
        <v>18.02720234666667</v>
      </c>
      <c r="AQ596" s="2">
        <f t="shared" si="479"/>
        <v>138.02720234666668</v>
      </c>
      <c r="AR596" s="2">
        <f t="shared" si="445"/>
        <v>24.844896422400002</v>
      </c>
      <c r="AS596" s="2">
        <f t="shared" si="462"/>
        <v>6.8027178666666674E-2</v>
      </c>
      <c r="AT596" s="2">
        <f t="shared" si="463"/>
        <v>2.0408153600000003</v>
      </c>
      <c r="AU596" s="2">
        <f t="shared" si="480"/>
        <v>173.44693597439999</v>
      </c>
      <c r="AV596" s="2">
        <f t="shared" si="464"/>
        <v>3.4013589333333338</v>
      </c>
      <c r="AW596" s="2">
        <f t="shared" si="465"/>
        <v>1.6931989333333335</v>
      </c>
      <c r="AX596" s="2">
        <f t="shared" si="466"/>
        <v>0.71428537600000008</v>
      </c>
      <c r="AY596" s="2">
        <f t="shared" si="481"/>
        <v>4.1156443093333337</v>
      </c>
      <c r="AZ596" s="2">
        <f t="shared" si="446"/>
        <v>0.74081597568000002</v>
      </c>
      <c r="BA596" s="2">
        <f t="shared" si="467"/>
        <v>6.8027178666666674E-2</v>
      </c>
      <c r="BB596" s="2">
        <f t="shared" si="468"/>
        <v>2.0408153600000003</v>
      </c>
      <c r="BC596" s="2">
        <f t="shared" si="482"/>
        <v>8.6585017570133349</v>
      </c>
      <c r="BD596" s="2">
        <v>0</v>
      </c>
      <c r="BE596" s="2">
        <f t="shared" si="469"/>
        <v>34.013589333333336</v>
      </c>
      <c r="BF596" s="2">
        <f t="shared" si="470"/>
        <v>1.1054416533333333</v>
      </c>
      <c r="BG596" s="2">
        <f t="shared" si="483"/>
        <v>1.1054416533333333</v>
      </c>
      <c r="BH596" s="2">
        <f t="shared" si="447"/>
        <v>0.1989794976</v>
      </c>
      <c r="BI596" s="2">
        <f t="shared" si="471"/>
        <v>6.8027178666666674E-2</v>
      </c>
      <c r="BJ596" s="2">
        <f t="shared" si="472"/>
        <v>2.0408153600000003</v>
      </c>
      <c r="BK596" s="2">
        <f t="shared" si="484"/>
        <v>37.426853022933344</v>
      </c>
      <c r="BL596" s="2">
        <f t="shared" si="473"/>
        <v>17081.599999999999</v>
      </c>
      <c r="BM596" s="2">
        <f t="shared" si="474"/>
        <v>16931.989333333335</v>
      </c>
      <c r="BN596" s="2">
        <f t="shared" si="485"/>
        <v>34013.589333333337</v>
      </c>
    </row>
    <row r="597" spans="1:66" x14ac:dyDescent="0.25">
      <c r="A597" s="42">
        <v>594</v>
      </c>
      <c r="B597" s="43">
        <v>43039</v>
      </c>
      <c r="C597" s="42" t="s">
        <v>50</v>
      </c>
      <c r="D597" s="42" t="s">
        <v>179</v>
      </c>
      <c r="E597" s="6">
        <f t="shared" si="475"/>
        <v>-77.974868455000504</v>
      </c>
      <c r="F597" s="5" t="str">
        <f t="shared" si="486"/>
        <v>Loss</v>
      </c>
      <c r="G597" s="4">
        <f t="shared" si="487"/>
        <v>-73.7000000000005</v>
      </c>
      <c r="H597" s="46">
        <v>11</v>
      </c>
      <c r="I597" s="42">
        <v>570.5</v>
      </c>
      <c r="N597" s="5">
        <f t="shared" si="488"/>
        <v>11</v>
      </c>
      <c r="O597" s="4">
        <f t="shared" si="489"/>
        <v>570.5</v>
      </c>
      <c r="P597" s="5">
        <f t="shared" si="448"/>
        <v>11</v>
      </c>
      <c r="Q597" s="42">
        <v>563.79999999999995</v>
      </c>
      <c r="R597" s="2">
        <f t="shared" si="443"/>
        <v>0</v>
      </c>
      <c r="T597" s="2">
        <f t="shared" si="476"/>
        <v>0</v>
      </c>
      <c r="V597" s="5">
        <f t="shared" si="490"/>
        <v>11</v>
      </c>
      <c r="W597" s="4">
        <f t="shared" si="491"/>
        <v>563.79999999999995</v>
      </c>
      <c r="X597" s="14">
        <f t="shared" si="449"/>
        <v>-6.7000000000000455</v>
      </c>
      <c r="Y597" s="5">
        <f t="shared" si="450"/>
        <v>-73.7000000000005</v>
      </c>
      <c r="Z597" s="2">
        <f t="shared" si="451"/>
        <v>0</v>
      </c>
      <c r="AA597" s="4">
        <f t="shared" si="452"/>
        <v>0</v>
      </c>
      <c r="AB597" s="13">
        <f t="shared" si="453"/>
        <v>4.274868455</v>
      </c>
      <c r="AC597" s="10">
        <f>SUM($E$4:E597)</f>
        <v>-21982.973946050024</v>
      </c>
      <c r="AD597" s="20">
        <f>SUM($AB$4:AB597)</f>
        <v>13530.249246049998</v>
      </c>
      <c r="AF597" s="28">
        <f t="shared" si="454"/>
        <v>1.24773</v>
      </c>
      <c r="AG597" s="2">
        <f t="shared" si="455"/>
        <v>1.5504499999999999</v>
      </c>
      <c r="AH597" s="2">
        <f t="shared" si="456"/>
        <v>0.40551224999999996</v>
      </c>
      <c r="AI597" s="2">
        <f t="shared" si="477"/>
        <v>1.6532422499999999</v>
      </c>
      <c r="AJ597" s="2">
        <f t="shared" si="444"/>
        <v>0.29758360499999997</v>
      </c>
      <c r="AK597" s="2">
        <f t="shared" si="457"/>
        <v>2.4954599999999997E-2</v>
      </c>
      <c r="AL597" s="2">
        <f t="shared" si="458"/>
        <v>0.74863800000000003</v>
      </c>
      <c r="AM597" s="2">
        <f t="shared" si="478"/>
        <v>4.274868455</v>
      </c>
      <c r="AN597" s="2">
        <f t="shared" si="459"/>
        <v>40</v>
      </c>
      <c r="AO597" s="2">
        <f t="shared" si="460"/>
        <v>3.1008999999999998</v>
      </c>
      <c r="AP597" s="2">
        <f t="shared" si="461"/>
        <v>6.6129689999999997</v>
      </c>
      <c r="AQ597" s="2">
        <f t="shared" si="479"/>
        <v>46.612969</v>
      </c>
      <c r="AR597" s="2">
        <f t="shared" si="445"/>
        <v>8.3903344200000003</v>
      </c>
      <c r="AS597" s="2">
        <f t="shared" si="462"/>
        <v>2.4954599999999997E-2</v>
      </c>
      <c r="AT597" s="2">
        <f t="shared" si="463"/>
        <v>0.74863800000000003</v>
      </c>
      <c r="AU597" s="2">
        <f t="shared" si="480"/>
        <v>58.877796020000005</v>
      </c>
      <c r="AV597" s="2">
        <f t="shared" si="464"/>
        <v>1.24773</v>
      </c>
      <c r="AW597" s="2">
        <f t="shared" si="465"/>
        <v>0.62017999999999995</v>
      </c>
      <c r="AX597" s="2">
        <f t="shared" si="466"/>
        <v>0.26202329999999996</v>
      </c>
      <c r="AY597" s="2">
        <f t="shared" si="481"/>
        <v>1.5097532999999999</v>
      </c>
      <c r="AZ597" s="2">
        <f t="shared" si="446"/>
        <v>0.27175559399999999</v>
      </c>
      <c r="BA597" s="2">
        <f t="shared" si="467"/>
        <v>2.4954599999999997E-2</v>
      </c>
      <c r="BB597" s="2">
        <f t="shared" si="468"/>
        <v>0.74863800000000003</v>
      </c>
      <c r="BC597" s="2">
        <f t="shared" si="482"/>
        <v>3.175281494</v>
      </c>
      <c r="BD597" s="2">
        <v>0</v>
      </c>
      <c r="BE597" s="2">
        <f t="shared" si="469"/>
        <v>12.4773</v>
      </c>
      <c r="BF597" s="2">
        <f t="shared" si="470"/>
        <v>0.40551224999999996</v>
      </c>
      <c r="BG597" s="2">
        <f t="shared" si="483"/>
        <v>0.40551224999999996</v>
      </c>
      <c r="BH597" s="2">
        <f t="shared" si="447"/>
        <v>7.2992204999999991E-2</v>
      </c>
      <c r="BI597" s="2">
        <f t="shared" si="471"/>
        <v>2.4954599999999997E-2</v>
      </c>
      <c r="BJ597" s="2">
        <f t="shared" si="472"/>
        <v>0.74863800000000003</v>
      </c>
      <c r="BK597" s="2">
        <f t="shared" si="484"/>
        <v>13.729397054999998</v>
      </c>
      <c r="BL597" s="2">
        <f t="shared" si="473"/>
        <v>6275.5</v>
      </c>
      <c r="BM597" s="2">
        <f t="shared" si="474"/>
        <v>6201.7999999999993</v>
      </c>
      <c r="BN597" s="2">
        <f t="shared" si="485"/>
        <v>12477.3</v>
      </c>
    </row>
    <row r="598" spans="1:66" x14ac:dyDescent="0.25">
      <c r="A598" s="42">
        <v>595</v>
      </c>
      <c r="B598" s="43">
        <v>43039</v>
      </c>
      <c r="C598" s="42" t="s">
        <v>50</v>
      </c>
      <c r="D598" s="42" t="s">
        <v>270</v>
      </c>
      <c r="E598" s="6">
        <f t="shared" si="475"/>
        <v>-58.516430925000115</v>
      </c>
      <c r="F598" s="5" t="str">
        <f t="shared" si="486"/>
        <v>Loss</v>
      </c>
      <c r="G598" s="4">
        <f t="shared" si="487"/>
        <v>-55.500000000000114</v>
      </c>
      <c r="H598" s="46">
        <v>10</v>
      </c>
      <c r="I598" s="42">
        <v>443.05</v>
      </c>
      <c r="N598" s="5">
        <f t="shared" si="488"/>
        <v>10</v>
      </c>
      <c r="O598" s="4">
        <f t="shared" si="489"/>
        <v>443.05</v>
      </c>
      <c r="P598" s="5">
        <f t="shared" si="448"/>
        <v>10</v>
      </c>
      <c r="Q598" s="42">
        <v>437.5</v>
      </c>
      <c r="R598" s="2">
        <f t="shared" si="443"/>
        <v>0</v>
      </c>
      <c r="T598" s="2">
        <f t="shared" si="476"/>
        <v>0</v>
      </c>
      <c r="V598" s="5">
        <f t="shared" si="490"/>
        <v>10</v>
      </c>
      <c r="W598" s="4">
        <f t="shared" si="491"/>
        <v>437.5</v>
      </c>
      <c r="X598" s="14">
        <f t="shared" si="449"/>
        <v>-5.5500000000000114</v>
      </c>
      <c r="Y598" s="5">
        <f t="shared" si="450"/>
        <v>-55.500000000000114</v>
      </c>
      <c r="Z598" s="2">
        <f t="shared" si="451"/>
        <v>0</v>
      </c>
      <c r="AA598" s="4">
        <f t="shared" si="452"/>
        <v>0</v>
      </c>
      <c r="AB598" s="13">
        <f t="shared" si="453"/>
        <v>3.0164309249999999</v>
      </c>
      <c r="AC598" s="10">
        <f>SUM($E$4:E598)</f>
        <v>-22041.490376975024</v>
      </c>
      <c r="AD598" s="20">
        <f>SUM($AB$4:AB598)</f>
        <v>13533.265676974997</v>
      </c>
      <c r="AF598" s="28">
        <f t="shared" si="454"/>
        <v>0.88055000000000005</v>
      </c>
      <c r="AG598" s="2">
        <f t="shared" si="455"/>
        <v>1.09375</v>
      </c>
      <c r="AH598" s="2">
        <f t="shared" si="456"/>
        <v>0.28617874999999998</v>
      </c>
      <c r="AI598" s="2">
        <f t="shared" si="477"/>
        <v>1.1667287500000001</v>
      </c>
      <c r="AJ598" s="2">
        <f t="shared" si="444"/>
        <v>0.21001117500000002</v>
      </c>
      <c r="AK598" s="2">
        <f t="shared" si="457"/>
        <v>1.7611000000000002E-2</v>
      </c>
      <c r="AL598" s="2">
        <f t="shared" si="458"/>
        <v>0.52832999999999997</v>
      </c>
      <c r="AM598" s="2">
        <f t="shared" si="478"/>
        <v>3.0164309249999999</v>
      </c>
      <c r="AN598" s="2">
        <f t="shared" si="459"/>
        <v>40</v>
      </c>
      <c r="AO598" s="2">
        <f t="shared" si="460"/>
        <v>2.1875</v>
      </c>
      <c r="AP598" s="2">
        <f t="shared" si="461"/>
        <v>4.6669149999999995</v>
      </c>
      <c r="AQ598" s="2">
        <f t="shared" si="479"/>
        <v>44.666915000000003</v>
      </c>
      <c r="AR598" s="2">
        <f t="shared" si="445"/>
        <v>8.040044700000001</v>
      </c>
      <c r="AS598" s="2">
        <f t="shared" si="462"/>
        <v>1.7611000000000002E-2</v>
      </c>
      <c r="AT598" s="2">
        <f t="shared" si="463"/>
        <v>0.52832999999999997</v>
      </c>
      <c r="AU598" s="2">
        <f t="shared" si="480"/>
        <v>55.440400700000005</v>
      </c>
      <c r="AV598" s="2">
        <f t="shared" si="464"/>
        <v>0.88055000000000005</v>
      </c>
      <c r="AW598" s="2">
        <f t="shared" si="465"/>
        <v>0.4375</v>
      </c>
      <c r="AX598" s="2">
        <f t="shared" si="466"/>
        <v>0.18491549999999998</v>
      </c>
      <c r="AY598" s="2">
        <f t="shared" si="481"/>
        <v>1.0654655</v>
      </c>
      <c r="AZ598" s="2">
        <f t="shared" si="446"/>
        <v>0.19178378999999998</v>
      </c>
      <c r="BA598" s="2">
        <f t="shared" si="467"/>
        <v>1.7611000000000002E-2</v>
      </c>
      <c r="BB598" s="2">
        <f t="shared" si="468"/>
        <v>0.52832999999999997</v>
      </c>
      <c r="BC598" s="2">
        <f t="shared" si="482"/>
        <v>2.2406902899999999</v>
      </c>
      <c r="BD598" s="2">
        <v>0</v>
      </c>
      <c r="BE598" s="2">
        <f t="shared" si="469"/>
        <v>8.8055000000000003</v>
      </c>
      <c r="BF598" s="2">
        <f t="shared" si="470"/>
        <v>0.28617874999999998</v>
      </c>
      <c r="BG598" s="2">
        <f t="shared" si="483"/>
        <v>0.28617874999999998</v>
      </c>
      <c r="BH598" s="2">
        <f t="shared" si="447"/>
        <v>5.1512174999999993E-2</v>
      </c>
      <c r="BI598" s="2">
        <f t="shared" si="471"/>
        <v>1.7611000000000002E-2</v>
      </c>
      <c r="BJ598" s="2">
        <f t="shared" si="472"/>
        <v>0.52832999999999997</v>
      </c>
      <c r="BK598" s="2">
        <f t="shared" si="484"/>
        <v>9.6891319249999999</v>
      </c>
      <c r="BL598" s="2">
        <f t="shared" si="473"/>
        <v>4430.5</v>
      </c>
      <c r="BM598" s="2">
        <f t="shared" si="474"/>
        <v>4375</v>
      </c>
      <c r="BN598" s="2">
        <f t="shared" si="485"/>
        <v>8805.5</v>
      </c>
    </row>
    <row r="599" spans="1:66" x14ac:dyDescent="0.25">
      <c r="A599" s="42">
        <v>596</v>
      </c>
      <c r="B599" s="43">
        <v>43039</v>
      </c>
      <c r="C599" s="42" t="s">
        <v>50</v>
      </c>
      <c r="D599" s="42" t="s">
        <v>206</v>
      </c>
      <c r="E599" s="6">
        <f t="shared" si="475"/>
        <v>41.92745859750012</v>
      </c>
      <c r="F599" s="5" t="str">
        <f t="shared" si="486"/>
        <v>Win</v>
      </c>
      <c r="G599" s="4">
        <f t="shared" si="487"/>
        <v>45.150000000000119</v>
      </c>
      <c r="H599" s="46">
        <v>21</v>
      </c>
      <c r="I599" s="42">
        <v>222</v>
      </c>
      <c r="N599" s="5">
        <f t="shared" si="488"/>
        <v>21</v>
      </c>
      <c r="O599" s="4">
        <f t="shared" si="489"/>
        <v>222</v>
      </c>
      <c r="P599" s="5">
        <f t="shared" si="448"/>
        <v>21</v>
      </c>
      <c r="Q599" s="42">
        <v>224.15</v>
      </c>
      <c r="R599" s="2">
        <f t="shared" si="443"/>
        <v>0</v>
      </c>
      <c r="T599" s="2">
        <f t="shared" si="476"/>
        <v>0</v>
      </c>
      <c r="V599" s="5">
        <f t="shared" si="490"/>
        <v>21</v>
      </c>
      <c r="W599" s="4">
        <f t="shared" si="491"/>
        <v>224.15</v>
      </c>
      <c r="X599" s="14">
        <f t="shared" si="449"/>
        <v>2.1500000000000057</v>
      </c>
      <c r="Y599" s="5">
        <f t="shared" si="450"/>
        <v>45.150000000000119</v>
      </c>
      <c r="Z599" s="2">
        <f t="shared" si="451"/>
        <v>0</v>
      </c>
      <c r="AA599" s="4">
        <f t="shared" si="452"/>
        <v>0</v>
      </c>
      <c r="AB599" s="13">
        <f t="shared" si="453"/>
        <v>3.2225414025000005</v>
      </c>
      <c r="AC599" s="10">
        <f>SUM($E$4:E599)</f>
        <v>-21999.562918377524</v>
      </c>
      <c r="AD599" s="20">
        <f>SUM($AB$4:AB599)</f>
        <v>13536.488218377497</v>
      </c>
      <c r="AF599" s="28">
        <f t="shared" si="454"/>
        <v>0.93691500000000016</v>
      </c>
      <c r="AG599" s="2">
        <f t="shared" si="455"/>
        <v>1.1767875000000001</v>
      </c>
      <c r="AH599" s="2">
        <f t="shared" si="456"/>
        <v>0.30449737500000001</v>
      </c>
      <c r="AI599" s="2">
        <f t="shared" si="477"/>
        <v>1.2414123750000001</v>
      </c>
      <c r="AJ599" s="2">
        <f t="shared" si="444"/>
        <v>0.22345422750000002</v>
      </c>
      <c r="AK599" s="2">
        <f t="shared" si="457"/>
        <v>1.8738300000000003E-2</v>
      </c>
      <c r="AL599" s="2">
        <f t="shared" si="458"/>
        <v>0.56214900000000012</v>
      </c>
      <c r="AM599" s="2">
        <f t="shared" si="478"/>
        <v>3.2225414025000005</v>
      </c>
      <c r="AN599" s="2">
        <f t="shared" si="459"/>
        <v>40</v>
      </c>
      <c r="AO599" s="2">
        <f t="shared" si="460"/>
        <v>2.3535750000000002</v>
      </c>
      <c r="AP599" s="2">
        <f t="shared" si="461"/>
        <v>4.9656495000000005</v>
      </c>
      <c r="AQ599" s="2">
        <f t="shared" si="479"/>
        <v>44.965649499999998</v>
      </c>
      <c r="AR599" s="2">
        <f t="shared" si="445"/>
        <v>8.0938169099999993</v>
      </c>
      <c r="AS599" s="2">
        <f t="shared" si="462"/>
        <v>1.8738300000000003E-2</v>
      </c>
      <c r="AT599" s="2">
        <f t="shared" si="463"/>
        <v>0.56214900000000012</v>
      </c>
      <c r="AU599" s="2">
        <f t="shared" si="480"/>
        <v>55.993928709999999</v>
      </c>
      <c r="AV599" s="2">
        <f t="shared" si="464"/>
        <v>0.93691500000000016</v>
      </c>
      <c r="AW599" s="2">
        <f t="shared" si="465"/>
        <v>0.47071500000000011</v>
      </c>
      <c r="AX599" s="2">
        <f t="shared" si="466"/>
        <v>0.19675215000000001</v>
      </c>
      <c r="AY599" s="2">
        <f t="shared" si="481"/>
        <v>1.1336671500000002</v>
      </c>
      <c r="AZ599" s="2">
        <f t="shared" si="446"/>
        <v>0.20406008700000003</v>
      </c>
      <c r="BA599" s="2">
        <f t="shared" si="467"/>
        <v>1.8738300000000003E-2</v>
      </c>
      <c r="BB599" s="2">
        <f t="shared" si="468"/>
        <v>0.56214900000000012</v>
      </c>
      <c r="BC599" s="2">
        <f t="shared" si="482"/>
        <v>2.3893295370000005</v>
      </c>
      <c r="BD599" s="2">
        <v>0</v>
      </c>
      <c r="BE599" s="2">
        <f t="shared" si="469"/>
        <v>9.3691500000000012</v>
      </c>
      <c r="BF599" s="2">
        <f t="shared" si="470"/>
        <v>0.30449737500000001</v>
      </c>
      <c r="BG599" s="2">
        <f t="shared" si="483"/>
        <v>0.30449737500000001</v>
      </c>
      <c r="BH599" s="2">
        <f t="shared" si="447"/>
        <v>5.4809527500000003E-2</v>
      </c>
      <c r="BI599" s="2">
        <f t="shared" si="471"/>
        <v>1.8738300000000003E-2</v>
      </c>
      <c r="BJ599" s="2">
        <f t="shared" si="472"/>
        <v>0.56214900000000012</v>
      </c>
      <c r="BK599" s="2">
        <f t="shared" si="484"/>
        <v>10.309344202500002</v>
      </c>
      <c r="BL599" s="2">
        <f t="shared" si="473"/>
        <v>4662</v>
      </c>
      <c r="BM599" s="2">
        <f t="shared" si="474"/>
        <v>4707.1500000000005</v>
      </c>
      <c r="BN599" s="2">
        <f t="shared" si="485"/>
        <v>9369.1500000000015</v>
      </c>
    </row>
    <row r="600" spans="1:66" x14ac:dyDescent="0.25">
      <c r="A600" s="42">
        <v>597</v>
      </c>
      <c r="B600" s="43">
        <v>43040</v>
      </c>
      <c r="C600" s="42" t="s">
        <v>50</v>
      </c>
      <c r="D600" s="42" t="s">
        <v>270</v>
      </c>
      <c r="E600" s="6">
        <f t="shared" si="475"/>
        <v>-25.602676275000057</v>
      </c>
      <c r="F600" s="5" t="str">
        <f t="shared" si="486"/>
        <v>Loss</v>
      </c>
      <c r="G600" s="4">
        <f t="shared" si="487"/>
        <v>-24.000000000000057</v>
      </c>
      <c r="H600" s="46">
        <v>5</v>
      </c>
      <c r="I600" s="42">
        <v>470.05</v>
      </c>
      <c r="N600" s="5">
        <f t="shared" si="488"/>
        <v>5</v>
      </c>
      <c r="O600" s="4">
        <f t="shared" si="489"/>
        <v>470.05</v>
      </c>
      <c r="P600" s="5">
        <f t="shared" si="448"/>
        <v>5</v>
      </c>
      <c r="Q600" s="42">
        <v>465.25</v>
      </c>
      <c r="R600" s="2">
        <f t="shared" si="443"/>
        <v>0</v>
      </c>
      <c r="T600" s="2">
        <f t="shared" si="476"/>
        <v>0</v>
      </c>
      <c r="V600" s="5">
        <f t="shared" si="490"/>
        <v>5</v>
      </c>
      <c r="W600" s="4">
        <f t="shared" si="491"/>
        <v>465.25</v>
      </c>
      <c r="X600" s="14">
        <f t="shared" si="449"/>
        <v>-4.8000000000000114</v>
      </c>
      <c r="Y600" s="5">
        <f t="shared" si="450"/>
        <v>-24.000000000000057</v>
      </c>
      <c r="Z600" s="2">
        <f t="shared" si="451"/>
        <v>0</v>
      </c>
      <c r="AA600" s="4">
        <f t="shared" si="452"/>
        <v>0</v>
      </c>
      <c r="AB600" s="13">
        <f t="shared" si="453"/>
        <v>1.6026762749999999</v>
      </c>
      <c r="AC600" s="10">
        <f>SUM($E$4:E600)</f>
        <v>-22025.165594652524</v>
      </c>
      <c r="AD600" s="20">
        <f>SUM($AB$4:AB600)</f>
        <v>13538.090894652498</v>
      </c>
      <c r="AF600" s="28">
        <f t="shared" si="454"/>
        <v>0.46765000000000001</v>
      </c>
      <c r="AG600" s="2">
        <f t="shared" si="455"/>
        <v>0.58156249999999998</v>
      </c>
      <c r="AH600" s="2">
        <f t="shared" si="456"/>
        <v>0.15198624999999999</v>
      </c>
      <c r="AI600" s="2">
        <f t="shared" si="477"/>
        <v>0.61963625</v>
      </c>
      <c r="AJ600" s="2">
        <f t="shared" si="444"/>
        <v>0.111534525</v>
      </c>
      <c r="AK600" s="2">
        <f t="shared" si="457"/>
        <v>9.3530000000000002E-3</v>
      </c>
      <c r="AL600" s="2">
        <f t="shared" si="458"/>
        <v>0.28059000000000001</v>
      </c>
      <c r="AM600" s="2">
        <f t="shared" si="478"/>
        <v>1.6026762749999999</v>
      </c>
      <c r="AN600" s="2">
        <f t="shared" si="459"/>
        <v>40</v>
      </c>
      <c r="AO600" s="2">
        <f t="shared" si="460"/>
        <v>1.163125</v>
      </c>
      <c r="AP600" s="2">
        <f t="shared" si="461"/>
        <v>2.478545</v>
      </c>
      <c r="AQ600" s="2">
        <f t="shared" si="479"/>
        <v>42.478544999999997</v>
      </c>
      <c r="AR600" s="2">
        <f t="shared" si="445"/>
        <v>7.646138099999999</v>
      </c>
      <c r="AS600" s="2">
        <f t="shared" si="462"/>
        <v>9.3530000000000002E-3</v>
      </c>
      <c r="AT600" s="2">
        <f t="shared" si="463"/>
        <v>0.28059000000000001</v>
      </c>
      <c r="AU600" s="2">
        <f t="shared" si="480"/>
        <v>51.577751099999993</v>
      </c>
      <c r="AV600" s="2">
        <f t="shared" si="464"/>
        <v>0.46765000000000001</v>
      </c>
      <c r="AW600" s="2">
        <f t="shared" si="465"/>
        <v>0.232625</v>
      </c>
      <c r="AX600" s="2">
        <f t="shared" si="466"/>
        <v>9.8206499999999988E-2</v>
      </c>
      <c r="AY600" s="2">
        <f t="shared" si="481"/>
        <v>0.56585649999999998</v>
      </c>
      <c r="AZ600" s="2">
        <f t="shared" si="446"/>
        <v>0.10185416999999999</v>
      </c>
      <c r="BA600" s="2">
        <f t="shared" si="467"/>
        <v>9.3530000000000002E-3</v>
      </c>
      <c r="BB600" s="2">
        <f t="shared" si="468"/>
        <v>0.28059000000000001</v>
      </c>
      <c r="BC600" s="2">
        <f t="shared" si="482"/>
        <v>1.1902786700000001</v>
      </c>
      <c r="BD600" s="2">
        <v>0</v>
      </c>
      <c r="BE600" s="2">
        <f t="shared" si="469"/>
        <v>4.6764999999999999</v>
      </c>
      <c r="BF600" s="2">
        <f t="shared" si="470"/>
        <v>0.15198624999999999</v>
      </c>
      <c r="BG600" s="2">
        <f t="shared" si="483"/>
        <v>0.15198624999999999</v>
      </c>
      <c r="BH600" s="2">
        <f t="shared" si="447"/>
        <v>2.7357524999999997E-2</v>
      </c>
      <c r="BI600" s="2">
        <f t="shared" si="471"/>
        <v>9.3530000000000002E-3</v>
      </c>
      <c r="BJ600" s="2">
        <f t="shared" si="472"/>
        <v>0.28059000000000001</v>
      </c>
      <c r="BK600" s="2">
        <f t="shared" si="484"/>
        <v>5.1457867750000004</v>
      </c>
      <c r="BL600" s="2">
        <f t="shared" si="473"/>
        <v>2350.25</v>
      </c>
      <c r="BM600" s="2">
        <f t="shared" si="474"/>
        <v>2326.25</v>
      </c>
      <c r="BN600" s="2">
        <f t="shared" si="485"/>
        <v>4676.5</v>
      </c>
    </row>
    <row r="601" spans="1:66" x14ac:dyDescent="0.25">
      <c r="A601" s="42">
        <v>598</v>
      </c>
      <c r="B601" s="43">
        <v>43040</v>
      </c>
      <c r="C601" s="42" t="s">
        <v>50</v>
      </c>
      <c r="D601" s="42" t="s">
        <v>164</v>
      </c>
      <c r="E601" s="6">
        <f t="shared" si="475"/>
        <v>4.4276972499999996</v>
      </c>
      <c r="F601" s="5" t="str">
        <f t="shared" si="486"/>
        <v>Win</v>
      </c>
      <c r="G601" s="4">
        <f t="shared" si="487"/>
        <v>5</v>
      </c>
      <c r="H601" s="46">
        <v>4</v>
      </c>
      <c r="I601" s="42">
        <v>207.5</v>
      </c>
      <c r="N601" s="5">
        <f t="shared" si="488"/>
        <v>4</v>
      </c>
      <c r="O601" s="4">
        <f t="shared" si="489"/>
        <v>207.5</v>
      </c>
      <c r="P601" s="5">
        <f t="shared" si="448"/>
        <v>4</v>
      </c>
      <c r="Q601" s="42">
        <v>208.75</v>
      </c>
      <c r="R601" s="2">
        <f t="shared" si="443"/>
        <v>0</v>
      </c>
      <c r="T601" s="2">
        <f t="shared" si="476"/>
        <v>0</v>
      </c>
      <c r="V601" s="5">
        <f t="shared" si="490"/>
        <v>4</v>
      </c>
      <c r="W601" s="4">
        <f t="shared" si="491"/>
        <v>208.75</v>
      </c>
      <c r="X601" s="14">
        <f t="shared" si="449"/>
        <v>1.25</v>
      </c>
      <c r="Y601" s="5">
        <f t="shared" si="450"/>
        <v>5</v>
      </c>
      <c r="Z601" s="2">
        <f t="shared" si="451"/>
        <v>0</v>
      </c>
      <c r="AA601" s="4">
        <f t="shared" si="452"/>
        <v>0</v>
      </c>
      <c r="AB601" s="13">
        <f t="shared" si="453"/>
        <v>0.57230274999999997</v>
      </c>
      <c r="AC601" s="10">
        <f>SUM($E$4:E601)</f>
        <v>-22020.737897402523</v>
      </c>
      <c r="AD601" s="20">
        <f>SUM($AB$4:AB601)</f>
        <v>13538.663197402499</v>
      </c>
      <c r="AF601" s="28">
        <f t="shared" si="454"/>
        <v>0.16650000000000001</v>
      </c>
      <c r="AG601" s="2">
        <f t="shared" si="455"/>
        <v>0.20874999999999999</v>
      </c>
      <c r="AH601" s="2">
        <f t="shared" si="456"/>
        <v>5.4112499999999994E-2</v>
      </c>
      <c r="AI601" s="2">
        <f t="shared" si="477"/>
        <v>0.22061249999999999</v>
      </c>
      <c r="AJ601" s="2">
        <f t="shared" si="444"/>
        <v>3.9710249999999996E-2</v>
      </c>
      <c r="AK601" s="2">
        <f t="shared" si="457"/>
        <v>3.3300000000000001E-3</v>
      </c>
      <c r="AL601" s="2">
        <f t="shared" si="458"/>
        <v>9.9900000000000003E-2</v>
      </c>
      <c r="AM601" s="2">
        <f t="shared" si="478"/>
        <v>0.57230274999999997</v>
      </c>
      <c r="AN601" s="2">
        <f t="shared" si="459"/>
        <v>40</v>
      </c>
      <c r="AO601" s="2">
        <f t="shared" si="460"/>
        <v>0.41749999999999998</v>
      </c>
      <c r="AP601" s="2">
        <f t="shared" si="461"/>
        <v>0.88244999999999996</v>
      </c>
      <c r="AQ601" s="2">
        <f t="shared" si="479"/>
        <v>40.882449999999999</v>
      </c>
      <c r="AR601" s="2">
        <f t="shared" si="445"/>
        <v>7.3588409999999991</v>
      </c>
      <c r="AS601" s="2">
        <f t="shared" si="462"/>
        <v>3.3300000000000001E-3</v>
      </c>
      <c r="AT601" s="2">
        <f t="shared" si="463"/>
        <v>9.9900000000000003E-2</v>
      </c>
      <c r="AU601" s="2">
        <f t="shared" si="480"/>
        <v>48.76202099999999</v>
      </c>
      <c r="AV601" s="2">
        <f t="shared" si="464"/>
        <v>0.16650000000000001</v>
      </c>
      <c r="AW601" s="2">
        <f t="shared" si="465"/>
        <v>8.3500000000000005E-2</v>
      </c>
      <c r="AX601" s="2">
        <f t="shared" si="466"/>
        <v>3.4964999999999996E-2</v>
      </c>
      <c r="AY601" s="2">
        <f t="shared" si="481"/>
        <v>0.20146500000000001</v>
      </c>
      <c r="AZ601" s="2">
        <f t="shared" si="446"/>
        <v>3.6263700000000003E-2</v>
      </c>
      <c r="BA601" s="2">
        <f t="shared" si="467"/>
        <v>3.3300000000000001E-3</v>
      </c>
      <c r="BB601" s="2">
        <f t="shared" si="468"/>
        <v>9.9900000000000003E-2</v>
      </c>
      <c r="BC601" s="2">
        <f t="shared" si="482"/>
        <v>0.42445870000000002</v>
      </c>
      <c r="BD601" s="2">
        <v>0</v>
      </c>
      <c r="BE601" s="2">
        <f t="shared" si="469"/>
        <v>1.665</v>
      </c>
      <c r="BF601" s="2">
        <f t="shared" si="470"/>
        <v>5.4112499999999994E-2</v>
      </c>
      <c r="BG601" s="2">
        <f t="shared" si="483"/>
        <v>5.4112499999999994E-2</v>
      </c>
      <c r="BH601" s="2">
        <f t="shared" si="447"/>
        <v>9.7402499999999989E-3</v>
      </c>
      <c r="BI601" s="2">
        <f t="shared" si="471"/>
        <v>3.3300000000000001E-3</v>
      </c>
      <c r="BJ601" s="2">
        <f t="shared" si="472"/>
        <v>9.9900000000000003E-2</v>
      </c>
      <c r="BK601" s="2">
        <f t="shared" si="484"/>
        <v>1.8320827500000001</v>
      </c>
      <c r="BL601" s="2">
        <f t="shared" si="473"/>
        <v>830</v>
      </c>
      <c r="BM601" s="2">
        <f t="shared" si="474"/>
        <v>835</v>
      </c>
      <c r="BN601" s="2">
        <f t="shared" si="485"/>
        <v>1665</v>
      </c>
    </row>
    <row r="602" spans="1:66" x14ac:dyDescent="0.25">
      <c r="A602" s="42">
        <v>599</v>
      </c>
      <c r="B602" s="43">
        <v>43040</v>
      </c>
      <c r="C602" s="42" t="s">
        <v>50</v>
      </c>
      <c r="D602" s="42" t="s">
        <v>325</v>
      </c>
      <c r="E602" s="6">
        <f t="shared" si="475"/>
        <v>-3.3532628175000001</v>
      </c>
      <c r="F602" s="5" t="str">
        <f t="shared" si="486"/>
        <v>Loss</v>
      </c>
      <c r="G602" s="4">
        <f t="shared" si="487"/>
        <v>-2.25</v>
      </c>
      <c r="H602" s="46">
        <v>3</v>
      </c>
      <c r="I602" s="42">
        <v>536.04999999999995</v>
      </c>
      <c r="N602" s="5">
        <f t="shared" si="488"/>
        <v>3</v>
      </c>
      <c r="O602" s="4">
        <f t="shared" si="489"/>
        <v>536.04999999999995</v>
      </c>
      <c r="P602" s="5">
        <f t="shared" si="448"/>
        <v>3</v>
      </c>
      <c r="Q602" s="42">
        <v>535.29999999999995</v>
      </c>
      <c r="R602" s="2">
        <f t="shared" si="443"/>
        <v>0</v>
      </c>
      <c r="T602" s="2">
        <f t="shared" si="476"/>
        <v>0</v>
      </c>
      <c r="V602" s="5">
        <f t="shared" si="490"/>
        <v>3</v>
      </c>
      <c r="W602" s="4">
        <f t="shared" si="491"/>
        <v>535.29999999999995</v>
      </c>
      <c r="X602" s="14">
        <f t="shared" si="449"/>
        <v>-0.75</v>
      </c>
      <c r="Y602" s="5">
        <f t="shared" si="450"/>
        <v>-2.25</v>
      </c>
      <c r="Z602" s="2">
        <f t="shared" si="451"/>
        <v>0</v>
      </c>
      <c r="AA602" s="4">
        <f t="shared" si="452"/>
        <v>0</v>
      </c>
      <c r="AB602" s="13">
        <f t="shared" si="453"/>
        <v>1.1032628175000001</v>
      </c>
      <c r="AC602" s="10">
        <f>SUM($E$4:E602)</f>
        <v>-22024.091160220025</v>
      </c>
      <c r="AD602" s="20">
        <f>SUM($AB$4:AB602)</f>
        <v>13539.766460219998</v>
      </c>
      <c r="AF602" s="28">
        <f t="shared" si="454"/>
        <v>0.321405</v>
      </c>
      <c r="AG602" s="2">
        <f t="shared" si="455"/>
        <v>0.40147499999999997</v>
      </c>
      <c r="AH602" s="2">
        <f t="shared" si="456"/>
        <v>0.10445662499999998</v>
      </c>
      <c r="AI602" s="2">
        <f t="shared" si="477"/>
        <v>0.42586162499999997</v>
      </c>
      <c r="AJ602" s="2">
        <f t="shared" si="444"/>
        <v>7.6655092499999994E-2</v>
      </c>
      <c r="AK602" s="2">
        <f t="shared" si="457"/>
        <v>6.4280999999999991E-3</v>
      </c>
      <c r="AL602" s="2">
        <f t="shared" si="458"/>
        <v>0.19284299999999999</v>
      </c>
      <c r="AM602" s="2">
        <f t="shared" si="478"/>
        <v>1.1032628175000001</v>
      </c>
      <c r="AN602" s="2">
        <f t="shared" si="459"/>
        <v>40</v>
      </c>
      <c r="AO602" s="2">
        <f t="shared" si="460"/>
        <v>0.80294999999999994</v>
      </c>
      <c r="AP602" s="2">
        <f t="shared" si="461"/>
        <v>1.7034464999999999</v>
      </c>
      <c r="AQ602" s="2">
        <f t="shared" si="479"/>
        <v>41.703446499999998</v>
      </c>
      <c r="AR602" s="2">
        <f t="shared" si="445"/>
        <v>7.5066203699999994</v>
      </c>
      <c r="AS602" s="2">
        <f t="shared" si="462"/>
        <v>6.4280999999999991E-3</v>
      </c>
      <c r="AT602" s="2">
        <f t="shared" si="463"/>
        <v>0.19284299999999999</v>
      </c>
      <c r="AU602" s="2">
        <f t="shared" si="480"/>
        <v>50.212287970000006</v>
      </c>
      <c r="AV602" s="2">
        <f t="shared" si="464"/>
        <v>0.321405</v>
      </c>
      <c r="AW602" s="2">
        <f t="shared" si="465"/>
        <v>0.16059000000000001</v>
      </c>
      <c r="AX602" s="2">
        <f t="shared" si="466"/>
        <v>6.7495049999999987E-2</v>
      </c>
      <c r="AY602" s="2">
        <f t="shared" si="481"/>
        <v>0.38890005</v>
      </c>
      <c r="AZ602" s="2">
        <f t="shared" si="446"/>
        <v>7.000200899999999E-2</v>
      </c>
      <c r="BA602" s="2">
        <f t="shared" si="467"/>
        <v>6.4280999999999991E-3</v>
      </c>
      <c r="BB602" s="2">
        <f t="shared" si="468"/>
        <v>0.19284299999999999</v>
      </c>
      <c r="BC602" s="2">
        <f t="shared" si="482"/>
        <v>0.81876315899999996</v>
      </c>
      <c r="BD602" s="2">
        <v>0</v>
      </c>
      <c r="BE602" s="2">
        <f t="shared" si="469"/>
        <v>3.2140499999999999</v>
      </c>
      <c r="BF602" s="2">
        <f t="shared" si="470"/>
        <v>0.10445662499999998</v>
      </c>
      <c r="BG602" s="2">
        <f t="shared" si="483"/>
        <v>0.10445662499999998</v>
      </c>
      <c r="BH602" s="2">
        <f t="shared" si="447"/>
        <v>1.8802192499999995E-2</v>
      </c>
      <c r="BI602" s="2">
        <f t="shared" si="471"/>
        <v>6.4280999999999991E-3</v>
      </c>
      <c r="BJ602" s="2">
        <f t="shared" si="472"/>
        <v>0.19284299999999999</v>
      </c>
      <c r="BK602" s="2">
        <f t="shared" si="484"/>
        <v>3.5365799174999997</v>
      </c>
      <c r="BL602" s="2">
        <f t="shared" si="473"/>
        <v>1608.1499999999999</v>
      </c>
      <c r="BM602" s="2">
        <f t="shared" si="474"/>
        <v>1605.8999999999999</v>
      </c>
      <c r="BN602" s="2">
        <f t="shared" si="485"/>
        <v>3214.0499999999997</v>
      </c>
    </row>
    <row r="603" spans="1:66" x14ac:dyDescent="0.25">
      <c r="A603" s="42">
        <v>600</v>
      </c>
      <c r="E603" s="6">
        <f t="shared" si="475"/>
        <v>0</v>
      </c>
      <c r="F603" s="5" t="str">
        <f t="shared" si="486"/>
        <v>Break Even</v>
      </c>
      <c r="G603" s="4">
        <f t="shared" si="487"/>
        <v>0</v>
      </c>
      <c r="N603" s="5">
        <f t="shared" si="488"/>
        <v>0</v>
      </c>
      <c r="O603" s="4" t="e">
        <f t="shared" si="489"/>
        <v>#DIV/0!</v>
      </c>
      <c r="P603" s="5">
        <f t="shared" si="448"/>
        <v>0</v>
      </c>
      <c r="R603" s="2">
        <f t="shared" si="443"/>
        <v>0</v>
      </c>
      <c r="T603" s="2">
        <f t="shared" si="476"/>
        <v>0</v>
      </c>
      <c r="V603" s="5">
        <f t="shared" si="490"/>
        <v>0</v>
      </c>
      <c r="W603" s="4" t="e">
        <f t="shared" si="491"/>
        <v>#DIV/0!</v>
      </c>
      <c r="X603" s="14">
        <f t="shared" si="449"/>
        <v>0</v>
      </c>
      <c r="Y603" s="5">
        <f t="shared" si="450"/>
        <v>0</v>
      </c>
      <c r="Z603" s="2">
        <f t="shared" si="451"/>
        <v>0</v>
      </c>
      <c r="AA603" s="4">
        <f t="shared" si="452"/>
        <v>0</v>
      </c>
      <c r="AB603" s="13">
        <f t="shared" si="453"/>
        <v>0</v>
      </c>
      <c r="AC603" s="10">
        <f>SUM($E$4:E603)</f>
        <v>-22024.091160220025</v>
      </c>
      <c r="AD603" s="20">
        <f>SUM($AB$4:AB603)</f>
        <v>13539.766460219998</v>
      </c>
      <c r="AF603" s="28" t="e">
        <f t="shared" si="454"/>
        <v>#DIV/0!</v>
      </c>
      <c r="AG603" s="2" t="e">
        <f t="shared" si="455"/>
        <v>#DIV/0!</v>
      </c>
      <c r="AH603" s="2" t="e">
        <f t="shared" si="456"/>
        <v>#DIV/0!</v>
      </c>
      <c r="AI603" s="2" t="e">
        <f t="shared" si="477"/>
        <v>#DIV/0!</v>
      </c>
      <c r="AJ603" s="2" t="e">
        <f t="shared" si="444"/>
        <v>#DIV/0!</v>
      </c>
      <c r="AK603" s="2" t="e">
        <f t="shared" si="457"/>
        <v>#DIV/0!</v>
      </c>
      <c r="AL603" s="2" t="e">
        <f t="shared" si="458"/>
        <v>#DIV/0!</v>
      </c>
      <c r="AM603" s="2" t="e">
        <f t="shared" si="478"/>
        <v>#DIV/0!</v>
      </c>
      <c r="AN603" s="2">
        <f t="shared" si="459"/>
        <v>0</v>
      </c>
      <c r="AO603" s="2" t="e">
        <f t="shared" si="460"/>
        <v>#DIV/0!</v>
      </c>
      <c r="AP603" s="2" t="e">
        <f t="shared" si="461"/>
        <v>#DIV/0!</v>
      </c>
      <c r="AQ603" s="2" t="e">
        <f t="shared" si="479"/>
        <v>#DIV/0!</v>
      </c>
      <c r="AR603" s="2" t="e">
        <f t="shared" si="445"/>
        <v>#DIV/0!</v>
      </c>
      <c r="AS603" s="2" t="e">
        <f t="shared" si="462"/>
        <v>#DIV/0!</v>
      </c>
      <c r="AT603" s="2" t="e">
        <f t="shared" si="463"/>
        <v>#DIV/0!</v>
      </c>
      <c r="AU603" s="2" t="e">
        <f t="shared" si="480"/>
        <v>#DIV/0!</v>
      </c>
      <c r="AV603" s="2" t="e">
        <f t="shared" si="464"/>
        <v>#DIV/0!</v>
      </c>
      <c r="AW603" s="2" t="e">
        <f t="shared" si="465"/>
        <v>#DIV/0!</v>
      </c>
      <c r="AX603" s="2" t="e">
        <f t="shared" si="466"/>
        <v>#DIV/0!</v>
      </c>
      <c r="AY603" s="2" t="e">
        <f t="shared" si="481"/>
        <v>#DIV/0!</v>
      </c>
      <c r="AZ603" s="2" t="e">
        <f t="shared" si="446"/>
        <v>#DIV/0!</v>
      </c>
      <c r="BA603" s="2" t="e">
        <f t="shared" si="467"/>
        <v>#DIV/0!</v>
      </c>
      <c r="BB603" s="2" t="e">
        <f t="shared" si="468"/>
        <v>#DIV/0!</v>
      </c>
      <c r="BC603" s="2" t="e">
        <f t="shared" si="482"/>
        <v>#DIV/0!</v>
      </c>
      <c r="BD603" s="2">
        <v>0</v>
      </c>
      <c r="BE603" s="2" t="e">
        <f t="shared" si="469"/>
        <v>#DIV/0!</v>
      </c>
      <c r="BF603" s="2" t="e">
        <f t="shared" si="470"/>
        <v>#DIV/0!</v>
      </c>
      <c r="BG603" s="2" t="e">
        <f t="shared" si="483"/>
        <v>#DIV/0!</v>
      </c>
      <c r="BH603" s="2" t="e">
        <f t="shared" si="447"/>
        <v>#DIV/0!</v>
      </c>
      <c r="BI603" s="2" t="e">
        <f t="shared" si="471"/>
        <v>#DIV/0!</v>
      </c>
      <c r="BJ603" s="2" t="e">
        <f t="shared" si="472"/>
        <v>#DIV/0!</v>
      </c>
      <c r="BK603" s="2" t="e">
        <f t="shared" si="484"/>
        <v>#DIV/0!</v>
      </c>
      <c r="BL603" s="2" t="e">
        <f t="shared" si="473"/>
        <v>#DIV/0!</v>
      </c>
      <c r="BM603" s="2" t="e">
        <f t="shared" si="474"/>
        <v>#DIV/0!</v>
      </c>
      <c r="BN603" s="2" t="e">
        <f t="shared" si="485"/>
        <v>#DIV/0!</v>
      </c>
    </row>
    <row r="604" spans="1:66" x14ac:dyDescent="0.25">
      <c r="A604" s="42">
        <v>601</v>
      </c>
      <c r="E604" s="6">
        <f t="shared" si="475"/>
        <v>0</v>
      </c>
      <c r="F604" s="5" t="str">
        <f t="shared" si="486"/>
        <v>Break Even</v>
      </c>
      <c r="G604" s="4">
        <f t="shared" si="487"/>
        <v>0</v>
      </c>
      <c r="N604" s="5">
        <f t="shared" si="488"/>
        <v>0</v>
      </c>
      <c r="O604" s="4" t="e">
        <f t="shared" si="489"/>
        <v>#DIV/0!</v>
      </c>
      <c r="P604" s="5">
        <f t="shared" si="448"/>
        <v>0</v>
      </c>
      <c r="R604" s="2">
        <f t="shared" si="443"/>
        <v>0</v>
      </c>
      <c r="T604" s="2">
        <f t="shared" si="476"/>
        <v>0</v>
      </c>
      <c r="V604" s="5">
        <f t="shared" si="490"/>
        <v>0</v>
      </c>
      <c r="W604" s="4" t="e">
        <f t="shared" si="491"/>
        <v>#DIV/0!</v>
      </c>
      <c r="X604" s="14">
        <f t="shared" si="449"/>
        <v>0</v>
      </c>
      <c r="Y604" s="5">
        <f t="shared" si="450"/>
        <v>0</v>
      </c>
      <c r="Z604" s="2">
        <f t="shared" si="451"/>
        <v>0</v>
      </c>
      <c r="AA604" s="4">
        <f t="shared" si="452"/>
        <v>0</v>
      </c>
      <c r="AB604" s="13">
        <f t="shared" si="453"/>
        <v>0</v>
      </c>
      <c r="AC604" s="10">
        <f>SUM($E$4:E604)</f>
        <v>-22024.091160220025</v>
      </c>
      <c r="AD604" s="20">
        <f>SUM($AB$4:AB604)</f>
        <v>13539.766460219998</v>
      </c>
      <c r="AF604" s="28" t="e">
        <f t="shared" si="454"/>
        <v>#DIV/0!</v>
      </c>
      <c r="AG604" s="2" t="e">
        <f t="shared" si="455"/>
        <v>#DIV/0!</v>
      </c>
      <c r="AH604" s="2" t="e">
        <f t="shared" si="456"/>
        <v>#DIV/0!</v>
      </c>
      <c r="AI604" s="2" t="e">
        <f t="shared" si="477"/>
        <v>#DIV/0!</v>
      </c>
      <c r="AJ604" s="2" t="e">
        <f t="shared" si="444"/>
        <v>#DIV/0!</v>
      </c>
      <c r="AK604" s="2" t="e">
        <f t="shared" si="457"/>
        <v>#DIV/0!</v>
      </c>
      <c r="AL604" s="2" t="e">
        <f t="shared" si="458"/>
        <v>#DIV/0!</v>
      </c>
      <c r="AM604" s="2" t="e">
        <f t="shared" si="478"/>
        <v>#DIV/0!</v>
      </c>
      <c r="AN604" s="2">
        <f t="shared" si="459"/>
        <v>0</v>
      </c>
      <c r="AO604" s="2" t="e">
        <f t="shared" si="460"/>
        <v>#DIV/0!</v>
      </c>
      <c r="AP604" s="2" t="e">
        <f t="shared" si="461"/>
        <v>#DIV/0!</v>
      </c>
      <c r="AQ604" s="2" t="e">
        <f t="shared" si="479"/>
        <v>#DIV/0!</v>
      </c>
      <c r="AR604" s="2" t="e">
        <f t="shared" si="445"/>
        <v>#DIV/0!</v>
      </c>
      <c r="AS604" s="2" t="e">
        <f t="shared" si="462"/>
        <v>#DIV/0!</v>
      </c>
      <c r="AT604" s="2" t="e">
        <f t="shared" si="463"/>
        <v>#DIV/0!</v>
      </c>
      <c r="AU604" s="2" t="e">
        <f t="shared" si="480"/>
        <v>#DIV/0!</v>
      </c>
      <c r="AV604" s="2" t="e">
        <f t="shared" si="464"/>
        <v>#DIV/0!</v>
      </c>
      <c r="AW604" s="2" t="e">
        <f t="shared" si="465"/>
        <v>#DIV/0!</v>
      </c>
      <c r="AX604" s="2" t="e">
        <f t="shared" si="466"/>
        <v>#DIV/0!</v>
      </c>
      <c r="AY604" s="2" t="e">
        <f t="shared" si="481"/>
        <v>#DIV/0!</v>
      </c>
      <c r="AZ604" s="2" t="e">
        <f t="shared" si="446"/>
        <v>#DIV/0!</v>
      </c>
      <c r="BA604" s="2" t="e">
        <f t="shared" si="467"/>
        <v>#DIV/0!</v>
      </c>
      <c r="BB604" s="2" t="e">
        <f t="shared" si="468"/>
        <v>#DIV/0!</v>
      </c>
      <c r="BC604" s="2" t="e">
        <f t="shared" si="482"/>
        <v>#DIV/0!</v>
      </c>
      <c r="BD604" s="2">
        <v>0</v>
      </c>
      <c r="BE604" s="2" t="e">
        <f t="shared" si="469"/>
        <v>#DIV/0!</v>
      </c>
      <c r="BF604" s="2" t="e">
        <f t="shared" si="470"/>
        <v>#DIV/0!</v>
      </c>
      <c r="BG604" s="2" t="e">
        <f t="shared" si="483"/>
        <v>#DIV/0!</v>
      </c>
      <c r="BH604" s="2" t="e">
        <f t="shared" si="447"/>
        <v>#DIV/0!</v>
      </c>
      <c r="BI604" s="2" t="e">
        <f t="shared" si="471"/>
        <v>#DIV/0!</v>
      </c>
      <c r="BJ604" s="2" t="e">
        <f t="shared" si="472"/>
        <v>#DIV/0!</v>
      </c>
      <c r="BK604" s="2" t="e">
        <f t="shared" si="484"/>
        <v>#DIV/0!</v>
      </c>
      <c r="BL604" s="2" t="e">
        <f t="shared" si="473"/>
        <v>#DIV/0!</v>
      </c>
      <c r="BM604" s="2" t="e">
        <f t="shared" si="474"/>
        <v>#DIV/0!</v>
      </c>
      <c r="BN604" s="2" t="e">
        <f t="shared" si="485"/>
        <v>#DIV/0!</v>
      </c>
    </row>
    <row r="605" spans="1:66" x14ac:dyDescent="0.25">
      <c r="A605" s="42">
        <v>602</v>
      </c>
      <c r="E605" s="6">
        <f t="shared" si="475"/>
        <v>0</v>
      </c>
      <c r="F605" s="5" t="str">
        <f t="shared" si="486"/>
        <v>Break Even</v>
      </c>
      <c r="G605" s="4">
        <f t="shared" si="487"/>
        <v>0</v>
      </c>
      <c r="N605" s="5">
        <f t="shared" si="488"/>
        <v>0</v>
      </c>
      <c r="O605" s="4" t="e">
        <f t="shared" si="489"/>
        <v>#DIV/0!</v>
      </c>
      <c r="P605" s="5">
        <f t="shared" si="448"/>
        <v>0</v>
      </c>
      <c r="R605" s="2">
        <f t="shared" si="443"/>
        <v>0</v>
      </c>
      <c r="T605" s="2">
        <f t="shared" si="476"/>
        <v>0</v>
      </c>
      <c r="V605" s="5">
        <f t="shared" si="490"/>
        <v>0</v>
      </c>
      <c r="W605" s="4" t="e">
        <f t="shared" si="491"/>
        <v>#DIV/0!</v>
      </c>
      <c r="X605" s="14">
        <f t="shared" si="449"/>
        <v>0</v>
      </c>
      <c r="Y605" s="5">
        <f t="shared" si="450"/>
        <v>0</v>
      </c>
      <c r="Z605" s="2">
        <f t="shared" si="451"/>
        <v>0</v>
      </c>
      <c r="AA605" s="4">
        <f t="shared" si="452"/>
        <v>0</v>
      </c>
      <c r="AB605" s="13">
        <f t="shared" si="453"/>
        <v>0</v>
      </c>
      <c r="AC605" s="10">
        <f>SUM($E$4:E605)</f>
        <v>-22024.091160220025</v>
      </c>
      <c r="AD605" s="20">
        <f>SUM($AB$4:AB605)</f>
        <v>13539.766460219998</v>
      </c>
      <c r="AF605" s="28" t="e">
        <f t="shared" si="454"/>
        <v>#DIV/0!</v>
      </c>
      <c r="AG605" s="2" t="e">
        <f t="shared" si="455"/>
        <v>#DIV/0!</v>
      </c>
      <c r="AH605" s="2" t="e">
        <f t="shared" si="456"/>
        <v>#DIV/0!</v>
      </c>
      <c r="AI605" s="2" t="e">
        <f t="shared" si="477"/>
        <v>#DIV/0!</v>
      </c>
      <c r="AJ605" s="2" t="e">
        <f t="shared" si="444"/>
        <v>#DIV/0!</v>
      </c>
      <c r="AK605" s="2" t="e">
        <f t="shared" si="457"/>
        <v>#DIV/0!</v>
      </c>
      <c r="AL605" s="2" t="e">
        <f t="shared" si="458"/>
        <v>#DIV/0!</v>
      </c>
      <c r="AM605" s="2" t="e">
        <f t="shared" si="478"/>
        <v>#DIV/0!</v>
      </c>
      <c r="AN605" s="2">
        <f t="shared" si="459"/>
        <v>0</v>
      </c>
      <c r="AO605" s="2" t="e">
        <f t="shared" si="460"/>
        <v>#DIV/0!</v>
      </c>
      <c r="AP605" s="2" t="e">
        <f t="shared" si="461"/>
        <v>#DIV/0!</v>
      </c>
      <c r="AQ605" s="2" t="e">
        <f t="shared" si="479"/>
        <v>#DIV/0!</v>
      </c>
      <c r="AR605" s="2" t="e">
        <f t="shared" si="445"/>
        <v>#DIV/0!</v>
      </c>
      <c r="AS605" s="2" t="e">
        <f t="shared" si="462"/>
        <v>#DIV/0!</v>
      </c>
      <c r="AT605" s="2" t="e">
        <f t="shared" si="463"/>
        <v>#DIV/0!</v>
      </c>
      <c r="AU605" s="2" t="e">
        <f t="shared" si="480"/>
        <v>#DIV/0!</v>
      </c>
      <c r="AV605" s="2" t="e">
        <f t="shared" si="464"/>
        <v>#DIV/0!</v>
      </c>
      <c r="AW605" s="2" t="e">
        <f t="shared" si="465"/>
        <v>#DIV/0!</v>
      </c>
      <c r="AX605" s="2" t="e">
        <f t="shared" si="466"/>
        <v>#DIV/0!</v>
      </c>
      <c r="AY605" s="2" t="e">
        <f t="shared" si="481"/>
        <v>#DIV/0!</v>
      </c>
      <c r="AZ605" s="2" t="e">
        <f t="shared" si="446"/>
        <v>#DIV/0!</v>
      </c>
      <c r="BA605" s="2" t="e">
        <f t="shared" si="467"/>
        <v>#DIV/0!</v>
      </c>
      <c r="BB605" s="2" t="e">
        <f t="shared" si="468"/>
        <v>#DIV/0!</v>
      </c>
      <c r="BC605" s="2" t="e">
        <f t="shared" si="482"/>
        <v>#DIV/0!</v>
      </c>
      <c r="BD605" s="2">
        <v>0</v>
      </c>
      <c r="BE605" s="2" t="e">
        <f t="shared" si="469"/>
        <v>#DIV/0!</v>
      </c>
      <c r="BF605" s="2" t="e">
        <f t="shared" si="470"/>
        <v>#DIV/0!</v>
      </c>
      <c r="BG605" s="2" t="e">
        <f t="shared" si="483"/>
        <v>#DIV/0!</v>
      </c>
      <c r="BH605" s="2" t="e">
        <f t="shared" si="447"/>
        <v>#DIV/0!</v>
      </c>
      <c r="BI605" s="2" t="e">
        <f t="shared" si="471"/>
        <v>#DIV/0!</v>
      </c>
      <c r="BJ605" s="2" t="e">
        <f t="shared" si="472"/>
        <v>#DIV/0!</v>
      </c>
      <c r="BK605" s="2" t="e">
        <f t="shared" si="484"/>
        <v>#DIV/0!</v>
      </c>
      <c r="BL605" s="2" t="e">
        <f t="shared" si="473"/>
        <v>#DIV/0!</v>
      </c>
      <c r="BM605" s="2" t="e">
        <f t="shared" si="474"/>
        <v>#DIV/0!</v>
      </c>
      <c r="BN605" s="2" t="e">
        <f t="shared" si="485"/>
        <v>#DIV/0!</v>
      </c>
    </row>
    <row r="606" spans="1:66" x14ac:dyDescent="0.25">
      <c r="A606" s="42">
        <v>603</v>
      </c>
      <c r="E606" s="6">
        <f t="shared" si="475"/>
        <v>0</v>
      </c>
      <c r="F606" s="5" t="str">
        <f t="shared" si="486"/>
        <v>Break Even</v>
      </c>
      <c r="G606" s="4">
        <f t="shared" si="487"/>
        <v>0</v>
      </c>
      <c r="N606" s="5">
        <f t="shared" si="488"/>
        <v>0</v>
      </c>
      <c r="O606" s="4" t="e">
        <f t="shared" si="489"/>
        <v>#DIV/0!</v>
      </c>
      <c r="P606" s="5">
        <f t="shared" si="448"/>
        <v>0</v>
      </c>
      <c r="R606" s="2">
        <f t="shared" si="443"/>
        <v>0</v>
      </c>
      <c r="T606" s="2">
        <f t="shared" si="476"/>
        <v>0</v>
      </c>
      <c r="V606" s="5">
        <f t="shared" si="490"/>
        <v>0</v>
      </c>
      <c r="W606" s="4" t="e">
        <f t="shared" si="491"/>
        <v>#DIV/0!</v>
      </c>
      <c r="X606" s="14">
        <f t="shared" si="449"/>
        <v>0</v>
      </c>
      <c r="Y606" s="5">
        <f t="shared" si="450"/>
        <v>0</v>
      </c>
      <c r="Z606" s="2">
        <f t="shared" si="451"/>
        <v>0</v>
      </c>
      <c r="AA606" s="4">
        <f t="shared" si="452"/>
        <v>0</v>
      </c>
      <c r="AB606" s="13">
        <f t="shared" si="453"/>
        <v>0</v>
      </c>
      <c r="AC606" s="10">
        <f>SUM($E$4:E606)</f>
        <v>-22024.091160220025</v>
      </c>
      <c r="AD606" s="20">
        <f>SUM($AB$4:AB606)</f>
        <v>13539.766460219998</v>
      </c>
      <c r="AF606" s="28" t="e">
        <f t="shared" si="454"/>
        <v>#DIV/0!</v>
      </c>
      <c r="AG606" s="2" t="e">
        <f t="shared" si="455"/>
        <v>#DIV/0!</v>
      </c>
      <c r="AH606" s="2" t="e">
        <f t="shared" si="456"/>
        <v>#DIV/0!</v>
      </c>
      <c r="AI606" s="2" t="e">
        <f t="shared" si="477"/>
        <v>#DIV/0!</v>
      </c>
      <c r="AJ606" s="2" t="e">
        <f t="shared" si="444"/>
        <v>#DIV/0!</v>
      </c>
      <c r="AK606" s="2" t="e">
        <f t="shared" si="457"/>
        <v>#DIV/0!</v>
      </c>
      <c r="AL606" s="2" t="e">
        <f t="shared" si="458"/>
        <v>#DIV/0!</v>
      </c>
      <c r="AM606" s="2" t="e">
        <f t="shared" si="478"/>
        <v>#DIV/0!</v>
      </c>
      <c r="AN606" s="2">
        <f t="shared" si="459"/>
        <v>0</v>
      </c>
      <c r="AO606" s="2" t="e">
        <f t="shared" si="460"/>
        <v>#DIV/0!</v>
      </c>
      <c r="AP606" s="2" t="e">
        <f t="shared" si="461"/>
        <v>#DIV/0!</v>
      </c>
      <c r="AQ606" s="2" t="e">
        <f t="shared" si="479"/>
        <v>#DIV/0!</v>
      </c>
      <c r="AR606" s="2" t="e">
        <f t="shared" si="445"/>
        <v>#DIV/0!</v>
      </c>
      <c r="AS606" s="2" t="e">
        <f t="shared" si="462"/>
        <v>#DIV/0!</v>
      </c>
      <c r="AT606" s="2" t="e">
        <f t="shared" si="463"/>
        <v>#DIV/0!</v>
      </c>
      <c r="AU606" s="2" t="e">
        <f t="shared" si="480"/>
        <v>#DIV/0!</v>
      </c>
      <c r="AV606" s="2" t="e">
        <f t="shared" si="464"/>
        <v>#DIV/0!</v>
      </c>
      <c r="AW606" s="2" t="e">
        <f t="shared" si="465"/>
        <v>#DIV/0!</v>
      </c>
      <c r="AX606" s="2" t="e">
        <f t="shared" si="466"/>
        <v>#DIV/0!</v>
      </c>
      <c r="AY606" s="2" t="e">
        <f t="shared" si="481"/>
        <v>#DIV/0!</v>
      </c>
      <c r="AZ606" s="2" t="e">
        <f t="shared" si="446"/>
        <v>#DIV/0!</v>
      </c>
      <c r="BA606" s="2" t="e">
        <f t="shared" si="467"/>
        <v>#DIV/0!</v>
      </c>
      <c r="BB606" s="2" t="e">
        <f t="shared" si="468"/>
        <v>#DIV/0!</v>
      </c>
      <c r="BC606" s="2" t="e">
        <f t="shared" si="482"/>
        <v>#DIV/0!</v>
      </c>
      <c r="BD606" s="2">
        <v>0</v>
      </c>
      <c r="BE606" s="2" t="e">
        <f t="shared" si="469"/>
        <v>#DIV/0!</v>
      </c>
      <c r="BF606" s="2" t="e">
        <f t="shared" si="470"/>
        <v>#DIV/0!</v>
      </c>
      <c r="BG606" s="2" t="e">
        <f t="shared" si="483"/>
        <v>#DIV/0!</v>
      </c>
      <c r="BH606" s="2" t="e">
        <f t="shared" si="447"/>
        <v>#DIV/0!</v>
      </c>
      <c r="BI606" s="2" t="e">
        <f t="shared" si="471"/>
        <v>#DIV/0!</v>
      </c>
      <c r="BJ606" s="2" t="e">
        <f t="shared" si="472"/>
        <v>#DIV/0!</v>
      </c>
      <c r="BK606" s="2" t="e">
        <f t="shared" si="484"/>
        <v>#DIV/0!</v>
      </c>
      <c r="BL606" s="2" t="e">
        <f t="shared" si="473"/>
        <v>#DIV/0!</v>
      </c>
      <c r="BM606" s="2" t="e">
        <f t="shared" si="474"/>
        <v>#DIV/0!</v>
      </c>
      <c r="BN606" s="2" t="e">
        <f t="shared" si="485"/>
        <v>#DIV/0!</v>
      </c>
    </row>
    <row r="607" spans="1:66" x14ac:dyDescent="0.25">
      <c r="A607" s="42">
        <v>604</v>
      </c>
      <c r="E607" s="6">
        <f t="shared" si="475"/>
        <v>0</v>
      </c>
      <c r="F607" s="5" t="str">
        <f t="shared" si="486"/>
        <v>Break Even</v>
      </c>
      <c r="G607" s="4">
        <f t="shared" si="487"/>
        <v>0</v>
      </c>
      <c r="N607" s="5">
        <f t="shared" si="488"/>
        <v>0</v>
      </c>
      <c r="O607" s="4" t="e">
        <f t="shared" si="489"/>
        <v>#DIV/0!</v>
      </c>
      <c r="P607" s="5">
        <f t="shared" si="448"/>
        <v>0</v>
      </c>
      <c r="R607" s="2">
        <f t="shared" si="443"/>
        <v>0</v>
      </c>
      <c r="T607" s="2">
        <f t="shared" si="476"/>
        <v>0</v>
      </c>
      <c r="V607" s="5">
        <f t="shared" si="490"/>
        <v>0</v>
      </c>
      <c r="W607" s="4" t="e">
        <f t="shared" si="491"/>
        <v>#DIV/0!</v>
      </c>
      <c r="X607" s="14">
        <f t="shared" si="449"/>
        <v>0</v>
      </c>
      <c r="Y607" s="5">
        <f t="shared" si="450"/>
        <v>0</v>
      </c>
      <c r="Z607" s="2">
        <f t="shared" si="451"/>
        <v>0</v>
      </c>
      <c r="AA607" s="4">
        <f t="shared" si="452"/>
        <v>0</v>
      </c>
      <c r="AB607" s="13">
        <f t="shared" si="453"/>
        <v>0</v>
      </c>
      <c r="AC607" s="10">
        <f>SUM($E$4:E607)</f>
        <v>-22024.091160220025</v>
      </c>
      <c r="AD607" s="20">
        <f>SUM($AB$4:AB607)</f>
        <v>13539.766460219998</v>
      </c>
      <c r="AF607" s="28" t="e">
        <f t="shared" si="454"/>
        <v>#DIV/0!</v>
      </c>
      <c r="AG607" s="2" t="e">
        <f t="shared" si="455"/>
        <v>#DIV/0!</v>
      </c>
      <c r="AH607" s="2" t="e">
        <f t="shared" si="456"/>
        <v>#DIV/0!</v>
      </c>
      <c r="AI607" s="2" t="e">
        <f t="shared" si="477"/>
        <v>#DIV/0!</v>
      </c>
      <c r="AJ607" s="2" t="e">
        <f t="shared" si="444"/>
        <v>#DIV/0!</v>
      </c>
      <c r="AK607" s="2" t="e">
        <f t="shared" si="457"/>
        <v>#DIV/0!</v>
      </c>
      <c r="AL607" s="2" t="e">
        <f t="shared" si="458"/>
        <v>#DIV/0!</v>
      </c>
      <c r="AM607" s="2" t="e">
        <f t="shared" si="478"/>
        <v>#DIV/0!</v>
      </c>
      <c r="AN607" s="2">
        <f t="shared" si="459"/>
        <v>0</v>
      </c>
      <c r="AO607" s="2" t="e">
        <f t="shared" si="460"/>
        <v>#DIV/0!</v>
      </c>
      <c r="AP607" s="2" t="e">
        <f t="shared" si="461"/>
        <v>#DIV/0!</v>
      </c>
      <c r="AQ607" s="2" t="e">
        <f t="shared" si="479"/>
        <v>#DIV/0!</v>
      </c>
      <c r="AR607" s="2" t="e">
        <f t="shared" si="445"/>
        <v>#DIV/0!</v>
      </c>
      <c r="AS607" s="2" t="e">
        <f t="shared" si="462"/>
        <v>#DIV/0!</v>
      </c>
      <c r="AT607" s="2" t="e">
        <f t="shared" si="463"/>
        <v>#DIV/0!</v>
      </c>
      <c r="AU607" s="2" t="e">
        <f t="shared" si="480"/>
        <v>#DIV/0!</v>
      </c>
      <c r="AV607" s="2" t="e">
        <f t="shared" si="464"/>
        <v>#DIV/0!</v>
      </c>
      <c r="AW607" s="2" t="e">
        <f t="shared" si="465"/>
        <v>#DIV/0!</v>
      </c>
      <c r="AX607" s="2" t="e">
        <f t="shared" si="466"/>
        <v>#DIV/0!</v>
      </c>
      <c r="AY607" s="2" t="e">
        <f t="shared" si="481"/>
        <v>#DIV/0!</v>
      </c>
      <c r="AZ607" s="2" t="e">
        <f t="shared" si="446"/>
        <v>#DIV/0!</v>
      </c>
      <c r="BA607" s="2" t="e">
        <f t="shared" si="467"/>
        <v>#DIV/0!</v>
      </c>
      <c r="BB607" s="2" t="e">
        <f t="shared" si="468"/>
        <v>#DIV/0!</v>
      </c>
      <c r="BC607" s="2" t="e">
        <f t="shared" si="482"/>
        <v>#DIV/0!</v>
      </c>
      <c r="BD607" s="2">
        <v>0</v>
      </c>
      <c r="BE607" s="2" t="e">
        <f t="shared" si="469"/>
        <v>#DIV/0!</v>
      </c>
      <c r="BF607" s="2" t="e">
        <f t="shared" si="470"/>
        <v>#DIV/0!</v>
      </c>
      <c r="BG607" s="2" t="e">
        <f t="shared" si="483"/>
        <v>#DIV/0!</v>
      </c>
      <c r="BH607" s="2" t="e">
        <f t="shared" si="447"/>
        <v>#DIV/0!</v>
      </c>
      <c r="BI607" s="2" t="e">
        <f t="shared" si="471"/>
        <v>#DIV/0!</v>
      </c>
      <c r="BJ607" s="2" t="e">
        <f t="shared" si="472"/>
        <v>#DIV/0!</v>
      </c>
      <c r="BK607" s="2" t="e">
        <f t="shared" si="484"/>
        <v>#DIV/0!</v>
      </c>
      <c r="BL607" s="2" t="e">
        <f t="shared" si="473"/>
        <v>#DIV/0!</v>
      </c>
      <c r="BM607" s="2" t="e">
        <f t="shared" si="474"/>
        <v>#DIV/0!</v>
      </c>
      <c r="BN607" s="2" t="e">
        <f t="shared" si="485"/>
        <v>#DIV/0!</v>
      </c>
    </row>
    <row r="608" spans="1:66" x14ac:dyDescent="0.25">
      <c r="A608" s="42">
        <v>605</v>
      </c>
      <c r="E608" s="6">
        <f t="shared" si="475"/>
        <v>0</v>
      </c>
      <c r="F608" s="5" t="str">
        <f t="shared" si="486"/>
        <v>Break Even</v>
      </c>
      <c r="G608" s="4">
        <f t="shared" si="487"/>
        <v>0</v>
      </c>
      <c r="N608" s="5">
        <f t="shared" si="488"/>
        <v>0</v>
      </c>
      <c r="O608" s="4" t="e">
        <f t="shared" si="489"/>
        <v>#DIV/0!</v>
      </c>
      <c r="P608" s="5">
        <f t="shared" si="448"/>
        <v>0</v>
      </c>
      <c r="R608" s="2">
        <f t="shared" si="443"/>
        <v>0</v>
      </c>
      <c r="T608" s="2">
        <f t="shared" si="476"/>
        <v>0</v>
      </c>
      <c r="V608" s="5">
        <f t="shared" si="490"/>
        <v>0</v>
      </c>
      <c r="W608" s="4" t="e">
        <f t="shared" si="491"/>
        <v>#DIV/0!</v>
      </c>
      <c r="X608" s="14">
        <f t="shared" si="449"/>
        <v>0</v>
      </c>
      <c r="Y608" s="5">
        <f t="shared" si="450"/>
        <v>0</v>
      </c>
      <c r="Z608" s="2">
        <f t="shared" si="451"/>
        <v>0</v>
      </c>
      <c r="AA608" s="4">
        <f t="shared" si="452"/>
        <v>0</v>
      </c>
      <c r="AB608" s="13">
        <f t="shared" si="453"/>
        <v>0</v>
      </c>
      <c r="AC608" s="10">
        <f>SUM($E$4:E608)</f>
        <v>-22024.091160220025</v>
      </c>
      <c r="AD608" s="20">
        <f>SUM($AB$4:AB608)</f>
        <v>13539.766460219998</v>
      </c>
      <c r="AF608" s="28" t="e">
        <f t="shared" si="454"/>
        <v>#DIV/0!</v>
      </c>
      <c r="AG608" s="2" t="e">
        <f t="shared" si="455"/>
        <v>#DIV/0!</v>
      </c>
      <c r="AH608" s="2" t="e">
        <f t="shared" si="456"/>
        <v>#DIV/0!</v>
      </c>
      <c r="AI608" s="2" t="e">
        <f t="shared" si="477"/>
        <v>#DIV/0!</v>
      </c>
      <c r="AJ608" s="2" t="e">
        <f t="shared" si="444"/>
        <v>#DIV/0!</v>
      </c>
      <c r="AK608" s="2" t="e">
        <f t="shared" si="457"/>
        <v>#DIV/0!</v>
      </c>
      <c r="AL608" s="2" t="e">
        <f t="shared" si="458"/>
        <v>#DIV/0!</v>
      </c>
      <c r="AM608" s="2" t="e">
        <f t="shared" si="478"/>
        <v>#DIV/0!</v>
      </c>
      <c r="AN608" s="2">
        <f t="shared" si="459"/>
        <v>0</v>
      </c>
      <c r="AO608" s="2" t="e">
        <f t="shared" si="460"/>
        <v>#DIV/0!</v>
      </c>
      <c r="AP608" s="2" t="e">
        <f t="shared" si="461"/>
        <v>#DIV/0!</v>
      </c>
      <c r="AQ608" s="2" t="e">
        <f t="shared" si="479"/>
        <v>#DIV/0!</v>
      </c>
      <c r="AR608" s="2" t="e">
        <f t="shared" si="445"/>
        <v>#DIV/0!</v>
      </c>
      <c r="AS608" s="2" t="e">
        <f t="shared" si="462"/>
        <v>#DIV/0!</v>
      </c>
      <c r="AT608" s="2" t="e">
        <f t="shared" si="463"/>
        <v>#DIV/0!</v>
      </c>
      <c r="AU608" s="2" t="e">
        <f t="shared" si="480"/>
        <v>#DIV/0!</v>
      </c>
      <c r="AV608" s="2" t="e">
        <f t="shared" si="464"/>
        <v>#DIV/0!</v>
      </c>
      <c r="AW608" s="2" t="e">
        <f t="shared" si="465"/>
        <v>#DIV/0!</v>
      </c>
      <c r="AX608" s="2" t="e">
        <f t="shared" si="466"/>
        <v>#DIV/0!</v>
      </c>
      <c r="AY608" s="2" t="e">
        <f t="shared" si="481"/>
        <v>#DIV/0!</v>
      </c>
      <c r="AZ608" s="2" t="e">
        <f t="shared" si="446"/>
        <v>#DIV/0!</v>
      </c>
      <c r="BA608" s="2" t="e">
        <f t="shared" si="467"/>
        <v>#DIV/0!</v>
      </c>
      <c r="BB608" s="2" t="e">
        <f t="shared" si="468"/>
        <v>#DIV/0!</v>
      </c>
      <c r="BC608" s="2" t="e">
        <f t="shared" si="482"/>
        <v>#DIV/0!</v>
      </c>
      <c r="BD608" s="2">
        <v>0</v>
      </c>
      <c r="BE608" s="2" t="e">
        <f t="shared" si="469"/>
        <v>#DIV/0!</v>
      </c>
      <c r="BF608" s="2" t="e">
        <f t="shared" si="470"/>
        <v>#DIV/0!</v>
      </c>
      <c r="BG608" s="2" t="e">
        <f t="shared" si="483"/>
        <v>#DIV/0!</v>
      </c>
      <c r="BH608" s="2" t="e">
        <f t="shared" si="447"/>
        <v>#DIV/0!</v>
      </c>
      <c r="BI608" s="2" t="e">
        <f t="shared" si="471"/>
        <v>#DIV/0!</v>
      </c>
      <c r="BJ608" s="2" t="e">
        <f t="shared" si="472"/>
        <v>#DIV/0!</v>
      </c>
      <c r="BK608" s="2" t="e">
        <f t="shared" si="484"/>
        <v>#DIV/0!</v>
      </c>
      <c r="BL608" s="2" t="e">
        <f t="shared" si="473"/>
        <v>#DIV/0!</v>
      </c>
      <c r="BM608" s="2" t="e">
        <f t="shared" si="474"/>
        <v>#DIV/0!</v>
      </c>
      <c r="BN608" s="2" t="e">
        <f t="shared" si="485"/>
        <v>#DIV/0!</v>
      </c>
    </row>
    <row r="609" spans="1:66" x14ac:dyDescent="0.25">
      <c r="A609" s="42">
        <v>606</v>
      </c>
      <c r="E609" s="6">
        <f t="shared" si="475"/>
        <v>0</v>
      </c>
      <c r="F609" s="5" t="str">
        <f t="shared" si="486"/>
        <v>Break Even</v>
      </c>
      <c r="G609" s="4">
        <f t="shared" si="487"/>
        <v>0</v>
      </c>
      <c r="N609" s="5">
        <f t="shared" si="488"/>
        <v>0</v>
      </c>
      <c r="O609" s="4" t="e">
        <f t="shared" si="489"/>
        <v>#DIV/0!</v>
      </c>
      <c r="P609" s="5">
        <f t="shared" si="448"/>
        <v>0</v>
      </c>
      <c r="R609" s="2">
        <f t="shared" si="443"/>
        <v>0</v>
      </c>
      <c r="T609" s="2">
        <f t="shared" si="476"/>
        <v>0</v>
      </c>
      <c r="V609" s="5">
        <f t="shared" si="490"/>
        <v>0</v>
      </c>
      <c r="W609" s="4" t="e">
        <f t="shared" si="491"/>
        <v>#DIV/0!</v>
      </c>
      <c r="X609" s="14">
        <f t="shared" si="449"/>
        <v>0</v>
      </c>
      <c r="Y609" s="5">
        <f t="shared" si="450"/>
        <v>0</v>
      </c>
      <c r="Z609" s="2">
        <f t="shared" si="451"/>
        <v>0</v>
      </c>
      <c r="AA609" s="4">
        <f t="shared" si="452"/>
        <v>0</v>
      </c>
      <c r="AB609" s="13">
        <f t="shared" si="453"/>
        <v>0</v>
      </c>
      <c r="AC609" s="10">
        <f>SUM($E$4:E609)</f>
        <v>-22024.091160220025</v>
      </c>
      <c r="AD609" s="20">
        <f>SUM($AB$4:AB609)</f>
        <v>13539.766460219998</v>
      </c>
      <c r="AF609" s="28" t="e">
        <f t="shared" si="454"/>
        <v>#DIV/0!</v>
      </c>
      <c r="AG609" s="2" t="e">
        <f t="shared" si="455"/>
        <v>#DIV/0!</v>
      </c>
      <c r="AH609" s="2" t="e">
        <f t="shared" si="456"/>
        <v>#DIV/0!</v>
      </c>
      <c r="AI609" s="2" t="e">
        <f t="shared" si="477"/>
        <v>#DIV/0!</v>
      </c>
      <c r="AJ609" s="2" t="e">
        <f t="shared" si="444"/>
        <v>#DIV/0!</v>
      </c>
      <c r="AK609" s="2" t="e">
        <f t="shared" si="457"/>
        <v>#DIV/0!</v>
      </c>
      <c r="AL609" s="2" t="e">
        <f t="shared" si="458"/>
        <v>#DIV/0!</v>
      </c>
      <c r="AM609" s="2" t="e">
        <f t="shared" si="478"/>
        <v>#DIV/0!</v>
      </c>
      <c r="AN609" s="2">
        <f t="shared" si="459"/>
        <v>0</v>
      </c>
      <c r="AO609" s="2" t="e">
        <f t="shared" si="460"/>
        <v>#DIV/0!</v>
      </c>
      <c r="AP609" s="2" t="e">
        <f t="shared" si="461"/>
        <v>#DIV/0!</v>
      </c>
      <c r="AQ609" s="2" t="e">
        <f t="shared" si="479"/>
        <v>#DIV/0!</v>
      </c>
      <c r="AR609" s="2" t="e">
        <f t="shared" si="445"/>
        <v>#DIV/0!</v>
      </c>
      <c r="AS609" s="2" t="e">
        <f t="shared" si="462"/>
        <v>#DIV/0!</v>
      </c>
      <c r="AT609" s="2" t="e">
        <f t="shared" si="463"/>
        <v>#DIV/0!</v>
      </c>
      <c r="AU609" s="2" t="e">
        <f t="shared" si="480"/>
        <v>#DIV/0!</v>
      </c>
      <c r="AV609" s="2" t="e">
        <f t="shared" si="464"/>
        <v>#DIV/0!</v>
      </c>
      <c r="AW609" s="2" t="e">
        <f t="shared" si="465"/>
        <v>#DIV/0!</v>
      </c>
      <c r="AX609" s="2" t="e">
        <f t="shared" si="466"/>
        <v>#DIV/0!</v>
      </c>
      <c r="AY609" s="2" t="e">
        <f t="shared" si="481"/>
        <v>#DIV/0!</v>
      </c>
      <c r="AZ609" s="2" t="e">
        <f t="shared" si="446"/>
        <v>#DIV/0!</v>
      </c>
      <c r="BA609" s="2" t="e">
        <f t="shared" si="467"/>
        <v>#DIV/0!</v>
      </c>
      <c r="BB609" s="2" t="e">
        <f t="shared" si="468"/>
        <v>#DIV/0!</v>
      </c>
      <c r="BC609" s="2" t="e">
        <f t="shared" si="482"/>
        <v>#DIV/0!</v>
      </c>
      <c r="BD609" s="2">
        <v>0</v>
      </c>
      <c r="BE609" s="2" t="e">
        <f t="shared" si="469"/>
        <v>#DIV/0!</v>
      </c>
      <c r="BF609" s="2" t="e">
        <f t="shared" si="470"/>
        <v>#DIV/0!</v>
      </c>
      <c r="BG609" s="2" t="e">
        <f t="shared" si="483"/>
        <v>#DIV/0!</v>
      </c>
      <c r="BH609" s="2" t="e">
        <f t="shared" si="447"/>
        <v>#DIV/0!</v>
      </c>
      <c r="BI609" s="2" t="e">
        <f t="shared" si="471"/>
        <v>#DIV/0!</v>
      </c>
      <c r="BJ609" s="2" t="e">
        <f t="shared" si="472"/>
        <v>#DIV/0!</v>
      </c>
      <c r="BK609" s="2" t="e">
        <f t="shared" si="484"/>
        <v>#DIV/0!</v>
      </c>
      <c r="BL609" s="2" t="e">
        <f t="shared" si="473"/>
        <v>#DIV/0!</v>
      </c>
      <c r="BM609" s="2" t="e">
        <f t="shared" si="474"/>
        <v>#DIV/0!</v>
      </c>
      <c r="BN609" s="2" t="e">
        <f t="shared" si="485"/>
        <v>#DIV/0!</v>
      </c>
    </row>
    <row r="610" spans="1:66" x14ac:dyDescent="0.25">
      <c r="A610" s="42">
        <v>607</v>
      </c>
      <c r="E610" s="6">
        <f t="shared" si="475"/>
        <v>0</v>
      </c>
      <c r="F610" s="5" t="str">
        <f t="shared" si="486"/>
        <v>Break Even</v>
      </c>
      <c r="G610" s="4">
        <f t="shared" si="487"/>
        <v>0</v>
      </c>
      <c r="N610" s="5">
        <f t="shared" si="488"/>
        <v>0</v>
      </c>
      <c r="O610" s="4" t="e">
        <f t="shared" si="489"/>
        <v>#DIV/0!</v>
      </c>
      <c r="P610" s="5">
        <f t="shared" si="448"/>
        <v>0</v>
      </c>
      <c r="R610" s="2">
        <f t="shared" si="443"/>
        <v>0</v>
      </c>
      <c r="T610" s="2">
        <f t="shared" si="476"/>
        <v>0</v>
      </c>
      <c r="V610" s="5">
        <f t="shared" si="490"/>
        <v>0</v>
      </c>
      <c r="W610" s="4" t="e">
        <f t="shared" si="491"/>
        <v>#DIV/0!</v>
      </c>
      <c r="X610" s="14">
        <f t="shared" si="449"/>
        <v>0</v>
      </c>
      <c r="Y610" s="5">
        <f t="shared" si="450"/>
        <v>0</v>
      </c>
      <c r="Z610" s="2">
        <f t="shared" si="451"/>
        <v>0</v>
      </c>
      <c r="AA610" s="4">
        <f t="shared" si="452"/>
        <v>0</v>
      </c>
      <c r="AB610" s="13">
        <f t="shared" si="453"/>
        <v>0</v>
      </c>
      <c r="AC610" s="10">
        <f>SUM($E$4:E610)</f>
        <v>-22024.091160220025</v>
      </c>
      <c r="AD610" s="20">
        <f>SUM($AB$4:AB610)</f>
        <v>13539.766460219998</v>
      </c>
      <c r="AF610" s="28" t="e">
        <f t="shared" si="454"/>
        <v>#DIV/0!</v>
      </c>
      <c r="AG610" s="2" t="e">
        <f t="shared" si="455"/>
        <v>#DIV/0!</v>
      </c>
      <c r="AH610" s="2" t="e">
        <f t="shared" si="456"/>
        <v>#DIV/0!</v>
      </c>
      <c r="AI610" s="2" t="e">
        <f t="shared" si="477"/>
        <v>#DIV/0!</v>
      </c>
      <c r="AJ610" s="2" t="e">
        <f t="shared" si="444"/>
        <v>#DIV/0!</v>
      </c>
      <c r="AK610" s="2" t="e">
        <f t="shared" si="457"/>
        <v>#DIV/0!</v>
      </c>
      <c r="AL610" s="2" t="e">
        <f t="shared" si="458"/>
        <v>#DIV/0!</v>
      </c>
      <c r="AM610" s="2" t="e">
        <f t="shared" si="478"/>
        <v>#DIV/0!</v>
      </c>
      <c r="AN610" s="2">
        <f t="shared" si="459"/>
        <v>0</v>
      </c>
      <c r="AO610" s="2" t="e">
        <f t="shared" si="460"/>
        <v>#DIV/0!</v>
      </c>
      <c r="AP610" s="2" t="e">
        <f t="shared" si="461"/>
        <v>#DIV/0!</v>
      </c>
      <c r="AQ610" s="2" t="e">
        <f t="shared" si="479"/>
        <v>#DIV/0!</v>
      </c>
      <c r="AR610" s="2" t="e">
        <f t="shared" si="445"/>
        <v>#DIV/0!</v>
      </c>
      <c r="AS610" s="2" t="e">
        <f t="shared" si="462"/>
        <v>#DIV/0!</v>
      </c>
      <c r="AT610" s="2" t="e">
        <f t="shared" si="463"/>
        <v>#DIV/0!</v>
      </c>
      <c r="AU610" s="2" t="e">
        <f t="shared" si="480"/>
        <v>#DIV/0!</v>
      </c>
      <c r="AV610" s="2" t="e">
        <f t="shared" si="464"/>
        <v>#DIV/0!</v>
      </c>
      <c r="AW610" s="2" t="e">
        <f t="shared" si="465"/>
        <v>#DIV/0!</v>
      </c>
      <c r="AX610" s="2" t="e">
        <f t="shared" si="466"/>
        <v>#DIV/0!</v>
      </c>
      <c r="AY610" s="2" t="e">
        <f t="shared" si="481"/>
        <v>#DIV/0!</v>
      </c>
      <c r="AZ610" s="2" t="e">
        <f t="shared" si="446"/>
        <v>#DIV/0!</v>
      </c>
      <c r="BA610" s="2" t="e">
        <f t="shared" si="467"/>
        <v>#DIV/0!</v>
      </c>
      <c r="BB610" s="2" t="e">
        <f t="shared" si="468"/>
        <v>#DIV/0!</v>
      </c>
      <c r="BC610" s="2" t="e">
        <f t="shared" si="482"/>
        <v>#DIV/0!</v>
      </c>
      <c r="BD610" s="2">
        <v>0</v>
      </c>
      <c r="BE610" s="2" t="e">
        <f t="shared" si="469"/>
        <v>#DIV/0!</v>
      </c>
      <c r="BF610" s="2" t="e">
        <f t="shared" si="470"/>
        <v>#DIV/0!</v>
      </c>
      <c r="BG610" s="2" t="e">
        <f t="shared" si="483"/>
        <v>#DIV/0!</v>
      </c>
      <c r="BH610" s="2" t="e">
        <f t="shared" si="447"/>
        <v>#DIV/0!</v>
      </c>
      <c r="BI610" s="2" t="e">
        <f t="shared" si="471"/>
        <v>#DIV/0!</v>
      </c>
      <c r="BJ610" s="2" t="e">
        <f t="shared" si="472"/>
        <v>#DIV/0!</v>
      </c>
      <c r="BK610" s="2" t="e">
        <f t="shared" si="484"/>
        <v>#DIV/0!</v>
      </c>
      <c r="BL610" s="2" t="e">
        <f t="shared" si="473"/>
        <v>#DIV/0!</v>
      </c>
      <c r="BM610" s="2" t="e">
        <f t="shared" si="474"/>
        <v>#DIV/0!</v>
      </c>
      <c r="BN610" s="2" t="e">
        <f t="shared" si="485"/>
        <v>#DIV/0!</v>
      </c>
    </row>
    <row r="611" spans="1:66" x14ac:dyDescent="0.25">
      <c r="A611" s="42">
        <v>608</v>
      </c>
      <c r="E611" s="6">
        <f t="shared" si="475"/>
        <v>0</v>
      </c>
      <c r="F611" s="5" t="str">
        <f t="shared" si="486"/>
        <v>Break Even</v>
      </c>
      <c r="G611" s="4">
        <f t="shared" si="487"/>
        <v>0</v>
      </c>
      <c r="N611" s="5">
        <f t="shared" si="488"/>
        <v>0</v>
      </c>
      <c r="O611" s="4" t="e">
        <f t="shared" si="489"/>
        <v>#DIV/0!</v>
      </c>
      <c r="P611" s="5">
        <f t="shared" si="448"/>
        <v>0</v>
      </c>
      <c r="R611" s="2">
        <f t="shared" si="443"/>
        <v>0</v>
      </c>
      <c r="T611" s="2">
        <f t="shared" si="476"/>
        <v>0</v>
      </c>
      <c r="V611" s="5">
        <f t="shared" si="490"/>
        <v>0</v>
      </c>
      <c r="W611" s="4" t="e">
        <f t="shared" si="491"/>
        <v>#DIV/0!</v>
      </c>
      <c r="X611" s="14">
        <f t="shared" si="449"/>
        <v>0</v>
      </c>
      <c r="Y611" s="5">
        <f t="shared" si="450"/>
        <v>0</v>
      </c>
      <c r="Z611" s="2">
        <f t="shared" si="451"/>
        <v>0</v>
      </c>
      <c r="AA611" s="4">
        <f t="shared" si="452"/>
        <v>0</v>
      </c>
      <c r="AB611" s="13">
        <f t="shared" si="453"/>
        <v>0</v>
      </c>
      <c r="AC611" s="10">
        <f>SUM($E$4:E611)</f>
        <v>-22024.091160220025</v>
      </c>
      <c r="AD611" s="20">
        <f>SUM($AB$4:AB611)</f>
        <v>13539.766460219998</v>
      </c>
      <c r="AF611" s="28" t="e">
        <f t="shared" si="454"/>
        <v>#DIV/0!</v>
      </c>
      <c r="AG611" s="2" t="e">
        <f t="shared" si="455"/>
        <v>#DIV/0!</v>
      </c>
      <c r="AH611" s="2" t="e">
        <f t="shared" si="456"/>
        <v>#DIV/0!</v>
      </c>
      <c r="AI611" s="2" t="e">
        <f t="shared" si="477"/>
        <v>#DIV/0!</v>
      </c>
      <c r="AJ611" s="2" t="e">
        <f t="shared" si="444"/>
        <v>#DIV/0!</v>
      </c>
      <c r="AK611" s="2" t="e">
        <f t="shared" si="457"/>
        <v>#DIV/0!</v>
      </c>
      <c r="AL611" s="2" t="e">
        <f t="shared" si="458"/>
        <v>#DIV/0!</v>
      </c>
      <c r="AM611" s="2" t="e">
        <f t="shared" si="478"/>
        <v>#DIV/0!</v>
      </c>
      <c r="AN611" s="2">
        <f t="shared" si="459"/>
        <v>0</v>
      </c>
      <c r="AO611" s="2" t="e">
        <f t="shared" si="460"/>
        <v>#DIV/0!</v>
      </c>
      <c r="AP611" s="2" t="e">
        <f t="shared" si="461"/>
        <v>#DIV/0!</v>
      </c>
      <c r="AQ611" s="2" t="e">
        <f t="shared" si="479"/>
        <v>#DIV/0!</v>
      </c>
      <c r="AR611" s="2" t="e">
        <f t="shared" si="445"/>
        <v>#DIV/0!</v>
      </c>
      <c r="AS611" s="2" t="e">
        <f t="shared" si="462"/>
        <v>#DIV/0!</v>
      </c>
      <c r="AT611" s="2" t="e">
        <f t="shared" si="463"/>
        <v>#DIV/0!</v>
      </c>
      <c r="AU611" s="2" t="e">
        <f t="shared" si="480"/>
        <v>#DIV/0!</v>
      </c>
      <c r="AV611" s="2" t="e">
        <f t="shared" si="464"/>
        <v>#DIV/0!</v>
      </c>
      <c r="AW611" s="2" t="e">
        <f t="shared" si="465"/>
        <v>#DIV/0!</v>
      </c>
      <c r="AX611" s="2" t="e">
        <f t="shared" si="466"/>
        <v>#DIV/0!</v>
      </c>
      <c r="AY611" s="2" t="e">
        <f t="shared" si="481"/>
        <v>#DIV/0!</v>
      </c>
      <c r="AZ611" s="2" t="e">
        <f t="shared" si="446"/>
        <v>#DIV/0!</v>
      </c>
      <c r="BA611" s="2" t="e">
        <f t="shared" si="467"/>
        <v>#DIV/0!</v>
      </c>
      <c r="BB611" s="2" t="e">
        <f t="shared" si="468"/>
        <v>#DIV/0!</v>
      </c>
      <c r="BC611" s="2" t="e">
        <f t="shared" si="482"/>
        <v>#DIV/0!</v>
      </c>
      <c r="BD611" s="2">
        <v>0</v>
      </c>
      <c r="BE611" s="2" t="e">
        <f t="shared" si="469"/>
        <v>#DIV/0!</v>
      </c>
      <c r="BF611" s="2" t="e">
        <f t="shared" si="470"/>
        <v>#DIV/0!</v>
      </c>
      <c r="BG611" s="2" t="e">
        <f t="shared" si="483"/>
        <v>#DIV/0!</v>
      </c>
      <c r="BH611" s="2" t="e">
        <f t="shared" si="447"/>
        <v>#DIV/0!</v>
      </c>
      <c r="BI611" s="2" t="e">
        <f t="shared" si="471"/>
        <v>#DIV/0!</v>
      </c>
      <c r="BJ611" s="2" t="e">
        <f t="shared" si="472"/>
        <v>#DIV/0!</v>
      </c>
      <c r="BK611" s="2" t="e">
        <f t="shared" si="484"/>
        <v>#DIV/0!</v>
      </c>
      <c r="BL611" s="2" t="e">
        <f t="shared" si="473"/>
        <v>#DIV/0!</v>
      </c>
      <c r="BM611" s="2" t="e">
        <f t="shared" si="474"/>
        <v>#DIV/0!</v>
      </c>
      <c r="BN611" s="2" t="e">
        <f t="shared" si="485"/>
        <v>#DIV/0!</v>
      </c>
    </row>
    <row r="612" spans="1:66" x14ac:dyDescent="0.25">
      <c r="A612" s="42">
        <v>609</v>
      </c>
      <c r="E612" s="6">
        <f t="shared" si="475"/>
        <v>0</v>
      </c>
      <c r="F612" s="5" t="str">
        <f t="shared" si="486"/>
        <v>Break Even</v>
      </c>
      <c r="G612" s="4">
        <f t="shared" si="487"/>
        <v>0</v>
      </c>
      <c r="N612" s="5">
        <f t="shared" si="488"/>
        <v>0</v>
      </c>
      <c r="O612" s="4" t="e">
        <f t="shared" si="489"/>
        <v>#DIV/0!</v>
      </c>
      <c r="P612" s="5">
        <f t="shared" si="448"/>
        <v>0</v>
      </c>
      <c r="R612" s="2">
        <f t="shared" si="443"/>
        <v>0</v>
      </c>
      <c r="T612" s="2">
        <f t="shared" si="476"/>
        <v>0</v>
      </c>
      <c r="V612" s="5">
        <f t="shared" si="490"/>
        <v>0</v>
      </c>
      <c r="W612" s="4" t="e">
        <f t="shared" si="491"/>
        <v>#DIV/0!</v>
      </c>
      <c r="X612" s="14">
        <f t="shared" si="449"/>
        <v>0</v>
      </c>
      <c r="Y612" s="5">
        <f t="shared" si="450"/>
        <v>0</v>
      </c>
      <c r="Z612" s="2">
        <f t="shared" si="451"/>
        <v>0</v>
      </c>
      <c r="AA612" s="4">
        <f t="shared" si="452"/>
        <v>0</v>
      </c>
      <c r="AB612" s="13">
        <f t="shared" si="453"/>
        <v>0</v>
      </c>
      <c r="AC612" s="10">
        <f>SUM($E$4:E612)</f>
        <v>-22024.091160220025</v>
      </c>
      <c r="AD612" s="20">
        <f>SUM($AB$4:AB612)</f>
        <v>13539.766460219998</v>
      </c>
      <c r="AF612" s="28" t="e">
        <f t="shared" si="454"/>
        <v>#DIV/0!</v>
      </c>
      <c r="AG612" s="2" t="e">
        <f t="shared" si="455"/>
        <v>#DIV/0!</v>
      </c>
      <c r="AH612" s="2" t="e">
        <f t="shared" si="456"/>
        <v>#DIV/0!</v>
      </c>
      <c r="AI612" s="2" t="e">
        <f t="shared" si="477"/>
        <v>#DIV/0!</v>
      </c>
      <c r="AJ612" s="2" t="e">
        <f t="shared" si="444"/>
        <v>#DIV/0!</v>
      </c>
      <c r="AK612" s="2" t="e">
        <f t="shared" si="457"/>
        <v>#DIV/0!</v>
      </c>
      <c r="AL612" s="2" t="e">
        <f t="shared" si="458"/>
        <v>#DIV/0!</v>
      </c>
      <c r="AM612" s="2" t="e">
        <f t="shared" si="478"/>
        <v>#DIV/0!</v>
      </c>
      <c r="AN612" s="2">
        <f t="shared" si="459"/>
        <v>0</v>
      </c>
      <c r="AO612" s="2" t="e">
        <f t="shared" si="460"/>
        <v>#DIV/0!</v>
      </c>
      <c r="AP612" s="2" t="e">
        <f t="shared" si="461"/>
        <v>#DIV/0!</v>
      </c>
      <c r="AQ612" s="2" t="e">
        <f t="shared" si="479"/>
        <v>#DIV/0!</v>
      </c>
      <c r="AR612" s="2" t="e">
        <f t="shared" si="445"/>
        <v>#DIV/0!</v>
      </c>
      <c r="AS612" s="2" t="e">
        <f t="shared" si="462"/>
        <v>#DIV/0!</v>
      </c>
      <c r="AT612" s="2" t="e">
        <f t="shared" si="463"/>
        <v>#DIV/0!</v>
      </c>
      <c r="AU612" s="2" t="e">
        <f t="shared" si="480"/>
        <v>#DIV/0!</v>
      </c>
      <c r="AV612" s="2" t="e">
        <f t="shared" si="464"/>
        <v>#DIV/0!</v>
      </c>
      <c r="AW612" s="2" t="e">
        <f t="shared" si="465"/>
        <v>#DIV/0!</v>
      </c>
      <c r="AX612" s="2" t="e">
        <f t="shared" si="466"/>
        <v>#DIV/0!</v>
      </c>
      <c r="AY612" s="2" t="e">
        <f t="shared" si="481"/>
        <v>#DIV/0!</v>
      </c>
      <c r="AZ612" s="2" t="e">
        <f t="shared" si="446"/>
        <v>#DIV/0!</v>
      </c>
      <c r="BA612" s="2" t="e">
        <f t="shared" si="467"/>
        <v>#DIV/0!</v>
      </c>
      <c r="BB612" s="2" t="e">
        <f t="shared" si="468"/>
        <v>#DIV/0!</v>
      </c>
      <c r="BC612" s="2" t="e">
        <f t="shared" si="482"/>
        <v>#DIV/0!</v>
      </c>
      <c r="BD612" s="2">
        <v>0</v>
      </c>
      <c r="BE612" s="2" t="e">
        <f t="shared" si="469"/>
        <v>#DIV/0!</v>
      </c>
      <c r="BF612" s="2" t="e">
        <f t="shared" si="470"/>
        <v>#DIV/0!</v>
      </c>
      <c r="BG612" s="2" t="e">
        <f t="shared" si="483"/>
        <v>#DIV/0!</v>
      </c>
      <c r="BH612" s="2" t="e">
        <f t="shared" si="447"/>
        <v>#DIV/0!</v>
      </c>
      <c r="BI612" s="2" t="e">
        <f t="shared" si="471"/>
        <v>#DIV/0!</v>
      </c>
      <c r="BJ612" s="2" t="e">
        <f t="shared" si="472"/>
        <v>#DIV/0!</v>
      </c>
      <c r="BK612" s="2" t="e">
        <f t="shared" si="484"/>
        <v>#DIV/0!</v>
      </c>
      <c r="BL612" s="2" t="e">
        <f t="shared" si="473"/>
        <v>#DIV/0!</v>
      </c>
      <c r="BM612" s="2" t="e">
        <f t="shared" si="474"/>
        <v>#DIV/0!</v>
      </c>
      <c r="BN612" s="2" t="e">
        <f t="shared" si="485"/>
        <v>#DIV/0!</v>
      </c>
    </row>
    <row r="613" spans="1:66" x14ac:dyDescent="0.25">
      <c r="A613" s="42">
        <v>610</v>
      </c>
      <c r="E613" s="6">
        <f t="shared" si="475"/>
        <v>0</v>
      </c>
      <c r="F613" s="5" t="str">
        <f t="shared" si="486"/>
        <v>Break Even</v>
      </c>
      <c r="G613" s="4">
        <f t="shared" si="487"/>
        <v>0</v>
      </c>
      <c r="N613" s="5">
        <f t="shared" si="488"/>
        <v>0</v>
      </c>
      <c r="O613" s="4" t="e">
        <f t="shared" si="489"/>
        <v>#DIV/0!</v>
      </c>
      <c r="P613" s="5">
        <f t="shared" si="448"/>
        <v>0</v>
      </c>
      <c r="R613" s="2">
        <f t="shared" si="443"/>
        <v>0</v>
      </c>
      <c r="T613" s="2">
        <f t="shared" si="476"/>
        <v>0</v>
      </c>
      <c r="V613" s="5">
        <f t="shared" si="490"/>
        <v>0</v>
      </c>
      <c r="W613" s="4" t="e">
        <f t="shared" si="491"/>
        <v>#DIV/0!</v>
      </c>
      <c r="X613" s="14">
        <f t="shared" si="449"/>
        <v>0</v>
      </c>
      <c r="Y613" s="5">
        <f t="shared" si="450"/>
        <v>0</v>
      </c>
      <c r="Z613" s="2">
        <f t="shared" si="451"/>
        <v>0</v>
      </c>
      <c r="AA613" s="4">
        <f t="shared" si="452"/>
        <v>0</v>
      </c>
      <c r="AB613" s="13">
        <f t="shared" si="453"/>
        <v>0</v>
      </c>
      <c r="AC613" s="10">
        <f>SUM($E$4:E613)</f>
        <v>-22024.091160220025</v>
      </c>
      <c r="AD613" s="20">
        <f>SUM($AB$4:AB613)</f>
        <v>13539.766460219998</v>
      </c>
      <c r="AF613" s="28" t="e">
        <f t="shared" si="454"/>
        <v>#DIV/0!</v>
      </c>
      <c r="AG613" s="2" t="e">
        <f t="shared" si="455"/>
        <v>#DIV/0!</v>
      </c>
      <c r="AH613" s="2" t="e">
        <f t="shared" si="456"/>
        <v>#DIV/0!</v>
      </c>
      <c r="AI613" s="2" t="e">
        <f t="shared" si="477"/>
        <v>#DIV/0!</v>
      </c>
      <c r="AJ613" s="2" t="e">
        <f t="shared" si="444"/>
        <v>#DIV/0!</v>
      </c>
      <c r="AK613" s="2" t="e">
        <f t="shared" si="457"/>
        <v>#DIV/0!</v>
      </c>
      <c r="AL613" s="2" t="e">
        <f t="shared" si="458"/>
        <v>#DIV/0!</v>
      </c>
      <c r="AM613" s="2" t="e">
        <f t="shared" si="478"/>
        <v>#DIV/0!</v>
      </c>
      <c r="AN613" s="2">
        <f t="shared" si="459"/>
        <v>0</v>
      </c>
      <c r="AO613" s="2" t="e">
        <f t="shared" si="460"/>
        <v>#DIV/0!</v>
      </c>
      <c r="AP613" s="2" t="e">
        <f t="shared" si="461"/>
        <v>#DIV/0!</v>
      </c>
      <c r="AQ613" s="2" t="e">
        <f t="shared" si="479"/>
        <v>#DIV/0!</v>
      </c>
      <c r="AR613" s="2" t="e">
        <f t="shared" si="445"/>
        <v>#DIV/0!</v>
      </c>
      <c r="AS613" s="2" t="e">
        <f t="shared" si="462"/>
        <v>#DIV/0!</v>
      </c>
      <c r="AT613" s="2" t="e">
        <f t="shared" si="463"/>
        <v>#DIV/0!</v>
      </c>
      <c r="AU613" s="2" t="e">
        <f t="shared" si="480"/>
        <v>#DIV/0!</v>
      </c>
      <c r="AV613" s="2" t="e">
        <f t="shared" si="464"/>
        <v>#DIV/0!</v>
      </c>
      <c r="AW613" s="2" t="e">
        <f t="shared" si="465"/>
        <v>#DIV/0!</v>
      </c>
      <c r="AX613" s="2" t="e">
        <f t="shared" si="466"/>
        <v>#DIV/0!</v>
      </c>
      <c r="AY613" s="2" t="e">
        <f t="shared" si="481"/>
        <v>#DIV/0!</v>
      </c>
      <c r="AZ613" s="2" t="e">
        <f t="shared" si="446"/>
        <v>#DIV/0!</v>
      </c>
      <c r="BA613" s="2" t="e">
        <f t="shared" si="467"/>
        <v>#DIV/0!</v>
      </c>
      <c r="BB613" s="2" t="e">
        <f t="shared" si="468"/>
        <v>#DIV/0!</v>
      </c>
      <c r="BC613" s="2" t="e">
        <f t="shared" si="482"/>
        <v>#DIV/0!</v>
      </c>
      <c r="BD613" s="2">
        <v>0</v>
      </c>
      <c r="BE613" s="2" t="e">
        <f t="shared" si="469"/>
        <v>#DIV/0!</v>
      </c>
      <c r="BF613" s="2" t="e">
        <f t="shared" si="470"/>
        <v>#DIV/0!</v>
      </c>
      <c r="BG613" s="2" t="e">
        <f t="shared" si="483"/>
        <v>#DIV/0!</v>
      </c>
      <c r="BH613" s="2" t="e">
        <f t="shared" si="447"/>
        <v>#DIV/0!</v>
      </c>
      <c r="BI613" s="2" t="e">
        <f t="shared" si="471"/>
        <v>#DIV/0!</v>
      </c>
      <c r="BJ613" s="2" t="e">
        <f t="shared" si="472"/>
        <v>#DIV/0!</v>
      </c>
      <c r="BK613" s="2" t="e">
        <f t="shared" si="484"/>
        <v>#DIV/0!</v>
      </c>
      <c r="BL613" s="2" t="e">
        <f t="shared" si="473"/>
        <v>#DIV/0!</v>
      </c>
      <c r="BM613" s="2" t="e">
        <f t="shared" si="474"/>
        <v>#DIV/0!</v>
      </c>
      <c r="BN613" s="2" t="e">
        <f t="shared" si="485"/>
        <v>#DIV/0!</v>
      </c>
    </row>
    <row r="614" spans="1:66" x14ac:dyDescent="0.25">
      <c r="A614" s="42">
        <v>611</v>
      </c>
      <c r="E614" s="6">
        <f t="shared" si="475"/>
        <v>0</v>
      </c>
      <c r="F614" s="5" t="str">
        <f t="shared" si="486"/>
        <v>Break Even</v>
      </c>
      <c r="G614" s="4">
        <f t="shared" si="487"/>
        <v>0</v>
      </c>
      <c r="N614" s="5">
        <f t="shared" si="488"/>
        <v>0</v>
      </c>
      <c r="O614" s="4" t="e">
        <f t="shared" si="489"/>
        <v>#DIV/0!</v>
      </c>
      <c r="P614" s="5">
        <f t="shared" si="448"/>
        <v>0</v>
      </c>
      <c r="R614" s="2">
        <f t="shared" si="443"/>
        <v>0</v>
      </c>
      <c r="T614" s="2">
        <f t="shared" si="476"/>
        <v>0</v>
      </c>
      <c r="V614" s="5">
        <f t="shared" si="490"/>
        <v>0</v>
      </c>
      <c r="W614" s="4" t="e">
        <f t="shared" si="491"/>
        <v>#DIV/0!</v>
      </c>
      <c r="X614" s="14">
        <f t="shared" si="449"/>
        <v>0</v>
      </c>
      <c r="Y614" s="5">
        <f t="shared" si="450"/>
        <v>0</v>
      </c>
      <c r="Z614" s="2">
        <f t="shared" si="451"/>
        <v>0</v>
      </c>
      <c r="AA614" s="4">
        <f t="shared" si="452"/>
        <v>0</v>
      </c>
      <c r="AB614" s="13">
        <f t="shared" si="453"/>
        <v>0</v>
      </c>
      <c r="AC614" s="10">
        <f>SUM($E$4:E614)</f>
        <v>-22024.091160220025</v>
      </c>
      <c r="AD614" s="20">
        <f>SUM($AB$4:AB614)</f>
        <v>13539.766460219998</v>
      </c>
      <c r="AF614" s="28" t="e">
        <f t="shared" si="454"/>
        <v>#DIV/0!</v>
      </c>
      <c r="AG614" s="2" t="e">
        <f t="shared" si="455"/>
        <v>#DIV/0!</v>
      </c>
      <c r="AH614" s="2" t="e">
        <f t="shared" si="456"/>
        <v>#DIV/0!</v>
      </c>
      <c r="AI614" s="2" t="e">
        <f t="shared" si="477"/>
        <v>#DIV/0!</v>
      </c>
      <c r="AJ614" s="2" t="e">
        <f t="shared" si="444"/>
        <v>#DIV/0!</v>
      </c>
      <c r="AK614" s="2" t="e">
        <f t="shared" si="457"/>
        <v>#DIV/0!</v>
      </c>
      <c r="AL614" s="2" t="e">
        <f t="shared" si="458"/>
        <v>#DIV/0!</v>
      </c>
      <c r="AM614" s="2" t="e">
        <f t="shared" si="478"/>
        <v>#DIV/0!</v>
      </c>
      <c r="AN614" s="2">
        <f t="shared" si="459"/>
        <v>0</v>
      </c>
      <c r="AO614" s="2" t="e">
        <f t="shared" si="460"/>
        <v>#DIV/0!</v>
      </c>
      <c r="AP614" s="2" t="e">
        <f t="shared" si="461"/>
        <v>#DIV/0!</v>
      </c>
      <c r="AQ614" s="2" t="e">
        <f t="shared" si="479"/>
        <v>#DIV/0!</v>
      </c>
      <c r="AR614" s="2" t="e">
        <f t="shared" si="445"/>
        <v>#DIV/0!</v>
      </c>
      <c r="AS614" s="2" t="e">
        <f t="shared" si="462"/>
        <v>#DIV/0!</v>
      </c>
      <c r="AT614" s="2" t="e">
        <f t="shared" si="463"/>
        <v>#DIV/0!</v>
      </c>
      <c r="AU614" s="2" t="e">
        <f t="shared" si="480"/>
        <v>#DIV/0!</v>
      </c>
      <c r="AV614" s="2" t="e">
        <f t="shared" si="464"/>
        <v>#DIV/0!</v>
      </c>
      <c r="AW614" s="2" t="e">
        <f t="shared" si="465"/>
        <v>#DIV/0!</v>
      </c>
      <c r="AX614" s="2" t="e">
        <f t="shared" si="466"/>
        <v>#DIV/0!</v>
      </c>
      <c r="AY614" s="2" t="e">
        <f t="shared" si="481"/>
        <v>#DIV/0!</v>
      </c>
      <c r="AZ614" s="2" t="e">
        <f t="shared" si="446"/>
        <v>#DIV/0!</v>
      </c>
      <c r="BA614" s="2" t="e">
        <f t="shared" si="467"/>
        <v>#DIV/0!</v>
      </c>
      <c r="BB614" s="2" t="e">
        <f t="shared" si="468"/>
        <v>#DIV/0!</v>
      </c>
      <c r="BC614" s="2" t="e">
        <f t="shared" si="482"/>
        <v>#DIV/0!</v>
      </c>
      <c r="BD614" s="2">
        <v>0</v>
      </c>
      <c r="BE614" s="2" t="e">
        <f t="shared" si="469"/>
        <v>#DIV/0!</v>
      </c>
      <c r="BF614" s="2" t="e">
        <f t="shared" si="470"/>
        <v>#DIV/0!</v>
      </c>
      <c r="BG614" s="2" t="e">
        <f t="shared" si="483"/>
        <v>#DIV/0!</v>
      </c>
      <c r="BH614" s="2" t="e">
        <f t="shared" si="447"/>
        <v>#DIV/0!</v>
      </c>
      <c r="BI614" s="2" t="e">
        <f t="shared" si="471"/>
        <v>#DIV/0!</v>
      </c>
      <c r="BJ614" s="2" t="e">
        <f t="shared" si="472"/>
        <v>#DIV/0!</v>
      </c>
      <c r="BK614" s="2" t="e">
        <f t="shared" si="484"/>
        <v>#DIV/0!</v>
      </c>
      <c r="BL614" s="2" t="e">
        <f t="shared" si="473"/>
        <v>#DIV/0!</v>
      </c>
      <c r="BM614" s="2" t="e">
        <f t="shared" si="474"/>
        <v>#DIV/0!</v>
      </c>
      <c r="BN614" s="2" t="e">
        <f t="shared" si="485"/>
        <v>#DIV/0!</v>
      </c>
    </row>
    <row r="615" spans="1:66" x14ac:dyDescent="0.25">
      <c r="A615" s="42">
        <v>612</v>
      </c>
      <c r="E615" s="6">
        <f t="shared" si="475"/>
        <v>0</v>
      </c>
      <c r="F615" s="5" t="str">
        <f t="shared" si="486"/>
        <v>Break Even</v>
      </c>
      <c r="G615" s="4">
        <f t="shared" si="487"/>
        <v>0</v>
      </c>
      <c r="N615" s="5">
        <f t="shared" si="488"/>
        <v>0</v>
      </c>
      <c r="O615" s="4" t="e">
        <f t="shared" si="489"/>
        <v>#DIV/0!</v>
      </c>
      <c r="P615" s="5">
        <f t="shared" si="448"/>
        <v>0</v>
      </c>
      <c r="R615" s="2">
        <f t="shared" si="443"/>
        <v>0</v>
      </c>
      <c r="T615" s="2">
        <f t="shared" si="476"/>
        <v>0</v>
      </c>
      <c r="V615" s="5">
        <f t="shared" si="490"/>
        <v>0</v>
      </c>
      <c r="W615" s="4" t="e">
        <f t="shared" si="491"/>
        <v>#DIV/0!</v>
      </c>
      <c r="X615" s="14">
        <f t="shared" si="449"/>
        <v>0</v>
      </c>
      <c r="Y615" s="5">
        <f t="shared" si="450"/>
        <v>0</v>
      </c>
      <c r="Z615" s="2">
        <f t="shared" si="451"/>
        <v>0</v>
      </c>
      <c r="AA615" s="4">
        <f t="shared" si="452"/>
        <v>0</v>
      </c>
      <c r="AB615" s="13">
        <f t="shared" si="453"/>
        <v>0</v>
      </c>
      <c r="AC615" s="10">
        <f>SUM($E$4:E615)</f>
        <v>-22024.091160220025</v>
      </c>
      <c r="AD615" s="20">
        <f>SUM($AB$4:AB615)</f>
        <v>13539.766460219998</v>
      </c>
      <c r="AF615" s="28" t="e">
        <f t="shared" si="454"/>
        <v>#DIV/0!</v>
      </c>
      <c r="AG615" s="2" t="e">
        <f t="shared" si="455"/>
        <v>#DIV/0!</v>
      </c>
      <c r="AH615" s="2" t="e">
        <f t="shared" si="456"/>
        <v>#DIV/0!</v>
      </c>
      <c r="AI615" s="2" t="e">
        <f t="shared" si="477"/>
        <v>#DIV/0!</v>
      </c>
      <c r="AJ615" s="2" t="e">
        <f t="shared" si="444"/>
        <v>#DIV/0!</v>
      </c>
      <c r="AK615" s="2" t="e">
        <f t="shared" si="457"/>
        <v>#DIV/0!</v>
      </c>
      <c r="AL615" s="2" t="e">
        <f t="shared" si="458"/>
        <v>#DIV/0!</v>
      </c>
      <c r="AM615" s="2" t="e">
        <f t="shared" si="478"/>
        <v>#DIV/0!</v>
      </c>
      <c r="AN615" s="2">
        <f t="shared" si="459"/>
        <v>0</v>
      </c>
      <c r="AO615" s="2" t="e">
        <f t="shared" si="460"/>
        <v>#DIV/0!</v>
      </c>
      <c r="AP615" s="2" t="e">
        <f t="shared" si="461"/>
        <v>#DIV/0!</v>
      </c>
      <c r="AQ615" s="2" t="e">
        <f t="shared" si="479"/>
        <v>#DIV/0!</v>
      </c>
      <c r="AR615" s="2" t="e">
        <f t="shared" si="445"/>
        <v>#DIV/0!</v>
      </c>
      <c r="AS615" s="2" t="e">
        <f t="shared" si="462"/>
        <v>#DIV/0!</v>
      </c>
      <c r="AT615" s="2" t="e">
        <f t="shared" si="463"/>
        <v>#DIV/0!</v>
      </c>
      <c r="AU615" s="2" t="e">
        <f t="shared" si="480"/>
        <v>#DIV/0!</v>
      </c>
      <c r="AV615" s="2" t="e">
        <f t="shared" si="464"/>
        <v>#DIV/0!</v>
      </c>
      <c r="AW615" s="2" t="e">
        <f t="shared" si="465"/>
        <v>#DIV/0!</v>
      </c>
      <c r="AX615" s="2" t="e">
        <f t="shared" si="466"/>
        <v>#DIV/0!</v>
      </c>
      <c r="AY615" s="2" t="e">
        <f t="shared" si="481"/>
        <v>#DIV/0!</v>
      </c>
      <c r="AZ615" s="2" t="e">
        <f t="shared" si="446"/>
        <v>#DIV/0!</v>
      </c>
      <c r="BA615" s="2" t="e">
        <f t="shared" si="467"/>
        <v>#DIV/0!</v>
      </c>
      <c r="BB615" s="2" t="e">
        <f t="shared" si="468"/>
        <v>#DIV/0!</v>
      </c>
      <c r="BC615" s="2" t="e">
        <f t="shared" si="482"/>
        <v>#DIV/0!</v>
      </c>
      <c r="BD615" s="2">
        <v>0</v>
      </c>
      <c r="BE615" s="2" t="e">
        <f t="shared" si="469"/>
        <v>#DIV/0!</v>
      </c>
      <c r="BF615" s="2" t="e">
        <f t="shared" si="470"/>
        <v>#DIV/0!</v>
      </c>
      <c r="BG615" s="2" t="e">
        <f t="shared" si="483"/>
        <v>#DIV/0!</v>
      </c>
      <c r="BH615" s="2" t="e">
        <f t="shared" si="447"/>
        <v>#DIV/0!</v>
      </c>
      <c r="BI615" s="2" t="e">
        <f t="shared" si="471"/>
        <v>#DIV/0!</v>
      </c>
      <c r="BJ615" s="2" t="e">
        <f t="shared" si="472"/>
        <v>#DIV/0!</v>
      </c>
      <c r="BK615" s="2" t="e">
        <f t="shared" si="484"/>
        <v>#DIV/0!</v>
      </c>
      <c r="BL615" s="2" t="e">
        <f t="shared" si="473"/>
        <v>#DIV/0!</v>
      </c>
      <c r="BM615" s="2" t="e">
        <f t="shared" si="474"/>
        <v>#DIV/0!</v>
      </c>
      <c r="BN615" s="2" t="e">
        <f t="shared" si="485"/>
        <v>#DIV/0!</v>
      </c>
    </row>
    <row r="616" spans="1:66" x14ac:dyDescent="0.25">
      <c r="A616" s="42">
        <v>613</v>
      </c>
      <c r="E616" s="6">
        <f t="shared" si="475"/>
        <v>0</v>
      </c>
      <c r="F616" s="5" t="str">
        <f t="shared" si="486"/>
        <v>Break Even</v>
      </c>
      <c r="G616" s="4">
        <f t="shared" si="487"/>
        <v>0</v>
      </c>
      <c r="N616" s="5">
        <f t="shared" si="488"/>
        <v>0</v>
      </c>
      <c r="O616" s="4" t="e">
        <f t="shared" si="489"/>
        <v>#DIV/0!</v>
      </c>
      <c r="P616" s="5">
        <f t="shared" si="448"/>
        <v>0</v>
      </c>
      <c r="R616" s="2">
        <f t="shared" ref="R616:R679" si="492">J616</f>
        <v>0</v>
      </c>
      <c r="T616" s="2">
        <f t="shared" si="476"/>
        <v>0</v>
      </c>
      <c r="V616" s="5">
        <f t="shared" si="490"/>
        <v>0</v>
      </c>
      <c r="W616" s="4" t="e">
        <f t="shared" si="491"/>
        <v>#DIV/0!</v>
      </c>
      <c r="X616" s="14">
        <f t="shared" si="449"/>
        <v>0</v>
      </c>
      <c r="Y616" s="5">
        <f t="shared" si="450"/>
        <v>0</v>
      </c>
      <c r="Z616" s="2">
        <f t="shared" si="451"/>
        <v>0</v>
      </c>
      <c r="AA616" s="4">
        <f t="shared" si="452"/>
        <v>0</v>
      </c>
      <c r="AB616" s="13">
        <f t="shared" si="453"/>
        <v>0</v>
      </c>
      <c r="AC616" s="10">
        <f>SUM($E$4:E616)</f>
        <v>-22024.091160220025</v>
      </c>
      <c r="AD616" s="20">
        <f>SUM($AB$4:AB616)</f>
        <v>13539.766460219998</v>
      </c>
      <c r="AF616" s="28" t="e">
        <f t="shared" si="454"/>
        <v>#DIV/0!</v>
      </c>
      <c r="AG616" s="2" t="e">
        <f t="shared" si="455"/>
        <v>#DIV/0!</v>
      </c>
      <c r="AH616" s="2" t="e">
        <f t="shared" si="456"/>
        <v>#DIV/0!</v>
      </c>
      <c r="AI616" s="2" t="e">
        <f t="shared" si="477"/>
        <v>#DIV/0!</v>
      </c>
      <c r="AJ616" s="2" t="e">
        <f t="shared" si="444"/>
        <v>#DIV/0!</v>
      </c>
      <c r="AK616" s="2" t="e">
        <f t="shared" si="457"/>
        <v>#DIV/0!</v>
      </c>
      <c r="AL616" s="2" t="e">
        <f t="shared" si="458"/>
        <v>#DIV/0!</v>
      </c>
      <c r="AM616" s="2" t="e">
        <f t="shared" si="478"/>
        <v>#DIV/0!</v>
      </c>
      <c r="AN616" s="2">
        <f t="shared" si="459"/>
        <v>0</v>
      </c>
      <c r="AO616" s="2" t="e">
        <f t="shared" si="460"/>
        <v>#DIV/0!</v>
      </c>
      <c r="AP616" s="2" t="e">
        <f t="shared" si="461"/>
        <v>#DIV/0!</v>
      </c>
      <c r="AQ616" s="2" t="e">
        <f t="shared" si="479"/>
        <v>#DIV/0!</v>
      </c>
      <c r="AR616" s="2" t="e">
        <f t="shared" si="445"/>
        <v>#DIV/0!</v>
      </c>
      <c r="AS616" s="2" t="e">
        <f t="shared" si="462"/>
        <v>#DIV/0!</v>
      </c>
      <c r="AT616" s="2" t="e">
        <f t="shared" si="463"/>
        <v>#DIV/0!</v>
      </c>
      <c r="AU616" s="2" t="e">
        <f t="shared" si="480"/>
        <v>#DIV/0!</v>
      </c>
      <c r="AV616" s="2" t="e">
        <f t="shared" si="464"/>
        <v>#DIV/0!</v>
      </c>
      <c r="AW616" s="2" t="e">
        <f t="shared" si="465"/>
        <v>#DIV/0!</v>
      </c>
      <c r="AX616" s="2" t="e">
        <f t="shared" si="466"/>
        <v>#DIV/0!</v>
      </c>
      <c r="AY616" s="2" t="e">
        <f t="shared" si="481"/>
        <v>#DIV/0!</v>
      </c>
      <c r="AZ616" s="2" t="e">
        <f t="shared" si="446"/>
        <v>#DIV/0!</v>
      </c>
      <c r="BA616" s="2" t="e">
        <f t="shared" si="467"/>
        <v>#DIV/0!</v>
      </c>
      <c r="BB616" s="2" t="e">
        <f t="shared" si="468"/>
        <v>#DIV/0!</v>
      </c>
      <c r="BC616" s="2" t="e">
        <f t="shared" si="482"/>
        <v>#DIV/0!</v>
      </c>
      <c r="BD616" s="2">
        <v>0</v>
      </c>
      <c r="BE616" s="2" t="e">
        <f t="shared" si="469"/>
        <v>#DIV/0!</v>
      </c>
      <c r="BF616" s="2" t="e">
        <f t="shared" si="470"/>
        <v>#DIV/0!</v>
      </c>
      <c r="BG616" s="2" t="e">
        <f t="shared" si="483"/>
        <v>#DIV/0!</v>
      </c>
      <c r="BH616" s="2" t="e">
        <f t="shared" si="447"/>
        <v>#DIV/0!</v>
      </c>
      <c r="BI616" s="2" t="e">
        <f t="shared" si="471"/>
        <v>#DIV/0!</v>
      </c>
      <c r="BJ616" s="2" t="e">
        <f t="shared" si="472"/>
        <v>#DIV/0!</v>
      </c>
      <c r="BK616" s="2" t="e">
        <f t="shared" si="484"/>
        <v>#DIV/0!</v>
      </c>
      <c r="BL616" s="2" t="e">
        <f t="shared" si="473"/>
        <v>#DIV/0!</v>
      </c>
      <c r="BM616" s="2" t="e">
        <f t="shared" si="474"/>
        <v>#DIV/0!</v>
      </c>
      <c r="BN616" s="2" t="e">
        <f t="shared" si="485"/>
        <v>#DIV/0!</v>
      </c>
    </row>
    <row r="617" spans="1:66" x14ac:dyDescent="0.25">
      <c r="A617" s="42">
        <v>614</v>
      </c>
      <c r="E617" s="6">
        <f t="shared" si="475"/>
        <v>0</v>
      </c>
      <c r="F617" s="5" t="str">
        <f t="shared" si="486"/>
        <v>Break Even</v>
      </c>
      <c r="G617" s="4">
        <f t="shared" si="487"/>
        <v>0</v>
      </c>
      <c r="N617" s="5">
        <f t="shared" si="488"/>
        <v>0</v>
      </c>
      <c r="O617" s="4" t="e">
        <f t="shared" si="489"/>
        <v>#DIV/0!</v>
      </c>
      <c r="P617" s="5">
        <f t="shared" si="448"/>
        <v>0</v>
      </c>
      <c r="R617" s="2">
        <f t="shared" si="492"/>
        <v>0</v>
      </c>
      <c r="T617" s="2">
        <f t="shared" si="476"/>
        <v>0</v>
      </c>
      <c r="V617" s="5">
        <f t="shared" si="490"/>
        <v>0</v>
      </c>
      <c r="W617" s="4" t="e">
        <f t="shared" si="491"/>
        <v>#DIV/0!</v>
      </c>
      <c r="X617" s="14">
        <f t="shared" si="449"/>
        <v>0</v>
      </c>
      <c r="Y617" s="5">
        <f t="shared" si="450"/>
        <v>0</v>
      </c>
      <c r="Z617" s="2">
        <f t="shared" si="451"/>
        <v>0</v>
      </c>
      <c r="AA617" s="4">
        <f t="shared" si="452"/>
        <v>0</v>
      </c>
      <c r="AB617" s="13">
        <f t="shared" si="453"/>
        <v>0</v>
      </c>
      <c r="AC617" s="10">
        <f>SUM($E$4:E617)</f>
        <v>-22024.091160220025</v>
      </c>
      <c r="AD617" s="20">
        <f>SUM($AB$4:AB617)</f>
        <v>13539.766460219998</v>
      </c>
      <c r="AF617" s="28" t="e">
        <f t="shared" si="454"/>
        <v>#DIV/0!</v>
      </c>
      <c r="AG617" s="2" t="e">
        <f t="shared" si="455"/>
        <v>#DIV/0!</v>
      </c>
      <c r="AH617" s="2" t="e">
        <f t="shared" si="456"/>
        <v>#DIV/0!</v>
      </c>
      <c r="AI617" s="2" t="e">
        <f t="shared" si="477"/>
        <v>#DIV/0!</v>
      </c>
      <c r="AJ617" s="2" t="e">
        <f t="shared" si="444"/>
        <v>#DIV/0!</v>
      </c>
      <c r="AK617" s="2" t="e">
        <f t="shared" si="457"/>
        <v>#DIV/0!</v>
      </c>
      <c r="AL617" s="2" t="e">
        <f t="shared" si="458"/>
        <v>#DIV/0!</v>
      </c>
      <c r="AM617" s="2" t="e">
        <f t="shared" si="478"/>
        <v>#DIV/0!</v>
      </c>
      <c r="AN617" s="2">
        <f t="shared" si="459"/>
        <v>0</v>
      </c>
      <c r="AO617" s="2" t="e">
        <f t="shared" si="460"/>
        <v>#DIV/0!</v>
      </c>
      <c r="AP617" s="2" t="e">
        <f t="shared" si="461"/>
        <v>#DIV/0!</v>
      </c>
      <c r="AQ617" s="2" t="e">
        <f t="shared" si="479"/>
        <v>#DIV/0!</v>
      </c>
      <c r="AR617" s="2" t="e">
        <f t="shared" si="445"/>
        <v>#DIV/0!</v>
      </c>
      <c r="AS617" s="2" t="e">
        <f t="shared" si="462"/>
        <v>#DIV/0!</v>
      </c>
      <c r="AT617" s="2" t="e">
        <f t="shared" si="463"/>
        <v>#DIV/0!</v>
      </c>
      <c r="AU617" s="2" t="e">
        <f t="shared" si="480"/>
        <v>#DIV/0!</v>
      </c>
      <c r="AV617" s="2" t="e">
        <f t="shared" si="464"/>
        <v>#DIV/0!</v>
      </c>
      <c r="AW617" s="2" t="e">
        <f t="shared" si="465"/>
        <v>#DIV/0!</v>
      </c>
      <c r="AX617" s="2" t="e">
        <f t="shared" si="466"/>
        <v>#DIV/0!</v>
      </c>
      <c r="AY617" s="2" t="e">
        <f t="shared" si="481"/>
        <v>#DIV/0!</v>
      </c>
      <c r="AZ617" s="2" t="e">
        <f t="shared" si="446"/>
        <v>#DIV/0!</v>
      </c>
      <c r="BA617" s="2" t="e">
        <f t="shared" si="467"/>
        <v>#DIV/0!</v>
      </c>
      <c r="BB617" s="2" t="e">
        <f t="shared" si="468"/>
        <v>#DIV/0!</v>
      </c>
      <c r="BC617" s="2" t="e">
        <f t="shared" si="482"/>
        <v>#DIV/0!</v>
      </c>
      <c r="BD617" s="2">
        <v>0</v>
      </c>
      <c r="BE617" s="2" t="e">
        <f t="shared" si="469"/>
        <v>#DIV/0!</v>
      </c>
      <c r="BF617" s="2" t="e">
        <f t="shared" si="470"/>
        <v>#DIV/0!</v>
      </c>
      <c r="BG617" s="2" t="e">
        <f t="shared" si="483"/>
        <v>#DIV/0!</v>
      </c>
      <c r="BH617" s="2" t="e">
        <f t="shared" si="447"/>
        <v>#DIV/0!</v>
      </c>
      <c r="BI617" s="2" t="e">
        <f t="shared" si="471"/>
        <v>#DIV/0!</v>
      </c>
      <c r="BJ617" s="2" t="e">
        <f t="shared" si="472"/>
        <v>#DIV/0!</v>
      </c>
      <c r="BK617" s="2" t="e">
        <f t="shared" si="484"/>
        <v>#DIV/0!</v>
      </c>
      <c r="BL617" s="2" t="e">
        <f t="shared" si="473"/>
        <v>#DIV/0!</v>
      </c>
      <c r="BM617" s="2" t="e">
        <f t="shared" si="474"/>
        <v>#DIV/0!</v>
      </c>
      <c r="BN617" s="2" t="e">
        <f t="shared" si="485"/>
        <v>#DIV/0!</v>
      </c>
    </row>
    <row r="618" spans="1:66" x14ac:dyDescent="0.25">
      <c r="A618" s="42">
        <v>615</v>
      </c>
      <c r="E618" s="6">
        <f t="shared" si="475"/>
        <v>0</v>
      </c>
      <c r="F618" s="5" t="str">
        <f t="shared" si="486"/>
        <v>Break Even</v>
      </c>
      <c r="G618" s="4">
        <f t="shared" si="487"/>
        <v>0</v>
      </c>
      <c r="N618" s="5">
        <f t="shared" si="488"/>
        <v>0</v>
      </c>
      <c r="O618" s="4" t="e">
        <f t="shared" si="489"/>
        <v>#DIV/0!</v>
      </c>
      <c r="P618" s="5">
        <f t="shared" si="448"/>
        <v>0</v>
      </c>
      <c r="R618" s="2">
        <f t="shared" si="492"/>
        <v>0</v>
      </c>
      <c r="T618" s="2">
        <f t="shared" si="476"/>
        <v>0</v>
      </c>
      <c r="V618" s="5">
        <f t="shared" si="490"/>
        <v>0</v>
      </c>
      <c r="W618" s="4" t="e">
        <f t="shared" si="491"/>
        <v>#DIV/0!</v>
      </c>
      <c r="X618" s="14">
        <f t="shared" si="449"/>
        <v>0</v>
      </c>
      <c r="Y618" s="5">
        <f t="shared" si="450"/>
        <v>0</v>
      </c>
      <c r="Z618" s="2">
        <f t="shared" si="451"/>
        <v>0</v>
      </c>
      <c r="AA618" s="4">
        <f t="shared" si="452"/>
        <v>0</v>
      </c>
      <c r="AB618" s="13">
        <f t="shared" si="453"/>
        <v>0</v>
      </c>
      <c r="AC618" s="10">
        <f>SUM($E$4:E618)</f>
        <v>-22024.091160220025</v>
      </c>
      <c r="AD618" s="20">
        <f>SUM($AB$4:AB618)</f>
        <v>13539.766460219998</v>
      </c>
      <c r="AF618" s="28" t="e">
        <f t="shared" si="454"/>
        <v>#DIV/0!</v>
      </c>
      <c r="AG618" s="2" t="e">
        <f t="shared" si="455"/>
        <v>#DIV/0!</v>
      </c>
      <c r="AH618" s="2" t="e">
        <f t="shared" si="456"/>
        <v>#DIV/0!</v>
      </c>
      <c r="AI618" s="2" t="e">
        <f t="shared" si="477"/>
        <v>#DIV/0!</v>
      </c>
      <c r="AJ618" s="2" t="e">
        <f t="shared" si="444"/>
        <v>#DIV/0!</v>
      </c>
      <c r="AK618" s="2" t="e">
        <f t="shared" si="457"/>
        <v>#DIV/0!</v>
      </c>
      <c r="AL618" s="2" t="e">
        <f t="shared" si="458"/>
        <v>#DIV/0!</v>
      </c>
      <c r="AM618" s="2" t="e">
        <f t="shared" si="478"/>
        <v>#DIV/0!</v>
      </c>
      <c r="AN618" s="2">
        <f t="shared" si="459"/>
        <v>0</v>
      </c>
      <c r="AO618" s="2" t="e">
        <f t="shared" si="460"/>
        <v>#DIV/0!</v>
      </c>
      <c r="AP618" s="2" t="e">
        <f t="shared" si="461"/>
        <v>#DIV/0!</v>
      </c>
      <c r="AQ618" s="2" t="e">
        <f t="shared" si="479"/>
        <v>#DIV/0!</v>
      </c>
      <c r="AR618" s="2" t="e">
        <f t="shared" si="445"/>
        <v>#DIV/0!</v>
      </c>
      <c r="AS618" s="2" t="e">
        <f t="shared" si="462"/>
        <v>#DIV/0!</v>
      </c>
      <c r="AT618" s="2" t="e">
        <f t="shared" si="463"/>
        <v>#DIV/0!</v>
      </c>
      <c r="AU618" s="2" t="e">
        <f t="shared" si="480"/>
        <v>#DIV/0!</v>
      </c>
      <c r="AV618" s="2" t="e">
        <f t="shared" si="464"/>
        <v>#DIV/0!</v>
      </c>
      <c r="AW618" s="2" t="e">
        <f t="shared" si="465"/>
        <v>#DIV/0!</v>
      </c>
      <c r="AX618" s="2" t="e">
        <f t="shared" si="466"/>
        <v>#DIV/0!</v>
      </c>
      <c r="AY618" s="2" t="e">
        <f t="shared" si="481"/>
        <v>#DIV/0!</v>
      </c>
      <c r="AZ618" s="2" t="e">
        <f t="shared" si="446"/>
        <v>#DIV/0!</v>
      </c>
      <c r="BA618" s="2" t="e">
        <f t="shared" si="467"/>
        <v>#DIV/0!</v>
      </c>
      <c r="BB618" s="2" t="e">
        <f t="shared" si="468"/>
        <v>#DIV/0!</v>
      </c>
      <c r="BC618" s="2" t="e">
        <f t="shared" si="482"/>
        <v>#DIV/0!</v>
      </c>
      <c r="BD618" s="2">
        <v>0</v>
      </c>
      <c r="BE618" s="2" t="e">
        <f t="shared" si="469"/>
        <v>#DIV/0!</v>
      </c>
      <c r="BF618" s="2" t="e">
        <f t="shared" si="470"/>
        <v>#DIV/0!</v>
      </c>
      <c r="BG618" s="2" t="e">
        <f t="shared" si="483"/>
        <v>#DIV/0!</v>
      </c>
      <c r="BH618" s="2" t="e">
        <f t="shared" si="447"/>
        <v>#DIV/0!</v>
      </c>
      <c r="BI618" s="2" t="e">
        <f t="shared" si="471"/>
        <v>#DIV/0!</v>
      </c>
      <c r="BJ618" s="2" t="e">
        <f t="shared" si="472"/>
        <v>#DIV/0!</v>
      </c>
      <c r="BK618" s="2" t="e">
        <f t="shared" si="484"/>
        <v>#DIV/0!</v>
      </c>
      <c r="BL618" s="2" t="e">
        <f t="shared" si="473"/>
        <v>#DIV/0!</v>
      </c>
      <c r="BM618" s="2" t="e">
        <f t="shared" si="474"/>
        <v>#DIV/0!</v>
      </c>
      <c r="BN618" s="2" t="e">
        <f t="shared" si="485"/>
        <v>#DIV/0!</v>
      </c>
    </row>
    <row r="619" spans="1:66" x14ac:dyDescent="0.25">
      <c r="A619" s="42">
        <v>616</v>
      </c>
      <c r="E619" s="6">
        <f t="shared" si="475"/>
        <v>0</v>
      </c>
      <c r="F619" s="5" t="str">
        <f t="shared" si="486"/>
        <v>Break Even</v>
      </c>
      <c r="G619" s="4">
        <f t="shared" si="487"/>
        <v>0</v>
      </c>
      <c r="N619" s="5">
        <f t="shared" si="488"/>
        <v>0</v>
      </c>
      <c r="O619" s="4" t="e">
        <f t="shared" si="489"/>
        <v>#DIV/0!</v>
      </c>
      <c r="P619" s="5">
        <f t="shared" si="448"/>
        <v>0</v>
      </c>
      <c r="R619" s="2">
        <f t="shared" si="492"/>
        <v>0</v>
      </c>
      <c r="T619" s="2">
        <f t="shared" si="476"/>
        <v>0</v>
      </c>
      <c r="V619" s="5">
        <f t="shared" si="490"/>
        <v>0</v>
      </c>
      <c r="W619" s="4" t="e">
        <f t="shared" si="491"/>
        <v>#DIV/0!</v>
      </c>
      <c r="X619" s="14">
        <f t="shared" si="449"/>
        <v>0</v>
      </c>
      <c r="Y619" s="5">
        <f t="shared" si="450"/>
        <v>0</v>
      </c>
      <c r="Z619" s="2">
        <f t="shared" si="451"/>
        <v>0</v>
      </c>
      <c r="AA619" s="4">
        <f t="shared" si="452"/>
        <v>0</v>
      </c>
      <c r="AB619" s="13">
        <f t="shared" si="453"/>
        <v>0</v>
      </c>
      <c r="AC619" s="10">
        <f>SUM($E$4:E619)</f>
        <v>-22024.091160220025</v>
      </c>
      <c r="AD619" s="20">
        <f>SUM($AB$4:AB619)</f>
        <v>13539.766460219998</v>
      </c>
      <c r="AF619" s="28" t="e">
        <f t="shared" si="454"/>
        <v>#DIV/0!</v>
      </c>
      <c r="AG619" s="2" t="e">
        <f t="shared" si="455"/>
        <v>#DIV/0!</v>
      </c>
      <c r="AH619" s="2" t="e">
        <f t="shared" si="456"/>
        <v>#DIV/0!</v>
      </c>
      <c r="AI619" s="2" t="e">
        <f t="shared" si="477"/>
        <v>#DIV/0!</v>
      </c>
      <c r="AJ619" s="2" t="e">
        <f t="shared" si="444"/>
        <v>#DIV/0!</v>
      </c>
      <c r="AK619" s="2" t="e">
        <f t="shared" si="457"/>
        <v>#DIV/0!</v>
      </c>
      <c r="AL619" s="2" t="e">
        <f t="shared" si="458"/>
        <v>#DIV/0!</v>
      </c>
      <c r="AM619" s="2" t="e">
        <f t="shared" si="478"/>
        <v>#DIV/0!</v>
      </c>
      <c r="AN619" s="2">
        <f t="shared" si="459"/>
        <v>0</v>
      </c>
      <c r="AO619" s="2" t="e">
        <f t="shared" si="460"/>
        <v>#DIV/0!</v>
      </c>
      <c r="AP619" s="2" t="e">
        <f t="shared" si="461"/>
        <v>#DIV/0!</v>
      </c>
      <c r="AQ619" s="2" t="e">
        <f t="shared" si="479"/>
        <v>#DIV/0!</v>
      </c>
      <c r="AR619" s="2" t="e">
        <f t="shared" si="445"/>
        <v>#DIV/0!</v>
      </c>
      <c r="AS619" s="2" t="e">
        <f t="shared" si="462"/>
        <v>#DIV/0!</v>
      </c>
      <c r="AT619" s="2" t="e">
        <f t="shared" si="463"/>
        <v>#DIV/0!</v>
      </c>
      <c r="AU619" s="2" t="e">
        <f t="shared" si="480"/>
        <v>#DIV/0!</v>
      </c>
      <c r="AV619" s="2" t="e">
        <f t="shared" si="464"/>
        <v>#DIV/0!</v>
      </c>
      <c r="AW619" s="2" t="e">
        <f t="shared" si="465"/>
        <v>#DIV/0!</v>
      </c>
      <c r="AX619" s="2" t="e">
        <f t="shared" si="466"/>
        <v>#DIV/0!</v>
      </c>
      <c r="AY619" s="2" t="e">
        <f t="shared" si="481"/>
        <v>#DIV/0!</v>
      </c>
      <c r="AZ619" s="2" t="e">
        <f t="shared" si="446"/>
        <v>#DIV/0!</v>
      </c>
      <c r="BA619" s="2" t="e">
        <f t="shared" si="467"/>
        <v>#DIV/0!</v>
      </c>
      <c r="BB619" s="2" t="e">
        <f t="shared" si="468"/>
        <v>#DIV/0!</v>
      </c>
      <c r="BC619" s="2" t="e">
        <f t="shared" si="482"/>
        <v>#DIV/0!</v>
      </c>
      <c r="BD619" s="2">
        <v>0</v>
      </c>
      <c r="BE619" s="2" t="e">
        <f t="shared" si="469"/>
        <v>#DIV/0!</v>
      </c>
      <c r="BF619" s="2" t="e">
        <f t="shared" si="470"/>
        <v>#DIV/0!</v>
      </c>
      <c r="BG619" s="2" t="e">
        <f t="shared" si="483"/>
        <v>#DIV/0!</v>
      </c>
      <c r="BH619" s="2" t="e">
        <f t="shared" si="447"/>
        <v>#DIV/0!</v>
      </c>
      <c r="BI619" s="2" t="e">
        <f t="shared" si="471"/>
        <v>#DIV/0!</v>
      </c>
      <c r="BJ619" s="2" t="e">
        <f t="shared" si="472"/>
        <v>#DIV/0!</v>
      </c>
      <c r="BK619" s="2" t="e">
        <f t="shared" si="484"/>
        <v>#DIV/0!</v>
      </c>
      <c r="BL619" s="2" t="e">
        <f t="shared" si="473"/>
        <v>#DIV/0!</v>
      </c>
      <c r="BM619" s="2" t="e">
        <f t="shared" si="474"/>
        <v>#DIV/0!</v>
      </c>
      <c r="BN619" s="2" t="e">
        <f t="shared" si="485"/>
        <v>#DIV/0!</v>
      </c>
    </row>
    <row r="620" spans="1:66" x14ac:dyDescent="0.25">
      <c r="A620" s="42">
        <v>617</v>
      </c>
      <c r="E620" s="6">
        <f t="shared" si="475"/>
        <v>0</v>
      </c>
      <c r="F620" s="5" t="str">
        <f t="shared" si="486"/>
        <v>Break Even</v>
      </c>
      <c r="G620" s="4">
        <f t="shared" si="487"/>
        <v>0</v>
      </c>
      <c r="N620" s="5">
        <f t="shared" si="488"/>
        <v>0</v>
      </c>
      <c r="O620" s="4" t="e">
        <f t="shared" si="489"/>
        <v>#DIV/0!</v>
      </c>
      <c r="P620" s="5">
        <f t="shared" si="448"/>
        <v>0</v>
      </c>
      <c r="R620" s="2">
        <f t="shared" si="492"/>
        <v>0</v>
      </c>
      <c r="T620" s="2">
        <f t="shared" si="476"/>
        <v>0</v>
      </c>
      <c r="V620" s="5">
        <f t="shared" si="490"/>
        <v>0</v>
      </c>
      <c r="W620" s="4" t="e">
        <f t="shared" si="491"/>
        <v>#DIV/0!</v>
      </c>
      <c r="X620" s="14">
        <f t="shared" si="449"/>
        <v>0</v>
      </c>
      <c r="Y620" s="5">
        <f t="shared" si="450"/>
        <v>0</v>
      </c>
      <c r="Z620" s="2">
        <f t="shared" si="451"/>
        <v>0</v>
      </c>
      <c r="AA620" s="4">
        <f t="shared" si="452"/>
        <v>0</v>
      </c>
      <c r="AB620" s="13">
        <f t="shared" si="453"/>
        <v>0</v>
      </c>
      <c r="AC620" s="10">
        <f>SUM($E$4:E620)</f>
        <v>-22024.091160220025</v>
      </c>
      <c r="AD620" s="20">
        <f>SUM($AB$4:AB620)</f>
        <v>13539.766460219998</v>
      </c>
      <c r="AF620" s="28" t="e">
        <f t="shared" si="454"/>
        <v>#DIV/0!</v>
      </c>
      <c r="AG620" s="2" t="e">
        <f t="shared" si="455"/>
        <v>#DIV/0!</v>
      </c>
      <c r="AH620" s="2" t="e">
        <f t="shared" si="456"/>
        <v>#DIV/0!</v>
      </c>
      <c r="AI620" s="2" t="e">
        <f t="shared" si="477"/>
        <v>#DIV/0!</v>
      </c>
      <c r="AJ620" s="2" t="e">
        <f t="shared" si="444"/>
        <v>#DIV/0!</v>
      </c>
      <c r="AK620" s="2" t="e">
        <f t="shared" si="457"/>
        <v>#DIV/0!</v>
      </c>
      <c r="AL620" s="2" t="e">
        <f t="shared" si="458"/>
        <v>#DIV/0!</v>
      </c>
      <c r="AM620" s="2" t="e">
        <f t="shared" si="478"/>
        <v>#DIV/0!</v>
      </c>
      <c r="AN620" s="2">
        <f t="shared" si="459"/>
        <v>0</v>
      </c>
      <c r="AO620" s="2" t="e">
        <f t="shared" si="460"/>
        <v>#DIV/0!</v>
      </c>
      <c r="AP620" s="2" t="e">
        <f t="shared" si="461"/>
        <v>#DIV/0!</v>
      </c>
      <c r="AQ620" s="2" t="e">
        <f t="shared" si="479"/>
        <v>#DIV/0!</v>
      </c>
      <c r="AR620" s="2" t="e">
        <f t="shared" si="445"/>
        <v>#DIV/0!</v>
      </c>
      <c r="AS620" s="2" t="e">
        <f t="shared" si="462"/>
        <v>#DIV/0!</v>
      </c>
      <c r="AT620" s="2" t="e">
        <f t="shared" si="463"/>
        <v>#DIV/0!</v>
      </c>
      <c r="AU620" s="2" t="e">
        <f t="shared" si="480"/>
        <v>#DIV/0!</v>
      </c>
      <c r="AV620" s="2" t="e">
        <f t="shared" si="464"/>
        <v>#DIV/0!</v>
      </c>
      <c r="AW620" s="2" t="e">
        <f t="shared" si="465"/>
        <v>#DIV/0!</v>
      </c>
      <c r="AX620" s="2" t="e">
        <f t="shared" si="466"/>
        <v>#DIV/0!</v>
      </c>
      <c r="AY620" s="2" t="e">
        <f t="shared" si="481"/>
        <v>#DIV/0!</v>
      </c>
      <c r="AZ620" s="2" t="e">
        <f t="shared" si="446"/>
        <v>#DIV/0!</v>
      </c>
      <c r="BA620" s="2" t="e">
        <f t="shared" si="467"/>
        <v>#DIV/0!</v>
      </c>
      <c r="BB620" s="2" t="e">
        <f t="shared" si="468"/>
        <v>#DIV/0!</v>
      </c>
      <c r="BC620" s="2" t="e">
        <f t="shared" si="482"/>
        <v>#DIV/0!</v>
      </c>
      <c r="BD620" s="2">
        <v>0</v>
      </c>
      <c r="BE620" s="2" t="e">
        <f t="shared" si="469"/>
        <v>#DIV/0!</v>
      </c>
      <c r="BF620" s="2" t="e">
        <f t="shared" si="470"/>
        <v>#DIV/0!</v>
      </c>
      <c r="BG620" s="2" t="e">
        <f t="shared" si="483"/>
        <v>#DIV/0!</v>
      </c>
      <c r="BH620" s="2" t="e">
        <f t="shared" si="447"/>
        <v>#DIV/0!</v>
      </c>
      <c r="BI620" s="2" t="e">
        <f t="shared" si="471"/>
        <v>#DIV/0!</v>
      </c>
      <c r="BJ620" s="2" t="e">
        <f t="shared" si="472"/>
        <v>#DIV/0!</v>
      </c>
      <c r="BK620" s="2" t="e">
        <f t="shared" si="484"/>
        <v>#DIV/0!</v>
      </c>
      <c r="BL620" s="2" t="e">
        <f t="shared" si="473"/>
        <v>#DIV/0!</v>
      </c>
      <c r="BM620" s="2" t="e">
        <f t="shared" si="474"/>
        <v>#DIV/0!</v>
      </c>
      <c r="BN620" s="2" t="e">
        <f t="shared" si="485"/>
        <v>#DIV/0!</v>
      </c>
    </row>
    <row r="621" spans="1:66" x14ac:dyDescent="0.25">
      <c r="A621" s="42">
        <v>618</v>
      </c>
      <c r="E621" s="6">
        <f t="shared" si="475"/>
        <v>0</v>
      </c>
      <c r="F621" s="5" t="str">
        <f t="shared" si="486"/>
        <v>Break Even</v>
      </c>
      <c r="G621" s="4">
        <f t="shared" si="487"/>
        <v>0</v>
      </c>
      <c r="N621" s="5">
        <f t="shared" si="488"/>
        <v>0</v>
      </c>
      <c r="O621" s="4" t="e">
        <f t="shared" si="489"/>
        <v>#DIV/0!</v>
      </c>
      <c r="P621" s="5">
        <f t="shared" si="448"/>
        <v>0</v>
      </c>
      <c r="R621" s="2">
        <f t="shared" si="492"/>
        <v>0</v>
      </c>
      <c r="T621" s="2">
        <f t="shared" si="476"/>
        <v>0</v>
      </c>
      <c r="V621" s="5">
        <f t="shared" si="490"/>
        <v>0</v>
      </c>
      <c r="W621" s="4" t="e">
        <f t="shared" si="491"/>
        <v>#DIV/0!</v>
      </c>
      <c r="X621" s="14">
        <f t="shared" si="449"/>
        <v>0</v>
      </c>
      <c r="Y621" s="5">
        <f t="shared" si="450"/>
        <v>0</v>
      </c>
      <c r="Z621" s="2">
        <f t="shared" si="451"/>
        <v>0</v>
      </c>
      <c r="AA621" s="4">
        <f t="shared" si="452"/>
        <v>0</v>
      </c>
      <c r="AB621" s="13">
        <f t="shared" si="453"/>
        <v>0</v>
      </c>
      <c r="AC621" s="10">
        <f>SUM($E$4:E621)</f>
        <v>-22024.091160220025</v>
      </c>
      <c r="AD621" s="20">
        <f>SUM($AB$4:AB621)</f>
        <v>13539.766460219998</v>
      </c>
      <c r="AF621" s="28" t="e">
        <f t="shared" si="454"/>
        <v>#DIV/0!</v>
      </c>
      <c r="AG621" s="2" t="e">
        <f t="shared" si="455"/>
        <v>#DIV/0!</v>
      </c>
      <c r="AH621" s="2" t="e">
        <f t="shared" si="456"/>
        <v>#DIV/0!</v>
      </c>
      <c r="AI621" s="2" t="e">
        <f t="shared" si="477"/>
        <v>#DIV/0!</v>
      </c>
      <c r="AJ621" s="2" t="e">
        <f t="shared" si="444"/>
        <v>#DIV/0!</v>
      </c>
      <c r="AK621" s="2" t="e">
        <f t="shared" si="457"/>
        <v>#DIV/0!</v>
      </c>
      <c r="AL621" s="2" t="e">
        <f t="shared" si="458"/>
        <v>#DIV/0!</v>
      </c>
      <c r="AM621" s="2" t="e">
        <f t="shared" si="478"/>
        <v>#DIV/0!</v>
      </c>
      <c r="AN621" s="2">
        <f t="shared" si="459"/>
        <v>0</v>
      </c>
      <c r="AO621" s="2" t="e">
        <f t="shared" si="460"/>
        <v>#DIV/0!</v>
      </c>
      <c r="AP621" s="2" t="e">
        <f t="shared" si="461"/>
        <v>#DIV/0!</v>
      </c>
      <c r="AQ621" s="2" t="e">
        <f t="shared" si="479"/>
        <v>#DIV/0!</v>
      </c>
      <c r="AR621" s="2" t="e">
        <f t="shared" si="445"/>
        <v>#DIV/0!</v>
      </c>
      <c r="AS621" s="2" t="e">
        <f t="shared" si="462"/>
        <v>#DIV/0!</v>
      </c>
      <c r="AT621" s="2" t="e">
        <f t="shared" si="463"/>
        <v>#DIV/0!</v>
      </c>
      <c r="AU621" s="2" t="e">
        <f t="shared" si="480"/>
        <v>#DIV/0!</v>
      </c>
      <c r="AV621" s="2" t="e">
        <f t="shared" si="464"/>
        <v>#DIV/0!</v>
      </c>
      <c r="AW621" s="2" t="e">
        <f t="shared" si="465"/>
        <v>#DIV/0!</v>
      </c>
      <c r="AX621" s="2" t="e">
        <f t="shared" si="466"/>
        <v>#DIV/0!</v>
      </c>
      <c r="AY621" s="2" t="e">
        <f t="shared" si="481"/>
        <v>#DIV/0!</v>
      </c>
      <c r="AZ621" s="2" t="e">
        <f t="shared" si="446"/>
        <v>#DIV/0!</v>
      </c>
      <c r="BA621" s="2" t="e">
        <f t="shared" si="467"/>
        <v>#DIV/0!</v>
      </c>
      <c r="BB621" s="2" t="e">
        <f t="shared" si="468"/>
        <v>#DIV/0!</v>
      </c>
      <c r="BC621" s="2" t="e">
        <f t="shared" si="482"/>
        <v>#DIV/0!</v>
      </c>
      <c r="BD621" s="2">
        <v>0</v>
      </c>
      <c r="BE621" s="2" t="e">
        <f t="shared" si="469"/>
        <v>#DIV/0!</v>
      </c>
      <c r="BF621" s="2" t="e">
        <f t="shared" si="470"/>
        <v>#DIV/0!</v>
      </c>
      <c r="BG621" s="2" t="e">
        <f t="shared" si="483"/>
        <v>#DIV/0!</v>
      </c>
      <c r="BH621" s="2" t="e">
        <f t="shared" si="447"/>
        <v>#DIV/0!</v>
      </c>
      <c r="BI621" s="2" t="e">
        <f t="shared" si="471"/>
        <v>#DIV/0!</v>
      </c>
      <c r="BJ621" s="2" t="e">
        <f t="shared" si="472"/>
        <v>#DIV/0!</v>
      </c>
      <c r="BK621" s="2" t="e">
        <f t="shared" si="484"/>
        <v>#DIV/0!</v>
      </c>
      <c r="BL621" s="2" t="e">
        <f t="shared" si="473"/>
        <v>#DIV/0!</v>
      </c>
      <c r="BM621" s="2" t="e">
        <f t="shared" si="474"/>
        <v>#DIV/0!</v>
      </c>
      <c r="BN621" s="2" t="e">
        <f t="shared" si="485"/>
        <v>#DIV/0!</v>
      </c>
    </row>
    <row r="622" spans="1:66" x14ac:dyDescent="0.25">
      <c r="A622" s="42">
        <v>619</v>
      </c>
      <c r="E622" s="6">
        <f t="shared" si="475"/>
        <v>0</v>
      </c>
      <c r="F622" s="5" t="str">
        <f t="shared" si="486"/>
        <v>Break Even</v>
      </c>
      <c r="G622" s="4">
        <f t="shared" si="487"/>
        <v>0</v>
      </c>
      <c r="N622" s="5">
        <f t="shared" si="488"/>
        <v>0</v>
      </c>
      <c r="O622" s="4" t="e">
        <f t="shared" si="489"/>
        <v>#DIV/0!</v>
      </c>
      <c r="P622" s="5">
        <f t="shared" si="448"/>
        <v>0</v>
      </c>
      <c r="R622" s="2">
        <f t="shared" si="492"/>
        <v>0</v>
      </c>
      <c r="T622" s="2">
        <f t="shared" si="476"/>
        <v>0</v>
      </c>
      <c r="V622" s="5">
        <f t="shared" si="490"/>
        <v>0</v>
      </c>
      <c r="W622" s="4" t="e">
        <f t="shared" si="491"/>
        <v>#DIV/0!</v>
      </c>
      <c r="X622" s="14">
        <f t="shared" si="449"/>
        <v>0</v>
      </c>
      <c r="Y622" s="5">
        <f t="shared" si="450"/>
        <v>0</v>
      </c>
      <c r="Z622" s="2">
        <f t="shared" si="451"/>
        <v>0</v>
      </c>
      <c r="AA622" s="4">
        <f t="shared" si="452"/>
        <v>0</v>
      </c>
      <c r="AB622" s="13">
        <f t="shared" si="453"/>
        <v>0</v>
      </c>
      <c r="AC622" s="10">
        <f>SUM($E$4:E622)</f>
        <v>-22024.091160220025</v>
      </c>
      <c r="AD622" s="20">
        <f>SUM($AB$4:AB622)</f>
        <v>13539.766460219998</v>
      </c>
      <c r="AF622" s="28" t="e">
        <f t="shared" si="454"/>
        <v>#DIV/0!</v>
      </c>
      <c r="AG622" s="2" t="e">
        <f t="shared" si="455"/>
        <v>#DIV/0!</v>
      </c>
      <c r="AH622" s="2" t="e">
        <f t="shared" si="456"/>
        <v>#DIV/0!</v>
      </c>
      <c r="AI622" s="2" t="e">
        <f t="shared" si="477"/>
        <v>#DIV/0!</v>
      </c>
      <c r="AJ622" s="2" t="e">
        <f t="shared" ref="AJ622:AJ685" si="493">0.18*AI622</f>
        <v>#DIV/0!</v>
      </c>
      <c r="AK622" s="2" t="e">
        <f t="shared" si="457"/>
        <v>#DIV/0!</v>
      </c>
      <c r="AL622" s="2" t="e">
        <f t="shared" si="458"/>
        <v>#DIV/0!</v>
      </c>
      <c r="AM622" s="2" t="e">
        <f t="shared" si="478"/>
        <v>#DIV/0!</v>
      </c>
      <c r="AN622" s="2">
        <f t="shared" si="459"/>
        <v>0</v>
      </c>
      <c r="AO622" s="2" t="e">
        <f t="shared" si="460"/>
        <v>#DIV/0!</v>
      </c>
      <c r="AP622" s="2" t="e">
        <f t="shared" si="461"/>
        <v>#DIV/0!</v>
      </c>
      <c r="AQ622" s="2" t="e">
        <f t="shared" si="479"/>
        <v>#DIV/0!</v>
      </c>
      <c r="AR622" s="2" t="e">
        <f t="shared" ref="AR622:AR685" si="494">0.18*AQ622</f>
        <v>#DIV/0!</v>
      </c>
      <c r="AS622" s="2" t="e">
        <f t="shared" si="462"/>
        <v>#DIV/0!</v>
      </c>
      <c r="AT622" s="2" t="e">
        <f t="shared" si="463"/>
        <v>#DIV/0!</v>
      </c>
      <c r="AU622" s="2" t="e">
        <f t="shared" si="480"/>
        <v>#DIV/0!</v>
      </c>
      <c r="AV622" s="2" t="e">
        <f t="shared" si="464"/>
        <v>#DIV/0!</v>
      </c>
      <c r="AW622" s="2" t="e">
        <f t="shared" si="465"/>
        <v>#DIV/0!</v>
      </c>
      <c r="AX622" s="2" t="e">
        <f t="shared" si="466"/>
        <v>#DIV/0!</v>
      </c>
      <c r="AY622" s="2" t="e">
        <f t="shared" si="481"/>
        <v>#DIV/0!</v>
      </c>
      <c r="AZ622" s="2" t="e">
        <f t="shared" ref="AZ622:AZ685" si="495">0.18*AY622</f>
        <v>#DIV/0!</v>
      </c>
      <c r="BA622" s="2" t="e">
        <f t="shared" si="467"/>
        <v>#DIV/0!</v>
      </c>
      <c r="BB622" s="2" t="e">
        <f t="shared" si="468"/>
        <v>#DIV/0!</v>
      </c>
      <c r="BC622" s="2" t="e">
        <f t="shared" si="482"/>
        <v>#DIV/0!</v>
      </c>
      <c r="BD622" s="2">
        <v>0</v>
      </c>
      <c r="BE622" s="2" t="e">
        <f t="shared" si="469"/>
        <v>#DIV/0!</v>
      </c>
      <c r="BF622" s="2" t="e">
        <f t="shared" si="470"/>
        <v>#DIV/0!</v>
      </c>
      <c r="BG622" s="2" t="e">
        <f t="shared" si="483"/>
        <v>#DIV/0!</v>
      </c>
      <c r="BH622" s="2" t="e">
        <f t="shared" ref="BH622:BH685" si="496">0.18*BG622</f>
        <v>#DIV/0!</v>
      </c>
      <c r="BI622" s="2" t="e">
        <f t="shared" si="471"/>
        <v>#DIV/0!</v>
      </c>
      <c r="BJ622" s="2" t="e">
        <f t="shared" si="472"/>
        <v>#DIV/0!</v>
      </c>
      <c r="BK622" s="2" t="e">
        <f t="shared" si="484"/>
        <v>#DIV/0!</v>
      </c>
      <c r="BL622" s="2" t="e">
        <f t="shared" si="473"/>
        <v>#DIV/0!</v>
      </c>
      <c r="BM622" s="2" t="e">
        <f t="shared" si="474"/>
        <v>#DIV/0!</v>
      </c>
      <c r="BN622" s="2" t="e">
        <f t="shared" si="485"/>
        <v>#DIV/0!</v>
      </c>
    </row>
    <row r="623" spans="1:66" x14ac:dyDescent="0.25">
      <c r="A623" s="42">
        <v>620</v>
      </c>
      <c r="E623" s="6">
        <f t="shared" si="475"/>
        <v>0</v>
      </c>
      <c r="F623" s="5" t="str">
        <f t="shared" si="486"/>
        <v>Break Even</v>
      </c>
      <c r="G623" s="4">
        <f t="shared" si="487"/>
        <v>0</v>
      </c>
      <c r="N623" s="5">
        <f t="shared" si="488"/>
        <v>0</v>
      </c>
      <c r="O623" s="4" t="e">
        <f t="shared" si="489"/>
        <v>#DIV/0!</v>
      </c>
      <c r="P623" s="5">
        <f t="shared" si="448"/>
        <v>0</v>
      </c>
      <c r="R623" s="2">
        <f t="shared" si="492"/>
        <v>0</v>
      </c>
      <c r="T623" s="2">
        <f t="shared" si="476"/>
        <v>0</v>
      </c>
      <c r="V623" s="5">
        <f t="shared" si="490"/>
        <v>0</v>
      </c>
      <c r="W623" s="4" t="e">
        <f t="shared" si="491"/>
        <v>#DIV/0!</v>
      </c>
      <c r="X623" s="14">
        <f t="shared" si="449"/>
        <v>0</v>
      </c>
      <c r="Y623" s="5">
        <f t="shared" si="450"/>
        <v>0</v>
      </c>
      <c r="Z623" s="2">
        <f t="shared" si="451"/>
        <v>0</v>
      </c>
      <c r="AA623" s="4">
        <f t="shared" si="452"/>
        <v>0</v>
      </c>
      <c r="AB623" s="13">
        <f t="shared" si="453"/>
        <v>0</v>
      </c>
      <c r="AC623" s="10">
        <f>SUM($E$4:E623)</f>
        <v>-22024.091160220025</v>
      </c>
      <c r="AD623" s="20">
        <f>SUM($AB$4:AB623)</f>
        <v>13539.766460219998</v>
      </c>
      <c r="AF623" s="28" t="e">
        <f t="shared" si="454"/>
        <v>#DIV/0!</v>
      </c>
      <c r="AG623" s="2" t="e">
        <f t="shared" si="455"/>
        <v>#DIV/0!</v>
      </c>
      <c r="AH623" s="2" t="e">
        <f t="shared" si="456"/>
        <v>#DIV/0!</v>
      </c>
      <c r="AI623" s="2" t="e">
        <f t="shared" si="477"/>
        <v>#DIV/0!</v>
      </c>
      <c r="AJ623" s="2" t="e">
        <f t="shared" si="493"/>
        <v>#DIV/0!</v>
      </c>
      <c r="AK623" s="2" t="e">
        <f t="shared" si="457"/>
        <v>#DIV/0!</v>
      </c>
      <c r="AL623" s="2" t="e">
        <f t="shared" si="458"/>
        <v>#DIV/0!</v>
      </c>
      <c r="AM623" s="2" t="e">
        <f t="shared" si="478"/>
        <v>#DIV/0!</v>
      </c>
      <c r="AN623" s="2">
        <f t="shared" si="459"/>
        <v>0</v>
      </c>
      <c r="AO623" s="2" t="e">
        <f t="shared" si="460"/>
        <v>#DIV/0!</v>
      </c>
      <c r="AP623" s="2" t="e">
        <f t="shared" si="461"/>
        <v>#DIV/0!</v>
      </c>
      <c r="AQ623" s="2" t="e">
        <f t="shared" si="479"/>
        <v>#DIV/0!</v>
      </c>
      <c r="AR623" s="2" t="e">
        <f t="shared" si="494"/>
        <v>#DIV/0!</v>
      </c>
      <c r="AS623" s="2" t="e">
        <f t="shared" si="462"/>
        <v>#DIV/0!</v>
      </c>
      <c r="AT623" s="2" t="e">
        <f t="shared" si="463"/>
        <v>#DIV/0!</v>
      </c>
      <c r="AU623" s="2" t="e">
        <f t="shared" si="480"/>
        <v>#DIV/0!</v>
      </c>
      <c r="AV623" s="2" t="e">
        <f t="shared" si="464"/>
        <v>#DIV/0!</v>
      </c>
      <c r="AW623" s="2" t="e">
        <f t="shared" si="465"/>
        <v>#DIV/0!</v>
      </c>
      <c r="AX623" s="2" t="e">
        <f t="shared" si="466"/>
        <v>#DIV/0!</v>
      </c>
      <c r="AY623" s="2" t="e">
        <f t="shared" si="481"/>
        <v>#DIV/0!</v>
      </c>
      <c r="AZ623" s="2" t="e">
        <f t="shared" si="495"/>
        <v>#DIV/0!</v>
      </c>
      <c r="BA623" s="2" t="e">
        <f t="shared" si="467"/>
        <v>#DIV/0!</v>
      </c>
      <c r="BB623" s="2" t="e">
        <f t="shared" si="468"/>
        <v>#DIV/0!</v>
      </c>
      <c r="BC623" s="2" t="e">
        <f t="shared" si="482"/>
        <v>#DIV/0!</v>
      </c>
      <c r="BD623" s="2">
        <v>0</v>
      </c>
      <c r="BE623" s="2" t="e">
        <f t="shared" si="469"/>
        <v>#DIV/0!</v>
      </c>
      <c r="BF623" s="2" t="e">
        <f t="shared" si="470"/>
        <v>#DIV/0!</v>
      </c>
      <c r="BG623" s="2" t="e">
        <f t="shared" si="483"/>
        <v>#DIV/0!</v>
      </c>
      <c r="BH623" s="2" t="e">
        <f t="shared" si="496"/>
        <v>#DIV/0!</v>
      </c>
      <c r="BI623" s="2" t="e">
        <f t="shared" si="471"/>
        <v>#DIV/0!</v>
      </c>
      <c r="BJ623" s="2" t="e">
        <f t="shared" si="472"/>
        <v>#DIV/0!</v>
      </c>
      <c r="BK623" s="2" t="e">
        <f t="shared" si="484"/>
        <v>#DIV/0!</v>
      </c>
      <c r="BL623" s="2" t="e">
        <f t="shared" si="473"/>
        <v>#DIV/0!</v>
      </c>
      <c r="BM623" s="2" t="e">
        <f t="shared" si="474"/>
        <v>#DIV/0!</v>
      </c>
      <c r="BN623" s="2" t="e">
        <f t="shared" si="485"/>
        <v>#DIV/0!</v>
      </c>
    </row>
    <row r="624" spans="1:66" x14ac:dyDescent="0.25">
      <c r="A624" s="42">
        <v>621</v>
      </c>
      <c r="E624" s="6">
        <f t="shared" si="475"/>
        <v>0</v>
      </c>
      <c r="F624" s="5" t="str">
        <f t="shared" si="486"/>
        <v>Break Even</v>
      </c>
      <c r="G624" s="4">
        <f t="shared" si="487"/>
        <v>0</v>
      </c>
      <c r="N624" s="5">
        <f t="shared" si="488"/>
        <v>0</v>
      </c>
      <c r="O624" s="4" t="e">
        <f t="shared" si="489"/>
        <v>#DIV/0!</v>
      </c>
      <c r="P624" s="5">
        <f t="shared" si="448"/>
        <v>0</v>
      </c>
      <c r="R624" s="2">
        <f t="shared" si="492"/>
        <v>0</v>
      </c>
      <c r="T624" s="2">
        <f t="shared" si="476"/>
        <v>0</v>
      </c>
      <c r="V624" s="5">
        <f t="shared" si="490"/>
        <v>0</v>
      </c>
      <c r="W624" s="4" t="e">
        <f t="shared" si="491"/>
        <v>#DIV/0!</v>
      </c>
      <c r="X624" s="14">
        <f t="shared" si="449"/>
        <v>0</v>
      </c>
      <c r="Y624" s="5">
        <f t="shared" si="450"/>
        <v>0</v>
      </c>
      <c r="Z624" s="2">
        <f t="shared" si="451"/>
        <v>0</v>
      </c>
      <c r="AA624" s="4">
        <f t="shared" si="452"/>
        <v>0</v>
      </c>
      <c r="AB624" s="13">
        <f t="shared" si="453"/>
        <v>0</v>
      </c>
      <c r="AC624" s="10">
        <f>SUM($E$4:E624)</f>
        <v>-22024.091160220025</v>
      </c>
      <c r="AD624" s="20">
        <f>SUM($AB$4:AB624)</f>
        <v>13539.766460219998</v>
      </c>
      <c r="AF624" s="28" t="e">
        <f t="shared" si="454"/>
        <v>#DIV/0!</v>
      </c>
      <c r="AG624" s="2" t="e">
        <f t="shared" si="455"/>
        <v>#DIV/0!</v>
      </c>
      <c r="AH624" s="2" t="e">
        <f t="shared" si="456"/>
        <v>#DIV/0!</v>
      </c>
      <c r="AI624" s="2" t="e">
        <f t="shared" si="477"/>
        <v>#DIV/0!</v>
      </c>
      <c r="AJ624" s="2" t="e">
        <f t="shared" si="493"/>
        <v>#DIV/0!</v>
      </c>
      <c r="AK624" s="2" t="e">
        <f t="shared" si="457"/>
        <v>#DIV/0!</v>
      </c>
      <c r="AL624" s="2" t="e">
        <f t="shared" si="458"/>
        <v>#DIV/0!</v>
      </c>
      <c r="AM624" s="2" t="e">
        <f t="shared" si="478"/>
        <v>#DIV/0!</v>
      </c>
      <c r="AN624" s="2">
        <f t="shared" si="459"/>
        <v>0</v>
      </c>
      <c r="AO624" s="2" t="e">
        <f t="shared" si="460"/>
        <v>#DIV/0!</v>
      </c>
      <c r="AP624" s="2" t="e">
        <f t="shared" si="461"/>
        <v>#DIV/0!</v>
      </c>
      <c r="AQ624" s="2" t="e">
        <f t="shared" si="479"/>
        <v>#DIV/0!</v>
      </c>
      <c r="AR624" s="2" t="e">
        <f t="shared" si="494"/>
        <v>#DIV/0!</v>
      </c>
      <c r="AS624" s="2" t="e">
        <f t="shared" si="462"/>
        <v>#DIV/0!</v>
      </c>
      <c r="AT624" s="2" t="e">
        <f t="shared" si="463"/>
        <v>#DIV/0!</v>
      </c>
      <c r="AU624" s="2" t="e">
        <f t="shared" si="480"/>
        <v>#DIV/0!</v>
      </c>
      <c r="AV624" s="2" t="e">
        <f t="shared" si="464"/>
        <v>#DIV/0!</v>
      </c>
      <c r="AW624" s="2" t="e">
        <f t="shared" si="465"/>
        <v>#DIV/0!</v>
      </c>
      <c r="AX624" s="2" t="e">
        <f t="shared" si="466"/>
        <v>#DIV/0!</v>
      </c>
      <c r="AY624" s="2" t="e">
        <f t="shared" si="481"/>
        <v>#DIV/0!</v>
      </c>
      <c r="AZ624" s="2" t="e">
        <f t="shared" si="495"/>
        <v>#DIV/0!</v>
      </c>
      <c r="BA624" s="2" t="e">
        <f t="shared" si="467"/>
        <v>#DIV/0!</v>
      </c>
      <c r="BB624" s="2" t="e">
        <f t="shared" si="468"/>
        <v>#DIV/0!</v>
      </c>
      <c r="BC624" s="2" t="e">
        <f t="shared" si="482"/>
        <v>#DIV/0!</v>
      </c>
      <c r="BD624" s="2">
        <v>0</v>
      </c>
      <c r="BE624" s="2" t="e">
        <f t="shared" si="469"/>
        <v>#DIV/0!</v>
      </c>
      <c r="BF624" s="2" t="e">
        <f t="shared" si="470"/>
        <v>#DIV/0!</v>
      </c>
      <c r="BG624" s="2" t="e">
        <f t="shared" si="483"/>
        <v>#DIV/0!</v>
      </c>
      <c r="BH624" s="2" t="e">
        <f t="shared" si="496"/>
        <v>#DIV/0!</v>
      </c>
      <c r="BI624" s="2" t="e">
        <f t="shared" si="471"/>
        <v>#DIV/0!</v>
      </c>
      <c r="BJ624" s="2" t="e">
        <f t="shared" si="472"/>
        <v>#DIV/0!</v>
      </c>
      <c r="BK624" s="2" t="e">
        <f t="shared" si="484"/>
        <v>#DIV/0!</v>
      </c>
      <c r="BL624" s="2" t="e">
        <f t="shared" si="473"/>
        <v>#DIV/0!</v>
      </c>
      <c r="BM624" s="2" t="e">
        <f t="shared" si="474"/>
        <v>#DIV/0!</v>
      </c>
      <c r="BN624" s="2" t="e">
        <f t="shared" si="485"/>
        <v>#DIV/0!</v>
      </c>
    </row>
    <row r="625" spans="1:66" x14ac:dyDescent="0.25">
      <c r="A625" s="42">
        <v>622</v>
      </c>
      <c r="E625" s="6">
        <f t="shared" si="475"/>
        <v>0</v>
      </c>
      <c r="F625" s="5" t="str">
        <f t="shared" si="486"/>
        <v>Break Even</v>
      </c>
      <c r="G625" s="4">
        <f t="shared" si="487"/>
        <v>0</v>
      </c>
      <c r="N625" s="5">
        <f t="shared" si="488"/>
        <v>0</v>
      </c>
      <c r="O625" s="4" t="e">
        <f t="shared" si="489"/>
        <v>#DIV/0!</v>
      </c>
      <c r="P625" s="5">
        <f t="shared" si="448"/>
        <v>0</v>
      </c>
      <c r="R625" s="2">
        <f t="shared" si="492"/>
        <v>0</v>
      </c>
      <c r="T625" s="2">
        <f t="shared" si="476"/>
        <v>0</v>
      </c>
      <c r="V625" s="5">
        <f t="shared" si="490"/>
        <v>0</v>
      </c>
      <c r="W625" s="4" t="e">
        <f t="shared" si="491"/>
        <v>#DIV/0!</v>
      </c>
      <c r="X625" s="14">
        <f t="shared" si="449"/>
        <v>0</v>
      </c>
      <c r="Y625" s="5">
        <f t="shared" si="450"/>
        <v>0</v>
      </c>
      <c r="Z625" s="2">
        <f t="shared" si="451"/>
        <v>0</v>
      </c>
      <c r="AA625" s="4">
        <f t="shared" si="452"/>
        <v>0</v>
      </c>
      <c r="AB625" s="13">
        <f t="shared" si="453"/>
        <v>0</v>
      </c>
      <c r="AC625" s="10">
        <f>SUM($E$4:E625)</f>
        <v>-22024.091160220025</v>
      </c>
      <c r="AD625" s="20">
        <f>SUM($AB$4:AB625)</f>
        <v>13539.766460219998</v>
      </c>
      <c r="AF625" s="28" t="e">
        <f t="shared" si="454"/>
        <v>#DIV/0!</v>
      </c>
      <c r="AG625" s="2" t="e">
        <f t="shared" si="455"/>
        <v>#DIV/0!</v>
      </c>
      <c r="AH625" s="2" t="e">
        <f t="shared" si="456"/>
        <v>#DIV/0!</v>
      </c>
      <c r="AI625" s="2" t="e">
        <f t="shared" si="477"/>
        <v>#DIV/0!</v>
      </c>
      <c r="AJ625" s="2" t="e">
        <f t="shared" si="493"/>
        <v>#DIV/0!</v>
      </c>
      <c r="AK625" s="2" t="e">
        <f t="shared" si="457"/>
        <v>#DIV/0!</v>
      </c>
      <c r="AL625" s="2" t="e">
        <f t="shared" si="458"/>
        <v>#DIV/0!</v>
      </c>
      <c r="AM625" s="2" t="e">
        <f t="shared" si="478"/>
        <v>#DIV/0!</v>
      </c>
      <c r="AN625" s="2">
        <f t="shared" si="459"/>
        <v>0</v>
      </c>
      <c r="AO625" s="2" t="e">
        <f t="shared" si="460"/>
        <v>#DIV/0!</v>
      </c>
      <c r="AP625" s="2" t="e">
        <f t="shared" si="461"/>
        <v>#DIV/0!</v>
      </c>
      <c r="AQ625" s="2" t="e">
        <f t="shared" si="479"/>
        <v>#DIV/0!</v>
      </c>
      <c r="AR625" s="2" t="e">
        <f t="shared" si="494"/>
        <v>#DIV/0!</v>
      </c>
      <c r="AS625" s="2" t="e">
        <f t="shared" si="462"/>
        <v>#DIV/0!</v>
      </c>
      <c r="AT625" s="2" t="e">
        <f t="shared" si="463"/>
        <v>#DIV/0!</v>
      </c>
      <c r="AU625" s="2" t="e">
        <f t="shared" si="480"/>
        <v>#DIV/0!</v>
      </c>
      <c r="AV625" s="2" t="e">
        <f t="shared" si="464"/>
        <v>#DIV/0!</v>
      </c>
      <c r="AW625" s="2" t="e">
        <f t="shared" si="465"/>
        <v>#DIV/0!</v>
      </c>
      <c r="AX625" s="2" t="e">
        <f t="shared" si="466"/>
        <v>#DIV/0!</v>
      </c>
      <c r="AY625" s="2" t="e">
        <f t="shared" si="481"/>
        <v>#DIV/0!</v>
      </c>
      <c r="AZ625" s="2" t="e">
        <f t="shared" si="495"/>
        <v>#DIV/0!</v>
      </c>
      <c r="BA625" s="2" t="e">
        <f t="shared" si="467"/>
        <v>#DIV/0!</v>
      </c>
      <c r="BB625" s="2" t="e">
        <f t="shared" si="468"/>
        <v>#DIV/0!</v>
      </c>
      <c r="BC625" s="2" t="e">
        <f t="shared" si="482"/>
        <v>#DIV/0!</v>
      </c>
      <c r="BD625" s="2">
        <v>0</v>
      </c>
      <c r="BE625" s="2" t="e">
        <f t="shared" si="469"/>
        <v>#DIV/0!</v>
      </c>
      <c r="BF625" s="2" t="e">
        <f t="shared" si="470"/>
        <v>#DIV/0!</v>
      </c>
      <c r="BG625" s="2" t="e">
        <f t="shared" si="483"/>
        <v>#DIV/0!</v>
      </c>
      <c r="BH625" s="2" t="e">
        <f t="shared" si="496"/>
        <v>#DIV/0!</v>
      </c>
      <c r="BI625" s="2" t="e">
        <f t="shared" si="471"/>
        <v>#DIV/0!</v>
      </c>
      <c r="BJ625" s="2" t="e">
        <f t="shared" si="472"/>
        <v>#DIV/0!</v>
      </c>
      <c r="BK625" s="2" t="e">
        <f t="shared" si="484"/>
        <v>#DIV/0!</v>
      </c>
      <c r="BL625" s="2" t="e">
        <f t="shared" si="473"/>
        <v>#DIV/0!</v>
      </c>
      <c r="BM625" s="2" t="e">
        <f t="shared" si="474"/>
        <v>#DIV/0!</v>
      </c>
      <c r="BN625" s="2" t="e">
        <f t="shared" si="485"/>
        <v>#DIV/0!</v>
      </c>
    </row>
    <row r="626" spans="1:66" x14ac:dyDescent="0.25">
      <c r="A626" s="42">
        <v>623</v>
      </c>
      <c r="E626" s="6">
        <f t="shared" si="475"/>
        <v>0</v>
      </c>
      <c r="F626" s="5" t="str">
        <f t="shared" si="486"/>
        <v>Break Even</v>
      </c>
      <c r="G626" s="4">
        <f t="shared" si="487"/>
        <v>0</v>
      </c>
      <c r="N626" s="5">
        <f t="shared" si="488"/>
        <v>0</v>
      </c>
      <c r="O626" s="4" t="e">
        <f t="shared" si="489"/>
        <v>#DIV/0!</v>
      </c>
      <c r="P626" s="5">
        <f t="shared" si="448"/>
        <v>0</v>
      </c>
      <c r="R626" s="2">
        <f t="shared" si="492"/>
        <v>0</v>
      </c>
      <c r="T626" s="2">
        <f t="shared" si="476"/>
        <v>0</v>
      </c>
      <c r="V626" s="5">
        <f t="shared" si="490"/>
        <v>0</v>
      </c>
      <c r="W626" s="4" t="e">
        <f t="shared" si="491"/>
        <v>#DIV/0!</v>
      </c>
      <c r="X626" s="14">
        <f t="shared" si="449"/>
        <v>0</v>
      </c>
      <c r="Y626" s="5">
        <f t="shared" si="450"/>
        <v>0</v>
      </c>
      <c r="Z626" s="2">
        <f t="shared" si="451"/>
        <v>0</v>
      </c>
      <c r="AA626" s="4">
        <f t="shared" si="452"/>
        <v>0</v>
      </c>
      <c r="AB626" s="13">
        <f t="shared" si="453"/>
        <v>0</v>
      </c>
      <c r="AC626" s="10">
        <f>SUM($E$4:E626)</f>
        <v>-22024.091160220025</v>
      </c>
      <c r="AD626" s="20">
        <f>SUM($AB$4:AB626)</f>
        <v>13539.766460219998</v>
      </c>
      <c r="AF626" s="28" t="e">
        <f t="shared" si="454"/>
        <v>#DIV/0!</v>
      </c>
      <c r="AG626" s="2" t="e">
        <f t="shared" si="455"/>
        <v>#DIV/0!</v>
      </c>
      <c r="AH626" s="2" t="e">
        <f t="shared" si="456"/>
        <v>#DIV/0!</v>
      </c>
      <c r="AI626" s="2" t="e">
        <f t="shared" si="477"/>
        <v>#DIV/0!</v>
      </c>
      <c r="AJ626" s="2" t="e">
        <f t="shared" si="493"/>
        <v>#DIV/0!</v>
      </c>
      <c r="AK626" s="2" t="e">
        <f t="shared" si="457"/>
        <v>#DIV/0!</v>
      </c>
      <c r="AL626" s="2" t="e">
        <f t="shared" si="458"/>
        <v>#DIV/0!</v>
      </c>
      <c r="AM626" s="2" t="e">
        <f t="shared" si="478"/>
        <v>#DIV/0!</v>
      </c>
      <c r="AN626" s="2">
        <f t="shared" si="459"/>
        <v>0</v>
      </c>
      <c r="AO626" s="2" t="e">
        <f t="shared" si="460"/>
        <v>#DIV/0!</v>
      </c>
      <c r="AP626" s="2" t="e">
        <f t="shared" si="461"/>
        <v>#DIV/0!</v>
      </c>
      <c r="AQ626" s="2" t="e">
        <f t="shared" si="479"/>
        <v>#DIV/0!</v>
      </c>
      <c r="AR626" s="2" t="e">
        <f t="shared" si="494"/>
        <v>#DIV/0!</v>
      </c>
      <c r="AS626" s="2" t="e">
        <f t="shared" si="462"/>
        <v>#DIV/0!</v>
      </c>
      <c r="AT626" s="2" t="e">
        <f t="shared" si="463"/>
        <v>#DIV/0!</v>
      </c>
      <c r="AU626" s="2" t="e">
        <f t="shared" si="480"/>
        <v>#DIV/0!</v>
      </c>
      <c r="AV626" s="2" t="e">
        <f t="shared" si="464"/>
        <v>#DIV/0!</v>
      </c>
      <c r="AW626" s="2" t="e">
        <f t="shared" si="465"/>
        <v>#DIV/0!</v>
      </c>
      <c r="AX626" s="2" t="e">
        <f t="shared" si="466"/>
        <v>#DIV/0!</v>
      </c>
      <c r="AY626" s="2" t="e">
        <f t="shared" si="481"/>
        <v>#DIV/0!</v>
      </c>
      <c r="AZ626" s="2" t="e">
        <f t="shared" si="495"/>
        <v>#DIV/0!</v>
      </c>
      <c r="BA626" s="2" t="e">
        <f t="shared" si="467"/>
        <v>#DIV/0!</v>
      </c>
      <c r="BB626" s="2" t="e">
        <f t="shared" si="468"/>
        <v>#DIV/0!</v>
      </c>
      <c r="BC626" s="2" t="e">
        <f t="shared" si="482"/>
        <v>#DIV/0!</v>
      </c>
      <c r="BD626" s="2">
        <v>0</v>
      </c>
      <c r="BE626" s="2" t="e">
        <f t="shared" si="469"/>
        <v>#DIV/0!</v>
      </c>
      <c r="BF626" s="2" t="e">
        <f t="shared" si="470"/>
        <v>#DIV/0!</v>
      </c>
      <c r="BG626" s="2" t="e">
        <f t="shared" si="483"/>
        <v>#DIV/0!</v>
      </c>
      <c r="BH626" s="2" t="e">
        <f t="shared" si="496"/>
        <v>#DIV/0!</v>
      </c>
      <c r="BI626" s="2" t="e">
        <f t="shared" si="471"/>
        <v>#DIV/0!</v>
      </c>
      <c r="BJ626" s="2" t="e">
        <f t="shared" si="472"/>
        <v>#DIV/0!</v>
      </c>
      <c r="BK626" s="2" t="e">
        <f t="shared" si="484"/>
        <v>#DIV/0!</v>
      </c>
      <c r="BL626" s="2" t="e">
        <f t="shared" si="473"/>
        <v>#DIV/0!</v>
      </c>
      <c r="BM626" s="2" t="e">
        <f t="shared" si="474"/>
        <v>#DIV/0!</v>
      </c>
      <c r="BN626" s="2" t="e">
        <f t="shared" si="485"/>
        <v>#DIV/0!</v>
      </c>
    </row>
    <row r="627" spans="1:66" x14ac:dyDescent="0.25">
      <c r="A627" s="42">
        <v>624</v>
      </c>
      <c r="E627" s="6">
        <f t="shared" si="475"/>
        <v>0</v>
      </c>
      <c r="F627" s="5" t="str">
        <f t="shared" si="486"/>
        <v>Break Even</v>
      </c>
      <c r="G627" s="4">
        <f t="shared" si="487"/>
        <v>0</v>
      </c>
      <c r="N627" s="5">
        <f t="shared" si="488"/>
        <v>0</v>
      </c>
      <c r="O627" s="4" t="e">
        <f t="shared" si="489"/>
        <v>#DIV/0!</v>
      </c>
      <c r="P627" s="5">
        <f t="shared" si="448"/>
        <v>0</v>
      </c>
      <c r="R627" s="2">
        <f t="shared" si="492"/>
        <v>0</v>
      </c>
      <c r="T627" s="2">
        <f t="shared" si="476"/>
        <v>0</v>
      </c>
      <c r="V627" s="5">
        <f t="shared" si="490"/>
        <v>0</v>
      </c>
      <c r="W627" s="4" t="e">
        <f t="shared" si="491"/>
        <v>#DIV/0!</v>
      </c>
      <c r="X627" s="14">
        <f t="shared" si="449"/>
        <v>0</v>
      </c>
      <c r="Y627" s="5">
        <f t="shared" si="450"/>
        <v>0</v>
      </c>
      <c r="Z627" s="2">
        <f t="shared" si="451"/>
        <v>0</v>
      </c>
      <c r="AA627" s="4">
        <f t="shared" si="452"/>
        <v>0</v>
      </c>
      <c r="AB627" s="13">
        <f t="shared" si="453"/>
        <v>0</v>
      </c>
      <c r="AC627" s="10">
        <f>SUM($E$4:E627)</f>
        <v>-22024.091160220025</v>
      </c>
      <c r="AD627" s="20">
        <f>SUM($AB$4:AB627)</f>
        <v>13539.766460219998</v>
      </c>
      <c r="AF627" s="28" t="e">
        <f t="shared" si="454"/>
        <v>#DIV/0!</v>
      </c>
      <c r="AG627" s="2" t="e">
        <f t="shared" si="455"/>
        <v>#DIV/0!</v>
      </c>
      <c r="AH627" s="2" t="e">
        <f t="shared" si="456"/>
        <v>#DIV/0!</v>
      </c>
      <c r="AI627" s="2" t="e">
        <f t="shared" si="477"/>
        <v>#DIV/0!</v>
      </c>
      <c r="AJ627" s="2" t="e">
        <f t="shared" si="493"/>
        <v>#DIV/0!</v>
      </c>
      <c r="AK627" s="2" t="e">
        <f t="shared" si="457"/>
        <v>#DIV/0!</v>
      </c>
      <c r="AL627" s="2" t="e">
        <f t="shared" si="458"/>
        <v>#DIV/0!</v>
      </c>
      <c r="AM627" s="2" t="e">
        <f t="shared" si="478"/>
        <v>#DIV/0!</v>
      </c>
      <c r="AN627" s="2">
        <f t="shared" si="459"/>
        <v>0</v>
      </c>
      <c r="AO627" s="2" t="e">
        <f t="shared" si="460"/>
        <v>#DIV/0!</v>
      </c>
      <c r="AP627" s="2" t="e">
        <f t="shared" si="461"/>
        <v>#DIV/0!</v>
      </c>
      <c r="AQ627" s="2" t="e">
        <f t="shared" si="479"/>
        <v>#DIV/0!</v>
      </c>
      <c r="AR627" s="2" t="e">
        <f t="shared" si="494"/>
        <v>#DIV/0!</v>
      </c>
      <c r="AS627" s="2" t="e">
        <f t="shared" si="462"/>
        <v>#DIV/0!</v>
      </c>
      <c r="AT627" s="2" t="e">
        <f t="shared" si="463"/>
        <v>#DIV/0!</v>
      </c>
      <c r="AU627" s="2" t="e">
        <f t="shared" si="480"/>
        <v>#DIV/0!</v>
      </c>
      <c r="AV627" s="2" t="e">
        <f t="shared" si="464"/>
        <v>#DIV/0!</v>
      </c>
      <c r="AW627" s="2" t="e">
        <f t="shared" si="465"/>
        <v>#DIV/0!</v>
      </c>
      <c r="AX627" s="2" t="e">
        <f t="shared" si="466"/>
        <v>#DIV/0!</v>
      </c>
      <c r="AY627" s="2" t="e">
        <f t="shared" si="481"/>
        <v>#DIV/0!</v>
      </c>
      <c r="AZ627" s="2" t="e">
        <f t="shared" si="495"/>
        <v>#DIV/0!</v>
      </c>
      <c r="BA627" s="2" t="e">
        <f t="shared" si="467"/>
        <v>#DIV/0!</v>
      </c>
      <c r="BB627" s="2" t="e">
        <f t="shared" si="468"/>
        <v>#DIV/0!</v>
      </c>
      <c r="BC627" s="2" t="e">
        <f t="shared" si="482"/>
        <v>#DIV/0!</v>
      </c>
      <c r="BD627" s="2">
        <v>0</v>
      </c>
      <c r="BE627" s="2" t="e">
        <f t="shared" si="469"/>
        <v>#DIV/0!</v>
      </c>
      <c r="BF627" s="2" t="e">
        <f t="shared" si="470"/>
        <v>#DIV/0!</v>
      </c>
      <c r="BG627" s="2" t="e">
        <f t="shared" si="483"/>
        <v>#DIV/0!</v>
      </c>
      <c r="BH627" s="2" t="e">
        <f t="shared" si="496"/>
        <v>#DIV/0!</v>
      </c>
      <c r="BI627" s="2" t="e">
        <f t="shared" si="471"/>
        <v>#DIV/0!</v>
      </c>
      <c r="BJ627" s="2" t="e">
        <f t="shared" si="472"/>
        <v>#DIV/0!</v>
      </c>
      <c r="BK627" s="2" t="e">
        <f t="shared" si="484"/>
        <v>#DIV/0!</v>
      </c>
      <c r="BL627" s="2" t="e">
        <f t="shared" si="473"/>
        <v>#DIV/0!</v>
      </c>
      <c r="BM627" s="2" t="e">
        <f t="shared" si="474"/>
        <v>#DIV/0!</v>
      </c>
      <c r="BN627" s="2" t="e">
        <f t="shared" si="485"/>
        <v>#DIV/0!</v>
      </c>
    </row>
    <row r="628" spans="1:66" x14ac:dyDescent="0.25">
      <c r="A628" s="42">
        <v>625</v>
      </c>
      <c r="E628" s="6">
        <f t="shared" si="475"/>
        <v>0</v>
      </c>
      <c r="F628" s="5" t="str">
        <f t="shared" si="486"/>
        <v>Break Even</v>
      </c>
      <c r="G628" s="4">
        <f t="shared" si="487"/>
        <v>0</v>
      </c>
      <c r="N628" s="5">
        <f t="shared" si="488"/>
        <v>0</v>
      </c>
      <c r="O628" s="4" t="e">
        <f t="shared" si="489"/>
        <v>#DIV/0!</v>
      </c>
      <c r="P628" s="5">
        <f t="shared" si="448"/>
        <v>0</v>
      </c>
      <c r="R628" s="2">
        <f t="shared" si="492"/>
        <v>0</v>
      </c>
      <c r="T628" s="2">
        <f t="shared" si="476"/>
        <v>0</v>
      </c>
      <c r="V628" s="5">
        <f t="shared" si="490"/>
        <v>0</v>
      </c>
      <c r="W628" s="4" t="e">
        <f t="shared" si="491"/>
        <v>#DIV/0!</v>
      </c>
      <c r="X628" s="14">
        <f t="shared" si="449"/>
        <v>0</v>
      </c>
      <c r="Y628" s="5">
        <f t="shared" si="450"/>
        <v>0</v>
      </c>
      <c r="Z628" s="2">
        <f t="shared" si="451"/>
        <v>0</v>
      </c>
      <c r="AA628" s="4">
        <f t="shared" si="452"/>
        <v>0</v>
      </c>
      <c r="AB628" s="13">
        <f t="shared" si="453"/>
        <v>0</v>
      </c>
      <c r="AC628" s="10">
        <f>SUM($E$4:E628)</f>
        <v>-22024.091160220025</v>
      </c>
      <c r="AD628" s="20">
        <f>SUM($AB$4:AB628)</f>
        <v>13539.766460219998</v>
      </c>
      <c r="AF628" s="28" t="e">
        <f t="shared" si="454"/>
        <v>#DIV/0!</v>
      </c>
      <c r="AG628" s="2" t="e">
        <f t="shared" si="455"/>
        <v>#DIV/0!</v>
      </c>
      <c r="AH628" s="2" t="e">
        <f t="shared" si="456"/>
        <v>#DIV/0!</v>
      </c>
      <c r="AI628" s="2" t="e">
        <f t="shared" si="477"/>
        <v>#DIV/0!</v>
      </c>
      <c r="AJ628" s="2" t="e">
        <f t="shared" si="493"/>
        <v>#DIV/0!</v>
      </c>
      <c r="AK628" s="2" t="e">
        <f t="shared" si="457"/>
        <v>#DIV/0!</v>
      </c>
      <c r="AL628" s="2" t="e">
        <f t="shared" si="458"/>
        <v>#DIV/0!</v>
      </c>
      <c r="AM628" s="2" t="e">
        <f t="shared" si="478"/>
        <v>#DIV/0!</v>
      </c>
      <c r="AN628" s="2">
        <f t="shared" si="459"/>
        <v>0</v>
      </c>
      <c r="AO628" s="2" t="e">
        <f t="shared" si="460"/>
        <v>#DIV/0!</v>
      </c>
      <c r="AP628" s="2" t="e">
        <f t="shared" si="461"/>
        <v>#DIV/0!</v>
      </c>
      <c r="AQ628" s="2" t="e">
        <f t="shared" si="479"/>
        <v>#DIV/0!</v>
      </c>
      <c r="AR628" s="2" t="e">
        <f t="shared" si="494"/>
        <v>#DIV/0!</v>
      </c>
      <c r="AS628" s="2" t="e">
        <f t="shared" si="462"/>
        <v>#DIV/0!</v>
      </c>
      <c r="AT628" s="2" t="e">
        <f t="shared" si="463"/>
        <v>#DIV/0!</v>
      </c>
      <c r="AU628" s="2" t="e">
        <f t="shared" si="480"/>
        <v>#DIV/0!</v>
      </c>
      <c r="AV628" s="2" t="e">
        <f t="shared" si="464"/>
        <v>#DIV/0!</v>
      </c>
      <c r="AW628" s="2" t="e">
        <f t="shared" si="465"/>
        <v>#DIV/0!</v>
      </c>
      <c r="AX628" s="2" t="e">
        <f t="shared" si="466"/>
        <v>#DIV/0!</v>
      </c>
      <c r="AY628" s="2" t="e">
        <f t="shared" si="481"/>
        <v>#DIV/0!</v>
      </c>
      <c r="AZ628" s="2" t="e">
        <f t="shared" si="495"/>
        <v>#DIV/0!</v>
      </c>
      <c r="BA628" s="2" t="e">
        <f t="shared" si="467"/>
        <v>#DIV/0!</v>
      </c>
      <c r="BB628" s="2" t="e">
        <f t="shared" si="468"/>
        <v>#DIV/0!</v>
      </c>
      <c r="BC628" s="2" t="e">
        <f t="shared" si="482"/>
        <v>#DIV/0!</v>
      </c>
      <c r="BD628" s="2">
        <v>0</v>
      </c>
      <c r="BE628" s="2" t="e">
        <f t="shared" si="469"/>
        <v>#DIV/0!</v>
      </c>
      <c r="BF628" s="2" t="e">
        <f t="shared" si="470"/>
        <v>#DIV/0!</v>
      </c>
      <c r="BG628" s="2" t="e">
        <f t="shared" si="483"/>
        <v>#DIV/0!</v>
      </c>
      <c r="BH628" s="2" t="e">
        <f t="shared" si="496"/>
        <v>#DIV/0!</v>
      </c>
      <c r="BI628" s="2" t="e">
        <f t="shared" si="471"/>
        <v>#DIV/0!</v>
      </c>
      <c r="BJ628" s="2" t="e">
        <f t="shared" si="472"/>
        <v>#DIV/0!</v>
      </c>
      <c r="BK628" s="2" t="e">
        <f t="shared" si="484"/>
        <v>#DIV/0!</v>
      </c>
      <c r="BL628" s="2" t="e">
        <f t="shared" si="473"/>
        <v>#DIV/0!</v>
      </c>
      <c r="BM628" s="2" t="e">
        <f t="shared" si="474"/>
        <v>#DIV/0!</v>
      </c>
      <c r="BN628" s="2" t="e">
        <f t="shared" si="485"/>
        <v>#DIV/0!</v>
      </c>
    </row>
    <row r="629" spans="1:66" x14ac:dyDescent="0.25">
      <c r="A629" s="42">
        <v>626</v>
      </c>
      <c r="E629" s="6">
        <f t="shared" si="475"/>
        <v>0</v>
      </c>
      <c r="F629" s="5" t="str">
        <f t="shared" si="486"/>
        <v>Break Even</v>
      </c>
      <c r="G629" s="4">
        <f t="shared" si="487"/>
        <v>0</v>
      </c>
      <c r="N629" s="5">
        <f t="shared" si="488"/>
        <v>0</v>
      </c>
      <c r="O629" s="4" t="e">
        <f t="shared" si="489"/>
        <v>#DIV/0!</v>
      </c>
      <c r="P629" s="5">
        <f t="shared" si="448"/>
        <v>0</v>
      </c>
      <c r="R629" s="2">
        <f t="shared" si="492"/>
        <v>0</v>
      </c>
      <c r="T629" s="2">
        <f t="shared" si="476"/>
        <v>0</v>
      </c>
      <c r="V629" s="5">
        <f t="shared" si="490"/>
        <v>0</v>
      </c>
      <c r="W629" s="4" t="e">
        <f t="shared" si="491"/>
        <v>#DIV/0!</v>
      </c>
      <c r="X629" s="14">
        <f t="shared" si="449"/>
        <v>0</v>
      </c>
      <c r="Y629" s="5">
        <f t="shared" si="450"/>
        <v>0</v>
      </c>
      <c r="Z629" s="2">
        <f t="shared" si="451"/>
        <v>0</v>
      </c>
      <c r="AA629" s="4">
        <f t="shared" si="452"/>
        <v>0</v>
      </c>
      <c r="AB629" s="13">
        <f t="shared" si="453"/>
        <v>0</v>
      </c>
      <c r="AC629" s="10">
        <f>SUM($E$4:E629)</f>
        <v>-22024.091160220025</v>
      </c>
      <c r="AD629" s="20">
        <f>SUM($AB$4:AB629)</f>
        <v>13539.766460219998</v>
      </c>
      <c r="AF629" s="28" t="e">
        <f t="shared" si="454"/>
        <v>#DIV/0!</v>
      </c>
      <c r="AG629" s="2" t="e">
        <f t="shared" si="455"/>
        <v>#DIV/0!</v>
      </c>
      <c r="AH629" s="2" t="e">
        <f t="shared" si="456"/>
        <v>#DIV/0!</v>
      </c>
      <c r="AI629" s="2" t="e">
        <f t="shared" si="477"/>
        <v>#DIV/0!</v>
      </c>
      <c r="AJ629" s="2" t="e">
        <f t="shared" si="493"/>
        <v>#DIV/0!</v>
      </c>
      <c r="AK629" s="2" t="e">
        <f t="shared" si="457"/>
        <v>#DIV/0!</v>
      </c>
      <c r="AL629" s="2" t="e">
        <f t="shared" si="458"/>
        <v>#DIV/0!</v>
      </c>
      <c r="AM629" s="2" t="e">
        <f t="shared" si="478"/>
        <v>#DIV/0!</v>
      </c>
      <c r="AN629" s="2">
        <f t="shared" si="459"/>
        <v>0</v>
      </c>
      <c r="AO629" s="2" t="e">
        <f t="shared" si="460"/>
        <v>#DIV/0!</v>
      </c>
      <c r="AP629" s="2" t="e">
        <f t="shared" si="461"/>
        <v>#DIV/0!</v>
      </c>
      <c r="AQ629" s="2" t="e">
        <f t="shared" si="479"/>
        <v>#DIV/0!</v>
      </c>
      <c r="AR629" s="2" t="e">
        <f t="shared" si="494"/>
        <v>#DIV/0!</v>
      </c>
      <c r="AS629" s="2" t="e">
        <f t="shared" si="462"/>
        <v>#DIV/0!</v>
      </c>
      <c r="AT629" s="2" t="e">
        <f t="shared" si="463"/>
        <v>#DIV/0!</v>
      </c>
      <c r="AU629" s="2" t="e">
        <f t="shared" si="480"/>
        <v>#DIV/0!</v>
      </c>
      <c r="AV629" s="2" t="e">
        <f t="shared" si="464"/>
        <v>#DIV/0!</v>
      </c>
      <c r="AW629" s="2" t="e">
        <f t="shared" si="465"/>
        <v>#DIV/0!</v>
      </c>
      <c r="AX629" s="2" t="e">
        <f t="shared" si="466"/>
        <v>#DIV/0!</v>
      </c>
      <c r="AY629" s="2" t="e">
        <f t="shared" si="481"/>
        <v>#DIV/0!</v>
      </c>
      <c r="AZ629" s="2" t="e">
        <f t="shared" si="495"/>
        <v>#DIV/0!</v>
      </c>
      <c r="BA629" s="2" t="e">
        <f t="shared" si="467"/>
        <v>#DIV/0!</v>
      </c>
      <c r="BB629" s="2" t="e">
        <f t="shared" si="468"/>
        <v>#DIV/0!</v>
      </c>
      <c r="BC629" s="2" t="e">
        <f t="shared" si="482"/>
        <v>#DIV/0!</v>
      </c>
      <c r="BD629" s="2">
        <v>0</v>
      </c>
      <c r="BE629" s="2" t="e">
        <f t="shared" si="469"/>
        <v>#DIV/0!</v>
      </c>
      <c r="BF629" s="2" t="e">
        <f t="shared" si="470"/>
        <v>#DIV/0!</v>
      </c>
      <c r="BG629" s="2" t="e">
        <f t="shared" si="483"/>
        <v>#DIV/0!</v>
      </c>
      <c r="BH629" s="2" t="e">
        <f t="shared" si="496"/>
        <v>#DIV/0!</v>
      </c>
      <c r="BI629" s="2" t="e">
        <f t="shared" si="471"/>
        <v>#DIV/0!</v>
      </c>
      <c r="BJ629" s="2" t="e">
        <f t="shared" si="472"/>
        <v>#DIV/0!</v>
      </c>
      <c r="BK629" s="2" t="e">
        <f t="shared" si="484"/>
        <v>#DIV/0!</v>
      </c>
      <c r="BL629" s="2" t="e">
        <f t="shared" si="473"/>
        <v>#DIV/0!</v>
      </c>
      <c r="BM629" s="2" t="e">
        <f t="shared" si="474"/>
        <v>#DIV/0!</v>
      </c>
      <c r="BN629" s="2" t="e">
        <f t="shared" si="485"/>
        <v>#DIV/0!</v>
      </c>
    </row>
    <row r="630" spans="1:66" x14ac:dyDescent="0.25">
      <c r="A630" s="42">
        <v>627</v>
      </c>
      <c r="E630" s="6">
        <f t="shared" si="475"/>
        <v>0</v>
      </c>
      <c r="F630" s="5" t="str">
        <f t="shared" si="486"/>
        <v>Break Even</v>
      </c>
      <c r="G630" s="4">
        <f t="shared" si="487"/>
        <v>0</v>
      </c>
      <c r="N630" s="5">
        <f t="shared" si="488"/>
        <v>0</v>
      </c>
      <c r="O630" s="4" t="e">
        <f t="shared" si="489"/>
        <v>#DIV/0!</v>
      </c>
      <c r="P630" s="5">
        <f t="shared" si="448"/>
        <v>0</v>
      </c>
      <c r="R630" s="2">
        <f t="shared" si="492"/>
        <v>0</v>
      </c>
      <c r="T630" s="2">
        <f t="shared" si="476"/>
        <v>0</v>
      </c>
      <c r="V630" s="5">
        <f t="shared" si="490"/>
        <v>0</v>
      </c>
      <c r="W630" s="4" t="e">
        <f t="shared" si="491"/>
        <v>#DIV/0!</v>
      </c>
      <c r="X630" s="14">
        <f t="shared" si="449"/>
        <v>0</v>
      </c>
      <c r="Y630" s="5">
        <f t="shared" si="450"/>
        <v>0</v>
      </c>
      <c r="Z630" s="2">
        <f t="shared" si="451"/>
        <v>0</v>
      </c>
      <c r="AA630" s="4">
        <f t="shared" si="452"/>
        <v>0</v>
      </c>
      <c r="AB630" s="13">
        <f t="shared" si="453"/>
        <v>0</v>
      </c>
      <c r="AC630" s="10">
        <f>SUM($E$4:E630)</f>
        <v>-22024.091160220025</v>
      </c>
      <c r="AD630" s="20">
        <f>SUM($AB$4:AB630)</f>
        <v>13539.766460219998</v>
      </c>
      <c r="AF630" s="28" t="e">
        <f t="shared" si="454"/>
        <v>#DIV/0!</v>
      </c>
      <c r="AG630" s="2" t="e">
        <f t="shared" si="455"/>
        <v>#DIV/0!</v>
      </c>
      <c r="AH630" s="2" t="e">
        <f t="shared" si="456"/>
        <v>#DIV/0!</v>
      </c>
      <c r="AI630" s="2" t="e">
        <f t="shared" si="477"/>
        <v>#DIV/0!</v>
      </c>
      <c r="AJ630" s="2" t="e">
        <f t="shared" si="493"/>
        <v>#DIV/0!</v>
      </c>
      <c r="AK630" s="2" t="e">
        <f t="shared" si="457"/>
        <v>#DIV/0!</v>
      </c>
      <c r="AL630" s="2" t="e">
        <f t="shared" si="458"/>
        <v>#DIV/0!</v>
      </c>
      <c r="AM630" s="2" t="e">
        <f t="shared" si="478"/>
        <v>#DIV/0!</v>
      </c>
      <c r="AN630" s="2">
        <f t="shared" si="459"/>
        <v>0</v>
      </c>
      <c r="AO630" s="2" t="e">
        <f t="shared" si="460"/>
        <v>#DIV/0!</v>
      </c>
      <c r="AP630" s="2" t="e">
        <f t="shared" si="461"/>
        <v>#DIV/0!</v>
      </c>
      <c r="AQ630" s="2" t="e">
        <f t="shared" si="479"/>
        <v>#DIV/0!</v>
      </c>
      <c r="AR630" s="2" t="e">
        <f t="shared" si="494"/>
        <v>#DIV/0!</v>
      </c>
      <c r="AS630" s="2" t="e">
        <f t="shared" si="462"/>
        <v>#DIV/0!</v>
      </c>
      <c r="AT630" s="2" t="e">
        <f t="shared" si="463"/>
        <v>#DIV/0!</v>
      </c>
      <c r="AU630" s="2" t="e">
        <f t="shared" si="480"/>
        <v>#DIV/0!</v>
      </c>
      <c r="AV630" s="2" t="e">
        <f t="shared" si="464"/>
        <v>#DIV/0!</v>
      </c>
      <c r="AW630" s="2" t="e">
        <f t="shared" si="465"/>
        <v>#DIV/0!</v>
      </c>
      <c r="AX630" s="2" t="e">
        <f t="shared" si="466"/>
        <v>#DIV/0!</v>
      </c>
      <c r="AY630" s="2" t="e">
        <f t="shared" si="481"/>
        <v>#DIV/0!</v>
      </c>
      <c r="AZ630" s="2" t="e">
        <f t="shared" si="495"/>
        <v>#DIV/0!</v>
      </c>
      <c r="BA630" s="2" t="e">
        <f t="shared" si="467"/>
        <v>#DIV/0!</v>
      </c>
      <c r="BB630" s="2" t="e">
        <f t="shared" si="468"/>
        <v>#DIV/0!</v>
      </c>
      <c r="BC630" s="2" t="e">
        <f t="shared" si="482"/>
        <v>#DIV/0!</v>
      </c>
      <c r="BD630" s="2">
        <v>0</v>
      </c>
      <c r="BE630" s="2" t="e">
        <f t="shared" si="469"/>
        <v>#DIV/0!</v>
      </c>
      <c r="BF630" s="2" t="e">
        <f t="shared" si="470"/>
        <v>#DIV/0!</v>
      </c>
      <c r="BG630" s="2" t="e">
        <f t="shared" si="483"/>
        <v>#DIV/0!</v>
      </c>
      <c r="BH630" s="2" t="e">
        <f t="shared" si="496"/>
        <v>#DIV/0!</v>
      </c>
      <c r="BI630" s="2" t="e">
        <f t="shared" si="471"/>
        <v>#DIV/0!</v>
      </c>
      <c r="BJ630" s="2" t="e">
        <f t="shared" si="472"/>
        <v>#DIV/0!</v>
      </c>
      <c r="BK630" s="2" t="e">
        <f t="shared" si="484"/>
        <v>#DIV/0!</v>
      </c>
      <c r="BL630" s="2" t="e">
        <f t="shared" si="473"/>
        <v>#DIV/0!</v>
      </c>
      <c r="BM630" s="2" t="e">
        <f t="shared" si="474"/>
        <v>#DIV/0!</v>
      </c>
      <c r="BN630" s="2" t="e">
        <f t="shared" si="485"/>
        <v>#DIV/0!</v>
      </c>
    </row>
    <row r="631" spans="1:66" x14ac:dyDescent="0.25">
      <c r="A631" s="42">
        <v>628</v>
      </c>
      <c r="E631" s="6">
        <f t="shared" si="475"/>
        <v>0</v>
      </c>
      <c r="F631" s="5" t="str">
        <f t="shared" si="486"/>
        <v>Break Even</v>
      </c>
      <c r="G631" s="4">
        <f t="shared" si="487"/>
        <v>0</v>
      </c>
      <c r="N631" s="5">
        <f t="shared" si="488"/>
        <v>0</v>
      </c>
      <c r="O631" s="4" t="e">
        <f t="shared" si="489"/>
        <v>#DIV/0!</v>
      </c>
      <c r="P631" s="5">
        <f t="shared" si="448"/>
        <v>0</v>
      </c>
      <c r="R631" s="2">
        <f t="shared" si="492"/>
        <v>0</v>
      </c>
      <c r="T631" s="2">
        <f t="shared" si="476"/>
        <v>0</v>
      </c>
      <c r="V631" s="5">
        <f t="shared" si="490"/>
        <v>0</v>
      </c>
      <c r="W631" s="4" t="e">
        <f t="shared" si="491"/>
        <v>#DIV/0!</v>
      </c>
      <c r="X631" s="14">
        <f t="shared" si="449"/>
        <v>0</v>
      </c>
      <c r="Y631" s="5">
        <f t="shared" si="450"/>
        <v>0</v>
      </c>
      <c r="Z631" s="2">
        <f t="shared" si="451"/>
        <v>0</v>
      </c>
      <c r="AA631" s="4">
        <f t="shared" si="452"/>
        <v>0</v>
      </c>
      <c r="AB631" s="13">
        <f t="shared" si="453"/>
        <v>0</v>
      </c>
      <c r="AC631" s="10">
        <f>SUM($E$4:E631)</f>
        <v>-22024.091160220025</v>
      </c>
      <c r="AD631" s="20">
        <f>SUM($AB$4:AB631)</f>
        <v>13539.766460219998</v>
      </c>
      <c r="AF631" s="28" t="e">
        <f t="shared" si="454"/>
        <v>#DIV/0!</v>
      </c>
      <c r="AG631" s="2" t="e">
        <f t="shared" si="455"/>
        <v>#DIV/0!</v>
      </c>
      <c r="AH631" s="2" t="e">
        <f t="shared" si="456"/>
        <v>#DIV/0!</v>
      </c>
      <c r="AI631" s="2" t="e">
        <f t="shared" si="477"/>
        <v>#DIV/0!</v>
      </c>
      <c r="AJ631" s="2" t="e">
        <f t="shared" si="493"/>
        <v>#DIV/0!</v>
      </c>
      <c r="AK631" s="2" t="e">
        <f t="shared" si="457"/>
        <v>#DIV/0!</v>
      </c>
      <c r="AL631" s="2" t="e">
        <f t="shared" si="458"/>
        <v>#DIV/0!</v>
      </c>
      <c r="AM631" s="2" t="e">
        <f t="shared" si="478"/>
        <v>#DIV/0!</v>
      </c>
      <c r="AN631" s="2">
        <f t="shared" si="459"/>
        <v>0</v>
      </c>
      <c r="AO631" s="2" t="e">
        <f t="shared" si="460"/>
        <v>#DIV/0!</v>
      </c>
      <c r="AP631" s="2" t="e">
        <f t="shared" si="461"/>
        <v>#DIV/0!</v>
      </c>
      <c r="AQ631" s="2" t="e">
        <f t="shared" si="479"/>
        <v>#DIV/0!</v>
      </c>
      <c r="AR631" s="2" t="e">
        <f t="shared" si="494"/>
        <v>#DIV/0!</v>
      </c>
      <c r="AS631" s="2" t="e">
        <f t="shared" si="462"/>
        <v>#DIV/0!</v>
      </c>
      <c r="AT631" s="2" t="e">
        <f t="shared" si="463"/>
        <v>#DIV/0!</v>
      </c>
      <c r="AU631" s="2" t="e">
        <f t="shared" si="480"/>
        <v>#DIV/0!</v>
      </c>
      <c r="AV631" s="2" t="e">
        <f t="shared" si="464"/>
        <v>#DIV/0!</v>
      </c>
      <c r="AW631" s="2" t="e">
        <f t="shared" si="465"/>
        <v>#DIV/0!</v>
      </c>
      <c r="AX631" s="2" t="e">
        <f t="shared" si="466"/>
        <v>#DIV/0!</v>
      </c>
      <c r="AY631" s="2" t="e">
        <f t="shared" si="481"/>
        <v>#DIV/0!</v>
      </c>
      <c r="AZ631" s="2" t="e">
        <f t="shared" si="495"/>
        <v>#DIV/0!</v>
      </c>
      <c r="BA631" s="2" t="e">
        <f t="shared" si="467"/>
        <v>#DIV/0!</v>
      </c>
      <c r="BB631" s="2" t="e">
        <f t="shared" si="468"/>
        <v>#DIV/0!</v>
      </c>
      <c r="BC631" s="2" t="e">
        <f t="shared" si="482"/>
        <v>#DIV/0!</v>
      </c>
      <c r="BD631" s="2">
        <v>0</v>
      </c>
      <c r="BE631" s="2" t="e">
        <f t="shared" si="469"/>
        <v>#DIV/0!</v>
      </c>
      <c r="BF631" s="2" t="e">
        <f t="shared" si="470"/>
        <v>#DIV/0!</v>
      </c>
      <c r="BG631" s="2" t="e">
        <f t="shared" si="483"/>
        <v>#DIV/0!</v>
      </c>
      <c r="BH631" s="2" t="e">
        <f t="shared" si="496"/>
        <v>#DIV/0!</v>
      </c>
      <c r="BI631" s="2" t="e">
        <f t="shared" si="471"/>
        <v>#DIV/0!</v>
      </c>
      <c r="BJ631" s="2" t="e">
        <f t="shared" si="472"/>
        <v>#DIV/0!</v>
      </c>
      <c r="BK631" s="2" t="e">
        <f t="shared" si="484"/>
        <v>#DIV/0!</v>
      </c>
      <c r="BL631" s="2" t="e">
        <f t="shared" si="473"/>
        <v>#DIV/0!</v>
      </c>
      <c r="BM631" s="2" t="e">
        <f t="shared" si="474"/>
        <v>#DIV/0!</v>
      </c>
      <c r="BN631" s="2" t="e">
        <f t="shared" si="485"/>
        <v>#DIV/0!</v>
      </c>
    </row>
    <row r="632" spans="1:66" x14ac:dyDescent="0.25">
      <c r="A632" s="42">
        <v>629</v>
      </c>
      <c r="E632" s="6">
        <f t="shared" si="475"/>
        <v>0</v>
      </c>
      <c r="F632" s="5" t="str">
        <f t="shared" si="486"/>
        <v>Break Even</v>
      </c>
      <c r="G632" s="4">
        <f t="shared" si="487"/>
        <v>0</v>
      </c>
      <c r="N632" s="5">
        <f t="shared" si="488"/>
        <v>0</v>
      </c>
      <c r="O632" s="4" t="e">
        <f t="shared" si="489"/>
        <v>#DIV/0!</v>
      </c>
      <c r="P632" s="5">
        <f t="shared" si="448"/>
        <v>0</v>
      </c>
      <c r="R632" s="2">
        <f t="shared" si="492"/>
        <v>0</v>
      </c>
      <c r="T632" s="2">
        <f t="shared" si="476"/>
        <v>0</v>
      </c>
      <c r="V632" s="5">
        <f t="shared" si="490"/>
        <v>0</v>
      </c>
      <c r="W632" s="4" t="e">
        <f t="shared" si="491"/>
        <v>#DIV/0!</v>
      </c>
      <c r="X632" s="14">
        <f t="shared" si="449"/>
        <v>0</v>
      </c>
      <c r="Y632" s="5">
        <f t="shared" si="450"/>
        <v>0</v>
      </c>
      <c r="Z632" s="2">
        <f t="shared" si="451"/>
        <v>0</v>
      </c>
      <c r="AA632" s="4">
        <f t="shared" si="452"/>
        <v>0</v>
      </c>
      <c r="AB632" s="13">
        <f t="shared" si="453"/>
        <v>0</v>
      </c>
      <c r="AC632" s="10">
        <f>SUM($E$4:E632)</f>
        <v>-22024.091160220025</v>
      </c>
      <c r="AD632" s="20">
        <f>SUM($AB$4:AB632)</f>
        <v>13539.766460219998</v>
      </c>
      <c r="AF632" s="28" t="e">
        <f t="shared" si="454"/>
        <v>#DIV/0!</v>
      </c>
      <c r="AG632" s="2" t="e">
        <f t="shared" si="455"/>
        <v>#DIV/0!</v>
      </c>
      <c r="AH632" s="2" t="e">
        <f t="shared" si="456"/>
        <v>#DIV/0!</v>
      </c>
      <c r="AI632" s="2" t="e">
        <f t="shared" si="477"/>
        <v>#DIV/0!</v>
      </c>
      <c r="AJ632" s="2" t="e">
        <f t="shared" si="493"/>
        <v>#DIV/0!</v>
      </c>
      <c r="AK632" s="2" t="e">
        <f t="shared" si="457"/>
        <v>#DIV/0!</v>
      </c>
      <c r="AL632" s="2" t="e">
        <f t="shared" si="458"/>
        <v>#DIV/0!</v>
      </c>
      <c r="AM632" s="2" t="e">
        <f t="shared" si="478"/>
        <v>#DIV/0!</v>
      </c>
      <c r="AN632" s="2">
        <f t="shared" si="459"/>
        <v>0</v>
      </c>
      <c r="AO632" s="2" t="e">
        <f t="shared" si="460"/>
        <v>#DIV/0!</v>
      </c>
      <c r="AP632" s="2" t="e">
        <f t="shared" si="461"/>
        <v>#DIV/0!</v>
      </c>
      <c r="AQ632" s="2" t="e">
        <f t="shared" si="479"/>
        <v>#DIV/0!</v>
      </c>
      <c r="AR632" s="2" t="e">
        <f t="shared" si="494"/>
        <v>#DIV/0!</v>
      </c>
      <c r="AS632" s="2" t="e">
        <f t="shared" si="462"/>
        <v>#DIV/0!</v>
      </c>
      <c r="AT632" s="2" t="e">
        <f t="shared" si="463"/>
        <v>#DIV/0!</v>
      </c>
      <c r="AU632" s="2" t="e">
        <f t="shared" si="480"/>
        <v>#DIV/0!</v>
      </c>
      <c r="AV632" s="2" t="e">
        <f t="shared" si="464"/>
        <v>#DIV/0!</v>
      </c>
      <c r="AW632" s="2" t="e">
        <f t="shared" si="465"/>
        <v>#DIV/0!</v>
      </c>
      <c r="AX632" s="2" t="e">
        <f t="shared" si="466"/>
        <v>#DIV/0!</v>
      </c>
      <c r="AY632" s="2" t="e">
        <f t="shared" si="481"/>
        <v>#DIV/0!</v>
      </c>
      <c r="AZ632" s="2" t="e">
        <f t="shared" si="495"/>
        <v>#DIV/0!</v>
      </c>
      <c r="BA632" s="2" t="e">
        <f t="shared" si="467"/>
        <v>#DIV/0!</v>
      </c>
      <c r="BB632" s="2" t="e">
        <f t="shared" si="468"/>
        <v>#DIV/0!</v>
      </c>
      <c r="BC632" s="2" t="e">
        <f t="shared" si="482"/>
        <v>#DIV/0!</v>
      </c>
      <c r="BD632" s="2">
        <v>0</v>
      </c>
      <c r="BE632" s="2" t="e">
        <f t="shared" si="469"/>
        <v>#DIV/0!</v>
      </c>
      <c r="BF632" s="2" t="e">
        <f t="shared" si="470"/>
        <v>#DIV/0!</v>
      </c>
      <c r="BG632" s="2" t="e">
        <f t="shared" si="483"/>
        <v>#DIV/0!</v>
      </c>
      <c r="BH632" s="2" t="e">
        <f t="shared" si="496"/>
        <v>#DIV/0!</v>
      </c>
      <c r="BI632" s="2" t="e">
        <f t="shared" si="471"/>
        <v>#DIV/0!</v>
      </c>
      <c r="BJ632" s="2" t="e">
        <f t="shared" si="472"/>
        <v>#DIV/0!</v>
      </c>
      <c r="BK632" s="2" t="e">
        <f t="shared" si="484"/>
        <v>#DIV/0!</v>
      </c>
      <c r="BL632" s="2" t="e">
        <f t="shared" si="473"/>
        <v>#DIV/0!</v>
      </c>
      <c r="BM632" s="2" t="e">
        <f t="shared" si="474"/>
        <v>#DIV/0!</v>
      </c>
      <c r="BN632" s="2" t="e">
        <f t="shared" si="485"/>
        <v>#DIV/0!</v>
      </c>
    </row>
    <row r="633" spans="1:66" x14ac:dyDescent="0.25">
      <c r="A633" s="42">
        <v>630</v>
      </c>
      <c r="E633" s="6">
        <f t="shared" si="475"/>
        <v>0</v>
      </c>
      <c r="F633" s="5" t="str">
        <f t="shared" si="486"/>
        <v>Break Even</v>
      </c>
      <c r="G633" s="4">
        <f t="shared" si="487"/>
        <v>0</v>
      </c>
      <c r="N633" s="5">
        <f t="shared" si="488"/>
        <v>0</v>
      </c>
      <c r="O633" s="4" t="e">
        <f t="shared" si="489"/>
        <v>#DIV/0!</v>
      </c>
      <c r="P633" s="5">
        <f t="shared" si="448"/>
        <v>0</v>
      </c>
      <c r="R633" s="2">
        <f t="shared" si="492"/>
        <v>0</v>
      </c>
      <c r="T633" s="2">
        <f t="shared" si="476"/>
        <v>0</v>
      </c>
      <c r="V633" s="5">
        <f t="shared" si="490"/>
        <v>0</v>
      </c>
      <c r="W633" s="4" t="e">
        <f t="shared" si="491"/>
        <v>#DIV/0!</v>
      </c>
      <c r="X633" s="14">
        <f t="shared" si="449"/>
        <v>0</v>
      </c>
      <c r="Y633" s="5">
        <f t="shared" si="450"/>
        <v>0</v>
      </c>
      <c r="Z633" s="2">
        <f t="shared" si="451"/>
        <v>0</v>
      </c>
      <c r="AA633" s="4">
        <f t="shared" si="452"/>
        <v>0</v>
      </c>
      <c r="AB633" s="13">
        <f t="shared" si="453"/>
        <v>0</v>
      </c>
      <c r="AC633" s="10">
        <f>SUM($E$4:E633)</f>
        <v>-22024.091160220025</v>
      </c>
      <c r="AD633" s="20">
        <f>SUM($AB$4:AB633)</f>
        <v>13539.766460219998</v>
      </c>
      <c r="AF633" s="28" t="e">
        <f t="shared" si="454"/>
        <v>#DIV/0!</v>
      </c>
      <c r="AG633" s="2" t="e">
        <f t="shared" si="455"/>
        <v>#DIV/0!</v>
      </c>
      <c r="AH633" s="2" t="e">
        <f t="shared" si="456"/>
        <v>#DIV/0!</v>
      </c>
      <c r="AI633" s="2" t="e">
        <f t="shared" si="477"/>
        <v>#DIV/0!</v>
      </c>
      <c r="AJ633" s="2" t="e">
        <f t="shared" si="493"/>
        <v>#DIV/0!</v>
      </c>
      <c r="AK633" s="2" t="e">
        <f t="shared" si="457"/>
        <v>#DIV/0!</v>
      </c>
      <c r="AL633" s="2" t="e">
        <f t="shared" si="458"/>
        <v>#DIV/0!</v>
      </c>
      <c r="AM633" s="2" t="e">
        <f t="shared" si="478"/>
        <v>#DIV/0!</v>
      </c>
      <c r="AN633" s="2">
        <f t="shared" si="459"/>
        <v>0</v>
      </c>
      <c r="AO633" s="2" t="e">
        <f t="shared" si="460"/>
        <v>#DIV/0!</v>
      </c>
      <c r="AP633" s="2" t="e">
        <f t="shared" si="461"/>
        <v>#DIV/0!</v>
      </c>
      <c r="AQ633" s="2" t="e">
        <f t="shared" si="479"/>
        <v>#DIV/0!</v>
      </c>
      <c r="AR633" s="2" t="e">
        <f t="shared" si="494"/>
        <v>#DIV/0!</v>
      </c>
      <c r="AS633" s="2" t="e">
        <f t="shared" si="462"/>
        <v>#DIV/0!</v>
      </c>
      <c r="AT633" s="2" t="e">
        <f t="shared" si="463"/>
        <v>#DIV/0!</v>
      </c>
      <c r="AU633" s="2" t="e">
        <f t="shared" si="480"/>
        <v>#DIV/0!</v>
      </c>
      <c r="AV633" s="2" t="e">
        <f t="shared" si="464"/>
        <v>#DIV/0!</v>
      </c>
      <c r="AW633" s="2" t="e">
        <f t="shared" si="465"/>
        <v>#DIV/0!</v>
      </c>
      <c r="AX633" s="2" t="e">
        <f t="shared" si="466"/>
        <v>#DIV/0!</v>
      </c>
      <c r="AY633" s="2" t="e">
        <f t="shared" si="481"/>
        <v>#DIV/0!</v>
      </c>
      <c r="AZ633" s="2" t="e">
        <f t="shared" si="495"/>
        <v>#DIV/0!</v>
      </c>
      <c r="BA633" s="2" t="e">
        <f t="shared" si="467"/>
        <v>#DIV/0!</v>
      </c>
      <c r="BB633" s="2" t="e">
        <f t="shared" si="468"/>
        <v>#DIV/0!</v>
      </c>
      <c r="BC633" s="2" t="e">
        <f t="shared" si="482"/>
        <v>#DIV/0!</v>
      </c>
      <c r="BD633" s="2">
        <v>0</v>
      </c>
      <c r="BE633" s="2" t="e">
        <f t="shared" si="469"/>
        <v>#DIV/0!</v>
      </c>
      <c r="BF633" s="2" t="e">
        <f t="shared" si="470"/>
        <v>#DIV/0!</v>
      </c>
      <c r="BG633" s="2" t="e">
        <f t="shared" si="483"/>
        <v>#DIV/0!</v>
      </c>
      <c r="BH633" s="2" t="e">
        <f t="shared" si="496"/>
        <v>#DIV/0!</v>
      </c>
      <c r="BI633" s="2" t="e">
        <f t="shared" si="471"/>
        <v>#DIV/0!</v>
      </c>
      <c r="BJ633" s="2" t="e">
        <f t="shared" si="472"/>
        <v>#DIV/0!</v>
      </c>
      <c r="BK633" s="2" t="e">
        <f t="shared" si="484"/>
        <v>#DIV/0!</v>
      </c>
      <c r="BL633" s="2" t="e">
        <f t="shared" si="473"/>
        <v>#DIV/0!</v>
      </c>
      <c r="BM633" s="2" t="e">
        <f t="shared" si="474"/>
        <v>#DIV/0!</v>
      </c>
      <c r="BN633" s="2" t="e">
        <f t="shared" si="485"/>
        <v>#DIV/0!</v>
      </c>
    </row>
    <row r="634" spans="1:66" x14ac:dyDescent="0.25">
      <c r="A634" s="42">
        <v>631</v>
      </c>
      <c r="E634" s="6">
        <f t="shared" si="475"/>
        <v>0</v>
      </c>
      <c r="F634" s="5" t="str">
        <f t="shared" si="486"/>
        <v>Break Even</v>
      </c>
      <c r="G634" s="4">
        <f t="shared" si="487"/>
        <v>0</v>
      </c>
      <c r="N634" s="5">
        <f t="shared" si="488"/>
        <v>0</v>
      </c>
      <c r="O634" s="4" t="e">
        <f t="shared" si="489"/>
        <v>#DIV/0!</v>
      </c>
      <c r="P634" s="5">
        <f t="shared" si="448"/>
        <v>0</v>
      </c>
      <c r="R634" s="2">
        <f t="shared" si="492"/>
        <v>0</v>
      </c>
      <c r="T634" s="2">
        <f t="shared" si="476"/>
        <v>0</v>
      </c>
      <c r="V634" s="5">
        <f t="shared" si="490"/>
        <v>0</v>
      </c>
      <c r="W634" s="4" t="e">
        <f t="shared" si="491"/>
        <v>#DIV/0!</v>
      </c>
      <c r="X634" s="14">
        <f t="shared" si="449"/>
        <v>0</v>
      </c>
      <c r="Y634" s="5">
        <f t="shared" si="450"/>
        <v>0</v>
      </c>
      <c r="Z634" s="2">
        <f t="shared" si="451"/>
        <v>0</v>
      </c>
      <c r="AA634" s="4">
        <f t="shared" si="452"/>
        <v>0</v>
      </c>
      <c r="AB634" s="13">
        <f t="shared" si="453"/>
        <v>0</v>
      </c>
      <c r="AC634" s="10">
        <f>SUM($E$4:E634)</f>
        <v>-22024.091160220025</v>
      </c>
      <c r="AD634" s="20">
        <f>SUM($AB$4:AB634)</f>
        <v>13539.766460219998</v>
      </c>
      <c r="AF634" s="28" t="e">
        <f t="shared" si="454"/>
        <v>#DIV/0!</v>
      </c>
      <c r="AG634" s="2" t="e">
        <f t="shared" si="455"/>
        <v>#DIV/0!</v>
      </c>
      <c r="AH634" s="2" t="e">
        <f t="shared" si="456"/>
        <v>#DIV/0!</v>
      </c>
      <c r="AI634" s="2" t="e">
        <f t="shared" si="477"/>
        <v>#DIV/0!</v>
      </c>
      <c r="AJ634" s="2" t="e">
        <f t="shared" si="493"/>
        <v>#DIV/0!</v>
      </c>
      <c r="AK634" s="2" t="e">
        <f t="shared" si="457"/>
        <v>#DIV/0!</v>
      </c>
      <c r="AL634" s="2" t="e">
        <f t="shared" si="458"/>
        <v>#DIV/0!</v>
      </c>
      <c r="AM634" s="2" t="e">
        <f t="shared" si="478"/>
        <v>#DIV/0!</v>
      </c>
      <c r="AN634" s="2">
        <f t="shared" si="459"/>
        <v>0</v>
      </c>
      <c r="AO634" s="2" t="e">
        <f t="shared" si="460"/>
        <v>#DIV/0!</v>
      </c>
      <c r="AP634" s="2" t="e">
        <f t="shared" si="461"/>
        <v>#DIV/0!</v>
      </c>
      <c r="AQ634" s="2" t="e">
        <f t="shared" si="479"/>
        <v>#DIV/0!</v>
      </c>
      <c r="AR634" s="2" t="e">
        <f t="shared" si="494"/>
        <v>#DIV/0!</v>
      </c>
      <c r="AS634" s="2" t="e">
        <f t="shared" si="462"/>
        <v>#DIV/0!</v>
      </c>
      <c r="AT634" s="2" t="e">
        <f t="shared" si="463"/>
        <v>#DIV/0!</v>
      </c>
      <c r="AU634" s="2" t="e">
        <f t="shared" si="480"/>
        <v>#DIV/0!</v>
      </c>
      <c r="AV634" s="2" t="e">
        <f t="shared" si="464"/>
        <v>#DIV/0!</v>
      </c>
      <c r="AW634" s="2" t="e">
        <f t="shared" si="465"/>
        <v>#DIV/0!</v>
      </c>
      <c r="AX634" s="2" t="e">
        <f t="shared" si="466"/>
        <v>#DIV/0!</v>
      </c>
      <c r="AY634" s="2" t="e">
        <f t="shared" si="481"/>
        <v>#DIV/0!</v>
      </c>
      <c r="AZ634" s="2" t="e">
        <f t="shared" si="495"/>
        <v>#DIV/0!</v>
      </c>
      <c r="BA634" s="2" t="e">
        <f t="shared" si="467"/>
        <v>#DIV/0!</v>
      </c>
      <c r="BB634" s="2" t="e">
        <f t="shared" si="468"/>
        <v>#DIV/0!</v>
      </c>
      <c r="BC634" s="2" t="e">
        <f t="shared" si="482"/>
        <v>#DIV/0!</v>
      </c>
      <c r="BD634" s="2">
        <v>0</v>
      </c>
      <c r="BE634" s="2" t="e">
        <f t="shared" si="469"/>
        <v>#DIV/0!</v>
      </c>
      <c r="BF634" s="2" t="e">
        <f t="shared" si="470"/>
        <v>#DIV/0!</v>
      </c>
      <c r="BG634" s="2" t="e">
        <f t="shared" si="483"/>
        <v>#DIV/0!</v>
      </c>
      <c r="BH634" s="2" t="e">
        <f t="shared" si="496"/>
        <v>#DIV/0!</v>
      </c>
      <c r="BI634" s="2" t="e">
        <f t="shared" si="471"/>
        <v>#DIV/0!</v>
      </c>
      <c r="BJ634" s="2" t="e">
        <f t="shared" si="472"/>
        <v>#DIV/0!</v>
      </c>
      <c r="BK634" s="2" t="e">
        <f t="shared" si="484"/>
        <v>#DIV/0!</v>
      </c>
      <c r="BL634" s="2" t="e">
        <f t="shared" si="473"/>
        <v>#DIV/0!</v>
      </c>
      <c r="BM634" s="2" t="e">
        <f t="shared" si="474"/>
        <v>#DIV/0!</v>
      </c>
      <c r="BN634" s="2" t="e">
        <f t="shared" si="485"/>
        <v>#DIV/0!</v>
      </c>
    </row>
    <row r="635" spans="1:66" x14ac:dyDescent="0.25">
      <c r="A635" s="42">
        <v>632</v>
      </c>
      <c r="E635" s="6">
        <f t="shared" si="475"/>
        <v>0</v>
      </c>
      <c r="F635" s="5" t="str">
        <f t="shared" si="486"/>
        <v>Break Even</v>
      </c>
      <c r="G635" s="4">
        <f t="shared" si="487"/>
        <v>0</v>
      </c>
      <c r="N635" s="5">
        <f t="shared" si="488"/>
        <v>0</v>
      </c>
      <c r="O635" s="4" t="e">
        <f t="shared" si="489"/>
        <v>#DIV/0!</v>
      </c>
      <c r="P635" s="5">
        <f t="shared" si="448"/>
        <v>0</v>
      </c>
      <c r="R635" s="2">
        <f t="shared" si="492"/>
        <v>0</v>
      </c>
      <c r="T635" s="2">
        <f t="shared" si="476"/>
        <v>0</v>
      </c>
      <c r="V635" s="5">
        <f t="shared" si="490"/>
        <v>0</v>
      </c>
      <c r="W635" s="4" t="e">
        <f t="shared" si="491"/>
        <v>#DIV/0!</v>
      </c>
      <c r="X635" s="14">
        <f t="shared" si="449"/>
        <v>0</v>
      </c>
      <c r="Y635" s="5">
        <f t="shared" si="450"/>
        <v>0</v>
      </c>
      <c r="Z635" s="2">
        <f t="shared" si="451"/>
        <v>0</v>
      </c>
      <c r="AA635" s="4">
        <f t="shared" si="452"/>
        <v>0</v>
      </c>
      <c r="AB635" s="13">
        <f t="shared" si="453"/>
        <v>0</v>
      </c>
      <c r="AC635" s="10">
        <f>SUM($E$4:E635)</f>
        <v>-22024.091160220025</v>
      </c>
      <c r="AD635" s="20">
        <f>SUM($AB$4:AB635)</f>
        <v>13539.766460219998</v>
      </c>
      <c r="AF635" s="28" t="e">
        <f t="shared" si="454"/>
        <v>#DIV/0!</v>
      </c>
      <c r="AG635" s="2" t="e">
        <f t="shared" si="455"/>
        <v>#DIV/0!</v>
      </c>
      <c r="AH635" s="2" t="e">
        <f t="shared" si="456"/>
        <v>#DIV/0!</v>
      </c>
      <c r="AI635" s="2" t="e">
        <f t="shared" si="477"/>
        <v>#DIV/0!</v>
      </c>
      <c r="AJ635" s="2" t="e">
        <f t="shared" si="493"/>
        <v>#DIV/0!</v>
      </c>
      <c r="AK635" s="2" t="e">
        <f t="shared" si="457"/>
        <v>#DIV/0!</v>
      </c>
      <c r="AL635" s="2" t="e">
        <f t="shared" si="458"/>
        <v>#DIV/0!</v>
      </c>
      <c r="AM635" s="2" t="e">
        <f t="shared" si="478"/>
        <v>#DIV/0!</v>
      </c>
      <c r="AN635" s="2">
        <f t="shared" si="459"/>
        <v>0</v>
      </c>
      <c r="AO635" s="2" t="e">
        <f t="shared" si="460"/>
        <v>#DIV/0!</v>
      </c>
      <c r="AP635" s="2" t="e">
        <f t="shared" si="461"/>
        <v>#DIV/0!</v>
      </c>
      <c r="AQ635" s="2" t="e">
        <f t="shared" si="479"/>
        <v>#DIV/0!</v>
      </c>
      <c r="AR635" s="2" t="e">
        <f t="shared" si="494"/>
        <v>#DIV/0!</v>
      </c>
      <c r="AS635" s="2" t="e">
        <f t="shared" si="462"/>
        <v>#DIV/0!</v>
      </c>
      <c r="AT635" s="2" t="e">
        <f t="shared" si="463"/>
        <v>#DIV/0!</v>
      </c>
      <c r="AU635" s="2" t="e">
        <f t="shared" si="480"/>
        <v>#DIV/0!</v>
      </c>
      <c r="AV635" s="2" t="e">
        <f t="shared" si="464"/>
        <v>#DIV/0!</v>
      </c>
      <c r="AW635" s="2" t="e">
        <f t="shared" si="465"/>
        <v>#DIV/0!</v>
      </c>
      <c r="AX635" s="2" t="e">
        <f t="shared" si="466"/>
        <v>#DIV/0!</v>
      </c>
      <c r="AY635" s="2" t="e">
        <f t="shared" si="481"/>
        <v>#DIV/0!</v>
      </c>
      <c r="AZ635" s="2" t="e">
        <f t="shared" si="495"/>
        <v>#DIV/0!</v>
      </c>
      <c r="BA635" s="2" t="e">
        <f t="shared" si="467"/>
        <v>#DIV/0!</v>
      </c>
      <c r="BB635" s="2" t="e">
        <f t="shared" si="468"/>
        <v>#DIV/0!</v>
      </c>
      <c r="BC635" s="2" t="e">
        <f t="shared" si="482"/>
        <v>#DIV/0!</v>
      </c>
      <c r="BD635" s="2">
        <v>0</v>
      </c>
      <c r="BE635" s="2" t="e">
        <f t="shared" si="469"/>
        <v>#DIV/0!</v>
      </c>
      <c r="BF635" s="2" t="e">
        <f t="shared" si="470"/>
        <v>#DIV/0!</v>
      </c>
      <c r="BG635" s="2" t="e">
        <f t="shared" si="483"/>
        <v>#DIV/0!</v>
      </c>
      <c r="BH635" s="2" t="e">
        <f t="shared" si="496"/>
        <v>#DIV/0!</v>
      </c>
      <c r="BI635" s="2" t="e">
        <f t="shared" si="471"/>
        <v>#DIV/0!</v>
      </c>
      <c r="BJ635" s="2" t="e">
        <f t="shared" si="472"/>
        <v>#DIV/0!</v>
      </c>
      <c r="BK635" s="2" t="e">
        <f t="shared" si="484"/>
        <v>#DIV/0!</v>
      </c>
      <c r="BL635" s="2" t="e">
        <f t="shared" si="473"/>
        <v>#DIV/0!</v>
      </c>
      <c r="BM635" s="2" t="e">
        <f t="shared" si="474"/>
        <v>#DIV/0!</v>
      </c>
      <c r="BN635" s="2" t="e">
        <f t="shared" si="485"/>
        <v>#DIV/0!</v>
      </c>
    </row>
    <row r="636" spans="1:66" x14ac:dyDescent="0.25">
      <c r="A636" s="42">
        <v>633</v>
      </c>
      <c r="E636" s="6">
        <f t="shared" si="475"/>
        <v>0</v>
      </c>
      <c r="F636" s="5" t="str">
        <f t="shared" si="486"/>
        <v>Break Even</v>
      </c>
      <c r="G636" s="4">
        <f t="shared" si="487"/>
        <v>0</v>
      </c>
      <c r="N636" s="5">
        <f t="shared" si="488"/>
        <v>0</v>
      </c>
      <c r="O636" s="4" t="e">
        <f t="shared" si="489"/>
        <v>#DIV/0!</v>
      </c>
      <c r="P636" s="5">
        <f t="shared" si="448"/>
        <v>0</v>
      </c>
      <c r="R636" s="2">
        <f t="shared" si="492"/>
        <v>0</v>
      </c>
      <c r="T636" s="2">
        <f t="shared" si="476"/>
        <v>0</v>
      </c>
      <c r="V636" s="5">
        <f t="shared" si="490"/>
        <v>0</v>
      </c>
      <c r="W636" s="4" t="e">
        <f t="shared" si="491"/>
        <v>#DIV/0!</v>
      </c>
      <c r="X636" s="14">
        <f t="shared" si="449"/>
        <v>0</v>
      </c>
      <c r="Y636" s="5">
        <f t="shared" si="450"/>
        <v>0</v>
      </c>
      <c r="Z636" s="2">
        <f t="shared" si="451"/>
        <v>0</v>
      </c>
      <c r="AA636" s="4">
        <f t="shared" si="452"/>
        <v>0</v>
      </c>
      <c r="AB636" s="13">
        <f t="shared" si="453"/>
        <v>0</v>
      </c>
      <c r="AC636" s="10">
        <f>SUM($E$4:E636)</f>
        <v>-22024.091160220025</v>
      </c>
      <c r="AD636" s="20">
        <f>SUM($AB$4:AB636)</f>
        <v>13539.766460219998</v>
      </c>
      <c r="AF636" s="28" t="e">
        <f t="shared" si="454"/>
        <v>#DIV/0!</v>
      </c>
      <c r="AG636" s="2" t="e">
        <f t="shared" si="455"/>
        <v>#DIV/0!</v>
      </c>
      <c r="AH636" s="2" t="e">
        <f t="shared" si="456"/>
        <v>#DIV/0!</v>
      </c>
      <c r="AI636" s="2" t="e">
        <f t="shared" si="477"/>
        <v>#DIV/0!</v>
      </c>
      <c r="AJ636" s="2" t="e">
        <f t="shared" si="493"/>
        <v>#DIV/0!</v>
      </c>
      <c r="AK636" s="2" t="e">
        <f t="shared" si="457"/>
        <v>#DIV/0!</v>
      </c>
      <c r="AL636" s="2" t="e">
        <f t="shared" si="458"/>
        <v>#DIV/0!</v>
      </c>
      <c r="AM636" s="2" t="e">
        <f t="shared" si="478"/>
        <v>#DIV/0!</v>
      </c>
      <c r="AN636" s="2">
        <f t="shared" si="459"/>
        <v>0</v>
      </c>
      <c r="AO636" s="2" t="e">
        <f t="shared" si="460"/>
        <v>#DIV/0!</v>
      </c>
      <c r="AP636" s="2" t="e">
        <f t="shared" si="461"/>
        <v>#DIV/0!</v>
      </c>
      <c r="AQ636" s="2" t="e">
        <f t="shared" si="479"/>
        <v>#DIV/0!</v>
      </c>
      <c r="AR636" s="2" t="e">
        <f t="shared" si="494"/>
        <v>#DIV/0!</v>
      </c>
      <c r="AS636" s="2" t="e">
        <f t="shared" si="462"/>
        <v>#DIV/0!</v>
      </c>
      <c r="AT636" s="2" t="e">
        <f t="shared" si="463"/>
        <v>#DIV/0!</v>
      </c>
      <c r="AU636" s="2" t="e">
        <f t="shared" si="480"/>
        <v>#DIV/0!</v>
      </c>
      <c r="AV636" s="2" t="e">
        <f t="shared" si="464"/>
        <v>#DIV/0!</v>
      </c>
      <c r="AW636" s="2" t="e">
        <f t="shared" si="465"/>
        <v>#DIV/0!</v>
      </c>
      <c r="AX636" s="2" t="e">
        <f t="shared" si="466"/>
        <v>#DIV/0!</v>
      </c>
      <c r="AY636" s="2" t="e">
        <f t="shared" si="481"/>
        <v>#DIV/0!</v>
      </c>
      <c r="AZ636" s="2" t="e">
        <f t="shared" si="495"/>
        <v>#DIV/0!</v>
      </c>
      <c r="BA636" s="2" t="e">
        <f t="shared" si="467"/>
        <v>#DIV/0!</v>
      </c>
      <c r="BB636" s="2" t="e">
        <f t="shared" si="468"/>
        <v>#DIV/0!</v>
      </c>
      <c r="BC636" s="2" t="e">
        <f t="shared" si="482"/>
        <v>#DIV/0!</v>
      </c>
      <c r="BD636" s="2">
        <v>0</v>
      </c>
      <c r="BE636" s="2" t="e">
        <f t="shared" si="469"/>
        <v>#DIV/0!</v>
      </c>
      <c r="BF636" s="2" t="e">
        <f t="shared" si="470"/>
        <v>#DIV/0!</v>
      </c>
      <c r="BG636" s="2" t="e">
        <f t="shared" si="483"/>
        <v>#DIV/0!</v>
      </c>
      <c r="BH636" s="2" t="e">
        <f t="shared" si="496"/>
        <v>#DIV/0!</v>
      </c>
      <c r="BI636" s="2" t="e">
        <f t="shared" si="471"/>
        <v>#DIV/0!</v>
      </c>
      <c r="BJ636" s="2" t="e">
        <f t="shared" si="472"/>
        <v>#DIV/0!</v>
      </c>
      <c r="BK636" s="2" t="e">
        <f t="shared" si="484"/>
        <v>#DIV/0!</v>
      </c>
      <c r="BL636" s="2" t="e">
        <f t="shared" si="473"/>
        <v>#DIV/0!</v>
      </c>
      <c r="BM636" s="2" t="e">
        <f t="shared" si="474"/>
        <v>#DIV/0!</v>
      </c>
      <c r="BN636" s="2" t="e">
        <f t="shared" si="485"/>
        <v>#DIV/0!</v>
      </c>
    </row>
    <row r="637" spans="1:66" x14ac:dyDescent="0.25">
      <c r="A637" s="42">
        <v>634</v>
      </c>
      <c r="E637" s="6">
        <f t="shared" si="475"/>
        <v>0</v>
      </c>
      <c r="F637" s="5" t="str">
        <f t="shared" si="486"/>
        <v>Break Even</v>
      </c>
      <c r="G637" s="4">
        <f t="shared" si="487"/>
        <v>0</v>
      </c>
      <c r="N637" s="5">
        <f t="shared" si="488"/>
        <v>0</v>
      </c>
      <c r="O637" s="4" t="e">
        <f t="shared" si="489"/>
        <v>#DIV/0!</v>
      </c>
      <c r="P637" s="5">
        <f t="shared" si="448"/>
        <v>0</v>
      </c>
      <c r="R637" s="2">
        <f t="shared" si="492"/>
        <v>0</v>
      </c>
      <c r="T637" s="2">
        <f t="shared" si="476"/>
        <v>0</v>
      </c>
      <c r="V637" s="5">
        <f t="shared" si="490"/>
        <v>0</v>
      </c>
      <c r="W637" s="4" t="e">
        <f t="shared" si="491"/>
        <v>#DIV/0!</v>
      </c>
      <c r="X637" s="14">
        <f t="shared" si="449"/>
        <v>0</v>
      </c>
      <c r="Y637" s="5">
        <f t="shared" si="450"/>
        <v>0</v>
      </c>
      <c r="Z637" s="2">
        <f t="shared" si="451"/>
        <v>0</v>
      </c>
      <c r="AA637" s="4">
        <f t="shared" si="452"/>
        <v>0</v>
      </c>
      <c r="AB637" s="13">
        <f t="shared" si="453"/>
        <v>0</v>
      </c>
      <c r="AC637" s="10">
        <f>SUM($E$4:E637)</f>
        <v>-22024.091160220025</v>
      </c>
      <c r="AD637" s="20">
        <f>SUM($AB$4:AB637)</f>
        <v>13539.766460219998</v>
      </c>
      <c r="AF637" s="28" t="e">
        <f t="shared" si="454"/>
        <v>#DIV/0!</v>
      </c>
      <c r="AG637" s="2" t="e">
        <f t="shared" si="455"/>
        <v>#DIV/0!</v>
      </c>
      <c r="AH637" s="2" t="e">
        <f t="shared" si="456"/>
        <v>#DIV/0!</v>
      </c>
      <c r="AI637" s="2" t="e">
        <f t="shared" si="477"/>
        <v>#DIV/0!</v>
      </c>
      <c r="AJ637" s="2" t="e">
        <f t="shared" si="493"/>
        <v>#DIV/0!</v>
      </c>
      <c r="AK637" s="2" t="e">
        <f t="shared" si="457"/>
        <v>#DIV/0!</v>
      </c>
      <c r="AL637" s="2" t="e">
        <f t="shared" si="458"/>
        <v>#DIV/0!</v>
      </c>
      <c r="AM637" s="2" t="e">
        <f t="shared" si="478"/>
        <v>#DIV/0!</v>
      </c>
      <c r="AN637" s="2">
        <f t="shared" si="459"/>
        <v>0</v>
      </c>
      <c r="AO637" s="2" t="e">
        <f t="shared" si="460"/>
        <v>#DIV/0!</v>
      </c>
      <c r="AP637" s="2" t="e">
        <f t="shared" si="461"/>
        <v>#DIV/0!</v>
      </c>
      <c r="AQ637" s="2" t="e">
        <f t="shared" si="479"/>
        <v>#DIV/0!</v>
      </c>
      <c r="AR637" s="2" t="e">
        <f t="shared" si="494"/>
        <v>#DIV/0!</v>
      </c>
      <c r="AS637" s="2" t="e">
        <f t="shared" si="462"/>
        <v>#DIV/0!</v>
      </c>
      <c r="AT637" s="2" t="e">
        <f t="shared" si="463"/>
        <v>#DIV/0!</v>
      </c>
      <c r="AU637" s="2" t="e">
        <f t="shared" si="480"/>
        <v>#DIV/0!</v>
      </c>
      <c r="AV637" s="2" t="e">
        <f t="shared" si="464"/>
        <v>#DIV/0!</v>
      </c>
      <c r="AW637" s="2" t="e">
        <f t="shared" si="465"/>
        <v>#DIV/0!</v>
      </c>
      <c r="AX637" s="2" t="e">
        <f t="shared" si="466"/>
        <v>#DIV/0!</v>
      </c>
      <c r="AY637" s="2" t="e">
        <f t="shared" si="481"/>
        <v>#DIV/0!</v>
      </c>
      <c r="AZ637" s="2" t="e">
        <f t="shared" si="495"/>
        <v>#DIV/0!</v>
      </c>
      <c r="BA637" s="2" t="e">
        <f t="shared" si="467"/>
        <v>#DIV/0!</v>
      </c>
      <c r="BB637" s="2" t="e">
        <f t="shared" si="468"/>
        <v>#DIV/0!</v>
      </c>
      <c r="BC637" s="2" t="e">
        <f t="shared" si="482"/>
        <v>#DIV/0!</v>
      </c>
      <c r="BD637" s="2">
        <v>0</v>
      </c>
      <c r="BE637" s="2" t="e">
        <f t="shared" si="469"/>
        <v>#DIV/0!</v>
      </c>
      <c r="BF637" s="2" t="e">
        <f t="shared" si="470"/>
        <v>#DIV/0!</v>
      </c>
      <c r="BG637" s="2" t="e">
        <f t="shared" si="483"/>
        <v>#DIV/0!</v>
      </c>
      <c r="BH637" s="2" t="e">
        <f t="shared" si="496"/>
        <v>#DIV/0!</v>
      </c>
      <c r="BI637" s="2" t="e">
        <f t="shared" si="471"/>
        <v>#DIV/0!</v>
      </c>
      <c r="BJ637" s="2" t="e">
        <f t="shared" si="472"/>
        <v>#DIV/0!</v>
      </c>
      <c r="BK637" s="2" t="e">
        <f t="shared" si="484"/>
        <v>#DIV/0!</v>
      </c>
      <c r="BL637" s="2" t="e">
        <f t="shared" si="473"/>
        <v>#DIV/0!</v>
      </c>
      <c r="BM637" s="2" t="e">
        <f t="shared" si="474"/>
        <v>#DIV/0!</v>
      </c>
      <c r="BN637" s="2" t="e">
        <f t="shared" si="485"/>
        <v>#DIV/0!</v>
      </c>
    </row>
    <row r="638" spans="1:66" x14ac:dyDescent="0.25">
      <c r="A638" s="42">
        <v>635</v>
      </c>
      <c r="E638" s="6">
        <f t="shared" si="475"/>
        <v>0</v>
      </c>
      <c r="F638" s="5" t="str">
        <f t="shared" si="486"/>
        <v>Break Even</v>
      </c>
      <c r="G638" s="4">
        <f t="shared" si="487"/>
        <v>0</v>
      </c>
      <c r="N638" s="5">
        <f t="shared" si="488"/>
        <v>0</v>
      </c>
      <c r="O638" s="4" t="e">
        <f t="shared" si="489"/>
        <v>#DIV/0!</v>
      </c>
      <c r="P638" s="5">
        <f t="shared" si="448"/>
        <v>0</v>
      </c>
      <c r="R638" s="2">
        <f t="shared" si="492"/>
        <v>0</v>
      </c>
      <c r="T638" s="2">
        <f t="shared" si="476"/>
        <v>0</v>
      </c>
      <c r="V638" s="5">
        <f t="shared" si="490"/>
        <v>0</v>
      </c>
      <c r="W638" s="4" t="e">
        <f t="shared" si="491"/>
        <v>#DIV/0!</v>
      </c>
      <c r="X638" s="14">
        <f t="shared" si="449"/>
        <v>0</v>
      </c>
      <c r="Y638" s="5">
        <f t="shared" si="450"/>
        <v>0</v>
      </c>
      <c r="Z638" s="2">
        <f t="shared" si="451"/>
        <v>0</v>
      </c>
      <c r="AA638" s="4">
        <f t="shared" si="452"/>
        <v>0</v>
      </c>
      <c r="AB638" s="13">
        <f t="shared" si="453"/>
        <v>0</v>
      </c>
      <c r="AC638" s="10">
        <f>SUM($E$4:E638)</f>
        <v>-22024.091160220025</v>
      </c>
      <c r="AD638" s="20">
        <f>SUM($AB$4:AB638)</f>
        <v>13539.766460219998</v>
      </c>
      <c r="AF638" s="28" t="e">
        <f t="shared" si="454"/>
        <v>#DIV/0!</v>
      </c>
      <c r="AG638" s="2" t="e">
        <f t="shared" si="455"/>
        <v>#DIV/0!</v>
      </c>
      <c r="AH638" s="2" t="e">
        <f t="shared" si="456"/>
        <v>#DIV/0!</v>
      </c>
      <c r="AI638" s="2" t="e">
        <f t="shared" si="477"/>
        <v>#DIV/0!</v>
      </c>
      <c r="AJ638" s="2" t="e">
        <f t="shared" si="493"/>
        <v>#DIV/0!</v>
      </c>
      <c r="AK638" s="2" t="e">
        <f t="shared" si="457"/>
        <v>#DIV/0!</v>
      </c>
      <c r="AL638" s="2" t="e">
        <f t="shared" si="458"/>
        <v>#DIV/0!</v>
      </c>
      <c r="AM638" s="2" t="e">
        <f t="shared" si="478"/>
        <v>#DIV/0!</v>
      </c>
      <c r="AN638" s="2">
        <f t="shared" si="459"/>
        <v>0</v>
      </c>
      <c r="AO638" s="2" t="e">
        <f t="shared" si="460"/>
        <v>#DIV/0!</v>
      </c>
      <c r="AP638" s="2" t="e">
        <f t="shared" si="461"/>
        <v>#DIV/0!</v>
      </c>
      <c r="AQ638" s="2" t="e">
        <f t="shared" si="479"/>
        <v>#DIV/0!</v>
      </c>
      <c r="AR638" s="2" t="e">
        <f t="shared" si="494"/>
        <v>#DIV/0!</v>
      </c>
      <c r="AS638" s="2" t="e">
        <f t="shared" si="462"/>
        <v>#DIV/0!</v>
      </c>
      <c r="AT638" s="2" t="e">
        <f t="shared" si="463"/>
        <v>#DIV/0!</v>
      </c>
      <c r="AU638" s="2" t="e">
        <f t="shared" si="480"/>
        <v>#DIV/0!</v>
      </c>
      <c r="AV638" s="2" t="e">
        <f t="shared" si="464"/>
        <v>#DIV/0!</v>
      </c>
      <c r="AW638" s="2" t="e">
        <f t="shared" si="465"/>
        <v>#DIV/0!</v>
      </c>
      <c r="AX638" s="2" t="e">
        <f t="shared" si="466"/>
        <v>#DIV/0!</v>
      </c>
      <c r="AY638" s="2" t="e">
        <f t="shared" si="481"/>
        <v>#DIV/0!</v>
      </c>
      <c r="AZ638" s="2" t="e">
        <f t="shared" si="495"/>
        <v>#DIV/0!</v>
      </c>
      <c r="BA638" s="2" t="e">
        <f t="shared" si="467"/>
        <v>#DIV/0!</v>
      </c>
      <c r="BB638" s="2" t="e">
        <f t="shared" si="468"/>
        <v>#DIV/0!</v>
      </c>
      <c r="BC638" s="2" t="e">
        <f t="shared" si="482"/>
        <v>#DIV/0!</v>
      </c>
      <c r="BD638" s="2">
        <v>0</v>
      </c>
      <c r="BE638" s="2" t="e">
        <f t="shared" si="469"/>
        <v>#DIV/0!</v>
      </c>
      <c r="BF638" s="2" t="e">
        <f t="shared" si="470"/>
        <v>#DIV/0!</v>
      </c>
      <c r="BG638" s="2" t="e">
        <f t="shared" si="483"/>
        <v>#DIV/0!</v>
      </c>
      <c r="BH638" s="2" t="e">
        <f t="shared" si="496"/>
        <v>#DIV/0!</v>
      </c>
      <c r="BI638" s="2" t="e">
        <f t="shared" si="471"/>
        <v>#DIV/0!</v>
      </c>
      <c r="BJ638" s="2" t="e">
        <f t="shared" si="472"/>
        <v>#DIV/0!</v>
      </c>
      <c r="BK638" s="2" t="e">
        <f t="shared" si="484"/>
        <v>#DIV/0!</v>
      </c>
      <c r="BL638" s="2" t="e">
        <f t="shared" si="473"/>
        <v>#DIV/0!</v>
      </c>
      <c r="BM638" s="2" t="e">
        <f t="shared" si="474"/>
        <v>#DIV/0!</v>
      </c>
      <c r="BN638" s="2" t="e">
        <f t="shared" si="485"/>
        <v>#DIV/0!</v>
      </c>
    </row>
    <row r="639" spans="1:66" x14ac:dyDescent="0.25">
      <c r="A639" s="42">
        <v>636</v>
      </c>
      <c r="E639" s="6">
        <f t="shared" si="475"/>
        <v>0</v>
      </c>
      <c r="F639" s="5" t="str">
        <f t="shared" si="486"/>
        <v>Break Even</v>
      </c>
      <c r="G639" s="4">
        <f t="shared" si="487"/>
        <v>0</v>
      </c>
      <c r="N639" s="5">
        <f t="shared" si="488"/>
        <v>0</v>
      </c>
      <c r="O639" s="4" t="e">
        <f t="shared" si="489"/>
        <v>#DIV/0!</v>
      </c>
      <c r="P639" s="5">
        <f t="shared" si="448"/>
        <v>0</v>
      </c>
      <c r="R639" s="2">
        <f t="shared" si="492"/>
        <v>0</v>
      </c>
      <c r="T639" s="2">
        <f t="shared" si="476"/>
        <v>0</v>
      </c>
      <c r="V639" s="5">
        <f t="shared" si="490"/>
        <v>0</v>
      </c>
      <c r="W639" s="4" t="e">
        <f t="shared" si="491"/>
        <v>#DIV/0!</v>
      </c>
      <c r="X639" s="14">
        <f t="shared" si="449"/>
        <v>0</v>
      </c>
      <c r="Y639" s="5">
        <f t="shared" si="450"/>
        <v>0</v>
      </c>
      <c r="Z639" s="2">
        <f t="shared" si="451"/>
        <v>0</v>
      </c>
      <c r="AA639" s="4">
        <f t="shared" si="452"/>
        <v>0</v>
      </c>
      <c r="AB639" s="13">
        <f t="shared" si="453"/>
        <v>0</v>
      </c>
      <c r="AC639" s="10">
        <f>SUM($E$4:E639)</f>
        <v>-22024.091160220025</v>
      </c>
      <c r="AD639" s="20">
        <f>SUM($AB$4:AB639)</f>
        <v>13539.766460219998</v>
      </c>
      <c r="AF639" s="28" t="e">
        <f t="shared" si="454"/>
        <v>#DIV/0!</v>
      </c>
      <c r="AG639" s="2" t="e">
        <f t="shared" si="455"/>
        <v>#DIV/0!</v>
      </c>
      <c r="AH639" s="2" t="e">
        <f t="shared" si="456"/>
        <v>#DIV/0!</v>
      </c>
      <c r="AI639" s="2" t="e">
        <f t="shared" si="477"/>
        <v>#DIV/0!</v>
      </c>
      <c r="AJ639" s="2" t="e">
        <f t="shared" si="493"/>
        <v>#DIV/0!</v>
      </c>
      <c r="AK639" s="2" t="e">
        <f t="shared" si="457"/>
        <v>#DIV/0!</v>
      </c>
      <c r="AL639" s="2" t="e">
        <f t="shared" si="458"/>
        <v>#DIV/0!</v>
      </c>
      <c r="AM639" s="2" t="e">
        <f t="shared" si="478"/>
        <v>#DIV/0!</v>
      </c>
      <c r="AN639" s="2">
        <f t="shared" si="459"/>
        <v>0</v>
      </c>
      <c r="AO639" s="2" t="e">
        <f t="shared" si="460"/>
        <v>#DIV/0!</v>
      </c>
      <c r="AP639" s="2" t="e">
        <f t="shared" si="461"/>
        <v>#DIV/0!</v>
      </c>
      <c r="AQ639" s="2" t="e">
        <f t="shared" si="479"/>
        <v>#DIV/0!</v>
      </c>
      <c r="AR639" s="2" t="e">
        <f t="shared" si="494"/>
        <v>#DIV/0!</v>
      </c>
      <c r="AS639" s="2" t="e">
        <f t="shared" si="462"/>
        <v>#DIV/0!</v>
      </c>
      <c r="AT639" s="2" t="e">
        <f t="shared" si="463"/>
        <v>#DIV/0!</v>
      </c>
      <c r="AU639" s="2" t="e">
        <f t="shared" si="480"/>
        <v>#DIV/0!</v>
      </c>
      <c r="AV639" s="2" t="e">
        <f t="shared" si="464"/>
        <v>#DIV/0!</v>
      </c>
      <c r="AW639" s="2" t="e">
        <f t="shared" si="465"/>
        <v>#DIV/0!</v>
      </c>
      <c r="AX639" s="2" t="e">
        <f t="shared" si="466"/>
        <v>#DIV/0!</v>
      </c>
      <c r="AY639" s="2" t="e">
        <f t="shared" si="481"/>
        <v>#DIV/0!</v>
      </c>
      <c r="AZ639" s="2" t="e">
        <f t="shared" si="495"/>
        <v>#DIV/0!</v>
      </c>
      <c r="BA639" s="2" t="e">
        <f t="shared" si="467"/>
        <v>#DIV/0!</v>
      </c>
      <c r="BB639" s="2" t="e">
        <f t="shared" si="468"/>
        <v>#DIV/0!</v>
      </c>
      <c r="BC639" s="2" t="e">
        <f t="shared" si="482"/>
        <v>#DIV/0!</v>
      </c>
      <c r="BD639" s="2">
        <v>0</v>
      </c>
      <c r="BE639" s="2" t="e">
        <f t="shared" si="469"/>
        <v>#DIV/0!</v>
      </c>
      <c r="BF639" s="2" t="e">
        <f t="shared" si="470"/>
        <v>#DIV/0!</v>
      </c>
      <c r="BG639" s="2" t="e">
        <f t="shared" si="483"/>
        <v>#DIV/0!</v>
      </c>
      <c r="BH639" s="2" t="e">
        <f t="shared" si="496"/>
        <v>#DIV/0!</v>
      </c>
      <c r="BI639" s="2" t="e">
        <f t="shared" si="471"/>
        <v>#DIV/0!</v>
      </c>
      <c r="BJ639" s="2" t="e">
        <f t="shared" si="472"/>
        <v>#DIV/0!</v>
      </c>
      <c r="BK639" s="2" t="e">
        <f t="shared" si="484"/>
        <v>#DIV/0!</v>
      </c>
      <c r="BL639" s="2" t="e">
        <f t="shared" si="473"/>
        <v>#DIV/0!</v>
      </c>
      <c r="BM639" s="2" t="e">
        <f t="shared" si="474"/>
        <v>#DIV/0!</v>
      </c>
      <c r="BN639" s="2" t="e">
        <f t="shared" si="485"/>
        <v>#DIV/0!</v>
      </c>
    </row>
    <row r="640" spans="1:66" x14ac:dyDescent="0.25">
      <c r="A640" s="42">
        <v>637</v>
      </c>
      <c r="E640" s="6">
        <f t="shared" si="475"/>
        <v>0</v>
      </c>
      <c r="F640" s="5" t="str">
        <f t="shared" si="486"/>
        <v>Break Even</v>
      </c>
      <c r="G640" s="4">
        <f t="shared" si="487"/>
        <v>0</v>
      </c>
      <c r="N640" s="5">
        <f t="shared" si="488"/>
        <v>0</v>
      </c>
      <c r="O640" s="4" t="e">
        <f t="shared" si="489"/>
        <v>#DIV/0!</v>
      </c>
      <c r="P640" s="5">
        <f t="shared" si="448"/>
        <v>0</v>
      </c>
      <c r="R640" s="2">
        <f t="shared" si="492"/>
        <v>0</v>
      </c>
      <c r="T640" s="2">
        <f t="shared" si="476"/>
        <v>0</v>
      </c>
      <c r="V640" s="5">
        <f t="shared" si="490"/>
        <v>0</v>
      </c>
      <c r="W640" s="4" t="e">
        <f t="shared" si="491"/>
        <v>#DIV/0!</v>
      </c>
      <c r="X640" s="14">
        <f t="shared" si="449"/>
        <v>0</v>
      </c>
      <c r="Y640" s="5">
        <f t="shared" si="450"/>
        <v>0</v>
      </c>
      <c r="Z640" s="2">
        <f t="shared" si="451"/>
        <v>0</v>
      </c>
      <c r="AA640" s="4">
        <f t="shared" si="452"/>
        <v>0</v>
      </c>
      <c r="AB640" s="13">
        <f t="shared" si="453"/>
        <v>0</v>
      </c>
      <c r="AC640" s="10">
        <f>SUM($E$4:E640)</f>
        <v>-22024.091160220025</v>
      </c>
      <c r="AD640" s="20">
        <f>SUM($AB$4:AB640)</f>
        <v>13539.766460219998</v>
      </c>
      <c r="AF640" s="28" t="e">
        <f t="shared" si="454"/>
        <v>#DIV/0!</v>
      </c>
      <c r="AG640" s="2" t="e">
        <f t="shared" si="455"/>
        <v>#DIV/0!</v>
      </c>
      <c r="AH640" s="2" t="e">
        <f t="shared" si="456"/>
        <v>#DIV/0!</v>
      </c>
      <c r="AI640" s="2" t="e">
        <f t="shared" si="477"/>
        <v>#DIV/0!</v>
      </c>
      <c r="AJ640" s="2" t="e">
        <f t="shared" si="493"/>
        <v>#DIV/0!</v>
      </c>
      <c r="AK640" s="2" t="e">
        <f t="shared" si="457"/>
        <v>#DIV/0!</v>
      </c>
      <c r="AL640" s="2" t="e">
        <f t="shared" si="458"/>
        <v>#DIV/0!</v>
      </c>
      <c r="AM640" s="2" t="e">
        <f t="shared" si="478"/>
        <v>#DIV/0!</v>
      </c>
      <c r="AN640" s="2">
        <f t="shared" si="459"/>
        <v>0</v>
      </c>
      <c r="AO640" s="2" t="e">
        <f t="shared" si="460"/>
        <v>#DIV/0!</v>
      </c>
      <c r="AP640" s="2" t="e">
        <f t="shared" si="461"/>
        <v>#DIV/0!</v>
      </c>
      <c r="AQ640" s="2" t="e">
        <f t="shared" si="479"/>
        <v>#DIV/0!</v>
      </c>
      <c r="AR640" s="2" t="e">
        <f t="shared" si="494"/>
        <v>#DIV/0!</v>
      </c>
      <c r="AS640" s="2" t="e">
        <f t="shared" si="462"/>
        <v>#DIV/0!</v>
      </c>
      <c r="AT640" s="2" t="e">
        <f t="shared" si="463"/>
        <v>#DIV/0!</v>
      </c>
      <c r="AU640" s="2" t="e">
        <f t="shared" si="480"/>
        <v>#DIV/0!</v>
      </c>
      <c r="AV640" s="2" t="e">
        <f t="shared" si="464"/>
        <v>#DIV/0!</v>
      </c>
      <c r="AW640" s="2" t="e">
        <f t="shared" si="465"/>
        <v>#DIV/0!</v>
      </c>
      <c r="AX640" s="2" t="e">
        <f t="shared" si="466"/>
        <v>#DIV/0!</v>
      </c>
      <c r="AY640" s="2" t="e">
        <f t="shared" si="481"/>
        <v>#DIV/0!</v>
      </c>
      <c r="AZ640" s="2" t="e">
        <f t="shared" si="495"/>
        <v>#DIV/0!</v>
      </c>
      <c r="BA640" s="2" t="e">
        <f t="shared" si="467"/>
        <v>#DIV/0!</v>
      </c>
      <c r="BB640" s="2" t="e">
        <f t="shared" si="468"/>
        <v>#DIV/0!</v>
      </c>
      <c r="BC640" s="2" t="e">
        <f t="shared" si="482"/>
        <v>#DIV/0!</v>
      </c>
      <c r="BD640" s="2">
        <v>0</v>
      </c>
      <c r="BE640" s="2" t="e">
        <f t="shared" si="469"/>
        <v>#DIV/0!</v>
      </c>
      <c r="BF640" s="2" t="e">
        <f t="shared" si="470"/>
        <v>#DIV/0!</v>
      </c>
      <c r="BG640" s="2" t="e">
        <f t="shared" si="483"/>
        <v>#DIV/0!</v>
      </c>
      <c r="BH640" s="2" t="e">
        <f t="shared" si="496"/>
        <v>#DIV/0!</v>
      </c>
      <c r="BI640" s="2" t="e">
        <f t="shared" si="471"/>
        <v>#DIV/0!</v>
      </c>
      <c r="BJ640" s="2" t="e">
        <f t="shared" si="472"/>
        <v>#DIV/0!</v>
      </c>
      <c r="BK640" s="2" t="e">
        <f t="shared" si="484"/>
        <v>#DIV/0!</v>
      </c>
      <c r="BL640" s="2" t="e">
        <f t="shared" si="473"/>
        <v>#DIV/0!</v>
      </c>
      <c r="BM640" s="2" t="e">
        <f t="shared" si="474"/>
        <v>#DIV/0!</v>
      </c>
      <c r="BN640" s="2" t="e">
        <f t="shared" si="485"/>
        <v>#DIV/0!</v>
      </c>
    </row>
    <row r="641" spans="1:66" x14ac:dyDescent="0.25">
      <c r="A641" s="42">
        <v>638</v>
      </c>
      <c r="E641" s="6">
        <f t="shared" si="475"/>
        <v>0</v>
      </c>
      <c r="F641" s="5" t="str">
        <f t="shared" si="486"/>
        <v>Break Even</v>
      </c>
      <c r="G641" s="4">
        <f t="shared" si="487"/>
        <v>0</v>
      </c>
      <c r="N641" s="5">
        <f t="shared" si="488"/>
        <v>0</v>
      </c>
      <c r="O641" s="4" t="e">
        <f t="shared" si="489"/>
        <v>#DIV/0!</v>
      </c>
      <c r="P641" s="5">
        <f t="shared" si="448"/>
        <v>0</v>
      </c>
      <c r="R641" s="2">
        <f t="shared" si="492"/>
        <v>0</v>
      </c>
      <c r="T641" s="2">
        <f t="shared" si="476"/>
        <v>0</v>
      </c>
      <c r="V641" s="5">
        <f t="shared" si="490"/>
        <v>0</v>
      </c>
      <c r="W641" s="4" t="e">
        <f t="shared" si="491"/>
        <v>#DIV/0!</v>
      </c>
      <c r="X641" s="14">
        <f t="shared" si="449"/>
        <v>0</v>
      </c>
      <c r="Y641" s="5">
        <f t="shared" si="450"/>
        <v>0</v>
      </c>
      <c r="Z641" s="2">
        <f t="shared" si="451"/>
        <v>0</v>
      </c>
      <c r="AA641" s="4">
        <f t="shared" si="452"/>
        <v>0</v>
      </c>
      <c r="AB641" s="13">
        <f t="shared" si="453"/>
        <v>0</v>
      </c>
      <c r="AC641" s="10">
        <f>SUM($E$4:E641)</f>
        <v>-22024.091160220025</v>
      </c>
      <c r="AD641" s="20">
        <f>SUM($AB$4:AB641)</f>
        <v>13539.766460219998</v>
      </c>
      <c r="AF641" s="28" t="e">
        <f t="shared" si="454"/>
        <v>#DIV/0!</v>
      </c>
      <c r="AG641" s="2" t="e">
        <f t="shared" si="455"/>
        <v>#DIV/0!</v>
      </c>
      <c r="AH641" s="2" t="e">
        <f t="shared" si="456"/>
        <v>#DIV/0!</v>
      </c>
      <c r="AI641" s="2" t="e">
        <f t="shared" si="477"/>
        <v>#DIV/0!</v>
      </c>
      <c r="AJ641" s="2" t="e">
        <f t="shared" si="493"/>
        <v>#DIV/0!</v>
      </c>
      <c r="AK641" s="2" t="e">
        <f t="shared" si="457"/>
        <v>#DIV/0!</v>
      </c>
      <c r="AL641" s="2" t="e">
        <f t="shared" si="458"/>
        <v>#DIV/0!</v>
      </c>
      <c r="AM641" s="2" t="e">
        <f t="shared" si="478"/>
        <v>#DIV/0!</v>
      </c>
      <c r="AN641" s="2">
        <f t="shared" si="459"/>
        <v>0</v>
      </c>
      <c r="AO641" s="2" t="e">
        <f t="shared" si="460"/>
        <v>#DIV/0!</v>
      </c>
      <c r="AP641" s="2" t="e">
        <f t="shared" si="461"/>
        <v>#DIV/0!</v>
      </c>
      <c r="AQ641" s="2" t="e">
        <f t="shared" si="479"/>
        <v>#DIV/0!</v>
      </c>
      <c r="AR641" s="2" t="e">
        <f t="shared" si="494"/>
        <v>#DIV/0!</v>
      </c>
      <c r="AS641" s="2" t="e">
        <f t="shared" si="462"/>
        <v>#DIV/0!</v>
      </c>
      <c r="AT641" s="2" t="e">
        <f t="shared" si="463"/>
        <v>#DIV/0!</v>
      </c>
      <c r="AU641" s="2" t="e">
        <f t="shared" si="480"/>
        <v>#DIV/0!</v>
      </c>
      <c r="AV641" s="2" t="e">
        <f t="shared" si="464"/>
        <v>#DIV/0!</v>
      </c>
      <c r="AW641" s="2" t="e">
        <f t="shared" si="465"/>
        <v>#DIV/0!</v>
      </c>
      <c r="AX641" s="2" t="e">
        <f t="shared" si="466"/>
        <v>#DIV/0!</v>
      </c>
      <c r="AY641" s="2" t="e">
        <f t="shared" si="481"/>
        <v>#DIV/0!</v>
      </c>
      <c r="AZ641" s="2" t="e">
        <f t="shared" si="495"/>
        <v>#DIV/0!</v>
      </c>
      <c r="BA641" s="2" t="e">
        <f t="shared" si="467"/>
        <v>#DIV/0!</v>
      </c>
      <c r="BB641" s="2" t="e">
        <f t="shared" si="468"/>
        <v>#DIV/0!</v>
      </c>
      <c r="BC641" s="2" t="e">
        <f t="shared" si="482"/>
        <v>#DIV/0!</v>
      </c>
      <c r="BD641" s="2">
        <v>0</v>
      </c>
      <c r="BE641" s="2" t="e">
        <f t="shared" si="469"/>
        <v>#DIV/0!</v>
      </c>
      <c r="BF641" s="2" t="e">
        <f t="shared" si="470"/>
        <v>#DIV/0!</v>
      </c>
      <c r="BG641" s="2" t="e">
        <f t="shared" si="483"/>
        <v>#DIV/0!</v>
      </c>
      <c r="BH641" s="2" t="e">
        <f t="shared" si="496"/>
        <v>#DIV/0!</v>
      </c>
      <c r="BI641" s="2" t="e">
        <f t="shared" si="471"/>
        <v>#DIV/0!</v>
      </c>
      <c r="BJ641" s="2" t="e">
        <f t="shared" si="472"/>
        <v>#DIV/0!</v>
      </c>
      <c r="BK641" s="2" t="e">
        <f t="shared" si="484"/>
        <v>#DIV/0!</v>
      </c>
      <c r="BL641" s="2" t="e">
        <f t="shared" si="473"/>
        <v>#DIV/0!</v>
      </c>
      <c r="BM641" s="2" t="e">
        <f t="shared" si="474"/>
        <v>#DIV/0!</v>
      </c>
      <c r="BN641" s="2" t="e">
        <f t="shared" si="485"/>
        <v>#DIV/0!</v>
      </c>
    </row>
    <row r="642" spans="1:66" x14ac:dyDescent="0.25">
      <c r="A642" s="42">
        <v>639</v>
      </c>
      <c r="E642" s="6">
        <f t="shared" si="475"/>
        <v>0</v>
      </c>
      <c r="F642" s="5" t="str">
        <f t="shared" si="486"/>
        <v>Break Even</v>
      </c>
      <c r="G642" s="4">
        <f t="shared" si="487"/>
        <v>0</v>
      </c>
      <c r="N642" s="5">
        <f t="shared" si="488"/>
        <v>0</v>
      </c>
      <c r="O642" s="4" t="e">
        <f t="shared" si="489"/>
        <v>#DIV/0!</v>
      </c>
      <c r="P642" s="5">
        <f t="shared" si="448"/>
        <v>0</v>
      </c>
      <c r="R642" s="2">
        <f t="shared" si="492"/>
        <v>0</v>
      </c>
      <c r="T642" s="2">
        <f t="shared" si="476"/>
        <v>0</v>
      </c>
      <c r="V642" s="5">
        <f t="shared" si="490"/>
        <v>0</v>
      </c>
      <c r="W642" s="4" t="e">
        <f t="shared" si="491"/>
        <v>#DIV/0!</v>
      </c>
      <c r="X642" s="14">
        <f t="shared" si="449"/>
        <v>0</v>
      </c>
      <c r="Y642" s="5">
        <f t="shared" si="450"/>
        <v>0</v>
      </c>
      <c r="Z642" s="2">
        <f t="shared" si="451"/>
        <v>0</v>
      </c>
      <c r="AA642" s="4">
        <f t="shared" si="452"/>
        <v>0</v>
      </c>
      <c r="AB642" s="13">
        <f t="shared" si="453"/>
        <v>0</v>
      </c>
      <c r="AC642" s="10">
        <f>SUM($E$4:E642)</f>
        <v>-22024.091160220025</v>
      </c>
      <c r="AD642" s="20">
        <f>SUM($AB$4:AB642)</f>
        <v>13539.766460219998</v>
      </c>
      <c r="AF642" s="28" t="e">
        <f t="shared" si="454"/>
        <v>#DIV/0!</v>
      </c>
      <c r="AG642" s="2" t="e">
        <f t="shared" si="455"/>
        <v>#DIV/0!</v>
      </c>
      <c r="AH642" s="2" t="e">
        <f t="shared" si="456"/>
        <v>#DIV/0!</v>
      </c>
      <c r="AI642" s="2" t="e">
        <f t="shared" si="477"/>
        <v>#DIV/0!</v>
      </c>
      <c r="AJ642" s="2" t="e">
        <f t="shared" si="493"/>
        <v>#DIV/0!</v>
      </c>
      <c r="AK642" s="2" t="e">
        <f t="shared" si="457"/>
        <v>#DIV/0!</v>
      </c>
      <c r="AL642" s="2" t="e">
        <f t="shared" si="458"/>
        <v>#DIV/0!</v>
      </c>
      <c r="AM642" s="2" t="e">
        <f t="shared" si="478"/>
        <v>#DIV/0!</v>
      </c>
      <c r="AN642" s="2">
        <f t="shared" si="459"/>
        <v>0</v>
      </c>
      <c r="AO642" s="2" t="e">
        <f t="shared" si="460"/>
        <v>#DIV/0!</v>
      </c>
      <c r="AP642" s="2" t="e">
        <f t="shared" si="461"/>
        <v>#DIV/0!</v>
      </c>
      <c r="AQ642" s="2" t="e">
        <f t="shared" si="479"/>
        <v>#DIV/0!</v>
      </c>
      <c r="AR642" s="2" t="e">
        <f t="shared" si="494"/>
        <v>#DIV/0!</v>
      </c>
      <c r="AS642" s="2" t="e">
        <f t="shared" si="462"/>
        <v>#DIV/0!</v>
      </c>
      <c r="AT642" s="2" t="e">
        <f t="shared" si="463"/>
        <v>#DIV/0!</v>
      </c>
      <c r="AU642" s="2" t="e">
        <f t="shared" si="480"/>
        <v>#DIV/0!</v>
      </c>
      <c r="AV642" s="2" t="e">
        <f t="shared" si="464"/>
        <v>#DIV/0!</v>
      </c>
      <c r="AW642" s="2" t="e">
        <f t="shared" si="465"/>
        <v>#DIV/0!</v>
      </c>
      <c r="AX642" s="2" t="e">
        <f t="shared" si="466"/>
        <v>#DIV/0!</v>
      </c>
      <c r="AY642" s="2" t="e">
        <f t="shared" si="481"/>
        <v>#DIV/0!</v>
      </c>
      <c r="AZ642" s="2" t="e">
        <f t="shared" si="495"/>
        <v>#DIV/0!</v>
      </c>
      <c r="BA642" s="2" t="e">
        <f t="shared" si="467"/>
        <v>#DIV/0!</v>
      </c>
      <c r="BB642" s="2" t="e">
        <f t="shared" si="468"/>
        <v>#DIV/0!</v>
      </c>
      <c r="BC642" s="2" t="e">
        <f t="shared" si="482"/>
        <v>#DIV/0!</v>
      </c>
      <c r="BD642" s="2">
        <v>0</v>
      </c>
      <c r="BE642" s="2" t="e">
        <f t="shared" si="469"/>
        <v>#DIV/0!</v>
      </c>
      <c r="BF642" s="2" t="e">
        <f t="shared" si="470"/>
        <v>#DIV/0!</v>
      </c>
      <c r="BG642" s="2" t="e">
        <f t="shared" si="483"/>
        <v>#DIV/0!</v>
      </c>
      <c r="BH642" s="2" t="e">
        <f t="shared" si="496"/>
        <v>#DIV/0!</v>
      </c>
      <c r="BI642" s="2" t="e">
        <f t="shared" si="471"/>
        <v>#DIV/0!</v>
      </c>
      <c r="BJ642" s="2" t="e">
        <f t="shared" si="472"/>
        <v>#DIV/0!</v>
      </c>
      <c r="BK642" s="2" t="e">
        <f t="shared" si="484"/>
        <v>#DIV/0!</v>
      </c>
      <c r="BL642" s="2" t="e">
        <f t="shared" si="473"/>
        <v>#DIV/0!</v>
      </c>
      <c r="BM642" s="2" t="e">
        <f t="shared" si="474"/>
        <v>#DIV/0!</v>
      </c>
      <c r="BN642" s="2" t="e">
        <f t="shared" si="485"/>
        <v>#DIV/0!</v>
      </c>
    </row>
    <row r="643" spans="1:66" x14ac:dyDescent="0.25">
      <c r="A643" s="42">
        <v>640</v>
      </c>
      <c r="E643" s="6">
        <f t="shared" si="475"/>
        <v>0</v>
      </c>
      <c r="F643" s="5" t="str">
        <f t="shared" si="486"/>
        <v>Break Even</v>
      </c>
      <c r="G643" s="4">
        <f t="shared" si="487"/>
        <v>0</v>
      </c>
      <c r="N643" s="5">
        <f t="shared" si="488"/>
        <v>0</v>
      </c>
      <c r="O643" s="4" t="e">
        <f t="shared" si="489"/>
        <v>#DIV/0!</v>
      </c>
      <c r="P643" s="5">
        <f t="shared" si="448"/>
        <v>0</v>
      </c>
      <c r="R643" s="2">
        <f t="shared" si="492"/>
        <v>0</v>
      </c>
      <c r="T643" s="2">
        <f t="shared" si="476"/>
        <v>0</v>
      </c>
      <c r="V643" s="5">
        <f t="shared" si="490"/>
        <v>0</v>
      </c>
      <c r="W643" s="4" t="e">
        <f t="shared" si="491"/>
        <v>#DIV/0!</v>
      </c>
      <c r="X643" s="14">
        <f t="shared" si="449"/>
        <v>0</v>
      </c>
      <c r="Y643" s="5">
        <f t="shared" si="450"/>
        <v>0</v>
      </c>
      <c r="Z643" s="2">
        <f t="shared" si="451"/>
        <v>0</v>
      </c>
      <c r="AA643" s="4">
        <f t="shared" si="452"/>
        <v>0</v>
      </c>
      <c r="AB643" s="13">
        <f t="shared" si="453"/>
        <v>0</v>
      </c>
      <c r="AC643" s="10">
        <f>SUM($E$4:E643)</f>
        <v>-22024.091160220025</v>
      </c>
      <c r="AD643" s="20">
        <f>SUM($AB$4:AB643)</f>
        <v>13539.766460219998</v>
      </c>
      <c r="AF643" s="28" t="e">
        <f t="shared" si="454"/>
        <v>#DIV/0!</v>
      </c>
      <c r="AG643" s="2" t="e">
        <f t="shared" si="455"/>
        <v>#DIV/0!</v>
      </c>
      <c r="AH643" s="2" t="e">
        <f t="shared" si="456"/>
        <v>#DIV/0!</v>
      </c>
      <c r="AI643" s="2" t="e">
        <f t="shared" si="477"/>
        <v>#DIV/0!</v>
      </c>
      <c r="AJ643" s="2" t="e">
        <f t="shared" si="493"/>
        <v>#DIV/0!</v>
      </c>
      <c r="AK643" s="2" t="e">
        <f t="shared" si="457"/>
        <v>#DIV/0!</v>
      </c>
      <c r="AL643" s="2" t="e">
        <f t="shared" si="458"/>
        <v>#DIV/0!</v>
      </c>
      <c r="AM643" s="2" t="e">
        <f t="shared" si="478"/>
        <v>#DIV/0!</v>
      </c>
      <c r="AN643" s="2">
        <f t="shared" si="459"/>
        <v>0</v>
      </c>
      <c r="AO643" s="2" t="e">
        <f t="shared" si="460"/>
        <v>#DIV/0!</v>
      </c>
      <c r="AP643" s="2" t="e">
        <f t="shared" si="461"/>
        <v>#DIV/0!</v>
      </c>
      <c r="AQ643" s="2" t="e">
        <f t="shared" si="479"/>
        <v>#DIV/0!</v>
      </c>
      <c r="AR643" s="2" t="e">
        <f t="shared" si="494"/>
        <v>#DIV/0!</v>
      </c>
      <c r="AS643" s="2" t="e">
        <f t="shared" si="462"/>
        <v>#DIV/0!</v>
      </c>
      <c r="AT643" s="2" t="e">
        <f t="shared" si="463"/>
        <v>#DIV/0!</v>
      </c>
      <c r="AU643" s="2" t="e">
        <f t="shared" si="480"/>
        <v>#DIV/0!</v>
      </c>
      <c r="AV643" s="2" t="e">
        <f t="shared" si="464"/>
        <v>#DIV/0!</v>
      </c>
      <c r="AW643" s="2" t="e">
        <f t="shared" si="465"/>
        <v>#DIV/0!</v>
      </c>
      <c r="AX643" s="2" t="e">
        <f t="shared" si="466"/>
        <v>#DIV/0!</v>
      </c>
      <c r="AY643" s="2" t="e">
        <f t="shared" si="481"/>
        <v>#DIV/0!</v>
      </c>
      <c r="AZ643" s="2" t="e">
        <f t="shared" si="495"/>
        <v>#DIV/0!</v>
      </c>
      <c r="BA643" s="2" t="e">
        <f t="shared" si="467"/>
        <v>#DIV/0!</v>
      </c>
      <c r="BB643" s="2" t="e">
        <f t="shared" si="468"/>
        <v>#DIV/0!</v>
      </c>
      <c r="BC643" s="2" t="e">
        <f t="shared" si="482"/>
        <v>#DIV/0!</v>
      </c>
      <c r="BD643" s="2">
        <v>0</v>
      </c>
      <c r="BE643" s="2" t="e">
        <f t="shared" si="469"/>
        <v>#DIV/0!</v>
      </c>
      <c r="BF643" s="2" t="e">
        <f t="shared" si="470"/>
        <v>#DIV/0!</v>
      </c>
      <c r="BG643" s="2" t="e">
        <f t="shared" si="483"/>
        <v>#DIV/0!</v>
      </c>
      <c r="BH643" s="2" t="e">
        <f t="shared" si="496"/>
        <v>#DIV/0!</v>
      </c>
      <c r="BI643" s="2" t="e">
        <f t="shared" si="471"/>
        <v>#DIV/0!</v>
      </c>
      <c r="BJ643" s="2" t="e">
        <f t="shared" si="472"/>
        <v>#DIV/0!</v>
      </c>
      <c r="BK643" s="2" t="e">
        <f t="shared" si="484"/>
        <v>#DIV/0!</v>
      </c>
      <c r="BL643" s="2" t="e">
        <f t="shared" si="473"/>
        <v>#DIV/0!</v>
      </c>
      <c r="BM643" s="2" t="e">
        <f t="shared" si="474"/>
        <v>#DIV/0!</v>
      </c>
      <c r="BN643" s="2" t="e">
        <f t="shared" si="485"/>
        <v>#DIV/0!</v>
      </c>
    </row>
    <row r="644" spans="1:66" x14ac:dyDescent="0.25">
      <c r="A644" s="42">
        <v>641</v>
      </c>
      <c r="E644" s="6">
        <f t="shared" si="475"/>
        <v>0</v>
      </c>
      <c r="F644" s="5" t="str">
        <f t="shared" si="486"/>
        <v>Break Even</v>
      </c>
      <c r="G644" s="4">
        <f t="shared" si="487"/>
        <v>0</v>
      </c>
      <c r="N644" s="5">
        <f t="shared" si="488"/>
        <v>0</v>
      </c>
      <c r="O644" s="4" t="e">
        <f t="shared" si="489"/>
        <v>#DIV/0!</v>
      </c>
      <c r="P644" s="5">
        <f t="shared" ref="P644:P707" si="497">H644</f>
        <v>0</v>
      </c>
      <c r="R644" s="2">
        <f t="shared" si="492"/>
        <v>0</v>
      </c>
      <c r="T644" s="2">
        <f t="shared" si="476"/>
        <v>0</v>
      </c>
      <c r="V644" s="5">
        <f t="shared" si="490"/>
        <v>0</v>
      </c>
      <c r="W644" s="4" t="e">
        <f t="shared" si="491"/>
        <v>#DIV/0!</v>
      </c>
      <c r="X644" s="14">
        <f t="shared" ref="X644:X707" si="498">MAX(Q644,S644,U644)-MIN(I644,K644,M644)</f>
        <v>0</v>
      </c>
      <c r="Y644" s="5">
        <f t="shared" ref="Y644:Y707" si="499">P644*(Q644-I644)</f>
        <v>0</v>
      </c>
      <c r="Z644" s="2">
        <f t="shared" ref="Z644:Z707" si="500">R644*(S644-K644)</f>
        <v>0</v>
      </c>
      <c r="AA644" s="4">
        <f t="shared" ref="AA644:AA707" si="501">T644*(U644-M644)</f>
        <v>0</v>
      </c>
      <c r="AB644" s="13">
        <f t="shared" ref="AB644:AB707" si="502">IF(C644="EQ Intraday",AM644,IF(C644="Index Option",AU644,IF(C644="Index Future",BC644,IF(C644="EQ Delivery",BK644,IF(C644="Stock Option",AU644,IF(C644="Stock Future",BC644,IF(C644="",0,"Error")))))))</f>
        <v>0</v>
      </c>
      <c r="AC644" s="10">
        <f>SUM($E$4:E644)</f>
        <v>-22024.091160220025</v>
      </c>
      <c r="AD644" s="20">
        <f>SUM($AB$4:AB644)</f>
        <v>13539.766460219998</v>
      </c>
      <c r="AF644" s="28" t="e">
        <f t="shared" ref="AF644:AF707" si="503">MIN(IF(ISBLANK(U644)=FALSE,120,IF(ISBLANK(S644)=FALSE,80,40)),(((V644*W644)+(N644*O644))*0.0001))</f>
        <v>#DIV/0!</v>
      </c>
      <c r="AG644" s="2" t="e">
        <f t="shared" ref="AG644:AG707" si="504">(0.00025*V644*W644)</f>
        <v>#DIV/0!</v>
      </c>
      <c r="AH644" s="2" t="e">
        <f t="shared" ref="AH644:AH707" si="505">(0.0000325*((V644*W644)+(N644*O644)))</f>
        <v>#DIV/0!</v>
      </c>
      <c r="AI644" s="2" t="e">
        <f t="shared" si="477"/>
        <v>#DIV/0!</v>
      </c>
      <c r="AJ644" s="2" t="e">
        <f t="shared" si="493"/>
        <v>#DIV/0!</v>
      </c>
      <c r="AK644" s="2" t="e">
        <f t="shared" ref="AK644:AK707" si="506">(((V644*W644)+(N644*O644))/10000000)*20</f>
        <v>#DIV/0!</v>
      </c>
      <c r="AL644" s="2" t="e">
        <f t="shared" ref="AL644:AL707" si="507">0.00006*((V644*W644)+(N644*O644))</f>
        <v>#DIV/0!</v>
      </c>
      <c r="AM644" s="2" t="e">
        <f t="shared" si="478"/>
        <v>#DIV/0!</v>
      </c>
      <c r="AN644" s="2">
        <f t="shared" ref="AN644:AN707" si="508">COUNT(H644,J644,L644)*40</f>
        <v>0</v>
      </c>
      <c r="AO644" s="2" t="e">
        <f t="shared" ref="AO644:AO707" si="509">0.0005*V644*W644</f>
        <v>#DIV/0!</v>
      </c>
      <c r="AP644" s="2" t="e">
        <f t="shared" ref="AP644:AP707" si="510">0.00053*((N644*O644)+(V644*W644))</f>
        <v>#DIV/0!</v>
      </c>
      <c r="AQ644" s="2" t="e">
        <f t="shared" si="479"/>
        <v>#DIV/0!</v>
      </c>
      <c r="AR644" s="2" t="e">
        <f t="shared" si="494"/>
        <v>#DIV/0!</v>
      </c>
      <c r="AS644" s="2" t="e">
        <f t="shared" ref="AS644:AS707" si="511">(((V644*W644)+(N644*O644))/10000000)*20</f>
        <v>#DIV/0!</v>
      </c>
      <c r="AT644" s="2" t="e">
        <f t="shared" ref="AT644:AT707" si="512">0.00006*((V644*W644)+(N644*O644))</f>
        <v>#DIV/0!</v>
      </c>
      <c r="AU644" s="2" t="e">
        <f t="shared" si="480"/>
        <v>#DIV/0!</v>
      </c>
      <c r="AV644" s="2" t="e">
        <f t="shared" ref="AV644:AV707" si="513">MIN(IF(ISBLANK(U644)=FALSE,120,IF(ISBLANK(S644)=FALSE,80,40)),(((V644*W644)+(N644*O644))*0.0001))</f>
        <v>#DIV/0!</v>
      </c>
      <c r="AW644" s="2" t="e">
        <f t="shared" ref="AW644:AW707" si="514">0.0001*V644*W644</f>
        <v>#DIV/0!</v>
      </c>
      <c r="AX644" s="2" t="e">
        <f t="shared" ref="AX644:AX707" si="515">0.000021*((N644*O644)+(V644*W644))</f>
        <v>#DIV/0!</v>
      </c>
      <c r="AY644" s="2" t="e">
        <f t="shared" si="481"/>
        <v>#DIV/0!</v>
      </c>
      <c r="AZ644" s="2" t="e">
        <f t="shared" si="495"/>
        <v>#DIV/0!</v>
      </c>
      <c r="BA644" s="2" t="e">
        <f t="shared" ref="BA644:BA707" si="516">(((V644*W644)+(N644*O644))/10000000)*20</f>
        <v>#DIV/0!</v>
      </c>
      <c r="BB644" s="2" t="e">
        <f t="shared" ref="BB644:BB707" si="517">0.00006*((V644*W644)+(N644*O644))</f>
        <v>#DIV/0!</v>
      </c>
      <c r="BC644" s="2" t="e">
        <f t="shared" si="482"/>
        <v>#DIV/0!</v>
      </c>
      <c r="BD644" s="2">
        <v>0</v>
      </c>
      <c r="BE644" s="2" t="e">
        <f t="shared" ref="BE644:BE707" si="518">0.001*((N644*O644)+(V644*W644))</f>
        <v>#DIV/0!</v>
      </c>
      <c r="BF644" s="2" t="e">
        <f t="shared" ref="BF644:BF707" si="519">(0.0000325*((V644*W644)+(N644*O644)))</f>
        <v>#DIV/0!</v>
      </c>
      <c r="BG644" s="2" t="e">
        <f t="shared" si="483"/>
        <v>#DIV/0!</v>
      </c>
      <c r="BH644" s="2" t="e">
        <f t="shared" si="496"/>
        <v>#DIV/0!</v>
      </c>
      <c r="BI644" s="2" t="e">
        <f t="shared" ref="BI644:BI707" si="520">(((V644*W644)+(N644*O644))/10000000)*20</f>
        <v>#DIV/0!</v>
      </c>
      <c r="BJ644" s="2" t="e">
        <f t="shared" ref="BJ644:BJ707" si="521">0.00006*((V644*W644)+(N644*O644))</f>
        <v>#DIV/0!</v>
      </c>
      <c r="BK644" s="2" t="e">
        <f t="shared" si="484"/>
        <v>#DIV/0!</v>
      </c>
      <c r="BL644" s="2" t="e">
        <f t="shared" ref="BL644:BL707" si="522">N644*O644</f>
        <v>#DIV/0!</v>
      </c>
      <c r="BM644" s="2" t="e">
        <f t="shared" ref="BM644:BM707" si="523">V644*W644</f>
        <v>#DIV/0!</v>
      </c>
      <c r="BN644" s="2" t="e">
        <f t="shared" si="485"/>
        <v>#DIV/0!</v>
      </c>
    </row>
    <row r="645" spans="1:66" x14ac:dyDescent="0.25">
      <c r="A645" s="42">
        <v>642</v>
      </c>
      <c r="E645" s="6">
        <f t="shared" ref="E645:E708" si="524">G645-AB645</f>
        <v>0</v>
      </c>
      <c r="F645" s="5" t="str">
        <f t="shared" si="486"/>
        <v>Break Even</v>
      </c>
      <c r="G645" s="4">
        <f t="shared" si="487"/>
        <v>0</v>
      </c>
      <c r="N645" s="5">
        <f t="shared" si="488"/>
        <v>0</v>
      </c>
      <c r="O645" s="4" t="e">
        <f t="shared" si="489"/>
        <v>#DIV/0!</v>
      </c>
      <c r="P645" s="5">
        <f t="shared" si="497"/>
        <v>0</v>
      </c>
      <c r="R645" s="2">
        <f t="shared" si="492"/>
        <v>0</v>
      </c>
      <c r="T645" s="2">
        <f t="shared" ref="T645:T708" si="525">L645</f>
        <v>0</v>
      </c>
      <c r="V645" s="5">
        <f t="shared" si="490"/>
        <v>0</v>
      </c>
      <c r="W645" s="4" t="e">
        <f t="shared" si="491"/>
        <v>#DIV/0!</v>
      </c>
      <c r="X645" s="14">
        <f t="shared" si="498"/>
        <v>0</v>
      </c>
      <c r="Y645" s="5">
        <f t="shared" si="499"/>
        <v>0</v>
      </c>
      <c r="Z645" s="2">
        <f t="shared" si="500"/>
        <v>0</v>
      </c>
      <c r="AA645" s="4">
        <f t="shared" si="501"/>
        <v>0</v>
      </c>
      <c r="AB645" s="13">
        <f t="shared" si="502"/>
        <v>0</v>
      </c>
      <c r="AC645" s="10">
        <f>SUM($E$4:E645)</f>
        <v>-22024.091160220025</v>
      </c>
      <c r="AD645" s="20">
        <f>SUM($AB$4:AB645)</f>
        <v>13539.766460219998</v>
      </c>
      <c r="AF645" s="28" t="e">
        <f t="shared" si="503"/>
        <v>#DIV/0!</v>
      </c>
      <c r="AG645" s="2" t="e">
        <f t="shared" si="504"/>
        <v>#DIV/0!</v>
      </c>
      <c r="AH645" s="2" t="e">
        <f t="shared" si="505"/>
        <v>#DIV/0!</v>
      </c>
      <c r="AI645" s="2" t="e">
        <f t="shared" ref="AI645:AI708" si="526">AH645+AF645</f>
        <v>#DIV/0!</v>
      </c>
      <c r="AJ645" s="2" t="e">
        <f t="shared" si="493"/>
        <v>#DIV/0!</v>
      </c>
      <c r="AK645" s="2" t="e">
        <f t="shared" si="506"/>
        <v>#DIV/0!</v>
      </c>
      <c r="AL645" s="2" t="e">
        <f t="shared" si="507"/>
        <v>#DIV/0!</v>
      </c>
      <c r="AM645" s="2" t="e">
        <f t="shared" ref="AM645:AM708" si="527">SUM(AF645:AH645,AJ645:AL645)</f>
        <v>#DIV/0!</v>
      </c>
      <c r="AN645" s="2">
        <f t="shared" si="508"/>
        <v>0</v>
      </c>
      <c r="AO645" s="2" t="e">
        <f t="shared" si="509"/>
        <v>#DIV/0!</v>
      </c>
      <c r="AP645" s="2" t="e">
        <f t="shared" si="510"/>
        <v>#DIV/0!</v>
      </c>
      <c r="AQ645" s="2" t="e">
        <f t="shared" ref="AQ645:AQ708" si="528">AN645+AP645</f>
        <v>#DIV/0!</v>
      </c>
      <c r="AR645" s="2" t="e">
        <f t="shared" si="494"/>
        <v>#DIV/0!</v>
      </c>
      <c r="AS645" s="2" t="e">
        <f t="shared" si="511"/>
        <v>#DIV/0!</v>
      </c>
      <c r="AT645" s="2" t="e">
        <f t="shared" si="512"/>
        <v>#DIV/0!</v>
      </c>
      <c r="AU645" s="2" t="e">
        <f t="shared" ref="AU645:AU708" si="529">SUM(AN645:AP645,AR645:AT645)</f>
        <v>#DIV/0!</v>
      </c>
      <c r="AV645" s="2" t="e">
        <f t="shared" si="513"/>
        <v>#DIV/0!</v>
      </c>
      <c r="AW645" s="2" t="e">
        <f t="shared" si="514"/>
        <v>#DIV/0!</v>
      </c>
      <c r="AX645" s="2" t="e">
        <f t="shared" si="515"/>
        <v>#DIV/0!</v>
      </c>
      <c r="AY645" s="2" t="e">
        <f t="shared" ref="AY645:AY708" si="530">AV645+AX645</f>
        <v>#DIV/0!</v>
      </c>
      <c r="AZ645" s="2" t="e">
        <f t="shared" si="495"/>
        <v>#DIV/0!</v>
      </c>
      <c r="BA645" s="2" t="e">
        <f t="shared" si="516"/>
        <v>#DIV/0!</v>
      </c>
      <c r="BB645" s="2" t="e">
        <f t="shared" si="517"/>
        <v>#DIV/0!</v>
      </c>
      <c r="BC645" s="2" t="e">
        <f t="shared" ref="BC645:BC708" si="531">SUM(AV645:AX645,AZ645:BB645)</f>
        <v>#DIV/0!</v>
      </c>
      <c r="BD645" s="2">
        <v>0</v>
      </c>
      <c r="BE645" s="2" t="e">
        <f t="shared" si="518"/>
        <v>#DIV/0!</v>
      </c>
      <c r="BF645" s="2" t="e">
        <f t="shared" si="519"/>
        <v>#DIV/0!</v>
      </c>
      <c r="BG645" s="2" t="e">
        <f t="shared" ref="BG645:BG708" si="532">BD645+BF645</f>
        <v>#DIV/0!</v>
      </c>
      <c r="BH645" s="2" t="e">
        <f t="shared" si="496"/>
        <v>#DIV/0!</v>
      </c>
      <c r="BI645" s="2" t="e">
        <f t="shared" si="520"/>
        <v>#DIV/0!</v>
      </c>
      <c r="BJ645" s="2" t="e">
        <f t="shared" si="521"/>
        <v>#DIV/0!</v>
      </c>
      <c r="BK645" s="2" t="e">
        <f t="shared" ref="BK645:BK708" si="533">SUM(BD645:BF645,BH645:BJ645)</f>
        <v>#DIV/0!</v>
      </c>
      <c r="BL645" s="2" t="e">
        <f t="shared" si="522"/>
        <v>#DIV/0!</v>
      </c>
      <c r="BM645" s="2" t="e">
        <f t="shared" si="523"/>
        <v>#DIV/0!</v>
      </c>
      <c r="BN645" s="2" t="e">
        <f t="shared" ref="BN645:BN708" si="534">BM645+BL645</f>
        <v>#DIV/0!</v>
      </c>
    </row>
    <row r="646" spans="1:66" x14ac:dyDescent="0.25">
      <c r="A646" s="42">
        <v>643</v>
      </c>
      <c r="E646" s="6">
        <f t="shared" si="524"/>
        <v>0</v>
      </c>
      <c r="F646" s="5" t="str">
        <f t="shared" ref="F646:F709" si="535">IF(G646&gt;0,"Win",IF(G646=0,"Break Even","Loss"))</f>
        <v>Break Even</v>
      </c>
      <c r="G646" s="4">
        <f t="shared" ref="G646:G709" si="536">SUM(Y646,Z646,AA646)</f>
        <v>0</v>
      </c>
      <c r="N646" s="5">
        <f t="shared" ref="N646:N709" si="537">SUM(H646,J646,L646)</f>
        <v>0</v>
      </c>
      <c r="O646" s="4" t="e">
        <f t="shared" ref="O646:O709" si="538">AVERAGE(M646,K646,I646)</f>
        <v>#DIV/0!</v>
      </c>
      <c r="P646" s="5">
        <f t="shared" si="497"/>
        <v>0</v>
      </c>
      <c r="R646" s="2">
        <f t="shared" si="492"/>
        <v>0</v>
      </c>
      <c r="T646" s="2">
        <f t="shared" si="525"/>
        <v>0</v>
      </c>
      <c r="V646" s="5">
        <f t="shared" ref="V646:V709" si="539">SUM(P646,R646,T646)</f>
        <v>0</v>
      </c>
      <c r="W646" s="4" t="e">
        <f t="shared" ref="W646:W709" si="540">AVERAGE(Q646,S646,U646)</f>
        <v>#DIV/0!</v>
      </c>
      <c r="X646" s="14">
        <f t="shared" si="498"/>
        <v>0</v>
      </c>
      <c r="Y646" s="5">
        <f t="shared" si="499"/>
        <v>0</v>
      </c>
      <c r="Z646" s="2">
        <f t="shared" si="500"/>
        <v>0</v>
      </c>
      <c r="AA646" s="4">
        <f t="shared" si="501"/>
        <v>0</v>
      </c>
      <c r="AB646" s="13">
        <f t="shared" si="502"/>
        <v>0</v>
      </c>
      <c r="AC646" s="10">
        <f>SUM($E$4:E646)</f>
        <v>-22024.091160220025</v>
      </c>
      <c r="AD646" s="20">
        <f>SUM($AB$4:AB646)</f>
        <v>13539.766460219998</v>
      </c>
      <c r="AF646" s="28" t="e">
        <f t="shared" si="503"/>
        <v>#DIV/0!</v>
      </c>
      <c r="AG646" s="2" t="e">
        <f t="shared" si="504"/>
        <v>#DIV/0!</v>
      </c>
      <c r="AH646" s="2" t="e">
        <f t="shared" si="505"/>
        <v>#DIV/0!</v>
      </c>
      <c r="AI646" s="2" t="e">
        <f t="shared" si="526"/>
        <v>#DIV/0!</v>
      </c>
      <c r="AJ646" s="2" t="e">
        <f t="shared" si="493"/>
        <v>#DIV/0!</v>
      </c>
      <c r="AK646" s="2" t="e">
        <f t="shared" si="506"/>
        <v>#DIV/0!</v>
      </c>
      <c r="AL646" s="2" t="e">
        <f t="shared" si="507"/>
        <v>#DIV/0!</v>
      </c>
      <c r="AM646" s="2" t="e">
        <f t="shared" si="527"/>
        <v>#DIV/0!</v>
      </c>
      <c r="AN646" s="2">
        <f t="shared" si="508"/>
        <v>0</v>
      </c>
      <c r="AO646" s="2" t="e">
        <f t="shared" si="509"/>
        <v>#DIV/0!</v>
      </c>
      <c r="AP646" s="2" t="e">
        <f t="shared" si="510"/>
        <v>#DIV/0!</v>
      </c>
      <c r="AQ646" s="2" t="e">
        <f t="shared" si="528"/>
        <v>#DIV/0!</v>
      </c>
      <c r="AR646" s="2" t="e">
        <f t="shared" si="494"/>
        <v>#DIV/0!</v>
      </c>
      <c r="AS646" s="2" t="e">
        <f t="shared" si="511"/>
        <v>#DIV/0!</v>
      </c>
      <c r="AT646" s="2" t="e">
        <f t="shared" si="512"/>
        <v>#DIV/0!</v>
      </c>
      <c r="AU646" s="2" t="e">
        <f t="shared" si="529"/>
        <v>#DIV/0!</v>
      </c>
      <c r="AV646" s="2" t="e">
        <f t="shared" si="513"/>
        <v>#DIV/0!</v>
      </c>
      <c r="AW646" s="2" t="e">
        <f t="shared" si="514"/>
        <v>#DIV/0!</v>
      </c>
      <c r="AX646" s="2" t="e">
        <f t="shared" si="515"/>
        <v>#DIV/0!</v>
      </c>
      <c r="AY646" s="2" t="e">
        <f t="shared" si="530"/>
        <v>#DIV/0!</v>
      </c>
      <c r="AZ646" s="2" t="e">
        <f t="shared" si="495"/>
        <v>#DIV/0!</v>
      </c>
      <c r="BA646" s="2" t="e">
        <f t="shared" si="516"/>
        <v>#DIV/0!</v>
      </c>
      <c r="BB646" s="2" t="e">
        <f t="shared" si="517"/>
        <v>#DIV/0!</v>
      </c>
      <c r="BC646" s="2" t="e">
        <f t="shared" si="531"/>
        <v>#DIV/0!</v>
      </c>
      <c r="BD646" s="2">
        <v>0</v>
      </c>
      <c r="BE646" s="2" t="e">
        <f t="shared" si="518"/>
        <v>#DIV/0!</v>
      </c>
      <c r="BF646" s="2" t="e">
        <f t="shared" si="519"/>
        <v>#DIV/0!</v>
      </c>
      <c r="BG646" s="2" t="e">
        <f t="shared" si="532"/>
        <v>#DIV/0!</v>
      </c>
      <c r="BH646" s="2" t="e">
        <f t="shared" si="496"/>
        <v>#DIV/0!</v>
      </c>
      <c r="BI646" s="2" t="e">
        <f t="shared" si="520"/>
        <v>#DIV/0!</v>
      </c>
      <c r="BJ646" s="2" t="e">
        <f t="shared" si="521"/>
        <v>#DIV/0!</v>
      </c>
      <c r="BK646" s="2" t="e">
        <f t="shared" si="533"/>
        <v>#DIV/0!</v>
      </c>
      <c r="BL646" s="2" t="e">
        <f t="shared" si="522"/>
        <v>#DIV/0!</v>
      </c>
      <c r="BM646" s="2" t="e">
        <f t="shared" si="523"/>
        <v>#DIV/0!</v>
      </c>
      <c r="BN646" s="2" t="e">
        <f t="shared" si="534"/>
        <v>#DIV/0!</v>
      </c>
    </row>
    <row r="647" spans="1:66" x14ac:dyDescent="0.25">
      <c r="A647" s="42">
        <v>644</v>
      </c>
      <c r="E647" s="6">
        <f t="shared" si="524"/>
        <v>0</v>
      </c>
      <c r="F647" s="5" t="str">
        <f t="shared" si="535"/>
        <v>Break Even</v>
      </c>
      <c r="G647" s="4">
        <f t="shared" si="536"/>
        <v>0</v>
      </c>
      <c r="N647" s="5">
        <f t="shared" si="537"/>
        <v>0</v>
      </c>
      <c r="O647" s="4" t="e">
        <f t="shared" si="538"/>
        <v>#DIV/0!</v>
      </c>
      <c r="P647" s="5">
        <f t="shared" si="497"/>
        <v>0</v>
      </c>
      <c r="R647" s="2">
        <f t="shared" si="492"/>
        <v>0</v>
      </c>
      <c r="T647" s="2">
        <f t="shared" si="525"/>
        <v>0</v>
      </c>
      <c r="V647" s="5">
        <f t="shared" si="539"/>
        <v>0</v>
      </c>
      <c r="W647" s="4" t="e">
        <f t="shared" si="540"/>
        <v>#DIV/0!</v>
      </c>
      <c r="X647" s="14">
        <f t="shared" si="498"/>
        <v>0</v>
      </c>
      <c r="Y647" s="5">
        <f t="shared" si="499"/>
        <v>0</v>
      </c>
      <c r="Z647" s="2">
        <f t="shared" si="500"/>
        <v>0</v>
      </c>
      <c r="AA647" s="4">
        <f t="shared" si="501"/>
        <v>0</v>
      </c>
      <c r="AB647" s="13">
        <f t="shared" si="502"/>
        <v>0</v>
      </c>
      <c r="AC647" s="10">
        <f>SUM($E$4:E647)</f>
        <v>-22024.091160220025</v>
      </c>
      <c r="AD647" s="20">
        <f>SUM($AB$4:AB647)</f>
        <v>13539.766460219998</v>
      </c>
      <c r="AF647" s="28" t="e">
        <f t="shared" si="503"/>
        <v>#DIV/0!</v>
      </c>
      <c r="AG647" s="2" t="e">
        <f t="shared" si="504"/>
        <v>#DIV/0!</v>
      </c>
      <c r="AH647" s="2" t="e">
        <f t="shared" si="505"/>
        <v>#DIV/0!</v>
      </c>
      <c r="AI647" s="2" t="e">
        <f t="shared" si="526"/>
        <v>#DIV/0!</v>
      </c>
      <c r="AJ647" s="2" t="e">
        <f t="shared" si="493"/>
        <v>#DIV/0!</v>
      </c>
      <c r="AK647" s="2" t="e">
        <f t="shared" si="506"/>
        <v>#DIV/0!</v>
      </c>
      <c r="AL647" s="2" t="e">
        <f t="shared" si="507"/>
        <v>#DIV/0!</v>
      </c>
      <c r="AM647" s="2" t="e">
        <f t="shared" si="527"/>
        <v>#DIV/0!</v>
      </c>
      <c r="AN647" s="2">
        <f t="shared" si="508"/>
        <v>0</v>
      </c>
      <c r="AO647" s="2" t="e">
        <f t="shared" si="509"/>
        <v>#DIV/0!</v>
      </c>
      <c r="AP647" s="2" t="e">
        <f t="shared" si="510"/>
        <v>#DIV/0!</v>
      </c>
      <c r="AQ647" s="2" t="e">
        <f t="shared" si="528"/>
        <v>#DIV/0!</v>
      </c>
      <c r="AR647" s="2" t="e">
        <f t="shared" si="494"/>
        <v>#DIV/0!</v>
      </c>
      <c r="AS647" s="2" t="e">
        <f t="shared" si="511"/>
        <v>#DIV/0!</v>
      </c>
      <c r="AT647" s="2" t="e">
        <f t="shared" si="512"/>
        <v>#DIV/0!</v>
      </c>
      <c r="AU647" s="2" t="e">
        <f t="shared" si="529"/>
        <v>#DIV/0!</v>
      </c>
      <c r="AV647" s="2" t="e">
        <f t="shared" si="513"/>
        <v>#DIV/0!</v>
      </c>
      <c r="AW647" s="2" t="e">
        <f t="shared" si="514"/>
        <v>#DIV/0!</v>
      </c>
      <c r="AX647" s="2" t="e">
        <f t="shared" si="515"/>
        <v>#DIV/0!</v>
      </c>
      <c r="AY647" s="2" t="e">
        <f t="shared" si="530"/>
        <v>#DIV/0!</v>
      </c>
      <c r="AZ647" s="2" t="e">
        <f t="shared" si="495"/>
        <v>#DIV/0!</v>
      </c>
      <c r="BA647" s="2" t="e">
        <f t="shared" si="516"/>
        <v>#DIV/0!</v>
      </c>
      <c r="BB647" s="2" t="e">
        <f t="shared" si="517"/>
        <v>#DIV/0!</v>
      </c>
      <c r="BC647" s="2" t="e">
        <f t="shared" si="531"/>
        <v>#DIV/0!</v>
      </c>
      <c r="BD647" s="2">
        <v>0</v>
      </c>
      <c r="BE647" s="2" t="e">
        <f t="shared" si="518"/>
        <v>#DIV/0!</v>
      </c>
      <c r="BF647" s="2" t="e">
        <f t="shared" si="519"/>
        <v>#DIV/0!</v>
      </c>
      <c r="BG647" s="2" t="e">
        <f t="shared" si="532"/>
        <v>#DIV/0!</v>
      </c>
      <c r="BH647" s="2" t="e">
        <f t="shared" si="496"/>
        <v>#DIV/0!</v>
      </c>
      <c r="BI647" s="2" t="e">
        <f t="shared" si="520"/>
        <v>#DIV/0!</v>
      </c>
      <c r="BJ647" s="2" t="e">
        <f t="shared" si="521"/>
        <v>#DIV/0!</v>
      </c>
      <c r="BK647" s="2" t="e">
        <f t="shared" si="533"/>
        <v>#DIV/0!</v>
      </c>
      <c r="BL647" s="2" t="e">
        <f t="shared" si="522"/>
        <v>#DIV/0!</v>
      </c>
      <c r="BM647" s="2" t="e">
        <f t="shared" si="523"/>
        <v>#DIV/0!</v>
      </c>
      <c r="BN647" s="2" t="e">
        <f t="shared" si="534"/>
        <v>#DIV/0!</v>
      </c>
    </row>
    <row r="648" spans="1:66" x14ac:dyDescent="0.25">
      <c r="A648" s="42">
        <v>645</v>
      </c>
      <c r="E648" s="6">
        <f t="shared" si="524"/>
        <v>0</v>
      </c>
      <c r="F648" s="5" t="str">
        <f t="shared" si="535"/>
        <v>Break Even</v>
      </c>
      <c r="G648" s="4">
        <f t="shared" si="536"/>
        <v>0</v>
      </c>
      <c r="N648" s="5">
        <f t="shared" si="537"/>
        <v>0</v>
      </c>
      <c r="O648" s="4" t="e">
        <f t="shared" si="538"/>
        <v>#DIV/0!</v>
      </c>
      <c r="P648" s="5">
        <f t="shared" si="497"/>
        <v>0</v>
      </c>
      <c r="R648" s="2">
        <f t="shared" si="492"/>
        <v>0</v>
      </c>
      <c r="T648" s="2">
        <f t="shared" si="525"/>
        <v>0</v>
      </c>
      <c r="V648" s="5">
        <f t="shared" si="539"/>
        <v>0</v>
      </c>
      <c r="W648" s="4" t="e">
        <f t="shared" si="540"/>
        <v>#DIV/0!</v>
      </c>
      <c r="X648" s="14">
        <f t="shared" si="498"/>
        <v>0</v>
      </c>
      <c r="Y648" s="5">
        <f t="shared" si="499"/>
        <v>0</v>
      </c>
      <c r="Z648" s="2">
        <f t="shared" si="500"/>
        <v>0</v>
      </c>
      <c r="AA648" s="4">
        <f t="shared" si="501"/>
        <v>0</v>
      </c>
      <c r="AB648" s="13">
        <f t="shared" si="502"/>
        <v>0</v>
      </c>
      <c r="AC648" s="10">
        <f>SUM($E$4:E648)</f>
        <v>-22024.091160220025</v>
      </c>
      <c r="AD648" s="20">
        <f>SUM($AB$4:AB648)</f>
        <v>13539.766460219998</v>
      </c>
      <c r="AF648" s="28" t="e">
        <f t="shared" si="503"/>
        <v>#DIV/0!</v>
      </c>
      <c r="AG648" s="2" t="e">
        <f t="shared" si="504"/>
        <v>#DIV/0!</v>
      </c>
      <c r="AH648" s="2" t="e">
        <f t="shared" si="505"/>
        <v>#DIV/0!</v>
      </c>
      <c r="AI648" s="2" t="e">
        <f t="shared" si="526"/>
        <v>#DIV/0!</v>
      </c>
      <c r="AJ648" s="2" t="e">
        <f t="shared" si="493"/>
        <v>#DIV/0!</v>
      </c>
      <c r="AK648" s="2" t="e">
        <f t="shared" si="506"/>
        <v>#DIV/0!</v>
      </c>
      <c r="AL648" s="2" t="e">
        <f t="shared" si="507"/>
        <v>#DIV/0!</v>
      </c>
      <c r="AM648" s="2" t="e">
        <f t="shared" si="527"/>
        <v>#DIV/0!</v>
      </c>
      <c r="AN648" s="2">
        <f t="shared" si="508"/>
        <v>0</v>
      </c>
      <c r="AO648" s="2" t="e">
        <f t="shared" si="509"/>
        <v>#DIV/0!</v>
      </c>
      <c r="AP648" s="2" t="e">
        <f t="shared" si="510"/>
        <v>#DIV/0!</v>
      </c>
      <c r="AQ648" s="2" t="e">
        <f t="shared" si="528"/>
        <v>#DIV/0!</v>
      </c>
      <c r="AR648" s="2" t="e">
        <f t="shared" si="494"/>
        <v>#DIV/0!</v>
      </c>
      <c r="AS648" s="2" t="e">
        <f t="shared" si="511"/>
        <v>#DIV/0!</v>
      </c>
      <c r="AT648" s="2" t="e">
        <f t="shared" si="512"/>
        <v>#DIV/0!</v>
      </c>
      <c r="AU648" s="2" t="e">
        <f t="shared" si="529"/>
        <v>#DIV/0!</v>
      </c>
      <c r="AV648" s="2" t="e">
        <f t="shared" si="513"/>
        <v>#DIV/0!</v>
      </c>
      <c r="AW648" s="2" t="e">
        <f t="shared" si="514"/>
        <v>#DIV/0!</v>
      </c>
      <c r="AX648" s="2" t="e">
        <f t="shared" si="515"/>
        <v>#DIV/0!</v>
      </c>
      <c r="AY648" s="2" t="e">
        <f t="shared" si="530"/>
        <v>#DIV/0!</v>
      </c>
      <c r="AZ648" s="2" t="e">
        <f t="shared" si="495"/>
        <v>#DIV/0!</v>
      </c>
      <c r="BA648" s="2" t="e">
        <f t="shared" si="516"/>
        <v>#DIV/0!</v>
      </c>
      <c r="BB648" s="2" t="e">
        <f t="shared" si="517"/>
        <v>#DIV/0!</v>
      </c>
      <c r="BC648" s="2" t="e">
        <f t="shared" si="531"/>
        <v>#DIV/0!</v>
      </c>
      <c r="BD648" s="2">
        <v>0</v>
      </c>
      <c r="BE648" s="2" t="e">
        <f t="shared" si="518"/>
        <v>#DIV/0!</v>
      </c>
      <c r="BF648" s="2" t="e">
        <f t="shared" si="519"/>
        <v>#DIV/0!</v>
      </c>
      <c r="BG648" s="2" t="e">
        <f t="shared" si="532"/>
        <v>#DIV/0!</v>
      </c>
      <c r="BH648" s="2" t="e">
        <f t="shared" si="496"/>
        <v>#DIV/0!</v>
      </c>
      <c r="BI648" s="2" t="e">
        <f t="shared" si="520"/>
        <v>#DIV/0!</v>
      </c>
      <c r="BJ648" s="2" t="e">
        <f t="shared" si="521"/>
        <v>#DIV/0!</v>
      </c>
      <c r="BK648" s="2" t="e">
        <f t="shared" si="533"/>
        <v>#DIV/0!</v>
      </c>
      <c r="BL648" s="2" t="e">
        <f t="shared" si="522"/>
        <v>#DIV/0!</v>
      </c>
      <c r="BM648" s="2" t="e">
        <f t="shared" si="523"/>
        <v>#DIV/0!</v>
      </c>
      <c r="BN648" s="2" t="e">
        <f t="shared" si="534"/>
        <v>#DIV/0!</v>
      </c>
    </row>
    <row r="649" spans="1:66" x14ac:dyDescent="0.25">
      <c r="A649" s="42">
        <v>646</v>
      </c>
      <c r="E649" s="6">
        <f t="shared" si="524"/>
        <v>0</v>
      </c>
      <c r="F649" s="5" t="str">
        <f t="shared" si="535"/>
        <v>Break Even</v>
      </c>
      <c r="G649" s="4">
        <f t="shared" si="536"/>
        <v>0</v>
      </c>
      <c r="N649" s="5">
        <f t="shared" si="537"/>
        <v>0</v>
      </c>
      <c r="O649" s="4" t="e">
        <f t="shared" si="538"/>
        <v>#DIV/0!</v>
      </c>
      <c r="P649" s="5">
        <f t="shared" si="497"/>
        <v>0</v>
      </c>
      <c r="R649" s="2">
        <f t="shared" si="492"/>
        <v>0</v>
      </c>
      <c r="T649" s="2">
        <f t="shared" si="525"/>
        <v>0</v>
      </c>
      <c r="V649" s="5">
        <f t="shared" si="539"/>
        <v>0</v>
      </c>
      <c r="W649" s="4" t="e">
        <f t="shared" si="540"/>
        <v>#DIV/0!</v>
      </c>
      <c r="X649" s="14">
        <f t="shared" si="498"/>
        <v>0</v>
      </c>
      <c r="Y649" s="5">
        <f t="shared" si="499"/>
        <v>0</v>
      </c>
      <c r="Z649" s="2">
        <f t="shared" si="500"/>
        <v>0</v>
      </c>
      <c r="AA649" s="4">
        <f t="shared" si="501"/>
        <v>0</v>
      </c>
      <c r="AB649" s="13">
        <f t="shared" si="502"/>
        <v>0</v>
      </c>
      <c r="AC649" s="10">
        <f>SUM($E$4:E649)</f>
        <v>-22024.091160220025</v>
      </c>
      <c r="AD649" s="20">
        <f>SUM($AB$4:AB649)</f>
        <v>13539.766460219998</v>
      </c>
      <c r="AF649" s="28" t="e">
        <f t="shared" si="503"/>
        <v>#DIV/0!</v>
      </c>
      <c r="AG649" s="2" t="e">
        <f t="shared" si="504"/>
        <v>#DIV/0!</v>
      </c>
      <c r="AH649" s="2" t="e">
        <f t="shared" si="505"/>
        <v>#DIV/0!</v>
      </c>
      <c r="AI649" s="2" t="e">
        <f t="shared" si="526"/>
        <v>#DIV/0!</v>
      </c>
      <c r="AJ649" s="2" t="e">
        <f t="shared" si="493"/>
        <v>#DIV/0!</v>
      </c>
      <c r="AK649" s="2" t="e">
        <f t="shared" si="506"/>
        <v>#DIV/0!</v>
      </c>
      <c r="AL649" s="2" t="e">
        <f t="shared" si="507"/>
        <v>#DIV/0!</v>
      </c>
      <c r="AM649" s="2" t="e">
        <f t="shared" si="527"/>
        <v>#DIV/0!</v>
      </c>
      <c r="AN649" s="2">
        <f t="shared" si="508"/>
        <v>0</v>
      </c>
      <c r="AO649" s="2" t="e">
        <f t="shared" si="509"/>
        <v>#DIV/0!</v>
      </c>
      <c r="AP649" s="2" t="e">
        <f t="shared" si="510"/>
        <v>#DIV/0!</v>
      </c>
      <c r="AQ649" s="2" t="e">
        <f t="shared" si="528"/>
        <v>#DIV/0!</v>
      </c>
      <c r="AR649" s="2" t="e">
        <f t="shared" si="494"/>
        <v>#DIV/0!</v>
      </c>
      <c r="AS649" s="2" t="e">
        <f t="shared" si="511"/>
        <v>#DIV/0!</v>
      </c>
      <c r="AT649" s="2" t="e">
        <f t="shared" si="512"/>
        <v>#DIV/0!</v>
      </c>
      <c r="AU649" s="2" t="e">
        <f t="shared" si="529"/>
        <v>#DIV/0!</v>
      </c>
      <c r="AV649" s="2" t="e">
        <f t="shared" si="513"/>
        <v>#DIV/0!</v>
      </c>
      <c r="AW649" s="2" t="e">
        <f t="shared" si="514"/>
        <v>#DIV/0!</v>
      </c>
      <c r="AX649" s="2" t="e">
        <f t="shared" si="515"/>
        <v>#DIV/0!</v>
      </c>
      <c r="AY649" s="2" t="e">
        <f t="shared" si="530"/>
        <v>#DIV/0!</v>
      </c>
      <c r="AZ649" s="2" t="e">
        <f t="shared" si="495"/>
        <v>#DIV/0!</v>
      </c>
      <c r="BA649" s="2" t="e">
        <f t="shared" si="516"/>
        <v>#DIV/0!</v>
      </c>
      <c r="BB649" s="2" t="e">
        <f t="shared" si="517"/>
        <v>#DIV/0!</v>
      </c>
      <c r="BC649" s="2" t="e">
        <f t="shared" si="531"/>
        <v>#DIV/0!</v>
      </c>
      <c r="BD649" s="2">
        <v>0</v>
      </c>
      <c r="BE649" s="2" t="e">
        <f t="shared" si="518"/>
        <v>#DIV/0!</v>
      </c>
      <c r="BF649" s="2" t="e">
        <f t="shared" si="519"/>
        <v>#DIV/0!</v>
      </c>
      <c r="BG649" s="2" t="e">
        <f t="shared" si="532"/>
        <v>#DIV/0!</v>
      </c>
      <c r="BH649" s="2" t="e">
        <f t="shared" si="496"/>
        <v>#DIV/0!</v>
      </c>
      <c r="BI649" s="2" t="e">
        <f t="shared" si="520"/>
        <v>#DIV/0!</v>
      </c>
      <c r="BJ649" s="2" t="e">
        <f t="shared" si="521"/>
        <v>#DIV/0!</v>
      </c>
      <c r="BK649" s="2" t="e">
        <f t="shared" si="533"/>
        <v>#DIV/0!</v>
      </c>
      <c r="BL649" s="2" t="e">
        <f t="shared" si="522"/>
        <v>#DIV/0!</v>
      </c>
      <c r="BM649" s="2" t="e">
        <f t="shared" si="523"/>
        <v>#DIV/0!</v>
      </c>
      <c r="BN649" s="2" t="e">
        <f t="shared" si="534"/>
        <v>#DIV/0!</v>
      </c>
    </row>
    <row r="650" spans="1:66" x14ac:dyDescent="0.25">
      <c r="A650" s="42">
        <v>647</v>
      </c>
      <c r="E650" s="6">
        <f t="shared" si="524"/>
        <v>0</v>
      </c>
      <c r="F650" s="5" t="str">
        <f t="shared" si="535"/>
        <v>Break Even</v>
      </c>
      <c r="G650" s="4">
        <f t="shared" si="536"/>
        <v>0</v>
      </c>
      <c r="N650" s="5">
        <f t="shared" si="537"/>
        <v>0</v>
      </c>
      <c r="O650" s="4" t="e">
        <f t="shared" si="538"/>
        <v>#DIV/0!</v>
      </c>
      <c r="P650" s="5">
        <f t="shared" si="497"/>
        <v>0</v>
      </c>
      <c r="R650" s="2">
        <f t="shared" si="492"/>
        <v>0</v>
      </c>
      <c r="T650" s="2">
        <f t="shared" si="525"/>
        <v>0</v>
      </c>
      <c r="V650" s="5">
        <f t="shared" si="539"/>
        <v>0</v>
      </c>
      <c r="W650" s="4" t="e">
        <f t="shared" si="540"/>
        <v>#DIV/0!</v>
      </c>
      <c r="X650" s="14">
        <f t="shared" si="498"/>
        <v>0</v>
      </c>
      <c r="Y650" s="5">
        <f t="shared" si="499"/>
        <v>0</v>
      </c>
      <c r="Z650" s="2">
        <f t="shared" si="500"/>
        <v>0</v>
      </c>
      <c r="AA650" s="4">
        <f t="shared" si="501"/>
        <v>0</v>
      </c>
      <c r="AB650" s="13">
        <f t="shared" si="502"/>
        <v>0</v>
      </c>
      <c r="AC650" s="10">
        <f>SUM($E$4:E650)</f>
        <v>-22024.091160220025</v>
      </c>
      <c r="AD650" s="20">
        <f>SUM($AB$4:AB650)</f>
        <v>13539.766460219998</v>
      </c>
      <c r="AF650" s="28" t="e">
        <f t="shared" si="503"/>
        <v>#DIV/0!</v>
      </c>
      <c r="AG650" s="2" t="e">
        <f t="shared" si="504"/>
        <v>#DIV/0!</v>
      </c>
      <c r="AH650" s="2" t="e">
        <f t="shared" si="505"/>
        <v>#DIV/0!</v>
      </c>
      <c r="AI650" s="2" t="e">
        <f t="shared" si="526"/>
        <v>#DIV/0!</v>
      </c>
      <c r="AJ650" s="2" t="e">
        <f t="shared" si="493"/>
        <v>#DIV/0!</v>
      </c>
      <c r="AK650" s="2" t="e">
        <f t="shared" si="506"/>
        <v>#DIV/0!</v>
      </c>
      <c r="AL650" s="2" t="e">
        <f t="shared" si="507"/>
        <v>#DIV/0!</v>
      </c>
      <c r="AM650" s="2" t="e">
        <f t="shared" si="527"/>
        <v>#DIV/0!</v>
      </c>
      <c r="AN650" s="2">
        <f t="shared" si="508"/>
        <v>0</v>
      </c>
      <c r="AO650" s="2" t="e">
        <f t="shared" si="509"/>
        <v>#DIV/0!</v>
      </c>
      <c r="AP650" s="2" t="e">
        <f t="shared" si="510"/>
        <v>#DIV/0!</v>
      </c>
      <c r="AQ650" s="2" t="e">
        <f t="shared" si="528"/>
        <v>#DIV/0!</v>
      </c>
      <c r="AR650" s="2" t="e">
        <f t="shared" si="494"/>
        <v>#DIV/0!</v>
      </c>
      <c r="AS650" s="2" t="e">
        <f t="shared" si="511"/>
        <v>#DIV/0!</v>
      </c>
      <c r="AT650" s="2" t="e">
        <f t="shared" si="512"/>
        <v>#DIV/0!</v>
      </c>
      <c r="AU650" s="2" t="e">
        <f t="shared" si="529"/>
        <v>#DIV/0!</v>
      </c>
      <c r="AV650" s="2" t="e">
        <f t="shared" si="513"/>
        <v>#DIV/0!</v>
      </c>
      <c r="AW650" s="2" t="e">
        <f t="shared" si="514"/>
        <v>#DIV/0!</v>
      </c>
      <c r="AX650" s="2" t="e">
        <f t="shared" si="515"/>
        <v>#DIV/0!</v>
      </c>
      <c r="AY650" s="2" t="e">
        <f t="shared" si="530"/>
        <v>#DIV/0!</v>
      </c>
      <c r="AZ650" s="2" t="e">
        <f t="shared" si="495"/>
        <v>#DIV/0!</v>
      </c>
      <c r="BA650" s="2" t="e">
        <f t="shared" si="516"/>
        <v>#DIV/0!</v>
      </c>
      <c r="BB650" s="2" t="e">
        <f t="shared" si="517"/>
        <v>#DIV/0!</v>
      </c>
      <c r="BC650" s="2" t="e">
        <f t="shared" si="531"/>
        <v>#DIV/0!</v>
      </c>
      <c r="BD650" s="2">
        <v>0</v>
      </c>
      <c r="BE650" s="2" t="e">
        <f t="shared" si="518"/>
        <v>#DIV/0!</v>
      </c>
      <c r="BF650" s="2" t="e">
        <f t="shared" si="519"/>
        <v>#DIV/0!</v>
      </c>
      <c r="BG650" s="2" t="e">
        <f t="shared" si="532"/>
        <v>#DIV/0!</v>
      </c>
      <c r="BH650" s="2" t="e">
        <f t="shared" si="496"/>
        <v>#DIV/0!</v>
      </c>
      <c r="BI650" s="2" t="e">
        <f t="shared" si="520"/>
        <v>#DIV/0!</v>
      </c>
      <c r="BJ650" s="2" t="e">
        <f t="shared" si="521"/>
        <v>#DIV/0!</v>
      </c>
      <c r="BK650" s="2" t="e">
        <f t="shared" si="533"/>
        <v>#DIV/0!</v>
      </c>
      <c r="BL650" s="2" t="e">
        <f t="shared" si="522"/>
        <v>#DIV/0!</v>
      </c>
      <c r="BM650" s="2" t="e">
        <f t="shared" si="523"/>
        <v>#DIV/0!</v>
      </c>
      <c r="BN650" s="2" t="e">
        <f t="shared" si="534"/>
        <v>#DIV/0!</v>
      </c>
    </row>
    <row r="651" spans="1:66" x14ac:dyDescent="0.25">
      <c r="A651" s="42">
        <v>648</v>
      </c>
      <c r="E651" s="6">
        <f t="shared" si="524"/>
        <v>0</v>
      </c>
      <c r="F651" s="5" t="str">
        <f t="shared" si="535"/>
        <v>Break Even</v>
      </c>
      <c r="G651" s="4">
        <f t="shared" si="536"/>
        <v>0</v>
      </c>
      <c r="N651" s="5">
        <f t="shared" si="537"/>
        <v>0</v>
      </c>
      <c r="O651" s="4" t="e">
        <f t="shared" si="538"/>
        <v>#DIV/0!</v>
      </c>
      <c r="P651" s="5">
        <f t="shared" si="497"/>
        <v>0</v>
      </c>
      <c r="R651" s="2">
        <f t="shared" si="492"/>
        <v>0</v>
      </c>
      <c r="T651" s="2">
        <f t="shared" si="525"/>
        <v>0</v>
      </c>
      <c r="V651" s="5">
        <f t="shared" si="539"/>
        <v>0</v>
      </c>
      <c r="W651" s="4" t="e">
        <f t="shared" si="540"/>
        <v>#DIV/0!</v>
      </c>
      <c r="X651" s="14">
        <f t="shared" si="498"/>
        <v>0</v>
      </c>
      <c r="Y651" s="5">
        <f t="shared" si="499"/>
        <v>0</v>
      </c>
      <c r="Z651" s="2">
        <f t="shared" si="500"/>
        <v>0</v>
      </c>
      <c r="AA651" s="4">
        <f t="shared" si="501"/>
        <v>0</v>
      </c>
      <c r="AB651" s="13">
        <f t="shared" si="502"/>
        <v>0</v>
      </c>
      <c r="AC651" s="10">
        <f>SUM($E$4:E651)</f>
        <v>-22024.091160220025</v>
      </c>
      <c r="AD651" s="20">
        <f>SUM($AB$4:AB651)</f>
        <v>13539.766460219998</v>
      </c>
      <c r="AF651" s="28" t="e">
        <f t="shared" si="503"/>
        <v>#DIV/0!</v>
      </c>
      <c r="AG651" s="2" t="e">
        <f t="shared" si="504"/>
        <v>#DIV/0!</v>
      </c>
      <c r="AH651" s="2" t="e">
        <f t="shared" si="505"/>
        <v>#DIV/0!</v>
      </c>
      <c r="AI651" s="2" t="e">
        <f t="shared" si="526"/>
        <v>#DIV/0!</v>
      </c>
      <c r="AJ651" s="2" t="e">
        <f t="shared" si="493"/>
        <v>#DIV/0!</v>
      </c>
      <c r="AK651" s="2" t="e">
        <f t="shared" si="506"/>
        <v>#DIV/0!</v>
      </c>
      <c r="AL651" s="2" t="e">
        <f t="shared" si="507"/>
        <v>#DIV/0!</v>
      </c>
      <c r="AM651" s="2" t="e">
        <f t="shared" si="527"/>
        <v>#DIV/0!</v>
      </c>
      <c r="AN651" s="2">
        <f t="shared" si="508"/>
        <v>0</v>
      </c>
      <c r="AO651" s="2" t="e">
        <f t="shared" si="509"/>
        <v>#DIV/0!</v>
      </c>
      <c r="AP651" s="2" t="e">
        <f t="shared" si="510"/>
        <v>#DIV/0!</v>
      </c>
      <c r="AQ651" s="2" t="e">
        <f t="shared" si="528"/>
        <v>#DIV/0!</v>
      </c>
      <c r="AR651" s="2" t="e">
        <f t="shared" si="494"/>
        <v>#DIV/0!</v>
      </c>
      <c r="AS651" s="2" t="e">
        <f t="shared" si="511"/>
        <v>#DIV/0!</v>
      </c>
      <c r="AT651" s="2" t="e">
        <f t="shared" si="512"/>
        <v>#DIV/0!</v>
      </c>
      <c r="AU651" s="2" t="e">
        <f t="shared" si="529"/>
        <v>#DIV/0!</v>
      </c>
      <c r="AV651" s="2" t="e">
        <f t="shared" si="513"/>
        <v>#DIV/0!</v>
      </c>
      <c r="AW651" s="2" t="e">
        <f t="shared" si="514"/>
        <v>#DIV/0!</v>
      </c>
      <c r="AX651" s="2" t="e">
        <f t="shared" si="515"/>
        <v>#DIV/0!</v>
      </c>
      <c r="AY651" s="2" t="e">
        <f t="shared" si="530"/>
        <v>#DIV/0!</v>
      </c>
      <c r="AZ651" s="2" t="e">
        <f t="shared" si="495"/>
        <v>#DIV/0!</v>
      </c>
      <c r="BA651" s="2" t="e">
        <f t="shared" si="516"/>
        <v>#DIV/0!</v>
      </c>
      <c r="BB651" s="2" t="e">
        <f t="shared" si="517"/>
        <v>#DIV/0!</v>
      </c>
      <c r="BC651" s="2" t="e">
        <f t="shared" si="531"/>
        <v>#DIV/0!</v>
      </c>
      <c r="BD651" s="2">
        <v>0</v>
      </c>
      <c r="BE651" s="2" t="e">
        <f t="shared" si="518"/>
        <v>#DIV/0!</v>
      </c>
      <c r="BF651" s="2" t="e">
        <f t="shared" si="519"/>
        <v>#DIV/0!</v>
      </c>
      <c r="BG651" s="2" t="e">
        <f t="shared" si="532"/>
        <v>#DIV/0!</v>
      </c>
      <c r="BH651" s="2" t="e">
        <f t="shared" si="496"/>
        <v>#DIV/0!</v>
      </c>
      <c r="BI651" s="2" t="e">
        <f t="shared" si="520"/>
        <v>#DIV/0!</v>
      </c>
      <c r="BJ651" s="2" t="e">
        <f t="shared" si="521"/>
        <v>#DIV/0!</v>
      </c>
      <c r="BK651" s="2" t="e">
        <f t="shared" si="533"/>
        <v>#DIV/0!</v>
      </c>
      <c r="BL651" s="2" t="e">
        <f t="shared" si="522"/>
        <v>#DIV/0!</v>
      </c>
      <c r="BM651" s="2" t="e">
        <f t="shared" si="523"/>
        <v>#DIV/0!</v>
      </c>
      <c r="BN651" s="2" t="e">
        <f t="shared" si="534"/>
        <v>#DIV/0!</v>
      </c>
    </row>
    <row r="652" spans="1:66" x14ac:dyDescent="0.25">
      <c r="A652" s="42">
        <v>649</v>
      </c>
      <c r="E652" s="6">
        <f t="shared" si="524"/>
        <v>0</v>
      </c>
      <c r="F652" s="5" t="str">
        <f t="shared" si="535"/>
        <v>Break Even</v>
      </c>
      <c r="G652" s="4">
        <f t="shared" si="536"/>
        <v>0</v>
      </c>
      <c r="N652" s="5">
        <f t="shared" si="537"/>
        <v>0</v>
      </c>
      <c r="O652" s="4" t="e">
        <f t="shared" si="538"/>
        <v>#DIV/0!</v>
      </c>
      <c r="P652" s="5">
        <f t="shared" si="497"/>
        <v>0</v>
      </c>
      <c r="R652" s="2">
        <f t="shared" si="492"/>
        <v>0</v>
      </c>
      <c r="T652" s="2">
        <f t="shared" si="525"/>
        <v>0</v>
      </c>
      <c r="V652" s="5">
        <f t="shared" si="539"/>
        <v>0</v>
      </c>
      <c r="W652" s="4" t="e">
        <f t="shared" si="540"/>
        <v>#DIV/0!</v>
      </c>
      <c r="X652" s="14">
        <f t="shared" si="498"/>
        <v>0</v>
      </c>
      <c r="Y652" s="5">
        <f t="shared" si="499"/>
        <v>0</v>
      </c>
      <c r="Z652" s="2">
        <f t="shared" si="500"/>
        <v>0</v>
      </c>
      <c r="AA652" s="4">
        <f t="shared" si="501"/>
        <v>0</v>
      </c>
      <c r="AB652" s="13">
        <f t="shared" si="502"/>
        <v>0</v>
      </c>
      <c r="AC652" s="10">
        <f>SUM($E$4:E652)</f>
        <v>-22024.091160220025</v>
      </c>
      <c r="AD652" s="20">
        <f>SUM($AB$4:AB652)</f>
        <v>13539.766460219998</v>
      </c>
      <c r="AF652" s="28" t="e">
        <f t="shared" si="503"/>
        <v>#DIV/0!</v>
      </c>
      <c r="AG652" s="2" t="e">
        <f t="shared" si="504"/>
        <v>#DIV/0!</v>
      </c>
      <c r="AH652" s="2" t="e">
        <f t="shared" si="505"/>
        <v>#DIV/0!</v>
      </c>
      <c r="AI652" s="2" t="e">
        <f t="shared" si="526"/>
        <v>#DIV/0!</v>
      </c>
      <c r="AJ652" s="2" t="e">
        <f t="shared" si="493"/>
        <v>#DIV/0!</v>
      </c>
      <c r="AK652" s="2" t="e">
        <f t="shared" si="506"/>
        <v>#DIV/0!</v>
      </c>
      <c r="AL652" s="2" t="e">
        <f t="shared" si="507"/>
        <v>#DIV/0!</v>
      </c>
      <c r="AM652" s="2" t="e">
        <f t="shared" si="527"/>
        <v>#DIV/0!</v>
      </c>
      <c r="AN652" s="2">
        <f t="shared" si="508"/>
        <v>0</v>
      </c>
      <c r="AO652" s="2" t="e">
        <f t="shared" si="509"/>
        <v>#DIV/0!</v>
      </c>
      <c r="AP652" s="2" t="e">
        <f t="shared" si="510"/>
        <v>#DIV/0!</v>
      </c>
      <c r="AQ652" s="2" t="e">
        <f t="shared" si="528"/>
        <v>#DIV/0!</v>
      </c>
      <c r="AR652" s="2" t="e">
        <f t="shared" si="494"/>
        <v>#DIV/0!</v>
      </c>
      <c r="AS652" s="2" t="e">
        <f t="shared" si="511"/>
        <v>#DIV/0!</v>
      </c>
      <c r="AT652" s="2" t="e">
        <f t="shared" si="512"/>
        <v>#DIV/0!</v>
      </c>
      <c r="AU652" s="2" t="e">
        <f t="shared" si="529"/>
        <v>#DIV/0!</v>
      </c>
      <c r="AV652" s="2" t="e">
        <f t="shared" si="513"/>
        <v>#DIV/0!</v>
      </c>
      <c r="AW652" s="2" t="e">
        <f t="shared" si="514"/>
        <v>#DIV/0!</v>
      </c>
      <c r="AX652" s="2" t="e">
        <f t="shared" si="515"/>
        <v>#DIV/0!</v>
      </c>
      <c r="AY652" s="2" t="e">
        <f t="shared" si="530"/>
        <v>#DIV/0!</v>
      </c>
      <c r="AZ652" s="2" t="e">
        <f t="shared" si="495"/>
        <v>#DIV/0!</v>
      </c>
      <c r="BA652" s="2" t="e">
        <f t="shared" si="516"/>
        <v>#DIV/0!</v>
      </c>
      <c r="BB652" s="2" t="e">
        <f t="shared" si="517"/>
        <v>#DIV/0!</v>
      </c>
      <c r="BC652" s="2" t="e">
        <f t="shared" si="531"/>
        <v>#DIV/0!</v>
      </c>
      <c r="BD652" s="2">
        <v>0</v>
      </c>
      <c r="BE652" s="2" t="e">
        <f t="shared" si="518"/>
        <v>#DIV/0!</v>
      </c>
      <c r="BF652" s="2" t="e">
        <f t="shared" si="519"/>
        <v>#DIV/0!</v>
      </c>
      <c r="BG652" s="2" t="e">
        <f t="shared" si="532"/>
        <v>#DIV/0!</v>
      </c>
      <c r="BH652" s="2" t="e">
        <f t="shared" si="496"/>
        <v>#DIV/0!</v>
      </c>
      <c r="BI652" s="2" t="e">
        <f t="shared" si="520"/>
        <v>#DIV/0!</v>
      </c>
      <c r="BJ652" s="2" t="e">
        <f t="shared" si="521"/>
        <v>#DIV/0!</v>
      </c>
      <c r="BK652" s="2" t="e">
        <f t="shared" si="533"/>
        <v>#DIV/0!</v>
      </c>
      <c r="BL652" s="2" t="e">
        <f t="shared" si="522"/>
        <v>#DIV/0!</v>
      </c>
      <c r="BM652" s="2" t="e">
        <f t="shared" si="523"/>
        <v>#DIV/0!</v>
      </c>
      <c r="BN652" s="2" t="e">
        <f t="shared" si="534"/>
        <v>#DIV/0!</v>
      </c>
    </row>
    <row r="653" spans="1:66" x14ac:dyDescent="0.25">
      <c r="A653" s="42">
        <v>650</v>
      </c>
      <c r="E653" s="6">
        <f t="shared" si="524"/>
        <v>0</v>
      </c>
      <c r="F653" s="5" t="str">
        <f t="shared" si="535"/>
        <v>Break Even</v>
      </c>
      <c r="G653" s="4">
        <f t="shared" si="536"/>
        <v>0</v>
      </c>
      <c r="N653" s="5">
        <f t="shared" si="537"/>
        <v>0</v>
      </c>
      <c r="O653" s="4" t="e">
        <f t="shared" si="538"/>
        <v>#DIV/0!</v>
      </c>
      <c r="P653" s="5">
        <f t="shared" si="497"/>
        <v>0</v>
      </c>
      <c r="R653" s="2">
        <f t="shared" si="492"/>
        <v>0</v>
      </c>
      <c r="T653" s="2">
        <f t="shared" si="525"/>
        <v>0</v>
      </c>
      <c r="V653" s="5">
        <f t="shared" si="539"/>
        <v>0</v>
      </c>
      <c r="W653" s="4" t="e">
        <f t="shared" si="540"/>
        <v>#DIV/0!</v>
      </c>
      <c r="X653" s="14">
        <f t="shared" si="498"/>
        <v>0</v>
      </c>
      <c r="Y653" s="5">
        <f t="shared" si="499"/>
        <v>0</v>
      </c>
      <c r="Z653" s="2">
        <f t="shared" si="500"/>
        <v>0</v>
      </c>
      <c r="AA653" s="4">
        <f t="shared" si="501"/>
        <v>0</v>
      </c>
      <c r="AB653" s="13">
        <f t="shared" si="502"/>
        <v>0</v>
      </c>
      <c r="AC653" s="10">
        <f>SUM($E$4:E653)</f>
        <v>-22024.091160220025</v>
      </c>
      <c r="AD653" s="20">
        <f>SUM($AB$4:AB653)</f>
        <v>13539.766460219998</v>
      </c>
      <c r="AF653" s="28" t="e">
        <f t="shared" si="503"/>
        <v>#DIV/0!</v>
      </c>
      <c r="AG653" s="2" t="e">
        <f t="shared" si="504"/>
        <v>#DIV/0!</v>
      </c>
      <c r="AH653" s="2" t="e">
        <f t="shared" si="505"/>
        <v>#DIV/0!</v>
      </c>
      <c r="AI653" s="2" t="e">
        <f t="shared" si="526"/>
        <v>#DIV/0!</v>
      </c>
      <c r="AJ653" s="2" t="e">
        <f t="shared" si="493"/>
        <v>#DIV/0!</v>
      </c>
      <c r="AK653" s="2" t="e">
        <f t="shared" si="506"/>
        <v>#DIV/0!</v>
      </c>
      <c r="AL653" s="2" t="e">
        <f t="shared" si="507"/>
        <v>#DIV/0!</v>
      </c>
      <c r="AM653" s="2" t="e">
        <f t="shared" si="527"/>
        <v>#DIV/0!</v>
      </c>
      <c r="AN653" s="2">
        <f t="shared" si="508"/>
        <v>0</v>
      </c>
      <c r="AO653" s="2" t="e">
        <f t="shared" si="509"/>
        <v>#DIV/0!</v>
      </c>
      <c r="AP653" s="2" t="e">
        <f t="shared" si="510"/>
        <v>#DIV/0!</v>
      </c>
      <c r="AQ653" s="2" t="e">
        <f t="shared" si="528"/>
        <v>#DIV/0!</v>
      </c>
      <c r="AR653" s="2" t="e">
        <f t="shared" si="494"/>
        <v>#DIV/0!</v>
      </c>
      <c r="AS653" s="2" t="e">
        <f t="shared" si="511"/>
        <v>#DIV/0!</v>
      </c>
      <c r="AT653" s="2" t="e">
        <f t="shared" si="512"/>
        <v>#DIV/0!</v>
      </c>
      <c r="AU653" s="2" t="e">
        <f t="shared" si="529"/>
        <v>#DIV/0!</v>
      </c>
      <c r="AV653" s="2" t="e">
        <f t="shared" si="513"/>
        <v>#DIV/0!</v>
      </c>
      <c r="AW653" s="2" t="e">
        <f t="shared" si="514"/>
        <v>#DIV/0!</v>
      </c>
      <c r="AX653" s="2" t="e">
        <f t="shared" si="515"/>
        <v>#DIV/0!</v>
      </c>
      <c r="AY653" s="2" t="e">
        <f t="shared" si="530"/>
        <v>#DIV/0!</v>
      </c>
      <c r="AZ653" s="2" t="e">
        <f t="shared" si="495"/>
        <v>#DIV/0!</v>
      </c>
      <c r="BA653" s="2" t="e">
        <f t="shared" si="516"/>
        <v>#DIV/0!</v>
      </c>
      <c r="BB653" s="2" t="e">
        <f t="shared" si="517"/>
        <v>#DIV/0!</v>
      </c>
      <c r="BC653" s="2" t="e">
        <f t="shared" si="531"/>
        <v>#DIV/0!</v>
      </c>
      <c r="BD653" s="2">
        <v>0</v>
      </c>
      <c r="BE653" s="2" t="e">
        <f t="shared" si="518"/>
        <v>#DIV/0!</v>
      </c>
      <c r="BF653" s="2" t="e">
        <f t="shared" si="519"/>
        <v>#DIV/0!</v>
      </c>
      <c r="BG653" s="2" t="e">
        <f t="shared" si="532"/>
        <v>#DIV/0!</v>
      </c>
      <c r="BH653" s="2" t="e">
        <f t="shared" si="496"/>
        <v>#DIV/0!</v>
      </c>
      <c r="BI653" s="2" t="e">
        <f t="shared" si="520"/>
        <v>#DIV/0!</v>
      </c>
      <c r="BJ653" s="2" t="e">
        <f t="shared" si="521"/>
        <v>#DIV/0!</v>
      </c>
      <c r="BK653" s="2" t="e">
        <f t="shared" si="533"/>
        <v>#DIV/0!</v>
      </c>
      <c r="BL653" s="2" t="e">
        <f t="shared" si="522"/>
        <v>#DIV/0!</v>
      </c>
      <c r="BM653" s="2" t="e">
        <f t="shared" si="523"/>
        <v>#DIV/0!</v>
      </c>
      <c r="BN653" s="2" t="e">
        <f t="shared" si="534"/>
        <v>#DIV/0!</v>
      </c>
    </row>
    <row r="654" spans="1:66" x14ac:dyDescent="0.25">
      <c r="A654" s="42">
        <v>651</v>
      </c>
      <c r="E654" s="6">
        <f t="shared" si="524"/>
        <v>0</v>
      </c>
      <c r="F654" s="5" t="str">
        <f t="shared" si="535"/>
        <v>Break Even</v>
      </c>
      <c r="G654" s="4">
        <f t="shared" si="536"/>
        <v>0</v>
      </c>
      <c r="N654" s="5">
        <f t="shared" si="537"/>
        <v>0</v>
      </c>
      <c r="O654" s="4" t="e">
        <f t="shared" si="538"/>
        <v>#DIV/0!</v>
      </c>
      <c r="P654" s="5">
        <f t="shared" si="497"/>
        <v>0</v>
      </c>
      <c r="R654" s="2">
        <f t="shared" si="492"/>
        <v>0</v>
      </c>
      <c r="T654" s="2">
        <f t="shared" si="525"/>
        <v>0</v>
      </c>
      <c r="V654" s="5">
        <f t="shared" si="539"/>
        <v>0</v>
      </c>
      <c r="W654" s="4" t="e">
        <f t="shared" si="540"/>
        <v>#DIV/0!</v>
      </c>
      <c r="X654" s="14">
        <f t="shared" si="498"/>
        <v>0</v>
      </c>
      <c r="Y654" s="5">
        <f t="shared" si="499"/>
        <v>0</v>
      </c>
      <c r="Z654" s="2">
        <f t="shared" si="500"/>
        <v>0</v>
      </c>
      <c r="AA654" s="4">
        <f t="shared" si="501"/>
        <v>0</v>
      </c>
      <c r="AB654" s="13">
        <f t="shared" si="502"/>
        <v>0</v>
      </c>
      <c r="AC654" s="10">
        <f>SUM($E$4:E654)</f>
        <v>-22024.091160220025</v>
      </c>
      <c r="AD654" s="20">
        <f>SUM($AB$4:AB654)</f>
        <v>13539.766460219998</v>
      </c>
      <c r="AF654" s="28" t="e">
        <f t="shared" si="503"/>
        <v>#DIV/0!</v>
      </c>
      <c r="AG654" s="2" t="e">
        <f t="shared" si="504"/>
        <v>#DIV/0!</v>
      </c>
      <c r="AH654" s="2" t="e">
        <f t="shared" si="505"/>
        <v>#DIV/0!</v>
      </c>
      <c r="AI654" s="2" t="e">
        <f t="shared" si="526"/>
        <v>#DIV/0!</v>
      </c>
      <c r="AJ654" s="2" t="e">
        <f t="shared" si="493"/>
        <v>#DIV/0!</v>
      </c>
      <c r="AK654" s="2" t="e">
        <f t="shared" si="506"/>
        <v>#DIV/0!</v>
      </c>
      <c r="AL654" s="2" t="e">
        <f t="shared" si="507"/>
        <v>#DIV/0!</v>
      </c>
      <c r="AM654" s="2" t="e">
        <f t="shared" si="527"/>
        <v>#DIV/0!</v>
      </c>
      <c r="AN654" s="2">
        <f t="shared" si="508"/>
        <v>0</v>
      </c>
      <c r="AO654" s="2" t="e">
        <f t="shared" si="509"/>
        <v>#DIV/0!</v>
      </c>
      <c r="AP654" s="2" t="e">
        <f t="shared" si="510"/>
        <v>#DIV/0!</v>
      </c>
      <c r="AQ654" s="2" t="e">
        <f t="shared" si="528"/>
        <v>#DIV/0!</v>
      </c>
      <c r="AR654" s="2" t="e">
        <f t="shared" si="494"/>
        <v>#DIV/0!</v>
      </c>
      <c r="AS654" s="2" t="e">
        <f t="shared" si="511"/>
        <v>#DIV/0!</v>
      </c>
      <c r="AT654" s="2" t="e">
        <f t="shared" si="512"/>
        <v>#DIV/0!</v>
      </c>
      <c r="AU654" s="2" t="e">
        <f t="shared" si="529"/>
        <v>#DIV/0!</v>
      </c>
      <c r="AV654" s="2" t="e">
        <f t="shared" si="513"/>
        <v>#DIV/0!</v>
      </c>
      <c r="AW654" s="2" t="e">
        <f t="shared" si="514"/>
        <v>#DIV/0!</v>
      </c>
      <c r="AX654" s="2" t="e">
        <f t="shared" si="515"/>
        <v>#DIV/0!</v>
      </c>
      <c r="AY654" s="2" t="e">
        <f t="shared" si="530"/>
        <v>#DIV/0!</v>
      </c>
      <c r="AZ654" s="2" t="e">
        <f t="shared" si="495"/>
        <v>#DIV/0!</v>
      </c>
      <c r="BA654" s="2" t="e">
        <f t="shared" si="516"/>
        <v>#DIV/0!</v>
      </c>
      <c r="BB654" s="2" t="e">
        <f t="shared" si="517"/>
        <v>#DIV/0!</v>
      </c>
      <c r="BC654" s="2" t="e">
        <f t="shared" si="531"/>
        <v>#DIV/0!</v>
      </c>
      <c r="BD654" s="2">
        <v>0</v>
      </c>
      <c r="BE654" s="2" t="e">
        <f t="shared" si="518"/>
        <v>#DIV/0!</v>
      </c>
      <c r="BF654" s="2" t="e">
        <f t="shared" si="519"/>
        <v>#DIV/0!</v>
      </c>
      <c r="BG654" s="2" t="e">
        <f t="shared" si="532"/>
        <v>#DIV/0!</v>
      </c>
      <c r="BH654" s="2" t="e">
        <f t="shared" si="496"/>
        <v>#DIV/0!</v>
      </c>
      <c r="BI654" s="2" t="e">
        <f t="shared" si="520"/>
        <v>#DIV/0!</v>
      </c>
      <c r="BJ654" s="2" t="e">
        <f t="shared" si="521"/>
        <v>#DIV/0!</v>
      </c>
      <c r="BK654" s="2" t="e">
        <f t="shared" si="533"/>
        <v>#DIV/0!</v>
      </c>
      <c r="BL654" s="2" t="e">
        <f t="shared" si="522"/>
        <v>#DIV/0!</v>
      </c>
      <c r="BM654" s="2" t="e">
        <f t="shared" si="523"/>
        <v>#DIV/0!</v>
      </c>
      <c r="BN654" s="2" t="e">
        <f t="shared" si="534"/>
        <v>#DIV/0!</v>
      </c>
    </row>
    <row r="655" spans="1:66" x14ac:dyDescent="0.25">
      <c r="A655" s="42">
        <v>652</v>
      </c>
      <c r="E655" s="6">
        <f t="shared" si="524"/>
        <v>0</v>
      </c>
      <c r="F655" s="5" t="str">
        <f t="shared" si="535"/>
        <v>Break Even</v>
      </c>
      <c r="G655" s="4">
        <f t="shared" si="536"/>
        <v>0</v>
      </c>
      <c r="N655" s="5">
        <f t="shared" si="537"/>
        <v>0</v>
      </c>
      <c r="O655" s="4" t="e">
        <f t="shared" si="538"/>
        <v>#DIV/0!</v>
      </c>
      <c r="P655" s="5">
        <f t="shared" si="497"/>
        <v>0</v>
      </c>
      <c r="R655" s="2">
        <f t="shared" si="492"/>
        <v>0</v>
      </c>
      <c r="T655" s="2">
        <f t="shared" si="525"/>
        <v>0</v>
      </c>
      <c r="V655" s="5">
        <f t="shared" si="539"/>
        <v>0</v>
      </c>
      <c r="W655" s="4" t="e">
        <f t="shared" si="540"/>
        <v>#DIV/0!</v>
      </c>
      <c r="X655" s="14">
        <f t="shared" si="498"/>
        <v>0</v>
      </c>
      <c r="Y655" s="5">
        <f t="shared" si="499"/>
        <v>0</v>
      </c>
      <c r="Z655" s="2">
        <f t="shared" si="500"/>
        <v>0</v>
      </c>
      <c r="AA655" s="4">
        <f t="shared" si="501"/>
        <v>0</v>
      </c>
      <c r="AB655" s="13">
        <f t="shared" si="502"/>
        <v>0</v>
      </c>
      <c r="AC655" s="10">
        <f>SUM($E$4:E655)</f>
        <v>-22024.091160220025</v>
      </c>
      <c r="AD655" s="20">
        <f>SUM($AB$4:AB655)</f>
        <v>13539.766460219998</v>
      </c>
      <c r="AF655" s="28" t="e">
        <f t="shared" si="503"/>
        <v>#DIV/0!</v>
      </c>
      <c r="AG655" s="2" t="e">
        <f t="shared" si="504"/>
        <v>#DIV/0!</v>
      </c>
      <c r="AH655" s="2" t="e">
        <f t="shared" si="505"/>
        <v>#DIV/0!</v>
      </c>
      <c r="AI655" s="2" t="e">
        <f t="shared" si="526"/>
        <v>#DIV/0!</v>
      </c>
      <c r="AJ655" s="2" t="e">
        <f t="shared" si="493"/>
        <v>#DIV/0!</v>
      </c>
      <c r="AK655" s="2" t="e">
        <f t="shared" si="506"/>
        <v>#DIV/0!</v>
      </c>
      <c r="AL655" s="2" t="e">
        <f t="shared" si="507"/>
        <v>#DIV/0!</v>
      </c>
      <c r="AM655" s="2" t="e">
        <f t="shared" si="527"/>
        <v>#DIV/0!</v>
      </c>
      <c r="AN655" s="2">
        <f t="shared" si="508"/>
        <v>0</v>
      </c>
      <c r="AO655" s="2" t="e">
        <f t="shared" si="509"/>
        <v>#DIV/0!</v>
      </c>
      <c r="AP655" s="2" t="e">
        <f t="shared" si="510"/>
        <v>#DIV/0!</v>
      </c>
      <c r="AQ655" s="2" t="e">
        <f t="shared" si="528"/>
        <v>#DIV/0!</v>
      </c>
      <c r="AR655" s="2" t="e">
        <f t="shared" si="494"/>
        <v>#DIV/0!</v>
      </c>
      <c r="AS655" s="2" t="e">
        <f t="shared" si="511"/>
        <v>#DIV/0!</v>
      </c>
      <c r="AT655" s="2" t="e">
        <f t="shared" si="512"/>
        <v>#DIV/0!</v>
      </c>
      <c r="AU655" s="2" t="e">
        <f t="shared" si="529"/>
        <v>#DIV/0!</v>
      </c>
      <c r="AV655" s="2" t="e">
        <f t="shared" si="513"/>
        <v>#DIV/0!</v>
      </c>
      <c r="AW655" s="2" t="e">
        <f t="shared" si="514"/>
        <v>#DIV/0!</v>
      </c>
      <c r="AX655" s="2" t="e">
        <f t="shared" si="515"/>
        <v>#DIV/0!</v>
      </c>
      <c r="AY655" s="2" t="e">
        <f t="shared" si="530"/>
        <v>#DIV/0!</v>
      </c>
      <c r="AZ655" s="2" t="e">
        <f t="shared" si="495"/>
        <v>#DIV/0!</v>
      </c>
      <c r="BA655" s="2" t="e">
        <f t="shared" si="516"/>
        <v>#DIV/0!</v>
      </c>
      <c r="BB655" s="2" t="e">
        <f t="shared" si="517"/>
        <v>#DIV/0!</v>
      </c>
      <c r="BC655" s="2" t="e">
        <f t="shared" si="531"/>
        <v>#DIV/0!</v>
      </c>
      <c r="BD655" s="2">
        <v>0</v>
      </c>
      <c r="BE655" s="2" t="e">
        <f t="shared" si="518"/>
        <v>#DIV/0!</v>
      </c>
      <c r="BF655" s="2" t="e">
        <f t="shared" si="519"/>
        <v>#DIV/0!</v>
      </c>
      <c r="BG655" s="2" t="e">
        <f t="shared" si="532"/>
        <v>#DIV/0!</v>
      </c>
      <c r="BH655" s="2" t="e">
        <f t="shared" si="496"/>
        <v>#DIV/0!</v>
      </c>
      <c r="BI655" s="2" t="e">
        <f t="shared" si="520"/>
        <v>#DIV/0!</v>
      </c>
      <c r="BJ655" s="2" t="e">
        <f t="shared" si="521"/>
        <v>#DIV/0!</v>
      </c>
      <c r="BK655" s="2" t="e">
        <f t="shared" si="533"/>
        <v>#DIV/0!</v>
      </c>
      <c r="BL655" s="2" t="e">
        <f t="shared" si="522"/>
        <v>#DIV/0!</v>
      </c>
      <c r="BM655" s="2" t="e">
        <f t="shared" si="523"/>
        <v>#DIV/0!</v>
      </c>
      <c r="BN655" s="2" t="e">
        <f t="shared" si="534"/>
        <v>#DIV/0!</v>
      </c>
    </row>
    <row r="656" spans="1:66" x14ac:dyDescent="0.25">
      <c r="A656" s="42">
        <v>653</v>
      </c>
      <c r="E656" s="6">
        <f t="shared" si="524"/>
        <v>0</v>
      </c>
      <c r="F656" s="5" t="str">
        <f t="shared" si="535"/>
        <v>Break Even</v>
      </c>
      <c r="G656" s="4">
        <f t="shared" si="536"/>
        <v>0</v>
      </c>
      <c r="N656" s="5">
        <f t="shared" si="537"/>
        <v>0</v>
      </c>
      <c r="O656" s="4" t="e">
        <f t="shared" si="538"/>
        <v>#DIV/0!</v>
      </c>
      <c r="P656" s="5">
        <f t="shared" si="497"/>
        <v>0</v>
      </c>
      <c r="R656" s="2">
        <f t="shared" si="492"/>
        <v>0</v>
      </c>
      <c r="T656" s="2">
        <f t="shared" si="525"/>
        <v>0</v>
      </c>
      <c r="V656" s="5">
        <f t="shared" si="539"/>
        <v>0</v>
      </c>
      <c r="W656" s="4" t="e">
        <f t="shared" si="540"/>
        <v>#DIV/0!</v>
      </c>
      <c r="X656" s="14">
        <f t="shared" si="498"/>
        <v>0</v>
      </c>
      <c r="Y656" s="5">
        <f t="shared" si="499"/>
        <v>0</v>
      </c>
      <c r="Z656" s="2">
        <f t="shared" si="500"/>
        <v>0</v>
      </c>
      <c r="AA656" s="4">
        <f t="shared" si="501"/>
        <v>0</v>
      </c>
      <c r="AB656" s="13">
        <f t="shared" si="502"/>
        <v>0</v>
      </c>
      <c r="AC656" s="10">
        <f>SUM($E$4:E656)</f>
        <v>-22024.091160220025</v>
      </c>
      <c r="AD656" s="20">
        <f>SUM($AB$4:AB656)</f>
        <v>13539.766460219998</v>
      </c>
      <c r="AF656" s="28" t="e">
        <f t="shared" si="503"/>
        <v>#DIV/0!</v>
      </c>
      <c r="AG656" s="2" t="e">
        <f t="shared" si="504"/>
        <v>#DIV/0!</v>
      </c>
      <c r="AH656" s="2" t="e">
        <f t="shared" si="505"/>
        <v>#DIV/0!</v>
      </c>
      <c r="AI656" s="2" t="e">
        <f t="shared" si="526"/>
        <v>#DIV/0!</v>
      </c>
      <c r="AJ656" s="2" t="e">
        <f t="shared" si="493"/>
        <v>#DIV/0!</v>
      </c>
      <c r="AK656" s="2" t="e">
        <f t="shared" si="506"/>
        <v>#DIV/0!</v>
      </c>
      <c r="AL656" s="2" t="e">
        <f t="shared" si="507"/>
        <v>#DIV/0!</v>
      </c>
      <c r="AM656" s="2" t="e">
        <f t="shared" si="527"/>
        <v>#DIV/0!</v>
      </c>
      <c r="AN656" s="2">
        <f t="shared" si="508"/>
        <v>0</v>
      </c>
      <c r="AO656" s="2" t="e">
        <f t="shared" si="509"/>
        <v>#DIV/0!</v>
      </c>
      <c r="AP656" s="2" t="e">
        <f t="shared" si="510"/>
        <v>#DIV/0!</v>
      </c>
      <c r="AQ656" s="2" t="e">
        <f t="shared" si="528"/>
        <v>#DIV/0!</v>
      </c>
      <c r="AR656" s="2" t="e">
        <f t="shared" si="494"/>
        <v>#DIV/0!</v>
      </c>
      <c r="AS656" s="2" t="e">
        <f t="shared" si="511"/>
        <v>#DIV/0!</v>
      </c>
      <c r="AT656" s="2" t="e">
        <f t="shared" si="512"/>
        <v>#DIV/0!</v>
      </c>
      <c r="AU656" s="2" t="e">
        <f t="shared" si="529"/>
        <v>#DIV/0!</v>
      </c>
      <c r="AV656" s="2" t="e">
        <f t="shared" si="513"/>
        <v>#DIV/0!</v>
      </c>
      <c r="AW656" s="2" t="e">
        <f t="shared" si="514"/>
        <v>#DIV/0!</v>
      </c>
      <c r="AX656" s="2" t="e">
        <f t="shared" si="515"/>
        <v>#DIV/0!</v>
      </c>
      <c r="AY656" s="2" t="e">
        <f t="shared" si="530"/>
        <v>#DIV/0!</v>
      </c>
      <c r="AZ656" s="2" t="e">
        <f t="shared" si="495"/>
        <v>#DIV/0!</v>
      </c>
      <c r="BA656" s="2" t="e">
        <f t="shared" si="516"/>
        <v>#DIV/0!</v>
      </c>
      <c r="BB656" s="2" t="e">
        <f t="shared" si="517"/>
        <v>#DIV/0!</v>
      </c>
      <c r="BC656" s="2" t="e">
        <f t="shared" si="531"/>
        <v>#DIV/0!</v>
      </c>
      <c r="BD656" s="2">
        <v>0</v>
      </c>
      <c r="BE656" s="2" t="e">
        <f t="shared" si="518"/>
        <v>#DIV/0!</v>
      </c>
      <c r="BF656" s="2" t="e">
        <f t="shared" si="519"/>
        <v>#DIV/0!</v>
      </c>
      <c r="BG656" s="2" t="e">
        <f t="shared" si="532"/>
        <v>#DIV/0!</v>
      </c>
      <c r="BH656" s="2" t="e">
        <f t="shared" si="496"/>
        <v>#DIV/0!</v>
      </c>
      <c r="BI656" s="2" t="e">
        <f t="shared" si="520"/>
        <v>#DIV/0!</v>
      </c>
      <c r="BJ656" s="2" t="e">
        <f t="shared" si="521"/>
        <v>#DIV/0!</v>
      </c>
      <c r="BK656" s="2" t="e">
        <f t="shared" si="533"/>
        <v>#DIV/0!</v>
      </c>
      <c r="BL656" s="2" t="e">
        <f t="shared" si="522"/>
        <v>#DIV/0!</v>
      </c>
      <c r="BM656" s="2" t="e">
        <f t="shared" si="523"/>
        <v>#DIV/0!</v>
      </c>
      <c r="BN656" s="2" t="e">
        <f t="shared" si="534"/>
        <v>#DIV/0!</v>
      </c>
    </row>
    <row r="657" spans="1:66" x14ac:dyDescent="0.25">
      <c r="A657" s="42">
        <v>654</v>
      </c>
      <c r="E657" s="6">
        <f t="shared" si="524"/>
        <v>0</v>
      </c>
      <c r="F657" s="5" t="str">
        <f t="shared" si="535"/>
        <v>Break Even</v>
      </c>
      <c r="G657" s="4">
        <f t="shared" si="536"/>
        <v>0</v>
      </c>
      <c r="N657" s="5">
        <f t="shared" si="537"/>
        <v>0</v>
      </c>
      <c r="O657" s="4" t="e">
        <f t="shared" si="538"/>
        <v>#DIV/0!</v>
      </c>
      <c r="P657" s="5">
        <f t="shared" si="497"/>
        <v>0</v>
      </c>
      <c r="R657" s="2">
        <f t="shared" si="492"/>
        <v>0</v>
      </c>
      <c r="T657" s="2">
        <f t="shared" si="525"/>
        <v>0</v>
      </c>
      <c r="V657" s="5">
        <f t="shared" si="539"/>
        <v>0</v>
      </c>
      <c r="W657" s="4" t="e">
        <f t="shared" si="540"/>
        <v>#DIV/0!</v>
      </c>
      <c r="X657" s="14">
        <f t="shared" si="498"/>
        <v>0</v>
      </c>
      <c r="Y657" s="5">
        <f t="shared" si="499"/>
        <v>0</v>
      </c>
      <c r="Z657" s="2">
        <f t="shared" si="500"/>
        <v>0</v>
      </c>
      <c r="AA657" s="4">
        <f t="shared" si="501"/>
        <v>0</v>
      </c>
      <c r="AB657" s="13">
        <f t="shared" si="502"/>
        <v>0</v>
      </c>
      <c r="AC657" s="10">
        <f>SUM($E$4:E657)</f>
        <v>-22024.091160220025</v>
      </c>
      <c r="AD657" s="20">
        <f>SUM($AB$4:AB657)</f>
        <v>13539.766460219998</v>
      </c>
      <c r="AF657" s="28" t="e">
        <f t="shared" si="503"/>
        <v>#DIV/0!</v>
      </c>
      <c r="AG657" s="2" t="e">
        <f t="shared" si="504"/>
        <v>#DIV/0!</v>
      </c>
      <c r="AH657" s="2" t="e">
        <f t="shared" si="505"/>
        <v>#DIV/0!</v>
      </c>
      <c r="AI657" s="2" t="e">
        <f t="shared" si="526"/>
        <v>#DIV/0!</v>
      </c>
      <c r="AJ657" s="2" t="e">
        <f t="shared" si="493"/>
        <v>#DIV/0!</v>
      </c>
      <c r="AK657" s="2" t="e">
        <f t="shared" si="506"/>
        <v>#DIV/0!</v>
      </c>
      <c r="AL657" s="2" t="e">
        <f t="shared" si="507"/>
        <v>#DIV/0!</v>
      </c>
      <c r="AM657" s="2" t="e">
        <f t="shared" si="527"/>
        <v>#DIV/0!</v>
      </c>
      <c r="AN657" s="2">
        <f t="shared" si="508"/>
        <v>0</v>
      </c>
      <c r="AO657" s="2" t="e">
        <f t="shared" si="509"/>
        <v>#DIV/0!</v>
      </c>
      <c r="AP657" s="2" t="e">
        <f t="shared" si="510"/>
        <v>#DIV/0!</v>
      </c>
      <c r="AQ657" s="2" t="e">
        <f t="shared" si="528"/>
        <v>#DIV/0!</v>
      </c>
      <c r="AR657" s="2" t="e">
        <f t="shared" si="494"/>
        <v>#DIV/0!</v>
      </c>
      <c r="AS657" s="2" t="e">
        <f t="shared" si="511"/>
        <v>#DIV/0!</v>
      </c>
      <c r="AT657" s="2" t="e">
        <f t="shared" si="512"/>
        <v>#DIV/0!</v>
      </c>
      <c r="AU657" s="2" t="e">
        <f t="shared" si="529"/>
        <v>#DIV/0!</v>
      </c>
      <c r="AV657" s="2" t="e">
        <f t="shared" si="513"/>
        <v>#DIV/0!</v>
      </c>
      <c r="AW657" s="2" t="e">
        <f t="shared" si="514"/>
        <v>#DIV/0!</v>
      </c>
      <c r="AX657" s="2" t="e">
        <f t="shared" si="515"/>
        <v>#DIV/0!</v>
      </c>
      <c r="AY657" s="2" t="e">
        <f t="shared" si="530"/>
        <v>#DIV/0!</v>
      </c>
      <c r="AZ657" s="2" t="e">
        <f t="shared" si="495"/>
        <v>#DIV/0!</v>
      </c>
      <c r="BA657" s="2" t="e">
        <f t="shared" si="516"/>
        <v>#DIV/0!</v>
      </c>
      <c r="BB657" s="2" t="e">
        <f t="shared" si="517"/>
        <v>#DIV/0!</v>
      </c>
      <c r="BC657" s="2" t="e">
        <f t="shared" si="531"/>
        <v>#DIV/0!</v>
      </c>
      <c r="BD657" s="2">
        <v>0</v>
      </c>
      <c r="BE657" s="2" t="e">
        <f t="shared" si="518"/>
        <v>#DIV/0!</v>
      </c>
      <c r="BF657" s="2" t="e">
        <f t="shared" si="519"/>
        <v>#DIV/0!</v>
      </c>
      <c r="BG657" s="2" t="e">
        <f t="shared" si="532"/>
        <v>#DIV/0!</v>
      </c>
      <c r="BH657" s="2" t="e">
        <f t="shared" si="496"/>
        <v>#DIV/0!</v>
      </c>
      <c r="BI657" s="2" t="e">
        <f t="shared" si="520"/>
        <v>#DIV/0!</v>
      </c>
      <c r="BJ657" s="2" t="e">
        <f t="shared" si="521"/>
        <v>#DIV/0!</v>
      </c>
      <c r="BK657" s="2" t="e">
        <f t="shared" si="533"/>
        <v>#DIV/0!</v>
      </c>
      <c r="BL657" s="2" t="e">
        <f t="shared" si="522"/>
        <v>#DIV/0!</v>
      </c>
      <c r="BM657" s="2" t="e">
        <f t="shared" si="523"/>
        <v>#DIV/0!</v>
      </c>
      <c r="BN657" s="2" t="e">
        <f t="shared" si="534"/>
        <v>#DIV/0!</v>
      </c>
    </row>
    <row r="658" spans="1:66" x14ac:dyDescent="0.25">
      <c r="A658" s="42">
        <v>655</v>
      </c>
      <c r="E658" s="6">
        <f t="shared" si="524"/>
        <v>0</v>
      </c>
      <c r="F658" s="5" t="str">
        <f t="shared" si="535"/>
        <v>Break Even</v>
      </c>
      <c r="G658" s="4">
        <f t="shared" si="536"/>
        <v>0</v>
      </c>
      <c r="N658" s="5">
        <f t="shared" si="537"/>
        <v>0</v>
      </c>
      <c r="O658" s="4" t="e">
        <f t="shared" si="538"/>
        <v>#DIV/0!</v>
      </c>
      <c r="P658" s="5">
        <f t="shared" si="497"/>
        <v>0</v>
      </c>
      <c r="R658" s="2">
        <f t="shared" si="492"/>
        <v>0</v>
      </c>
      <c r="T658" s="2">
        <f t="shared" si="525"/>
        <v>0</v>
      </c>
      <c r="V658" s="5">
        <f t="shared" si="539"/>
        <v>0</v>
      </c>
      <c r="W658" s="4" t="e">
        <f t="shared" si="540"/>
        <v>#DIV/0!</v>
      </c>
      <c r="X658" s="14">
        <f t="shared" si="498"/>
        <v>0</v>
      </c>
      <c r="Y658" s="5">
        <f t="shared" si="499"/>
        <v>0</v>
      </c>
      <c r="Z658" s="2">
        <f t="shared" si="500"/>
        <v>0</v>
      </c>
      <c r="AA658" s="4">
        <f t="shared" si="501"/>
        <v>0</v>
      </c>
      <c r="AB658" s="13">
        <f t="shared" si="502"/>
        <v>0</v>
      </c>
      <c r="AC658" s="10">
        <f>SUM($E$4:E658)</f>
        <v>-22024.091160220025</v>
      </c>
      <c r="AD658" s="20">
        <f>SUM($AB$4:AB658)</f>
        <v>13539.766460219998</v>
      </c>
      <c r="AF658" s="28" t="e">
        <f t="shared" si="503"/>
        <v>#DIV/0!</v>
      </c>
      <c r="AG658" s="2" t="e">
        <f t="shared" si="504"/>
        <v>#DIV/0!</v>
      </c>
      <c r="AH658" s="2" t="e">
        <f t="shared" si="505"/>
        <v>#DIV/0!</v>
      </c>
      <c r="AI658" s="2" t="e">
        <f t="shared" si="526"/>
        <v>#DIV/0!</v>
      </c>
      <c r="AJ658" s="2" t="e">
        <f t="shared" si="493"/>
        <v>#DIV/0!</v>
      </c>
      <c r="AK658" s="2" t="e">
        <f t="shared" si="506"/>
        <v>#DIV/0!</v>
      </c>
      <c r="AL658" s="2" t="e">
        <f t="shared" si="507"/>
        <v>#DIV/0!</v>
      </c>
      <c r="AM658" s="2" t="e">
        <f t="shared" si="527"/>
        <v>#DIV/0!</v>
      </c>
      <c r="AN658" s="2">
        <f t="shared" si="508"/>
        <v>0</v>
      </c>
      <c r="AO658" s="2" t="e">
        <f t="shared" si="509"/>
        <v>#DIV/0!</v>
      </c>
      <c r="AP658" s="2" t="e">
        <f t="shared" si="510"/>
        <v>#DIV/0!</v>
      </c>
      <c r="AQ658" s="2" t="e">
        <f t="shared" si="528"/>
        <v>#DIV/0!</v>
      </c>
      <c r="AR658" s="2" t="e">
        <f t="shared" si="494"/>
        <v>#DIV/0!</v>
      </c>
      <c r="AS658" s="2" t="e">
        <f t="shared" si="511"/>
        <v>#DIV/0!</v>
      </c>
      <c r="AT658" s="2" t="e">
        <f t="shared" si="512"/>
        <v>#DIV/0!</v>
      </c>
      <c r="AU658" s="2" t="e">
        <f t="shared" si="529"/>
        <v>#DIV/0!</v>
      </c>
      <c r="AV658" s="2" t="e">
        <f t="shared" si="513"/>
        <v>#DIV/0!</v>
      </c>
      <c r="AW658" s="2" t="e">
        <f t="shared" si="514"/>
        <v>#DIV/0!</v>
      </c>
      <c r="AX658" s="2" t="e">
        <f t="shared" si="515"/>
        <v>#DIV/0!</v>
      </c>
      <c r="AY658" s="2" t="e">
        <f t="shared" si="530"/>
        <v>#DIV/0!</v>
      </c>
      <c r="AZ658" s="2" t="e">
        <f t="shared" si="495"/>
        <v>#DIV/0!</v>
      </c>
      <c r="BA658" s="2" t="e">
        <f t="shared" si="516"/>
        <v>#DIV/0!</v>
      </c>
      <c r="BB658" s="2" t="e">
        <f t="shared" si="517"/>
        <v>#DIV/0!</v>
      </c>
      <c r="BC658" s="2" t="e">
        <f t="shared" si="531"/>
        <v>#DIV/0!</v>
      </c>
      <c r="BD658" s="2">
        <v>0</v>
      </c>
      <c r="BE658" s="2" t="e">
        <f t="shared" si="518"/>
        <v>#DIV/0!</v>
      </c>
      <c r="BF658" s="2" t="e">
        <f t="shared" si="519"/>
        <v>#DIV/0!</v>
      </c>
      <c r="BG658" s="2" t="e">
        <f t="shared" si="532"/>
        <v>#DIV/0!</v>
      </c>
      <c r="BH658" s="2" t="e">
        <f t="shared" si="496"/>
        <v>#DIV/0!</v>
      </c>
      <c r="BI658" s="2" t="e">
        <f t="shared" si="520"/>
        <v>#DIV/0!</v>
      </c>
      <c r="BJ658" s="2" t="e">
        <f t="shared" si="521"/>
        <v>#DIV/0!</v>
      </c>
      <c r="BK658" s="2" t="e">
        <f t="shared" si="533"/>
        <v>#DIV/0!</v>
      </c>
      <c r="BL658" s="2" t="e">
        <f t="shared" si="522"/>
        <v>#DIV/0!</v>
      </c>
      <c r="BM658" s="2" t="e">
        <f t="shared" si="523"/>
        <v>#DIV/0!</v>
      </c>
      <c r="BN658" s="2" t="e">
        <f t="shared" si="534"/>
        <v>#DIV/0!</v>
      </c>
    </row>
    <row r="659" spans="1:66" x14ac:dyDescent="0.25">
      <c r="A659" s="42">
        <v>656</v>
      </c>
      <c r="E659" s="6">
        <f t="shared" si="524"/>
        <v>0</v>
      </c>
      <c r="F659" s="5" t="str">
        <f t="shared" si="535"/>
        <v>Break Even</v>
      </c>
      <c r="G659" s="4">
        <f t="shared" si="536"/>
        <v>0</v>
      </c>
      <c r="N659" s="5">
        <f t="shared" si="537"/>
        <v>0</v>
      </c>
      <c r="O659" s="4" t="e">
        <f t="shared" si="538"/>
        <v>#DIV/0!</v>
      </c>
      <c r="P659" s="5">
        <f t="shared" si="497"/>
        <v>0</v>
      </c>
      <c r="R659" s="2">
        <f t="shared" si="492"/>
        <v>0</v>
      </c>
      <c r="T659" s="2">
        <f t="shared" si="525"/>
        <v>0</v>
      </c>
      <c r="V659" s="5">
        <f t="shared" si="539"/>
        <v>0</v>
      </c>
      <c r="W659" s="4" t="e">
        <f t="shared" si="540"/>
        <v>#DIV/0!</v>
      </c>
      <c r="X659" s="14">
        <f t="shared" si="498"/>
        <v>0</v>
      </c>
      <c r="Y659" s="5">
        <f t="shared" si="499"/>
        <v>0</v>
      </c>
      <c r="Z659" s="2">
        <f t="shared" si="500"/>
        <v>0</v>
      </c>
      <c r="AA659" s="4">
        <f t="shared" si="501"/>
        <v>0</v>
      </c>
      <c r="AB659" s="13">
        <f t="shared" si="502"/>
        <v>0</v>
      </c>
      <c r="AC659" s="10">
        <f>SUM($E$4:E659)</f>
        <v>-22024.091160220025</v>
      </c>
      <c r="AD659" s="20">
        <f>SUM($AB$4:AB659)</f>
        <v>13539.766460219998</v>
      </c>
      <c r="AF659" s="28" t="e">
        <f t="shared" si="503"/>
        <v>#DIV/0!</v>
      </c>
      <c r="AG659" s="2" t="e">
        <f t="shared" si="504"/>
        <v>#DIV/0!</v>
      </c>
      <c r="AH659" s="2" t="e">
        <f t="shared" si="505"/>
        <v>#DIV/0!</v>
      </c>
      <c r="AI659" s="2" t="e">
        <f t="shared" si="526"/>
        <v>#DIV/0!</v>
      </c>
      <c r="AJ659" s="2" t="e">
        <f t="shared" si="493"/>
        <v>#DIV/0!</v>
      </c>
      <c r="AK659" s="2" t="e">
        <f t="shared" si="506"/>
        <v>#DIV/0!</v>
      </c>
      <c r="AL659" s="2" t="e">
        <f t="shared" si="507"/>
        <v>#DIV/0!</v>
      </c>
      <c r="AM659" s="2" t="e">
        <f t="shared" si="527"/>
        <v>#DIV/0!</v>
      </c>
      <c r="AN659" s="2">
        <f t="shared" si="508"/>
        <v>0</v>
      </c>
      <c r="AO659" s="2" t="e">
        <f t="shared" si="509"/>
        <v>#DIV/0!</v>
      </c>
      <c r="AP659" s="2" t="e">
        <f t="shared" si="510"/>
        <v>#DIV/0!</v>
      </c>
      <c r="AQ659" s="2" t="e">
        <f t="shared" si="528"/>
        <v>#DIV/0!</v>
      </c>
      <c r="AR659" s="2" t="e">
        <f t="shared" si="494"/>
        <v>#DIV/0!</v>
      </c>
      <c r="AS659" s="2" t="e">
        <f t="shared" si="511"/>
        <v>#DIV/0!</v>
      </c>
      <c r="AT659" s="2" t="e">
        <f t="shared" si="512"/>
        <v>#DIV/0!</v>
      </c>
      <c r="AU659" s="2" t="e">
        <f t="shared" si="529"/>
        <v>#DIV/0!</v>
      </c>
      <c r="AV659" s="2" t="e">
        <f t="shared" si="513"/>
        <v>#DIV/0!</v>
      </c>
      <c r="AW659" s="2" t="e">
        <f t="shared" si="514"/>
        <v>#DIV/0!</v>
      </c>
      <c r="AX659" s="2" t="e">
        <f t="shared" si="515"/>
        <v>#DIV/0!</v>
      </c>
      <c r="AY659" s="2" t="e">
        <f t="shared" si="530"/>
        <v>#DIV/0!</v>
      </c>
      <c r="AZ659" s="2" t="e">
        <f t="shared" si="495"/>
        <v>#DIV/0!</v>
      </c>
      <c r="BA659" s="2" t="e">
        <f t="shared" si="516"/>
        <v>#DIV/0!</v>
      </c>
      <c r="BB659" s="2" t="e">
        <f t="shared" si="517"/>
        <v>#DIV/0!</v>
      </c>
      <c r="BC659" s="2" t="e">
        <f t="shared" si="531"/>
        <v>#DIV/0!</v>
      </c>
      <c r="BD659" s="2">
        <v>0</v>
      </c>
      <c r="BE659" s="2" t="e">
        <f t="shared" si="518"/>
        <v>#DIV/0!</v>
      </c>
      <c r="BF659" s="2" t="e">
        <f t="shared" si="519"/>
        <v>#DIV/0!</v>
      </c>
      <c r="BG659" s="2" t="e">
        <f t="shared" si="532"/>
        <v>#DIV/0!</v>
      </c>
      <c r="BH659" s="2" t="e">
        <f t="shared" si="496"/>
        <v>#DIV/0!</v>
      </c>
      <c r="BI659" s="2" t="e">
        <f t="shared" si="520"/>
        <v>#DIV/0!</v>
      </c>
      <c r="BJ659" s="2" t="e">
        <f t="shared" si="521"/>
        <v>#DIV/0!</v>
      </c>
      <c r="BK659" s="2" t="e">
        <f t="shared" si="533"/>
        <v>#DIV/0!</v>
      </c>
      <c r="BL659" s="2" t="e">
        <f t="shared" si="522"/>
        <v>#DIV/0!</v>
      </c>
      <c r="BM659" s="2" t="e">
        <f t="shared" si="523"/>
        <v>#DIV/0!</v>
      </c>
      <c r="BN659" s="2" t="e">
        <f t="shared" si="534"/>
        <v>#DIV/0!</v>
      </c>
    </row>
    <row r="660" spans="1:66" x14ac:dyDescent="0.25">
      <c r="A660" s="42">
        <v>657</v>
      </c>
      <c r="E660" s="6">
        <f t="shared" si="524"/>
        <v>0</v>
      </c>
      <c r="F660" s="5" t="str">
        <f t="shared" si="535"/>
        <v>Break Even</v>
      </c>
      <c r="G660" s="4">
        <f t="shared" si="536"/>
        <v>0</v>
      </c>
      <c r="N660" s="5">
        <f t="shared" si="537"/>
        <v>0</v>
      </c>
      <c r="O660" s="4" t="e">
        <f t="shared" si="538"/>
        <v>#DIV/0!</v>
      </c>
      <c r="P660" s="5">
        <f t="shared" si="497"/>
        <v>0</v>
      </c>
      <c r="R660" s="2">
        <f t="shared" si="492"/>
        <v>0</v>
      </c>
      <c r="T660" s="2">
        <f t="shared" si="525"/>
        <v>0</v>
      </c>
      <c r="V660" s="5">
        <f t="shared" si="539"/>
        <v>0</v>
      </c>
      <c r="W660" s="4" t="e">
        <f t="shared" si="540"/>
        <v>#DIV/0!</v>
      </c>
      <c r="X660" s="14">
        <f t="shared" si="498"/>
        <v>0</v>
      </c>
      <c r="Y660" s="5">
        <f t="shared" si="499"/>
        <v>0</v>
      </c>
      <c r="Z660" s="2">
        <f t="shared" si="500"/>
        <v>0</v>
      </c>
      <c r="AA660" s="4">
        <f t="shared" si="501"/>
        <v>0</v>
      </c>
      <c r="AB660" s="13">
        <f t="shared" si="502"/>
        <v>0</v>
      </c>
      <c r="AC660" s="10">
        <f>SUM($E$4:E660)</f>
        <v>-22024.091160220025</v>
      </c>
      <c r="AD660" s="20">
        <f>SUM($AB$4:AB660)</f>
        <v>13539.766460219998</v>
      </c>
      <c r="AF660" s="28" t="e">
        <f t="shared" si="503"/>
        <v>#DIV/0!</v>
      </c>
      <c r="AG660" s="2" t="e">
        <f t="shared" si="504"/>
        <v>#DIV/0!</v>
      </c>
      <c r="AH660" s="2" t="e">
        <f t="shared" si="505"/>
        <v>#DIV/0!</v>
      </c>
      <c r="AI660" s="2" t="e">
        <f t="shared" si="526"/>
        <v>#DIV/0!</v>
      </c>
      <c r="AJ660" s="2" t="e">
        <f t="shared" si="493"/>
        <v>#DIV/0!</v>
      </c>
      <c r="AK660" s="2" t="e">
        <f t="shared" si="506"/>
        <v>#DIV/0!</v>
      </c>
      <c r="AL660" s="2" t="e">
        <f t="shared" si="507"/>
        <v>#DIV/0!</v>
      </c>
      <c r="AM660" s="2" t="e">
        <f t="shared" si="527"/>
        <v>#DIV/0!</v>
      </c>
      <c r="AN660" s="2">
        <f t="shared" si="508"/>
        <v>0</v>
      </c>
      <c r="AO660" s="2" t="e">
        <f t="shared" si="509"/>
        <v>#DIV/0!</v>
      </c>
      <c r="AP660" s="2" t="e">
        <f t="shared" si="510"/>
        <v>#DIV/0!</v>
      </c>
      <c r="AQ660" s="2" t="e">
        <f t="shared" si="528"/>
        <v>#DIV/0!</v>
      </c>
      <c r="AR660" s="2" t="e">
        <f t="shared" si="494"/>
        <v>#DIV/0!</v>
      </c>
      <c r="AS660" s="2" t="e">
        <f t="shared" si="511"/>
        <v>#DIV/0!</v>
      </c>
      <c r="AT660" s="2" t="e">
        <f t="shared" si="512"/>
        <v>#DIV/0!</v>
      </c>
      <c r="AU660" s="2" t="e">
        <f t="shared" si="529"/>
        <v>#DIV/0!</v>
      </c>
      <c r="AV660" s="2" t="e">
        <f t="shared" si="513"/>
        <v>#DIV/0!</v>
      </c>
      <c r="AW660" s="2" t="e">
        <f t="shared" si="514"/>
        <v>#DIV/0!</v>
      </c>
      <c r="AX660" s="2" t="e">
        <f t="shared" si="515"/>
        <v>#DIV/0!</v>
      </c>
      <c r="AY660" s="2" t="e">
        <f t="shared" si="530"/>
        <v>#DIV/0!</v>
      </c>
      <c r="AZ660" s="2" t="e">
        <f t="shared" si="495"/>
        <v>#DIV/0!</v>
      </c>
      <c r="BA660" s="2" t="e">
        <f t="shared" si="516"/>
        <v>#DIV/0!</v>
      </c>
      <c r="BB660" s="2" t="e">
        <f t="shared" si="517"/>
        <v>#DIV/0!</v>
      </c>
      <c r="BC660" s="2" t="e">
        <f t="shared" si="531"/>
        <v>#DIV/0!</v>
      </c>
      <c r="BD660" s="2">
        <v>0</v>
      </c>
      <c r="BE660" s="2" t="e">
        <f t="shared" si="518"/>
        <v>#DIV/0!</v>
      </c>
      <c r="BF660" s="2" t="e">
        <f t="shared" si="519"/>
        <v>#DIV/0!</v>
      </c>
      <c r="BG660" s="2" t="e">
        <f t="shared" si="532"/>
        <v>#DIV/0!</v>
      </c>
      <c r="BH660" s="2" t="e">
        <f t="shared" si="496"/>
        <v>#DIV/0!</v>
      </c>
      <c r="BI660" s="2" t="e">
        <f t="shared" si="520"/>
        <v>#DIV/0!</v>
      </c>
      <c r="BJ660" s="2" t="e">
        <f t="shared" si="521"/>
        <v>#DIV/0!</v>
      </c>
      <c r="BK660" s="2" t="e">
        <f t="shared" si="533"/>
        <v>#DIV/0!</v>
      </c>
      <c r="BL660" s="2" t="e">
        <f t="shared" si="522"/>
        <v>#DIV/0!</v>
      </c>
      <c r="BM660" s="2" t="e">
        <f t="shared" si="523"/>
        <v>#DIV/0!</v>
      </c>
      <c r="BN660" s="2" t="e">
        <f t="shared" si="534"/>
        <v>#DIV/0!</v>
      </c>
    </row>
    <row r="661" spans="1:66" x14ac:dyDescent="0.25">
      <c r="A661" s="42">
        <v>658</v>
      </c>
      <c r="E661" s="6">
        <f t="shared" si="524"/>
        <v>0</v>
      </c>
      <c r="F661" s="5" t="str">
        <f t="shared" si="535"/>
        <v>Break Even</v>
      </c>
      <c r="G661" s="4">
        <f t="shared" si="536"/>
        <v>0</v>
      </c>
      <c r="N661" s="5">
        <f t="shared" si="537"/>
        <v>0</v>
      </c>
      <c r="O661" s="4" t="e">
        <f t="shared" si="538"/>
        <v>#DIV/0!</v>
      </c>
      <c r="P661" s="5">
        <f t="shared" si="497"/>
        <v>0</v>
      </c>
      <c r="R661" s="2">
        <f t="shared" si="492"/>
        <v>0</v>
      </c>
      <c r="T661" s="2">
        <f t="shared" si="525"/>
        <v>0</v>
      </c>
      <c r="V661" s="5">
        <f t="shared" si="539"/>
        <v>0</v>
      </c>
      <c r="W661" s="4" t="e">
        <f t="shared" si="540"/>
        <v>#DIV/0!</v>
      </c>
      <c r="X661" s="14">
        <f t="shared" si="498"/>
        <v>0</v>
      </c>
      <c r="Y661" s="5">
        <f t="shared" si="499"/>
        <v>0</v>
      </c>
      <c r="Z661" s="2">
        <f t="shared" si="500"/>
        <v>0</v>
      </c>
      <c r="AA661" s="4">
        <f t="shared" si="501"/>
        <v>0</v>
      </c>
      <c r="AB661" s="13">
        <f t="shared" si="502"/>
        <v>0</v>
      </c>
      <c r="AC661" s="10">
        <f>SUM($E$4:E661)</f>
        <v>-22024.091160220025</v>
      </c>
      <c r="AD661" s="20">
        <f>SUM($AB$4:AB661)</f>
        <v>13539.766460219998</v>
      </c>
      <c r="AF661" s="28" t="e">
        <f t="shared" si="503"/>
        <v>#DIV/0!</v>
      </c>
      <c r="AG661" s="2" t="e">
        <f t="shared" si="504"/>
        <v>#DIV/0!</v>
      </c>
      <c r="AH661" s="2" t="e">
        <f t="shared" si="505"/>
        <v>#DIV/0!</v>
      </c>
      <c r="AI661" s="2" t="e">
        <f t="shared" si="526"/>
        <v>#DIV/0!</v>
      </c>
      <c r="AJ661" s="2" t="e">
        <f t="shared" si="493"/>
        <v>#DIV/0!</v>
      </c>
      <c r="AK661" s="2" t="e">
        <f t="shared" si="506"/>
        <v>#DIV/0!</v>
      </c>
      <c r="AL661" s="2" t="e">
        <f t="shared" si="507"/>
        <v>#DIV/0!</v>
      </c>
      <c r="AM661" s="2" t="e">
        <f t="shared" si="527"/>
        <v>#DIV/0!</v>
      </c>
      <c r="AN661" s="2">
        <f t="shared" si="508"/>
        <v>0</v>
      </c>
      <c r="AO661" s="2" t="e">
        <f t="shared" si="509"/>
        <v>#DIV/0!</v>
      </c>
      <c r="AP661" s="2" t="e">
        <f t="shared" si="510"/>
        <v>#DIV/0!</v>
      </c>
      <c r="AQ661" s="2" t="e">
        <f t="shared" si="528"/>
        <v>#DIV/0!</v>
      </c>
      <c r="AR661" s="2" t="e">
        <f t="shared" si="494"/>
        <v>#DIV/0!</v>
      </c>
      <c r="AS661" s="2" t="e">
        <f t="shared" si="511"/>
        <v>#DIV/0!</v>
      </c>
      <c r="AT661" s="2" t="e">
        <f t="shared" si="512"/>
        <v>#DIV/0!</v>
      </c>
      <c r="AU661" s="2" t="e">
        <f t="shared" si="529"/>
        <v>#DIV/0!</v>
      </c>
      <c r="AV661" s="2" t="e">
        <f t="shared" si="513"/>
        <v>#DIV/0!</v>
      </c>
      <c r="AW661" s="2" t="e">
        <f t="shared" si="514"/>
        <v>#DIV/0!</v>
      </c>
      <c r="AX661" s="2" t="e">
        <f t="shared" si="515"/>
        <v>#DIV/0!</v>
      </c>
      <c r="AY661" s="2" t="e">
        <f t="shared" si="530"/>
        <v>#DIV/0!</v>
      </c>
      <c r="AZ661" s="2" t="e">
        <f t="shared" si="495"/>
        <v>#DIV/0!</v>
      </c>
      <c r="BA661" s="2" t="e">
        <f t="shared" si="516"/>
        <v>#DIV/0!</v>
      </c>
      <c r="BB661" s="2" t="e">
        <f t="shared" si="517"/>
        <v>#DIV/0!</v>
      </c>
      <c r="BC661" s="2" t="e">
        <f t="shared" si="531"/>
        <v>#DIV/0!</v>
      </c>
      <c r="BD661" s="2">
        <v>0</v>
      </c>
      <c r="BE661" s="2" t="e">
        <f t="shared" si="518"/>
        <v>#DIV/0!</v>
      </c>
      <c r="BF661" s="2" t="e">
        <f t="shared" si="519"/>
        <v>#DIV/0!</v>
      </c>
      <c r="BG661" s="2" t="e">
        <f t="shared" si="532"/>
        <v>#DIV/0!</v>
      </c>
      <c r="BH661" s="2" t="e">
        <f t="shared" si="496"/>
        <v>#DIV/0!</v>
      </c>
      <c r="BI661" s="2" t="e">
        <f t="shared" si="520"/>
        <v>#DIV/0!</v>
      </c>
      <c r="BJ661" s="2" t="e">
        <f t="shared" si="521"/>
        <v>#DIV/0!</v>
      </c>
      <c r="BK661" s="2" t="e">
        <f t="shared" si="533"/>
        <v>#DIV/0!</v>
      </c>
      <c r="BL661" s="2" t="e">
        <f t="shared" si="522"/>
        <v>#DIV/0!</v>
      </c>
      <c r="BM661" s="2" t="e">
        <f t="shared" si="523"/>
        <v>#DIV/0!</v>
      </c>
      <c r="BN661" s="2" t="e">
        <f t="shared" si="534"/>
        <v>#DIV/0!</v>
      </c>
    </row>
    <row r="662" spans="1:66" x14ac:dyDescent="0.25">
      <c r="A662" s="42">
        <v>659</v>
      </c>
      <c r="E662" s="6">
        <f t="shared" si="524"/>
        <v>0</v>
      </c>
      <c r="F662" s="5" t="str">
        <f t="shared" si="535"/>
        <v>Break Even</v>
      </c>
      <c r="G662" s="4">
        <f t="shared" si="536"/>
        <v>0</v>
      </c>
      <c r="N662" s="5">
        <f t="shared" si="537"/>
        <v>0</v>
      </c>
      <c r="O662" s="4" t="e">
        <f t="shared" si="538"/>
        <v>#DIV/0!</v>
      </c>
      <c r="P662" s="5">
        <f t="shared" si="497"/>
        <v>0</v>
      </c>
      <c r="R662" s="2">
        <f t="shared" si="492"/>
        <v>0</v>
      </c>
      <c r="T662" s="2">
        <f t="shared" si="525"/>
        <v>0</v>
      </c>
      <c r="V662" s="5">
        <f t="shared" si="539"/>
        <v>0</v>
      </c>
      <c r="W662" s="4" t="e">
        <f t="shared" si="540"/>
        <v>#DIV/0!</v>
      </c>
      <c r="X662" s="14">
        <f t="shared" si="498"/>
        <v>0</v>
      </c>
      <c r="Y662" s="5">
        <f t="shared" si="499"/>
        <v>0</v>
      </c>
      <c r="Z662" s="2">
        <f t="shared" si="500"/>
        <v>0</v>
      </c>
      <c r="AA662" s="4">
        <f t="shared" si="501"/>
        <v>0</v>
      </c>
      <c r="AB662" s="13">
        <f t="shared" si="502"/>
        <v>0</v>
      </c>
      <c r="AC662" s="10">
        <f>SUM($E$4:E662)</f>
        <v>-22024.091160220025</v>
      </c>
      <c r="AD662" s="20">
        <f>SUM($AB$4:AB662)</f>
        <v>13539.766460219998</v>
      </c>
      <c r="AF662" s="28" t="e">
        <f t="shared" si="503"/>
        <v>#DIV/0!</v>
      </c>
      <c r="AG662" s="2" t="e">
        <f t="shared" si="504"/>
        <v>#DIV/0!</v>
      </c>
      <c r="AH662" s="2" t="e">
        <f t="shared" si="505"/>
        <v>#DIV/0!</v>
      </c>
      <c r="AI662" s="2" t="e">
        <f t="shared" si="526"/>
        <v>#DIV/0!</v>
      </c>
      <c r="AJ662" s="2" t="e">
        <f t="shared" si="493"/>
        <v>#DIV/0!</v>
      </c>
      <c r="AK662" s="2" t="e">
        <f t="shared" si="506"/>
        <v>#DIV/0!</v>
      </c>
      <c r="AL662" s="2" t="e">
        <f t="shared" si="507"/>
        <v>#DIV/0!</v>
      </c>
      <c r="AM662" s="2" t="e">
        <f t="shared" si="527"/>
        <v>#DIV/0!</v>
      </c>
      <c r="AN662" s="2">
        <f t="shared" si="508"/>
        <v>0</v>
      </c>
      <c r="AO662" s="2" t="e">
        <f t="shared" si="509"/>
        <v>#DIV/0!</v>
      </c>
      <c r="AP662" s="2" t="e">
        <f t="shared" si="510"/>
        <v>#DIV/0!</v>
      </c>
      <c r="AQ662" s="2" t="e">
        <f t="shared" si="528"/>
        <v>#DIV/0!</v>
      </c>
      <c r="AR662" s="2" t="e">
        <f t="shared" si="494"/>
        <v>#DIV/0!</v>
      </c>
      <c r="AS662" s="2" t="e">
        <f t="shared" si="511"/>
        <v>#DIV/0!</v>
      </c>
      <c r="AT662" s="2" t="e">
        <f t="shared" si="512"/>
        <v>#DIV/0!</v>
      </c>
      <c r="AU662" s="2" t="e">
        <f t="shared" si="529"/>
        <v>#DIV/0!</v>
      </c>
      <c r="AV662" s="2" t="e">
        <f t="shared" si="513"/>
        <v>#DIV/0!</v>
      </c>
      <c r="AW662" s="2" t="e">
        <f t="shared" si="514"/>
        <v>#DIV/0!</v>
      </c>
      <c r="AX662" s="2" t="e">
        <f t="shared" si="515"/>
        <v>#DIV/0!</v>
      </c>
      <c r="AY662" s="2" t="e">
        <f t="shared" si="530"/>
        <v>#DIV/0!</v>
      </c>
      <c r="AZ662" s="2" t="e">
        <f t="shared" si="495"/>
        <v>#DIV/0!</v>
      </c>
      <c r="BA662" s="2" t="e">
        <f t="shared" si="516"/>
        <v>#DIV/0!</v>
      </c>
      <c r="BB662" s="2" t="e">
        <f t="shared" si="517"/>
        <v>#DIV/0!</v>
      </c>
      <c r="BC662" s="2" t="e">
        <f t="shared" si="531"/>
        <v>#DIV/0!</v>
      </c>
      <c r="BD662" s="2">
        <v>0</v>
      </c>
      <c r="BE662" s="2" t="e">
        <f t="shared" si="518"/>
        <v>#DIV/0!</v>
      </c>
      <c r="BF662" s="2" t="e">
        <f t="shared" si="519"/>
        <v>#DIV/0!</v>
      </c>
      <c r="BG662" s="2" t="e">
        <f t="shared" si="532"/>
        <v>#DIV/0!</v>
      </c>
      <c r="BH662" s="2" t="e">
        <f t="shared" si="496"/>
        <v>#DIV/0!</v>
      </c>
      <c r="BI662" s="2" t="e">
        <f t="shared" si="520"/>
        <v>#DIV/0!</v>
      </c>
      <c r="BJ662" s="2" t="e">
        <f t="shared" si="521"/>
        <v>#DIV/0!</v>
      </c>
      <c r="BK662" s="2" t="e">
        <f t="shared" si="533"/>
        <v>#DIV/0!</v>
      </c>
      <c r="BL662" s="2" t="e">
        <f t="shared" si="522"/>
        <v>#DIV/0!</v>
      </c>
      <c r="BM662" s="2" t="e">
        <f t="shared" si="523"/>
        <v>#DIV/0!</v>
      </c>
      <c r="BN662" s="2" t="e">
        <f t="shared" si="534"/>
        <v>#DIV/0!</v>
      </c>
    </row>
    <row r="663" spans="1:66" x14ac:dyDescent="0.25">
      <c r="A663" s="42">
        <v>660</v>
      </c>
      <c r="E663" s="6">
        <f t="shared" si="524"/>
        <v>0</v>
      </c>
      <c r="F663" s="5" t="str">
        <f t="shared" si="535"/>
        <v>Break Even</v>
      </c>
      <c r="G663" s="4">
        <f t="shared" si="536"/>
        <v>0</v>
      </c>
      <c r="N663" s="5">
        <f t="shared" si="537"/>
        <v>0</v>
      </c>
      <c r="O663" s="4" t="e">
        <f t="shared" si="538"/>
        <v>#DIV/0!</v>
      </c>
      <c r="P663" s="5">
        <f t="shared" si="497"/>
        <v>0</v>
      </c>
      <c r="R663" s="2">
        <f t="shared" si="492"/>
        <v>0</v>
      </c>
      <c r="T663" s="2">
        <f t="shared" si="525"/>
        <v>0</v>
      </c>
      <c r="V663" s="5">
        <f t="shared" si="539"/>
        <v>0</v>
      </c>
      <c r="W663" s="4" t="e">
        <f t="shared" si="540"/>
        <v>#DIV/0!</v>
      </c>
      <c r="X663" s="14">
        <f t="shared" si="498"/>
        <v>0</v>
      </c>
      <c r="Y663" s="5">
        <f t="shared" si="499"/>
        <v>0</v>
      </c>
      <c r="Z663" s="2">
        <f t="shared" si="500"/>
        <v>0</v>
      </c>
      <c r="AA663" s="4">
        <f t="shared" si="501"/>
        <v>0</v>
      </c>
      <c r="AB663" s="13">
        <f t="shared" si="502"/>
        <v>0</v>
      </c>
      <c r="AC663" s="10">
        <f>SUM($E$4:E663)</f>
        <v>-22024.091160220025</v>
      </c>
      <c r="AD663" s="20">
        <f>SUM($AB$4:AB663)</f>
        <v>13539.766460219998</v>
      </c>
      <c r="AF663" s="28" t="e">
        <f t="shared" si="503"/>
        <v>#DIV/0!</v>
      </c>
      <c r="AG663" s="2" t="e">
        <f t="shared" si="504"/>
        <v>#DIV/0!</v>
      </c>
      <c r="AH663" s="2" t="e">
        <f t="shared" si="505"/>
        <v>#DIV/0!</v>
      </c>
      <c r="AI663" s="2" t="e">
        <f t="shared" si="526"/>
        <v>#DIV/0!</v>
      </c>
      <c r="AJ663" s="2" t="e">
        <f t="shared" si="493"/>
        <v>#DIV/0!</v>
      </c>
      <c r="AK663" s="2" t="e">
        <f t="shared" si="506"/>
        <v>#DIV/0!</v>
      </c>
      <c r="AL663" s="2" t="e">
        <f t="shared" si="507"/>
        <v>#DIV/0!</v>
      </c>
      <c r="AM663" s="2" t="e">
        <f t="shared" si="527"/>
        <v>#DIV/0!</v>
      </c>
      <c r="AN663" s="2">
        <f t="shared" si="508"/>
        <v>0</v>
      </c>
      <c r="AO663" s="2" t="e">
        <f t="shared" si="509"/>
        <v>#DIV/0!</v>
      </c>
      <c r="AP663" s="2" t="e">
        <f t="shared" si="510"/>
        <v>#DIV/0!</v>
      </c>
      <c r="AQ663" s="2" t="e">
        <f t="shared" si="528"/>
        <v>#DIV/0!</v>
      </c>
      <c r="AR663" s="2" t="e">
        <f t="shared" si="494"/>
        <v>#DIV/0!</v>
      </c>
      <c r="AS663" s="2" t="e">
        <f t="shared" si="511"/>
        <v>#DIV/0!</v>
      </c>
      <c r="AT663" s="2" t="e">
        <f t="shared" si="512"/>
        <v>#DIV/0!</v>
      </c>
      <c r="AU663" s="2" t="e">
        <f t="shared" si="529"/>
        <v>#DIV/0!</v>
      </c>
      <c r="AV663" s="2" t="e">
        <f t="shared" si="513"/>
        <v>#DIV/0!</v>
      </c>
      <c r="AW663" s="2" t="e">
        <f t="shared" si="514"/>
        <v>#DIV/0!</v>
      </c>
      <c r="AX663" s="2" t="e">
        <f t="shared" si="515"/>
        <v>#DIV/0!</v>
      </c>
      <c r="AY663" s="2" t="e">
        <f t="shared" si="530"/>
        <v>#DIV/0!</v>
      </c>
      <c r="AZ663" s="2" t="e">
        <f t="shared" si="495"/>
        <v>#DIV/0!</v>
      </c>
      <c r="BA663" s="2" t="e">
        <f t="shared" si="516"/>
        <v>#DIV/0!</v>
      </c>
      <c r="BB663" s="2" t="e">
        <f t="shared" si="517"/>
        <v>#DIV/0!</v>
      </c>
      <c r="BC663" s="2" t="e">
        <f t="shared" si="531"/>
        <v>#DIV/0!</v>
      </c>
      <c r="BD663" s="2">
        <v>0</v>
      </c>
      <c r="BE663" s="2" t="e">
        <f t="shared" si="518"/>
        <v>#DIV/0!</v>
      </c>
      <c r="BF663" s="2" t="e">
        <f t="shared" si="519"/>
        <v>#DIV/0!</v>
      </c>
      <c r="BG663" s="2" t="e">
        <f t="shared" si="532"/>
        <v>#DIV/0!</v>
      </c>
      <c r="BH663" s="2" t="e">
        <f t="shared" si="496"/>
        <v>#DIV/0!</v>
      </c>
      <c r="BI663" s="2" t="e">
        <f t="shared" si="520"/>
        <v>#DIV/0!</v>
      </c>
      <c r="BJ663" s="2" t="e">
        <f t="shared" si="521"/>
        <v>#DIV/0!</v>
      </c>
      <c r="BK663" s="2" t="e">
        <f t="shared" si="533"/>
        <v>#DIV/0!</v>
      </c>
      <c r="BL663" s="2" t="e">
        <f t="shared" si="522"/>
        <v>#DIV/0!</v>
      </c>
      <c r="BM663" s="2" t="e">
        <f t="shared" si="523"/>
        <v>#DIV/0!</v>
      </c>
      <c r="BN663" s="2" t="e">
        <f t="shared" si="534"/>
        <v>#DIV/0!</v>
      </c>
    </row>
    <row r="664" spans="1:66" x14ac:dyDescent="0.25">
      <c r="A664" s="42">
        <v>661</v>
      </c>
      <c r="E664" s="6">
        <f t="shared" si="524"/>
        <v>0</v>
      </c>
      <c r="F664" s="5" t="str">
        <f t="shared" si="535"/>
        <v>Break Even</v>
      </c>
      <c r="G664" s="4">
        <f t="shared" si="536"/>
        <v>0</v>
      </c>
      <c r="N664" s="5">
        <f t="shared" si="537"/>
        <v>0</v>
      </c>
      <c r="O664" s="4" t="e">
        <f t="shared" si="538"/>
        <v>#DIV/0!</v>
      </c>
      <c r="P664" s="5">
        <f t="shared" si="497"/>
        <v>0</v>
      </c>
      <c r="R664" s="2">
        <f t="shared" si="492"/>
        <v>0</v>
      </c>
      <c r="T664" s="2">
        <f t="shared" si="525"/>
        <v>0</v>
      </c>
      <c r="V664" s="5">
        <f t="shared" si="539"/>
        <v>0</v>
      </c>
      <c r="W664" s="4" t="e">
        <f t="shared" si="540"/>
        <v>#DIV/0!</v>
      </c>
      <c r="X664" s="14">
        <f t="shared" si="498"/>
        <v>0</v>
      </c>
      <c r="Y664" s="5">
        <f t="shared" si="499"/>
        <v>0</v>
      </c>
      <c r="Z664" s="2">
        <f t="shared" si="500"/>
        <v>0</v>
      </c>
      <c r="AA664" s="4">
        <f t="shared" si="501"/>
        <v>0</v>
      </c>
      <c r="AB664" s="13">
        <f t="shared" si="502"/>
        <v>0</v>
      </c>
      <c r="AC664" s="10">
        <f>SUM($E$4:E664)</f>
        <v>-22024.091160220025</v>
      </c>
      <c r="AD664" s="20">
        <f>SUM($AB$4:AB664)</f>
        <v>13539.766460219998</v>
      </c>
      <c r="AF664" s="28" t="e">
        <f t="shared" si="503"/>
        <v>#DIV/0!</v>
      </c>
      <c r="AG664" s="2" t="e">
        <f t="shared" si="504"/>
        <v>#DIV/0!</v>
      </c>
      <c r="AH664" s="2" t="e">
        <f t="shared" si="505"/>
        <v>#DIV/0!</v>
      </c>
      <c r="AI664" s="2" t="e">
        <f t="shared" si="526"/>
        <v>#DIV/0!</v>
      </c>
      <c r="AJ664" s="2" t="e">
        <f t="shared" si="493"/>
        <v>#DIV/0!</v>
      </c>
      <c r="AK664" s="2" t="e">
        <f t="shared" si="506"/>
        <v>#DIV/0!</v>
      </c>
      <c r="AL664" s="2" t="e">
        <f t="shared" si="507"/>
        <v>#DIV/0!</v>
      </c>
      <c r="AM664" s="2" t="e">
        <f t="shared" si="527"/>
        <v>#DIV/0!</v>
      </c>
      <c r="AN664" s="2">
        <f t="shared" si="508"/>
        <v>0</v>
      </c>
      <c r="AO664" s="2" t="e">
        <f t="shared" si="509"/>
        <v>#DIV/0!</v>
      </c>
      <c r="AP664" s="2" t="e">
        <f t="shared" si="510"/>
        <v>#DIV/0!</v>
      </c>
      <c r="AQ664" s="2" t="e">
        <f t="shared" si="528"/>
        <v>#DIV/0!</v>
      </c>
      <c r="AR664" s="2" t="e">
        <f t="shared" si="494"/>
        <v>#DIV/0!</v>
      </c>
      <c r="AS664" s="2" t="e">
        <f t="shared" si="511"/>
        <v>#DIV/0!</v>
      </c>
      <c r="AT664" s="2" t="e">
        <f t="shared" si="512"/>
        <v>#DIV/0!</v>
      </c>
      <c r="AU664" s="2" t="e">
        <f t="shared" si="529"/>
        <v>#DIV/0!</v>
      </c>
      <c r="AV664" s="2" t="e">
        <f t="shared" si="513"/>
        <v>#DIV/0!</v>
      </c>
      <c r="AW664" s="2" t="e">
        <f t="shared" si="514"/>
        <v>#DIV/0!</v>
      </c>
      <c r="AX664" s="2" t="e">
        <f t="shared" si="515"/>
        <v>#DIV/0!</v>
      </c>
      <c r="AY664" s="2" t="e">
        <f t="shared" si="530"/>
        <v>#DIV/0!</v>
      </c>
      <c r="AZ664" s="2" t="e">
        <f t="shared" si="495"/>
        <v>#DIV/0!</v>
      </c>
      <c r="BA664" s="2" t="e">
        <f t="shared" si="516"/>
        <v>#DIV/0!</v>
      </c>
      <c r="BB664" s="2" t="e">
        <f t="shared" si="517"/>
        <v>#DIV/0!</v>
      </c>
      <c r="BC664" s="2" t="e">
        <f t="shared" si="531"/>
        <v>#DIV/0!</v>
      </c>
      <c r="BD664" s="2">
        <v>0</v>
      </c>
      <c r="BE664" s="2" t="e">
        <f t="shared" si="518"/>
        <v>#DIV/0!</v>
      </c>
      <c r="BF664" s="2" t="e">
        <f t="shared" si="519"/>
        <v>#DIV/0!</v>
      </c>
      <c r="BG664" s="2" t="e">
        <f t="shared" si="532"/>
        <v>#DIV/0!</v>
      </c>
      <c r="BH664" s="2" t="e">
        <f t="shared" si="496"/>
        <v>#DIV/0!</v>
      </c>
      <c r="BI664" s="2" t="e">
        <f t="shared" si="520"/>
        <v>#DIV/0!</v>
      </c>
      <c r="BJ664" s="2" t="e">
        <f t="shared" si="521"/>
        <v>#DIV/0!</v>
      </c>
      <c r="BK664" s="2" t="e">
        <f t="shared" si="533"/>
        <v>#DIV/0!</v>
      </c>
      <c r="BL664" s="2" t="e">
        <f t="shared" si="522"/>
        <v>#DIV/0!</v>
      </c>
      <c r="BM664" s="2" t="e">
        <f t="shared" si="523"/>
        <v>#DIV/0!</v>
      </c>
      <c r="BN664" s="2" t="e">
        <f t="shared" si="534"/>
        <v>#DIV/0!</v>
      </c>
    </row>
    <row r="665" spans="1:66" x14ac:dyDescent="0.25">
      <c r="A665" s="42">
        <v>662</v>
      </c>
      <c r="E665" s="6">
        <f t="shared" si="524"/>
        <v>0</v>
      </c>
      <c r="F665" s="5" t="str">
        <f t="shared" si="535"/>
        <v>Break Even</v>
      </c>
      <c r="G665" s="4">
        <f t="shared" si="536"/>
        <v>0</v>
      </c>
      <c r="N665" s="5">
        <f t="shared" si="537"/>
        <v>0</v>
      </c>
      <c r="O665" s="4" t="e">
        <f t="shared" si="538"/>
        <v>#DIV/0!</v>
      </c>
      <c r="P665" s="5">
        <f t="shared" si="497"/>
        <v>0</v>
      </c>
      <c r="R665" s="2">
        <f t="shared" si="492"/>
        <v>0</v>
      </c>
      <c r="T665" s="2">
        <f t="shared" si="525"/>
        <v>0</v>
      </c>
      <c r="V665" s="5">
        <f t="shared" si="539"/>
        <v>0</v>
      </c>
      <c r="W665" s="4" t="e">
        <f t="shared" si="540"/>
        <v>#DIV/0!</v>
      </c>
      <c r="X665" s="14">
        <f t="shared" si="498"/>
        <v>0</v>
      </c>
      <c r="Y665" s="5">
        <f t="shared" si="499"/>
        <v>0</v>
      </c>
      <c r="Z665" s="2">
        <f t="shared" si="500"/>
        <v>0</v>
      </c>
      <c r="AA665" s="4">
        <f t="shared" si="501"/>
        <v>0</v>
      </c>
      <c r="AB665" s="13">
        <f t="shared" si="502"/>
        <v>0</v>
      </c>
      <c r="AC665" s="10">
        <f>SUM($E$4:E665)</f>
        <v>-22024.091160220025</v>
      </c>
      <c r="AD665" s="20">
        <f>SUM($AB$4:AB665)</f>
        <v>13539.766460219998</v>
      </c>
      <c r="AF665" s="28" t="e">
        <f t="shared" si="503"/>
        <v>#DIV/0!</v>
      </c>
      <c r="AG665" s="2" t="e">
        <f t="shared" si="504"/>
        <v>#DIV/0!</v>
      </c>
      <c r="AH665" s="2" t="e">
        <f t="shared" si="505"/>
        <v>#DIV/0!</v>
      </c>
      <c r="AI665" s="2" t="e">
        <f t="shared" si="526"/>
        <v>#DIV/0!</v>
      </c>
      <c r="AJ665" s="2" t="e">
        <f t="shared" si="493"/>
        <v>#DIV/0!</v>
      </c>
      <c r="AK665" s="2" t="e">
        <f t="shared" si="506"/>
        <v>#DIV/0!</v>
      </c>
      <c r="AL665" s="2" t="e">
        <f t="shared" si="507"/>
        <v>#DIV/0!</v>
      </c>
      <c r="AM665" s="2" t="e">
        <f t="shared" si="527"/>
        <v>#DIV/0!</v>
      </c>
      <c r="AN665" s="2">
        <f t="shared" si="508"/>
        <v>0</v>
      </c>
      <c r="AO665" s="2" t="e">
        <f t="shared" si="509"/>
        <v>#DIV/0!</v>
      </c>
      <c r="AP665" s="2" t="e">
        <f t="shared" si="510"/>
        <v>#DIV/0!</v>
      </c>
      <c r="AQ665" s="2" t="e">
        <f t="shared" si="528"/>
        <v>#DIV/0!</v>
      </c>
      <c r="AR665" s="2" t="e">
        <f t="shared" si="494"/>
        <v>#DIV/0!</v>
      </c>
      <c r="AS665" s="2" t="e">
        <f t="shared" si="511"/>
        <v>#DIV/0!</v>
      </c>
      <c r="AT665" s="2" t="e">
        <f t="shared" si="512"/>
        <v>#DIV/0!</v>
      </c>
      <c r="AU665" s="2" t="e">
        <f t="shared" si="529"/>
        <v>#DIV/0!</v>
      </c>
      <c r="AV665" s="2" t="e">
        <f t="shared" si="513"/>
        <v>#DIV/0!</v>
      </c>
      <c r="AW665" s="2" t="e">
        <f t="shared" si="514"/>
        <v>#DIV/0!</v>
      </c>
      <c r="AX665" s="2" t="e">
        <f t="shared" si="515"/>
        <v>#DIV/0!</v>
      </c>
      <c r="AY665" s="2" t="e">
        <f t="shared" si="530"/>
        <v>#DIV/0!</v>
      </c>
      <c r="AZ665" s="2" t="e">
        <f t="shared" si="495"/>
        <v>#DIV/0!</v>
      </c>
      <c r="BA665" s="2" t="e">
        <f t="shared" si="516"/>
        <v>#DIV/0!</v>
      </c>
      <c r="BB665" s="2" t="e">
        <f t="shared" si="517"/>
        <v>#DIV/0!</v>
      </c>
      <c r="BC665" s="2" t="e">
        <f t="shared" si="531"/>
        <v>#DIV/0!</v>
      </c>
      <c r="BD665" s="2">
        <v>0</v>
      </c>
      <c r="BE665" s="2" t="e">
        <f t="shared" si="518"/>
        <v>#DIV/0!</v>
      </c>
      <c r="BF665" s="2" t="e">
        <f t="shared" si="519"/>
        <v>#DIV/0!</v>
      </c>
      <c r="BG665" s="2" t="e">
        <f t="shared" si="532"/>
        <v>#DIV/0!</v>
      </c>
      <c r="BH665" s="2" t="e">
        <f t="shared" si="496"/>
        <v>#DIV/0!</v>
      </c>
      <c r="BI665" s="2" t="e">
        <f t="shared" si="520"/>
        <v>#DIV/0!</v>
      </c>
      <c r="BJ665" s="2" t="e">
        <f t="shared" si="521"/>
        <v>#DIV/0!</v>
      </c>
      <c r="BK665" s="2" t="e">
        <f t="shared" si="533"/>
        <v>#DIV/0!</v>
      </c>
      <c r="BL665" s="2" t="e">
        <f t="shared" si="522"/>
        <v>#DIV/0!</v>
      </c>
      <c r="BM665" s="2" t="e">
        <f t="shared" si="523"/>
        <v>#DIV/0!</v>
      </c>
      <c r="BN665" s="2" t="e">
        <f t="shared" si="534"/>
        <v>#DIV/0!</v>
      </c>
    </row>
    <row r="666" spans="1:66" x14ac:dyDescent="0.25">
      <c r="A666" s="42">
        <v>663</v>
      </c>
      <c r="E666" s="6">
        <f t="shared" si="524"/>
        <v>0</v>
      </c>
      <c r="F666" s="5" t="str">
        <f t="shared" si="535"/>
        <v>Break Even</v>
      </c>
      <c r="G666" s="4">
        <f t="shared" si="536"/>
        <v>0</v>
      </c>
      <c r="N666" s="5">
        <f t="shared" si="537"/>
        <v>0</v>
      </c>
      <c r="O666" s="4" t="e">
        <f t="shared" si="538"/>
        <v>#DIV/0!</v>
      </c>
      <c r="P666" s="5">
        <f t="shared" si="497"/>
        <v>0</v>
      </c>
      <c r="R666" s="2">
        <f t="shared" si="492"/>
        <v>0</v>
      </c>
      <c r="T666" s="2">
        <f t="shared" si="525"/>
        <v>0</v>
      </c>
      <c r="V666" s="5">
        <f t="shared" si="539"/>
        <v>0</v>
      </c>
      <c r="W666" s="4" t="e">
        <f t="shared" si="540"/>
        <v>#DIV/0!</v>
      </c>
      <c r="X666" s="14">
        <f t="shared" si="498"/>
        <v>0</v>
      </c>
      <c r="Y666" s="5">
        <f t="shared" si="499"/>
        <v>0</v>
      </c>
      <c r="Z666" s="2">
        <f t="shared" si="500"/>
        <v>0</v>
      </c>
      <c r="AA666" s="4">
        <f t="shared" si="501"/>
        <v>0</v>
      </c>
      <c r="AB666" s="13">
        <f t="shared" si="502"/>
        <v>0</v>
      </c>
      <c r="AC666" s="10">
        <f>SUM($E$4:E666)</f>
        <v>-22024.091160220025</v>
      </c>
      <c r="AD666" s="20">
        <f>SUM($AB$4:AB666)</f>
        <v>13539.766460219998</v>
      </c>
      <c r="AF666" s="28" t="e">
        <f t="shared" si="503"/>
        <v>#DIV/0!</v>
      </c>
      <c r="AG666" s="2" t="e">
        <f t="shared" si="504"/>
        <v>#DIV/0!</v>
      </c>
      <c r="AH666" s="2" t="e">
        <f t="shared" si="505"/>
        <v>#DIV/0!</v>
      </c>
      <c r="AI666" s="2" t="e">
        <f t="shared" si="526"/>
        <v>#DIV/0!</v>
      </c>
      <c r="AJ666" s="2" t="e">
        <f t="shared" si="493"/>
        <v>#DIV/0!</v>
      </c>
      <c r="AK666" s="2" t="e">
        <f t="shared" si="506"/>
        <v>#DIV/0!</v>
      </c>
      <c r="AL666" s="2" t="e">
        <f t="shared" si="507"/>
        <v>#DIV/0!</v>
      </c>
      <c r="AM666" s="2" t="e">
        <f t="shared" si="527"/>
        <v>#DIV/0!</v>
      </c>
      <c r="AN666" s="2">
        <f t="shared" si="508"/>
        <v>0</v>
      </c>
      <c r="AO666" s="2" t="e">
        <f t="shared" si="509"/>
        <v>#DIV/0!</v>
      </c>
      <c r="AP666" s="2" t="e">
        <f t="shared" si="510"/>
        <v>#DIV/0!</v>
      </c>
      <c r="AQ666" s="2" t="e">
        <f t="shared" si="528"/>
        <v>#DIV/0!</v>
      </c>
      <c r="AR666" s="2" t="e">
        <f t="shared" si="494"/>
        <v>#DIV/0!</v>
      </c>
      <c r="AS666" s="2" t="e">
        <f t="shared" si="511"/>
        <v>#DIV/0!</v>
      </c>
      <c r="AT666" s="2" t="e">
        <f t="shared" si="512"/>
        <v>#DIV/0!</v>
      </c>
      <c r="AU666" s="2" t="e">
        <f t="shared" si="529"/>
        <v>#DIV/0!</v>
      </c>
      <c r="AV666" s="2" t="e">
        <f t="shared" si="513"/>
        <v>#DIV/0!</v>
      </c>
      <c r="AW666" s="2" t="e">
        <f t="shared" si="514"/>
        <v>#DIV/0!</v>
      </c>
      <c r="AX666" s="2" t="e">
        <f t="shared" si="515"/>
        <v>#DIV/0!</v>
      </c>
      <c r="AY666" s="2" t="e">
        <f t="shared" si="530"/>
        <v>#DIV/0!</v>
      </c>
      <c r="AZ666" s="2" t="e">
        <f t="shared" si="495"/>
        <v>#DIV/0!</v>
      </c>
      <c r="BA666" s="2" t="e">
        <f t="shared" si="516"/>
        <v>#DIV/0!</v>
      </c>
      <c r="BB666" s="2" t="e">
        <f t="shared" si="517"/>
        <v>#DIV/0!</v>
      </c>
      <c r="BC666" s="2" t="e">
        <f t="shared" si="531"/>
        <v>#DIV/0!</v>
      </c>
      <c r="BD666" s="2">
        <v>0</v>
      </c>
      <c r="BE666" s="2" t="e">
        <f t="shared" si="518"/>
        <v>#DIV/0!</v>
      </c>
      <c r="BF666" s="2" t="e">
        <f t="shared" si="519"/>
        <v>#DIV/0!</v>
      </c>
      <c r="BG666" s="2" t="e">
        <f t="shared" si="532"/>
        <v>#DIV/0!</v>
      </c>
      <c r="BH666" s="2" t="e">
        <f t="shared" si="496"/>
        <v>#DIV/0!</v>
      </c>
      <c r="BI666" s="2" t="e">
        <f t="shared" si="520"/>
        <v>#DIV/0!</v>
      </c>
      <c r="BJ666" s="2" t="e">
        <f t="shared" si="521"/>
        <v>#DIV/0!</v>
      </c>
      <c r="BK666" s="2" t="e">
        <f t="shared" si="533"/>
        <v>#DIV/0!</v>
      </c>
      <c r="BL666" s="2" t="e">
        <f t="shared" si="522"/>
        <v>#DIV/0!</v>
      </c>
      <c r="BM666" s="2" t="e">
        <f t="shared" si="523"/>
        <v>#DIV/0!</v>
      </c>
      <c r="BN666" s="2" t="e">
        <f t="shared" si="534"/>
        <v>#DIV/0!</v>
      </c>
    </row>
    <row r="667" spans="1:66" x14ac:dyDescent="0.25">
      <c r="A667" s="42">
        <v>664</v>
      </c>
      <c r="E667" s="6">
        <f t="shared" si="524"/>
        <v>0</v>
      </c>
      <c r="F667" s="5" t="str">
        <f t="shared" si="535"/>
        <v>Break Even</v>
      </c>
      <c r="G667" s="4">
        <f t="shared" si="536"/>
        <v>0</v>
      </c>
      <c r="N667" s="5">
        <f t="shared" si="537"/>
        <v>0</v>
      </c>
      <c r="O667" s="4" t="e">
        <f t="shared" si="538"/>
        <v>#DIV/0!</v>
      </c>
      <c r="P667" s="5">
        <f t="shared" si="497"/>
        <v>0</v>
      </c>
      <c r="R667" s="2">
        <f t="shared" si="492"/>
        <v>0</v>
      </c>
      <c r="T667" s="2">
        <f t="shared" si="525"/>
        <v>0</v>
      </c>
      <c r="V667" s="5">
        <f t="shared" si="539"/>
        <v>0</v>
      </c>
      <c r="W667" s="4" t="e">
        <f t="shared" si="540"/>
        <v>#DIV/0!</v>
      </c>
      <c r="X667" s="14">
        <f t="shared" si="498"/>
        <v>0</v>
      </c>
      <c r="Y667" s="5">
        <f t="shared" si="499"/>
        <v>0</v>
      </c>
      <c r="Z667" s="2">
        <f t="shared" si="500"/>
        <v>0</v>
      </c>
      <c r="AA667" s="4">
        <f t="shared" si="501"/>
        <v>0</v>
      </c>
      <c r="AB667" s="13">
        <f t="shared" si="502"/>
        <v>0</v>
      </c>
      <c r="AC667" s="10">
        <f>SUM($E$4:E667)</f>
        <v>-22024.091160220025</v>
      </c>
      <c r="AD667" s="20">
        <f>SUM($AB$4:AB667)</f>
        <v>13539.766460219998</v>
      </c>
      <c r="AF667" s="28" t="e">
        <f t="shared" si="503"/>
        <v>#DIV/0!</v>
      </c>
      <c r="AG667" s="2" t="e">
        <f t="shared" si="504"/>
        <v>#DIV/0!</v>
      </c>
      <c r="AH667" s="2" t="e">
        <f t="shared" si="505"/>
        <v>#DIV/0!</v>
      </c>
      <c r="AI667" s="2" t="e">
        <f t="shared" si="526"/>
        <v>#DIV/0!</v>
      </c>
      <c r="AJ667" s="2" t="e">
        <f t="shared" si="493"/>
        <v>#DIV/0!</v>
      </c>
      <c r="AK667" s="2" t="e">
        <f t="shared" si="506"/>
        <v>#DIV/0!</v>
      </c>
      <c r="AL667" s="2" t="e">
        <f t="shared" si="507"/>
        <v>#DIV/0!</v>
      </c>
      <c r="AM667" s="2" t="e">
        <f t="shared" si="527"/>
        <v>#DIV/0!</v>
      </c>
      <c r="AN667" s="2">
        <f t="shared" si="508"/>
        <v>0</v>
      </c>
      <c r="AO667" s="2" t="e">
        <f t="shared" si="509"/>
        <v>#DIV/0!</v>
      </c>
      <c r="AP667" s="2" t="e">
        <f t="shared" si="510"/>
        <v>#DIV/0!</v>
      </c>
      <c r="AQ667" s="2" t="e">
        <f t="shared" si="528"/>
        <v>#DIV/0!</v>
      </c>
      <c r="AR667" s="2" t="e">
        <f t="shared" si="494"/>
        <v>#DIV/0!</v>
      </c>
      <c r="AS667" s="2" t="e">
        <f t="shared" si="511"/>
        <v>#DIV/0!</v>
      </c>
      <c r="AT667" s="2" t="e">
        <f t="shared" si="512"/>
        <v>#DIV/0!</v>
      </c>
      <c r="AU667" s="2" t="e">
        <f t="shared" si="529"/>
        <v>#DIV/0!</v>
      </c>
      <c r="AV667" s="2" t="e">
        <f t="shared" si="513"/>
        <v>#DIV/0!</v>
      </c>
      <c r="AW667" s="2" t="e">
        <f t="shared" si="514"/>
        <v>#DIV/0!</v>
      </c>
      <c r="AX667" s="2" t="e">
        <f t="shared" si="515"/>
        <v>#DIV/0!</v>
      </c>
      <c r="AY667" s="2" t="e">
        <f t="shared" si="530"/>
        <v>#DIV/0!</v>
      </c>
      <c r="AZ667" s="2" t="e">
        <f t="shared" si="495"/>
        <v>#DIV/0!</v>
      </c>
      <c r="BA667" s="2" t="e">
        <f t="shared" si="516"/>
        <v>#DIV/0!</v>
      </c>
      <c r="BB667" s="2" t="e">
        <f t="shared" si="517"/>
        <v>#DIV/0!</v>
      </c>
      <c r="BC667" s="2" t="e">
        <f t="shared" si="531"/>
        <v>#DIV/0!</v>
      </c>
      <c r="BD667" s="2">
        <v>0</v>
      </c>
      <c r="BE667" s="2" t="e">
        <f t="shared" si="518"/>
        <v>#DIV/0!</v>
      </c>
      <c r="BF667" s="2" t="e">
        <f t="shared" si="519"/>
        <v>#DIV/0!</v>
      </c>
      <c r="BG667" s="2" t="e">
        <f t="shared" si="532"/>
        <v>#DIV/0!</v>
      </c>
      <c r="BH667" s="2" t="e">
        <f t="shared" si="496"/>
        <v>#DIV/0!</v>
      </c>
      <c r="BI667" s="2" t="e">
        <f t="shared" si="520"/>
        <v>#DIV/0!</v>
      </c>
      <c r="BJ667" s="2" t="e">
        <f t="shared" si="521"/>
        <v>#DIV/0!</v>
      </c>
      <c r="BK667" s="2" t="e">
        <f t="shared" si="533"/>
        <v>#DIV/0!</v>
      </c>
      <c r="BL667" s="2" t="e">
        <f t="shared" si="522"/>
        <v>#DIV/0!</v>
      </c>
      <c r="BM667" s="2" t="e">
        <f t="shared" si="523"/>
        <v>#DIV/0!</v>
      </c>
      <c r="BN667" s="2" t="e">
        <f t="shared" si="534"/>
        <v>#DIV/0!</v>
      </c>
    </row>
    <row r="668" spans="1:66" x14ac:dyDescent="0.25">
      <c r="A668" s="42">
        <v>665</v>
      </c>
      <c r="E668" s="6">
        <f t="shared" si="524"/>
        <v>0</v>
      </c>
      <c r="F668" s="5" t="str">
        <f t="shared" si="535"/>
        <v>Break Even</v>
      </c>
      <c r="G668" s="4">
        <f t="shared" si="536"/>
        <v>0</v>
      </c>
      <c r="N668" s="5">
        <f t="shared" si="537"/>
        <v>0</v>
      </c>
      <c r="O668" s="4" t="e">
        <f t="shared" si="538"/>
        <v>#DIV/0!</v>
      </c>
      <c r="P668" s="5">
        <f t="shared" si="497"/>
        <v>0</v>
      </c>
      <c r="R668" s="2">
        <f t="shared" si="492"/>
        <v>0</v>
      </c>
      <c r="T668" s="2">
        <f t="shared" si="525"/>
        <v>0</v>
      </c>
      <c r="V668" s="5">
        <f t="shared" si="539"/>
        <v>0</v>
      </c>
      <c r="W668" s="4" t="e">
        <f t="shared" si="540"/>
        <v>#DIV/0!</v>
      </c>
      <c r="X668" s="14">
        <f t="shared" si="498"/>
        <v>0</v>
      </c>
      <c r="Y668" s="5">
        <f t="shared" si="499"/>
        <v>0</v>
      </c>
      <c r="Z668" s="2">
        <f t="shared" si="500"/>
        <v>0</v>
      </c>
      <c r="AA668" s="4">
        <f t="shared" si="501"/>
        <v>0</v>
      </c>
      <c r="AB668" s="13">
        <f t="shared" si="502"/>
        <v>0</v>
      </c>
      <c r="AC668" s="10">
        <f>SUM($E$4:E668)</f>
        <v>-22024.091160220025</v>
      </c>
      <c r="AD668" s="20">
        <f>SUM($AB$4:AB668)</f>
        <v>13539.766460219998</v>
      </c>
      <c r="AF668" s="28" t="e">
        <f t="shared" si="503"/>
        <v>#DIV/0!</v>
      </c>
      <c r="AG668" s="2" t="e">
        <f t="shared" si="504"/>
        <v>#DIV/0!</v>
      </c>
      <c r="AH668" s="2" t="e">
        <f t="shared" si="505"/>
        <v>#DIV/0!</v>
      </c>
      <c r="AI668" s="2" t="e">
        <f t="shared" si="526"/>
        <v>#DIV/0!</v>
      </c>
      <c r="AJ668" s="2" t="e">
        <f t="shared" si="493"/>
        <v>#DIV/0!</v>
      </c>
      <c r="AK668" s="2" t="e">
        <f t="shared" si="506"/>
        <v>#DIV/0!</v>
      </c>
      <c r="AL668" s="2" t="e">
        <f t="shared" si="507"/>
        <v>#DIV/0!</v>
      </c>
      <c r="AM668" s="2" t="e">
        <f t="shared" si="527"/>
        <v>#DIV/0!</v>
      </c>
      <c r="AN668" s="2">
        <f t="shared" si="508"/>
        <v>0</v>
      </c>
      <c r="AO668" s="2" t="e">
        <f t="shared" si="509"/>
        <v>#DIV/0!</v>
      </c>
      <c r="AP668" s="2" t="e">
        <f t="shared" si="510"/>
        <v>#DIV/0!</v>
      </c>
      <c r="AQ668" s="2" t="e">
        <f t="shared" si="528"/>
        <v>#DIV/0!</v>
      </c>
      <c r="AR668" s="2" t="e">
        <f t="shared" si="494"/>
        <v>#DIV/0!</v>
      </c>
      <c r="AS668" s="2" t="e">
        <f t="shared" si="511"/>
        <v>#DIV/0!</v>
      </c>
      <c r="AT668" s="2" t="e">
        <f t="shared" si="512"/>
        <v>#DIV/0!</v>
      </c>
      <c r="AU668" s="2" t="e">
        <f t="shared" si="529"/>
        <v>#DIV/0!</v>
      </c>
      <c r="AV668" s="2" t="e">
        <f t="shared" si="513"/>
        <v>#DIV/0!</v>
      </c>
      <c r="AW668" s="2" t="e">
        <f t="shared" si="514"/>
        <v>#DIV/0!</v>
      </c>
      <c r="AX668" s="2" t="e">
        <f t="shared" si="515"/>
        <v>#DIV/0!</v>
      </c>
      <c r="AY668" s="2" t="e">
        <f t="shared" si="530"/>
        <v>#DIV/0!</v>
      </c>
      <c r="AZ668" s="2" t="e">
        <f t="shared" si="495"/>
        <v>#DIV/0!</v>
      </c>
      <c r="BA668" s="2" t="e">
        <f t="shared" si="516"/>
        <v>#DIV/0!</v>
      </c>
      <c r="BB668" s="2" t="e">
        <f t="shared" si="517"/>
        <v>#DIV/0!</v>
      </c>
      <c r="BC668" s="2" t="e">
        <f t="shared" si="531"/>
        <v>#DIV/0!</v>
      </c>
      <c r="BD668" s="2">
        <v>0</v>
      </c>
      <c r="BE668" s="2" t="e">
        <f t="shared" si="518"/>
        <v>#DIV/0!</v>
      </c>
      <c r="BF668" s="2" t="e">
        <f t="shared" si="519"/>
        <v>#DIV/0!</v>
      </c>
      <c r="BG668" s="2" t="e">
        <f t="shared" si="532"/>
        <v>#DIV/0!</v>
      </c>
      <c r="BH668" s="2" t="e">
        <f t="shared" si="496"/>
        <v>#DIV/0!</v>
      </c>
      <c r="BI668" s="2" t="e">
        <f t="shared" si="520"/>
        <v>#DIV/0!</v>
      </c>
      <c r="BJ668" s="2" t="e">
        <f t="shared" si="521"/>
        <v>#DIV/0!</v>
      </c>
      <c r="BK668" s="2" t="e">
        <f t="shared" si="533"/>
        <v>#DIV/0!</v>
      </c>
      <c r="BL668" s="2" t="e">
        <f t="shared" si="522"/>
        <v>#DIV/0!</v>
      </c>
      <c r="BM668" s="2" t="e">
        <f t="shared" si="523"/>
        <v>#DIV/0!</v>
      </c>
      <c r="BN668" s="2" t="e">
        <f t="shared" si="534"/>
        <v>#DIV/0!</v>
      </c>
    </row>
    <row r="669" spans="1:66" x14ac:dyDescent="0.25">
      <c r="A669" s="42">
        <v>666</v>
      </c>
      <c r="E669" s="6">
        <f t="shared" si="524"/>
        <v>0</v>
      </c>
      <c r="F669" s="5" t="str">
        <f t="shared" si="535"/>
        <v>Break Even</v>
      </c>
      <c r="G669" s="4">
        <f t="shared" si="536"/>
        <v>0</v>
      </c>
      <c r="N669" s="5">
        <f t="shared" si="537"/>
        <v>0</v>
      </c>
      <c r="O669" s="4" t="e">
        <f t="shared" si="538"/>
        <v>#DIV/0!</v>
      </c>
      <c r="P669" s="5">
        <f t="shared" si="497"/>
        <v>0</v>
      </c>
      <c r="R669" s="2">
        <f t="shared" si="492"/>
        <v>0</v>
      </c>
      <c r="T669" s="2">
        <f t="shared" si="525"/>
        <v>0</v>
      </c>
      <c r="V669" s="5">
        <f t="shared" si="539"/>
        <v>0</v>
      </c>
      <c r="W669" s="4" t="e">
        <f t="shared" si="540"/>
        <v>#DIV/0!</v>
      </c>
      <c r="X669" s="14">
        <f t="shared" si="498"/>
        <v>0</v>
      </c>
      <c r="Y669" s="5">
        <f t="shared" si="499"/>
        <v>0</v>
      </c>
      <c r="Z669" s="2">
        <f t="shared" si="500"/>
        <v>0</v>
      </c>
      <c r="AA669" s="4">
        <f t="shared" si="501"/>
        <v>0</v>
      </c>
      <c r="AB669" s="13">
        <f t="shared" si="502"/>
        <v>0</v>
      </c>
      <c r="AC669" s="10">
        <f>SUM($E$4:E669)</f>
        <v>-22024.091160220025</v>
      </c>
      <c r="AD669" s="20">
        <f>SUM($AB$4:AB669)</f>
        <v>13539.766460219998</v>
      </c>
      <c r="AF669" s="28" t="e">
        <f t="shared" si="503"/>
        <v>#DIV/0!</v>
      </c>
      <c r="AG669" s="2" t="e">
        <f t="shared" si="504"/>
        <v>#DIV/0!</v>
      </c>
      <c r="AH669" s="2" t="e">
        <f t="shared" si="505"/>
        <v>#DIV/0!</v>
      </c>
      <c r="AI669" s="2" t="e">
        <f t="shared" si="526"/>
        <v>#DIV/0!</v>
      </c>
      <c r="AJ669" s="2" t="e">
        <f t="shared" si="493"/>
        <v>#DIV/0!</v>
      </c>
      <c r="AK669" s="2" t="e">
        <f t="shared" si="506"/>
        <v>#DIV/0!</v>
      </c>
      <c r="AL669" s="2" t="e">
        <f t="shared" si="507"/>
        <v>#DIV/0!</v>
      </c>
      <c r="AM669" s="2" t="e">
        <f t="shared" si="527"/>
        <v>#DIV/0!</v>
      </c>
      <c r="AN669" s="2">
        <f t="shared" si="508"/>
        <v>0</v>
      </c>
      <c r="AO669" s="2" t="e">
        <f t="shared" si="509"/>
        <v>#DIV/0!</v>
      </c>
      <c r="AP669" s="2" t="e">
        <f t="shared" si="510"/>
        <v>#DIV/0!</v>
      </c>
      <c r="AQ669" s="2" t="e">
        <f t="shared" si="528"/>
        <v>#DIV/0!</v>
      </c>
      <c r="AR669" s="2" t="e">
        <f t="shared" si="494"/>
        <v>#DIV/0!</v>
      </c>
      <c r="AS669" s="2" t="e">
        <f t="shared" si="511"/>
        <v>#DIV/0!</v>
      </c>
      <c r="AT669" s="2" t="e">
        <f t="shared" si="512"/>
        <v>#DIV/0!</v>
      </c>
      <c r="AU669" s="2" t="e">
        <f t="shared" si="529"/>
        <v>#DIV/0!</v>
      </c>
      <c r="AV669" s="2" t="e">
        <f t="shared" si="513"/>
        <v>#DIV/0!</v>
      </c>
      <c r="AW669" s="2" t="e">
        <f t="shared" si="514"/>
        <v>#DIV/0!</v>
      </c>
      <c r="AX669" s="2" t="e">
        <f t="shared" si="515"/>
        <v>#DIV/0!</v>
      </c>
      <c r="AY669" s="2" t="e">
        <f t="shared" si="530"/>
        <v>#DIV/0!</v>
      </c>
      <c r="AZ669" s="2" t="e">
        <f t="shared" si="495"/>
        <v>#DIV/0!</v>
      </c>
      <c r="BA669" s="2" t="e">
        <f t="shared" si="516"/>
        <v>#DIV/0!</v>
      </c>
      <c r="BB669" s="2" t="e">
        <f t="shared" si="517"/>
        <v>#DIV/0!</v>
      </c>
      <c r="BC669" s="2" t="e">
        <f t="shared" si="531"/>
        <v>#DIV/0!</v>
      </c>
      <c r="BD669" s="2">
        <v>0</v>
      </c>
      <c r="BE669" s="2" t="e">
        <f t="shared" si="518"/>
        <v>#DIV/0!</v>
      </c>
      <c r="BF669" s="2" t="e">
        <f t="shared" si="519"/>
        <v>#DIV/0!</v>
      </c>
      <c r="BG669" s="2" t="e">
        <f t="shared" si="532"/>
        <v>#DIV/0!</v>
      </c>
      <c r="BH669" s="2" t="e">
        <f t="shared" si="496"/>
        <v>#DIV/0!</v>
      </c>
      <c r="BI669" s="2" t="e">
        <f t="shared" si="520"/>
        <v>#DIV/0!</v>
      </c>
      <c r="BJ669" s="2" t="e">
        <f t="shared" si="521"/>
        <v>#DIV/0!</v>
      </c>
      <c r="BK669" s="2" t="e">
        <f t="shared" si="533"/>
        <v>#DIV/0!</v>
      </c>
      <c r="BL669" s="2" t="e">
        <f t="shared" si="522"/>
        <v>#DIV/0!</v>
      </c>
      <c r="BM669" s="2" t="e">
        <f t="shared" si="523"/>
        <v>#DIV/0!</v>
      </c>
      <c r="BN669" s="2" t="e">
        <f t="shared" si="534"/>
        <v>#DIV/0!</v>
      </c>
    </row>
    <row r="670" spans="1:66" x14ac:dyDescent="0.25">
      <c r="A670" s="42">
        <v>667</v>
      </c>
      <c r="E670" s="6">
        <f t="shared" si="524"/>
        <v>0</v>
      </c>
      <c r="F670" s="5" t="str">
        <f t="shared" si="535"/>
        <v>Break Even</v>
      </c>
      <c r="G670" s="4">
        <f t="shared" si="536"/>
        <v>0</v>
      </c>
      <c r="N670" s="5">
        <f t="shared" si="537"/>
        <v>0</v>
      </c>
      <c r="O670" s="4" t="e">
        <f t="shared" si="538"/>
        <v>#DIV/0!</v>
      </c>
      <c r="P670" s="5">
        <f t="shared" si="497"/>
        <v>0</v>
      </c>
      <c r="R670" s="2">
        <f t="shared" si="492"/>
        <v>0</v>
      </c>
      <c r="T670" s="2">
        <f t="shared" si="525"/>
        <v>0</v>
      </c>
      <c r="V670" s="5">
        <f t="shared" si="539"/>
        <v>0</v>
      </c>
      <c r="W670" s="4" t="e">
        <f t="shared" si="540"/>
        <v>#DIV/0!</v>
      </c>
      <c r="X670" s="14">
        <f t="shared" si="498"/>
        <v>0</v>
      </c>
      <c r="Y670" s="5">
        <f t="shared" si="499"/>
        <v>0</v>
      </c>
      <c r="Z670" s="2">
        <f t="shared" si="500"/>
        <v>0</v>
      </c>
      <c r="AA670" s="4">
        <f t="shared" si="501"/>
        <v>0</v>
      </c>
      <c r="AB670" s="13">
        <f t="shared" si="502"/>
        <v>0</v>
      </c>
      <c r="AC670" s="10">
        <f>SUM($E$4:E670)</f>
        <v>-22024.091160220025</v>
      </c>
      <c r="AD670" s="20">
        <f>SUM($AB$4:AB670)</f>
        <v>13539.766460219998</v>
      </c>
      <c r="AF670" s="28" t="e">
        <f t="shared" si="503"/>
        <v>#DIV/0!</v>
      </c>
      <c r="AG670" s="2" t="e">
        <f t="shared" si="504"/>
        <v>#DIV/0!</v>
      </c>
      <c r="AH670" s="2" t="e">
        <f t="shared" si="505"/>
        <v>#DIV/0!</v>
      </c>
      <c r="AI670" s="2" t="e">
        <f t="shared" si="526"/>
        <v>#DIV/0!</v>
      </c>
      <c r="AJ670" s="2" t="e">
        <f t="shared" si="493"/>
        <v>#DIV/0!</v>
      </c>
      <c r="AK670" s="2" t="e">
        <f t="shared" si="506"/>
        <v>#DIV/0!</v>
      </c>
      <c r="AL670" s="2" t="e">
        <f t="shared" si="507"/>
        <v>#DIV/0!</v>
      </c>
      <c r="AM670" s="2" t="e">
        <f t="shared" si="527"/>
        <v>#DIV/0!</v>
      </c>
      <c r="AN670" s="2">
        <f t="shared" si="508"/>
        <v>0</v>
      </c>
      <c r="AO670" s="2" t="e">
        <f t="shared" si="509"/>
        <v>#DIV/0!</v>
      </c>
      <c r="AP670" s="2" t="e">
        <f t="shared" si="510"/>
        <v>#DIV/0!</v>
      </c>
      <c r="AQ670" s="2" t="e">
        <f t="shared" si="528"/>
        <v>#DIV/0!</v>
      </c>
      <c r="AR670" s="2" t="e">
        <f t="shared" si="494"/>
        <v>#DIV/0!</v>
      </c>
      <c r="AS670" s="2" t="e">
        <f t="shared" si="511"/>
        <v>#DIV/0!</v>
      </c>
      <c r="AT670" s="2" t="e">
        <f t="shared" si="512"/>
        <v>#DIV/0!</v>
      </c>
      <c r="AU670" s="2" t="e">
        <f t="shared" si="529"/>
        <v>#DIV/0!</v>
      </c>
      <c r="AV670" s="2" t="e">
        <f t="shared" si="513"/>
        <v>#DIV/0!</v>
      </c>
      <c r="AW670" s="2" t="e">
        <f t="shared" si="514"/>
        <v>#DIV/0!</v>
      </c>
      <c r="AX670" s="2" t="e">
        <f t="shared" si="515"/>
        <v>#DIV/0!</v>
      </c>
      <c r="AY670" s="2" t="e">
        <f t="shared" si="530"/>
        <v>#DIV/0!</v>
      </c>
      <c r="AZ670" s="2" t="e">
        <f t="shared" si="495"/>
        <v>#DIV/0!</v>
      </c>
      <c r="BA670" s="2" t="e">
        <f t="shared" si="516"/>
        <v>#DIV/0!</v>
      </c>
      <c r="BB670" s="2" t="e">
        <f t="shared" si="517"/>
        <v>#DIV/0!</v>
      </c>
      <c r="BC670" s="2" t="e">
        <f t="shared" si="531"/>
        <v>#DIV/0!</v>
      </c>
      <c r="BD670" s="2">
        <v>0</v>
      </c>
      <c r="BE670" s="2" t="e">
        <f t="shared" si="518"/>
        <v>#DIV/0!</v>
      </c>
      <c r="BF670" s="2" t="e">
        <f t="shared" si="519"/>
        <v>#DIV/0!</v>
      </c>
      <c r="BG670" s="2" t="e">
        <f t="shared" si="532"/>
        <v>#DIV/0!</v>
      </c>
      <c r="BH670" s="2" t="e">
        <f t="shared" si="496"/>
        <v>#DIV/0!</v>
      </c>
      <c r="BI670" s="2" t="e">
        <f t="shared" si="520"/>
        <v>#DIV/0!</v>
      </c>
      <c r="BJ670" s="2" t="e">
        <f t="shared" si="521"/>
        <v>#DIV/0!</v>
      </c>
      <c r="BK670" s="2" t="e">
        <f t="shared" si="533"/>
        <v>#DIV/0!</v>
      </c>
      <c r="BL670" s="2" t="e">
        <f t="shared" si="522"/>
        <v>#DIV/0!</v>
      </c>
      <c r="BM670" s="2" t="e">
        <f t="shared" si="523"/>
        <v>#DIV/0!</v>
      </c>
      <c r="BN670" s="2" t="e">
        <f t="shared" si="534"/>
        <v>#DIV/0!</v>
      </c>
    </row>
    <row r="671" spans="1:66" x14ac:dyDescent="0.25">
      <c r="A671" s="42">
        <v>668</v>
      </c>
      <c r="E671" s="6">
        <f t="shared" si="524"/>
        <v>0</v>
      </c>
      <c r="F671" s="5" t="str">
        <f t="shared" si="535"/>
        <v>Break Even</v>
      </c>
      <c r="G671" s="4">
        <f t="shared" si="536"/>
        <v>0</v>
      </c>
      <c r="N671" s="5">
        <f t="shared" si="537"/>
        <v>0</v>
      </c>
      <c r="O671" s="4" t="e">
        <f t="shared" si="538"/>
        <v>#DIV/0!</v>
      </c>
      <c r="P671" s="5">
        <f t="shared" si="497"/>
        <v>0</v>
      </c>
      <c r="R671" s="2">
        <f t="shared" si="492"/>
        <v>0</v>
      </c>
      <c r="T671" s="2">
        <f t="shared" si="525"/>
        <v>0</v>
      </c>
      <c r="V671" s="5">
        <f t="shared" si="539"/>
        <v>0</v>
      </c>
      <c r="W671" s="4" t="e">
        <f t="shared" si="540"/>
        <v>#DIV/0!</v>
      </c>
      <c r="X671" s="14">
        <f t="shared" si="498"/>
        <v>0</v>
      </c>
      <c r="Y671" s="5">
        <f t="shared" si="499"/>
        <v>0</v>
      </c>
      <c r="Z671" s="2">
        <f t="shared" si="500"/>
        <v>0</v>
      </c>
      <c r="AA671" s="4">
        <f t="shared" si="501"/>
        <v>0</v>
      </c>
      <c r="AB671" s="13">
        <f t="shared" si="502"/>
        <v>0</v>
      </c>
      <c r="AC671" s="10">
        <f>SUM($E$4:E671)</f>
        <v>-22024.091160220025</v>
      </c>
      <c r="AD671" s="20">
        <f>SUM($AB$4:AB671)</f>
        <v>13539.766460219998</v>
      </c>
      <c r="AF671" s="28" t="e">
        <f t="shared" si="503"/>
        <v>#DIV/0!</v>
      </c>
      <c r="AG671" s="2" t="e">
        <f t="shared" si="504"/>
        <v>#DIV/0!</v>
      </c>
      <c r="AH671" s="2" t="e">
        <f t="shared" si="505"/>
        <v>#DIV/0!</v>
      </c>
      <c r="AI671" s="2" t="e">
        <f t="shared" si="526"/>
        <v>#DIV/0!</v>
      </c>
      <c r="AJ671" s="2" t="e">
        <f t="shared" si="493"/>
        <v>#DIV/0!</v>
      </c>
      <c r="AK671" s="2" t="e">
        <f t="shared" si="506"/>
        <v>#DIV/0!</v>
      </c>
      <c r="AL671" s="2" t="e">
        <f t="shared" si="507"/>
        <v>#DIV/0!</v>
      </c>
      <c r="AM671" s="2" t="e">
        <f t="shared" si="527"/>
        <v>#DIV/0!</v>
      </c>
      <c r="AN671" s="2">
        <f t="shared" si="508"/>
        <v>0</v>
      </c>
      <c r="AO671" s="2" t="e">
        <f t="shared" si="509"/>
        <v>#DIV/0!</v>
      </c>
      <c r="AP671" s="2" t="e">
        <f t="shared" si="510"/>
        <v>#DIV/0!</v>
      </c>
      <c r="AQ671" s="2" t="e">
        <f t="shared" si="528"/>
        <v>#DIV/0!</v>
      </c>
      <c r="AR671" s="2" t="e">
        <f t="shared" si="494"/>
        <v>#DIV/0!</v>
      </c>
      <c r="AS671" s="2" t="e">
        <f t="shared" si="511"/>
        <v>#DIV/0!</v>
      </c>
      <c r="AT671" s="2" t="e">
        <f t="shared" si="512"/>
        <v>#DIV/0!</v>
      </c>
      <c r="AU671" s="2" t="e">
        <f t="shared" si="529"/>
        <v>#DIV/0!</v>
      </c>
      <c r="AV671" s="2" t="e">
        <f t="shared" si="513"/>
        <v>#DIV/0!</v>
      </c>
      <c r="AW671" s="2" t="e">
        <f t="shared" si="514"/>
        <v>#DIV/0!</v>
      </c>
      <c r="AX671" s="2" t="e">
        <f t="shared" si="515"/>
        <v>#DIV/0!</v>
      </c>
      <c r="AY671" s="2" t="e">
        <f t="shared" si="530"/>
        <v>#DIV/0!</v>
      </c>
      <c r="AZ671" s="2" t="e">
        <f t="shared" si="495"/>
        <v>#DIV/0!</v>
      </c>
      <c r="BA671" s="2" t="e">
        <f t="shared" si="516"/>
        <v>#DIV/0!</v>
      </c>
      <c r="BB671" s="2" t="e">
        <f t="shared" si="517"/>
        <v>#DIV/0!</v>
      </c>
      <c r="BC671" s="2" t="e">
        <f t="shared" si="531"/>
        <v>#DIV/0!</v>
      </c>
      <c r="BD671" s="2">
        <v>0</v>
      </c>
      <c r="BE671" s="2" t="e">
        <f t="shared" si="518"/>
        <v>#DIV/0!</v>
      </c>
      <c r="BF671" s="2" t="e">
        <f t="shared" si="519"/>
        <v>#DIV/0!</v>
      </c>
      <c r="BG671" s="2" t="e">
        <f t="shared" si="532"/>
        <v>#DIV/0!</v>
      </c>
      <c r="BH671" s="2" t="e">
        <f t="shared" si="496"/>
        <v>#DIV/0!</v>
      </c>
      <c r="BI671" s="2" t="e">
        <f t="shared" si="520"/>
        <v>#DIV/0!</v>
      </c>
      <c r="BJ671" s="2" t="e">
        <f t="shared" si="521"/>
        <v>#DIV/0!</v>
      </c>
      <c r="BK671" s="2" t="e">
        <f t="shared" si="533"/>
        <v>#DIV/0!</v>
      </c>
      <c r="BL671" s="2" t="e">
        <f t="shared" si="522"/>
        <v>#DIV/0!</v>
      </c>
      <c r="BM671" s="2" t="e">
        <f t="shared" si="523"/>
        <v>#DIV/0!</v>
      </c>
      <c r="BN671" s="2" t="e">
        <f t="shared" si="534"/>
        <v>#DIV/0!</v>
      </c>
    </row>
    <row r="672" spans="1:66" x14ac:dyDescent="0.25">
      <c r="A672" s="42">
        <v>669</v>
      </c>
      <c r="E672" s="6">
        <f t="shared" si="524"/>
        <v>0</v>
      </c>
      <c r="F672" s="5" t="str">
        <f t="shared" si="535"/>
        <v>Break Even</v>
      </c>
      <c r="G672" s="4">
        <f t="shared" si="536"/>
        <v>0</v>
      </c>
      <c r="N672" s="5">
        <f t="shared" si="537"/>
        <v>0</v>
      </c>
      <c r="O672" s="4" t="e">
        <f t="shared" si="538"/>
        <v>#DIV/0!</v>
      </c>
      <c r="P672" s="5">
        <f t="shared" si="497"/>
        <v>0</v>
      </c>
      <c r="R672" s="2">
        <f t="shared" si="492"/>
        <v>0</v>
      </c>
      <c r="T672" s="2">
        <f t="shared" si="525"/>
        <v>0</v>
      </c>
      <c r="V672" s="5">
        <f t="shared" si="539"/>
        <v>0</v>
      </c>
      <c r="W672" s="4" t="e">
        <f t="shared" si="540"/>
        <v>#DIV/0!</v>
      </c>
      <c r="X672" s="14">
        <f t="shared" si="498"/>
        <v>0</v>
      </c>
      <c r="Y672" s="5">
        <f t="shared" si="499"/>
        <v>0</v>
      </c>
      <c r="Z672" s="2">
        <f t="shared" si="500"/>
        <v>0</v>
      </c>
      <c r="AA672" s="4">
        <f t="shared" si="501"/>
        <v>0</v>
      </c>
      <c r="AB672" s="13">
        <f t="shared" si="502"/>
        <v>0</v>
      </c>
      <c r="AC672" s="10">
        <f>SUM($E$4:E672)</f>
        <v>-22024.091160220025</v>
      </c>
      <c r="AD672" s="20">
        <f>SUM($AB$4:AB672)</f>
        <v>13539.766460219998</v>
      </c>
      <c r="AF672" s="28" t="e">
        <f t="shared" si="503"/>
        <v>#DIV/0!</v>
      </c>
      <c r="AG672" s="2" t="e">
        <f t="shared" si="504"/>
        <v>#DIV/0!</v>
      </c>
      <c r="AH672" s="2" t="e">
        <f t="shared" si="505"/>
        <v>#DIV/0!</v>
      </c>
      <c r="AI672" s="2" t="e">
        <f t="shared" si="526"/>
        <v>#DIV/0!</v>
      </c>
      <c r="AJ672" s="2" t="e">
        <f t="shared" si="493"/>
        <v>#DIV/0!</v>
      </c>
      <c r="AK672" s="2" t="e">
        <f t="shared" si="506"/>
        <v>#DIV/0!</v>
      </c>
      <c r="AL672" s="2" t="e">
        <f t="shared" si="507"/>
        <v>#DIV/0!</v>
      </c>
      <c r="AM672" s="2" t="e">
        <f t="shared" si="527"/>
        <v>#DIV/0!</v>
      </c>
      <c r="AN672" s="2">
        <f t="shared" si="508"/>
        <v>0</v>
      </c>
      <c r="AO672" s="2" t="e">
        <f t="shared" si="509"/>
        <v>#DIV/0!</v>
      </c>
      <c r="AP672" s="2" t="e">
        <f t="shared" si="510"/>
        <v>#DIV/0!</v>
      </c>
      <c r="AQ672" s="2" t="e">
        <f t="shared" si="528"/>
        <v>#DIV/0!</v>
      </c>
      <c r="AR672" s="2" t="e">
        <f t="shared" si="494"/>
        <v>#DIV/0!</v>
      </c>
      <c r="AS672" s="2" t="e">
        <f t="shared" si="511"/>
        <v>#DIV/0!</v>
      </c>
      <c r="AT672" s="2" t="e">
        <f t="shared" si="512"/>
        <v>#DIV/0!</v>
      </c>
      <c r="AU672" s="2" t="e">
        <f t="shared" si="529"/>
        <v>#DIV/0!</v>
      </c>
      <c r="AV672" s="2" t="e">
        <f t="shared" si="513"/>
        <v>#DIV/0!</v>
      </c>
      <c r="AW672" s="2" t="e">
        <f t="shared" si="514"/>
        <v>#DIV/0!</v>
      </c>
      <c r="AX672" s="2" t="e">
        <f t="shared" si="515"/>
        <v>#DIV/0!</v>
      </c>
      <c r="AY672" s="2" t="e">
        <f t="shared" si="530"/>
        <v>#DIV/0!</v>
      </c>
      <c r="AZ672" s="2" t="e">
        <f t="shared" si="495"/>
        <v>#DIV/0!</v>
      </c>
      <c r="BA672" s="2" t="e">
        <f t="shared" si="516"/>
        <v>#DIV/0!</v>
      </c>
      <c r="BB672" s="2" t="e">
        <f t="shared" si="517"/>
        <v>#DIV/0!</v>
      </c>
      <c r="BC672" s="2" t="e">
        <f t="shared" si="531"/>
        <v>#DIV/0!</v>
      </c>
      <c r="BD672" s="2">
        <v>0</v>
      </c>
      <c r="BE672" s="2" t="e">
        <f t="shared" si="518"/>
        <v>#DIV/0!</v>
      </c>
      <c r="BF672" s="2" t="e">
        <f t="shared" si="519"/>
        <v>#DIV/0!</v>
      </c>
      <c r="BG672" s="2" t="e">
        <f t="shared" si="532"/>
        <v>#DIV/0!</v>
      </c>
      <c r="BH672" s="2" t="e">
        <f t="shared" si="496"/>
        <v>#DIV/0!</v>
      </c>
      <c r="BI672" s="2" t="e">
        <f t="shared" si="520"/>
        <v>#DIV/0!</v>
      </c>
      <c r="BJ672" s="2" t="e">
        <f t="shared" si="521"/>
        <v>#DIV/0!</v>
      </c>
      <c r="BK672" s="2" t="e">
        <f t="shared" si="533"/>
        <v>#DIV/0!</v>
      </c>
      <c r="BL672" s="2" t="e">
        <f t="shared" si="522"/>
        <v>#DIV/0!</v>
      </c>
      <c r="BM672" s="2" t="e">
        <f t="shared" si="523"/>
        <v>#DIV/0!</v>
      </c>
      <c r="BN672" s="2" t="e">
        <f t="shared" si="534"/>
        <v>#DIV/0!</v>
      </c>
    </row>
    <row r="673" spans="1:66" x14ac:dyDescent="0.25">
      <c r="A673" s="42">
        <v>670</v>
      </c>
      <c r="E673" s="6">
        <f t="shared" si="524"/>
        <v>0</v>
      </c>
      <c r="F673" s="5" t="str">
        <f t="shared" si="535"/>
        <v>Break Even</v>
      </c>
      <c r="G673" s="4">
        <f t="shared" si="536"/>
        <v>0</v>
      </c>
      <c r="N673" s="5">
        <f t="shared" si="537"/>
        <v>0</v>
      </c>
      <c r="O673" s="4" t="e">
        <f t="shared" si="538"/>
        <v>#DIV/0!</v>
      </c>
      <c r="P673" s="5">
        <f t="shared" si="497"/>
        <v>0</v>
      </c>
      <c r="R673" s="2">
        <f t="shared" si="492"/>
        <v>0</v>
      </c>
      <c r="T673" s="2">
        <f t="shared" si="525"/>
        <v>0</v>
      </c>
      <c r="V673" s="5">
        <f t="shared" si="539"/>
        <v>0</v>
      </c>
      <c r="W673" s="4" t="e">
        <f t="shared" si="540"/>
        <v>#DIV/0!</v>
      </c>
      <c r="X673" s="14">
        <f t="shared" si="498"/>
        <v>0</v>
      </c>
      <c r="Y673" s="5">
        <f t="shared" si="499"/>
        <v>0</v>
      </c>
      <c r="Z673" s="2">
        <f t="shared" si="500"/>
        <v>0</v>
      </c>
      <c r="AA673" s="4">
        <f t="shared" si="501"/>
        <v>0</v>
      </c>
      <c r="AB673" s="13">
        <f t="shared" si="502"/>
        <v>0</v>
      </c>
      <c r="AC673" s="10">
        <f>SUM($E$4:E673)</f>
        <v>-22024.091160220025</v>
      </c>
      <c r="AD673" s="20">
        <f>SUM($AB$4:AB673)</f>
        <v>13539.766460219998</v>
      </c>
      <c r="AF673" s="28" t="e">
        <f t="shared" si="503"/>
        <v>#DIV/0!</v>
      </c>
      <c r="AG673" s="2" t="e">
        <f t="shared" si="504"/>
        <v>#DIV/0!</v>
      </c>
      <c r="AH673" s="2" t="e">
        <f t="shared" si="505"/>
        <v>#DIV/0!</v>
      </c>
      <c r="AI673" s="2" t="e">
        <f t="shared" si="526"/>
        <v>#DIV/0!</v>
      </c>
      <c r="AJ673" s="2" t="e">
        <f t="shared" si="493"/>
        <v>#DIV/0!</v>
      </c>
      <c r="AK673" s="2" t="e">
        <f t="shared" si="506"/>
        <v>#DIV/0!</v>
      </c>
      <c r="AL673" s="2" t="e">
        <f t="shared" si="507"/>
        <v>#DIV/0!</v>
      </c>
      <c r="AM673" s="2" t="e">
        <f t="shared" si="527"/>
        <v>#DIV/0!</v>
      </c>
      <c r="AN673" s="2">
        <f t="shared" si="508"/>
        <v>0</v>
      </c>
      <c r="AO673" s="2" t="e">
        <f t="shared" si="509"/>
        <v>#DIV/0!</v>
      </c>
      <c r="AP673" s="2" t="e">
        <f t="shared" si="510"/>
        <v>#DIV/0!</v>
      </c>
      <c r="AQ673" s="2" t="e">
        <f t="shared" si="528"/>
        <v>#DIV/0!</v>
      </c>
      <c r="AR673" s="2" t="e">
        <f t="shared" si="494"/>
        <v>#DIV/0!</v>
      </c>
      <c r="AS673" s="2" t="e">
        <f t="shared" si="511"/>
        <v>#DIV/0!</v>
      </c>
      <c r="AT673" s="2" t="e">
        <f t="shared" si="512"/>
        <v>#DIV/0!</v>
      </c>
      <c r="AU673" s="2" t="e">
        <f t="shared" si="529"/>
        <v>#DIV/0!</v>
      </c>
      <c r="AV673" s="2" t="e">
        <f t="shared" si="513"/>
        <v>#DIV/0!</v>
      </c>
      <c r="AW673" s="2" t="e">
        <f t="shared" si="514"/>
        <v>#DIV/0!</v>
      </c>
      <c r="AX673" s="2" t="e">
        <f t="shared" si="515"/>
        <v>#DIV/0!</v>
      </c>
      <c r="AY673" s="2" t="e">
        <f t="shared" si="530"/>
        <v>#DIV/0!</v>
      </c>
      <c r="AZ673" s="2" t="e">
        <f t="shared" si="495"/>
        <v>#DIV/0!</v>
      </c>
      <c r="BA673" s="2" t="e">
        <f t="shared" si="516"/>
        <v>#DIV/0!</v>
      </c>
      <c r="BB673" s="2" t="e">
        <f t="shared" si="517"/>
        <v>#DIV/0!</v>
      </c>
      <c r="BC673" s="2" t="e">
        <f t="shared" si="531"/>
        <v>#DIV/0!</v>
      </c>
      <c r="BD673" s="2">
        <v>0</v>
      </c>
      <c r="BE673" s="2" t="e">
        <f t="shared" si="518"/>
        <v>#DIV/0!</v>
      </c>
      <c r="BF673" s="2" t="e">
        <f t="shared" si="519"/>
        <v>#DIV/0!</v>
      </c>
      <c r="BG673" s="2" t="e">
        <f t="shared" si="532"/>
        <v>#DIV/0!</v>
      </c>
      <c r="BH673" s="2" t="e">
        <f t="shared" si="496"/>
        <v>#DIV/0!</v>
      </c>
      <c r="BI673" s="2" t="e">
        <f t="shared" si="520"/>
        <v>#DIV/0!</v>
      </c>
      <c r="BJ673" s="2" t="e">
        <f t="shared" si="521"/>
        <v>#DIV/0!</v>
      </c>
      <c r="BK673" s="2" t="e">
        <f t="shared" si="533"/>
        <v>#DIV/0!</v>
      </c>
      <c r="BL673" s="2" t="e">
        <f t="shared" si="522"/>
        <v>#DIV/0!</v>
      </c>
      <c r="BM673" s="2" t="e">
        <f t="shared" si="523"/>
        <v>#DIV/0!</v>
      </c>
      <c r="BN673" s="2" t="e">
        <f t="shared" si="534"/>
        <v>#DIV/0!</v>
      </c>
    </row>
    <row r="674" spans="1:66" x14ac:dyDescent="0.25">
      <c r="A674" s="42">
        <v>671</v>
      </c>
      <c r="E674" s="6">
        <f t="shared" si="524"/>
        <v>0</v>
      </c>
      <c r="F674" s="5" t="str">
        <f t="shared" si="535"/>
        <v>Break Even</v>
      </c>
      <c r="G674" s="4">
        <f t="shared" si="536"/>
        <v>0</v>
      </c>
      <c r="N674" s="5">
        <f t="shared" si="537"/>
        <v>0</v>
      </c>
      <c r="O674" s="4" t="e">
        <f t="shared" si="538"/>
        <v>#DIV/0!</v>
      </c>
      <c r="P674" s="5">
        <f t="shared" si="497"/>
        <v>0</v>
      </c>
      <c r="R674" s="2">
        <f t="shared" si="492"/>
        <v>0</v>
      </c>
      <c r="T674" s="2">
        <f t="shared" si="525"/>
        <v>0</v>
      </c>
      <c r="V674" s="5">
        <f t="shared" si="539"/>
        <v>0</v>
      </c>
      <c r="W674" s="4" t="e">
        <f t="shared" si="540"/>
        <v>#DIV/0!</v>
      </c>
      <c r="X674" s="14">
        <f t="shared" si="498"/>
        <v>0</v>
      </c>
      <c r="Y674" s="5">
        <f t="shared" si="499"/>
        <v>0</v>
      </c>
      <c r="Z674" s="2">
        <f t="shared" si="500"/>
        <v>0</v>
      </c>
      <c r="AA674" s="4">
        <f t="shared" si="501"/>
        <v>0</v>
      </c>
      <c r="AB674" s="13">
        <f t="shared" si="502"/>
        <v>0</v>
      </c>
      <c r="AC674" s="10">
        <f>SUM($E$4:E674)</f>
        <v>-22024.091160220025</v>
      </c>
      <c r="AD674" s="20">
        <f>SUM($AB$4:AB674)</f>
        <v>13539.766460219998</v>
      </c>
      <c r="AF674" s="28" t="e">
        <f t="shared" si="503"/>
        <v>#DIV/0!</v>
      </c>
      <c r="AG674" s="2" t="e">
        <f t="shared" si="504"/>
        <v>#DIV/0!</v>
      </c>
      <c r="AH674" s="2" t="e">
        <f t="shared" si="505"/>
        <v>#DIV/0!</v>
      </c>
      <c r="AI674" s="2" t="e">
        <f t="shared" si="526"/>
        <v>#DIV/0!</v>
      </c>
      <c r="AJ674" s="2" t="e">
        <f t="shared" si="493"/>
        <v>#DIV/0!</v>
      </c>
      <c r="AK674" s="2" t="e">
        <f t="shared" si="506"/>
        <v>#DIV/0!</v>
      </c>
      <c r="AL674" s="2" t="e">
        <f t="shared" si="507"/>
        <v>#DIV/0!</v>
      </c>
      <c r="AM674" s="2" t="e">
        <f t="shared" si="527"/>
        <v>#DIV/0!</v>
      </c>
      <c r="AN674" s="2">
        <f t="shared" si="508"/>
        <v>0</v>
      </c>
      <c r="AO674" s="2" t="e">
        <f t="shared" si="509"/>
        <v>#DIV/0!</v>
      </c>
      <c r="AP674" s="2" t="e">
        <f t="shared" si="510"/>
        <v>#DIV/0!</v>
      </c>
      <c r="AQ674" s="2" t="e">
        <f t="shared" si="528"/>
        <v>#DIV/0!</v>
      </c>
      <c r="AR674" s="2" t="e">
        <f t="shared" si="494"/>
        <v>#DIV/0!</v>
      </c>
      <c r="AS674" s="2" t="e">
        <f t="shared" si="511"/>
        <v>#DIV/0!</v>
      </c>
      <c r="AT674" s="2" t="e">
        <f t="shared" si="512"/>
        <v>#DIV/0!</v>
      </c>
      <c r="AU674" s="2" t="e">
        <f t="shared" si="529"/>
        <v>#DIV/0!</v>
      </c>
      <c r="AV674" s="2" t="e">
        <f t="shared" si="513"/>
        <v>#DIV/0!</v>
      </c>
      <c r="AW674" s="2" t="e">
        <f t="shared" si="514"/>
        <v>#DIV/0!</v>
      </c>
      <c r="AX674" s="2" t="e">
        <f t="shared" si="515"/>
        <v>#DIV/0!</v>
      </c>
      <c r="AY674" s="2" t="e">
        <f t="shared" si="530"/>
        <v>#DIV/0!</v>
      </c>
      <c r="AZ674" s="2" t="e">
        <f t="shared" si="495"/>
        <v>#DIV/0!</v>
      </c>
      <c r="BA674" s="2" t="e">
        <f t="shared" si="516"/>
        <v>#DIV/0!</v>
      </c>
      <c r="BB674" s="2" t="e">
        <f t="shared" si="517"/>
        <v>#DIV/0!</v>
      </c>
      <c r="BC674" s="2" t="e">
        <f t="shared" si="531"/>
        <v>#DIV/0!</v>
      </c>
      <c r="BD674" s="2">
        <v>0</v>
      </c>
      <c r="BE674" s="2" t="e">
        <f t="shared" si="518"/>
        <v>#DIV/0!</v>
      </c>
      <c r="BF674" s="2" t="e">
        <f t="shared" si="519"/>
        <v>#DIV/0!</v>
      </c>
      <c r="BG674" s="2" t="e">
        <f t="shared" si="532"/>
        <v>#DIV/0!</v>
      </c>
      <c r="BH674" s="2" t="e">
        <f t="shared" si="496"/>
        <v>#DIV/0!</v>
      </c>
      <c r="BI674" s="2" t="e">
        <f t="shared" si="520"/>
        <v>#DIV/0!</v>
      </c>
      <c r="BJ674" s="2" t="e">
        <f t="shared" si="521"/>
        <v>#DIV/0!</v>
      </c>
      <c r="BK674" s="2" t="e">
        <f t="shared" si="533"/>
        <v>#DIV/0!</v>
      </c>
      <c r="BL674" s="2" t="e">
        <f t="shared" si="522"/>
        <v>#DIV/0!</v>
      </c>
      <c r="BM674" s="2" t="e">
        <f t="shared" si="523"/>
        <v>#DIV/0!</v>
      </c>
      <c r="BN674" s="2" t="e">
        <f t="shared" si="534"/>
        <v>#DIV/0!</v>
      </c>
    </row>
    <row r="675" spans="1:66" x14ac:dyDescent="0.25">
      <c r="A675" s="42">
        <v>672</v>
      </c>
      <c r="E675" s="6">
        <f t="shared" si="524"/>
        <v>0</v>
      </c>
      <c r="F675" s="5" t="str">
        <f t="shared" si="535"/>
        <v>Break Even</v>
      </c>
      <c r="G675" s="4">
        <f t="shared" si="536"/>
        <v>0</v>
      </c>
      <c r="N675" s="5">
        <f t="shared" si="537"/>
        <v>0</v>
      </c>
      <c r="O675" s="4" t="e">
        <f t="shared" si="538"/>
        <v>#DIV/0!</v>
      </c>
      <c r="P675" s="5">
        <f t="shared" si="497"/>
        <v>0</v>
      </c>
      <c r="R675" s="2">
        <f t="shared" si="492"/>
        <v>0</v>
      </c>
      <c r="T675" s="2">
        <f t="shared" si="525"/>
        <v>0</v>
      </c>
      <c r="V675" s="5">
        <f t="shared" si="539"/>
        <v>0</v>
      </c>
      <c r="W675" s="4" t="e">
        <f t="shared" si="540"/>
        <v>#DIV/0!</v>
      </c>
      <c r="X675" s="14">
        <f t="shared" si="498"/>
        <v>0</v>
      </c>
      <c r="Y675" s="5">
        <f t="shared" si="499"/>
        <v>0</v>
      </c>
      <c r="Z675" s="2">
        <f t="shared" si="500"/>
        <v>0</v>
      </c>
      <c r="AA675" s="4">
        <f t="shared" si="501"/>
        <v>0</v>
      </c>
      <c r="AB675" s="13">
        <f t="shared" si="502"/>
        <v>0</v>
      </c>
      <c r="AC675" s="10">
        <f>SUM($E$4:E675)</f>
        <v>-22024.091160220025</v>
      </c>
      <c r="AD675" s="20">
        <f>SUM($AB$4:AB675)</f>
        <v>13539.766460219998</v>
      </c>
      <c r="AF675" s="28" t="e">
        <f t="shared" si="503"/>
        <v>#DIV/0!</v>
      </c>
      <c r="AG675" s="2" t="e">
        <f t="shared" si="504"/>
        <v>#DIV/0!</v>
      </c>
      <c r="AH675" s="2" t="e">
        <f t="shared" si="505"/>
        <v>#DIV/0!</v>
      </c>
      <c r="AI675" s="2" t="e">
        <f t="shared" si="526"/>
        <v>#DIV/0!</v>
      </c>
      <c r="AJ675" s="2" t="e">
        <f t="shared" si="493"/>
        <v>#DIV/0!</v>
      </c>
      <c r="AK675" s="2" t="e">
        <f t="shared" si="506"/>
        <v>#DIV/0!</v>
      </c>
      <c r="AL675" s="2" t="e">
        <f t="shared" si="507"/>
        <v>#DIV/0!</v>
      </c>
      <c r="AM675" s="2" t="e">
        <f t="shared" si="527"/>
        <v>#DIV/0!</v>
      </c>
      <c r="AN675" s="2">
        <f t="shared" si="508"/>
        <v>0</v>
      </c>
      <c r="AO675" s="2" t="e">
        <f t="shared" si="509"/>
        <v>#DIV/0!</v>
      </c>
      <c r="AP675" s="2" t="e">
        <f t="shared" si="510"/>
        <v>#DIV/0!</v>
      </c>
      <c r="AQ675" s="2" t="e">
        <f t="shared" si="528"/>
        <v>#DIV/0!</v>
      </c>
      <c r="AR675" s="2" t="e">
        <f t="shared" si="494"/>
        <v>#DIV/0!</v>
      </c>
      <c r="AS675" s="2" t="e">
        <f t="shared" si="511"/>
        <v>#DIV/0!</v>
      </c>
      <c r="AT675" s="2" t="e">
        <f t="shared" si="512"/>
        <v>#DIV/0!</v>
      </c>
      <c r="AU675" s="2" t="e">
        <f t="shared" si="529"/>
        <v>#DIV/0!</v>
      </c>
      <c r="AV675" s="2" t="e">
        <f t="shared" si="513"/>
        <v>#DIV/0!</v>
      </c>
      <c r="AW675" s="2" t="e">
        <f t="shared" si="514"/>
        <v>#DIV/0!</v>
      </c>
      <c r="AX675" s="2" t="e">
        <f t="shared" si="515"/>
        <v>#DIV/0!</v>
      </c>
      <c r="AY675" s="2" t="e">
        <f t="shared" si="530"/>
        <v>#DIV/0!</v>
      </c>
      <c r="AZ675" s="2" t="e">
        <f t="shared" si="495"/>
        <v>#DIV/0!</v>
      </c>
      <c r="BA675" s="2" t="e">
        <f t="shared" si="516"/>
        <v>#DIV/0!</v>
      </c>
      <c r="BB675" s="2" t="e">
        <f t="shared" si="517"/>
        <v>#DIV/0!</v>
      </c>
      <c r="BC675" s="2" t="e">
        <f t="shared" si="531"/>
        <v>#DIV/0!</v>
      </c>
      <c r="BD675" s="2">
        <v>0</v>
      </c>
      <c r="BE675" s="2" t="e">
        <f t="shared" si="518"/>
        <v>#DIV/0!</v>
      </c>
      <c r="BF675" s="2" t="e">
        <f t="shared" si="519"/>
        <v>#DIV/0!</v>
      </c>
      <c r="BG675" s="2" t="e">
        <f t="shared" si="532"/>
        <v>#DIV/0!</v>
      </c>
      <c r="BH675" s="2" t="e">
        <f t="shared" si="496"/>
        <v>#DIV/0!</v>
      </c>
      <c r="BI675" s="2" t="e">
        <f t="shared" si="520"/>
        <v>#DIV/0!</v>
      </c>
      <c r="BJ675" s="2" t="e">
        <f t="shared" si="521"/>
        <v>#DIV/0!</v>
      </c>
      <c r="BK675" s="2" t="e">
        <f t="shared" si="533"/>
        <v>#DIV/0!</v>
      </c>
      <c r="BL675" s="2" t="e">
        <f t="shared" si="522"/>
        <v>#DIV/0!</v>
      </c>
      <c r="BM675" s="2" t="e">
        <f t="shared" si="523"/>
        <v>#DIV/0!</v>
      </c>
      <c r="BN675" s="2" t="e">
        <f t="shared" si="534"/>
        <v>#DIV/0!</v>
      </c>
    </row>
    <row r="676" spans="1:66" x14ac:dyDescent="0.25">
      <c r="A676" s="42">
        <v>673</v>
      </c>
      <c r="E676" s="6">
        <f t="shared" si="524"/>
        <v>0</v>
      </c>
      <c r="F676" s="5" t="str">
        <f t="shared" si="535"/>
        <v>Break Even</v>
      </c>
      <c r="G676" s="4">
        <f t="shared" si="536"/>
        <v>0</v>
      </c>
      <c r="N676" s="5">
        <f t="shared" si="537"/>
        <v>0</v>
      </c>
      <c r="O676" s="4" t="e">
        <f t="shared" si="538"/>
        <v>#DIV/0!</v>
      </c>
      <c r="P676" s="5">
        <f t="shared" si="497"/>
        <v>0</v>
      </c>
      <c r="R676" s="2">
        <f t="shared" si="492"/>
        <v>0</v>
      </c>
      <c r="T676" s="2">
        <f t="shared" si="525"/>
        <v>0</v>
      </c>
      <c r="V676" s="5">
        <f t="shared" si="539"/>
        <v>0</v>
      </c>
      <c r="W676" s="4" t="e">
        <f t="shared" si="540"/>
        <v>#DIV/0!</v>
      </c>
      <c r="X676" s="14">
        <f t="shared" si="498"/>
        <v>0</v>
      </c>
      <c r="Y676" s="5">
        <f t="shared" si="499"/>
        <v>0</v>
      </c>
      <c r="Z676" s="2">
        <f t="shared" si="500"/>
        <v>0</v>
      </c>
      <c r="AA676" s="4">
        <f t="shared" si="501"/>
        <v>0</v>
      </c>
      <c r="AB676" s="13">
        <f t="shared" si="502"/>
        <v>0</v>
      </c>
      <c r="AC676" s="10">
        <f>SUM($E$4:E676)</f>
        <v>-22024.091160220025</v>
      </c>
      <c r="AD676" s="20">
        <f>SUM($AB$4:AB676)</f>
        <v>13539.766460219998</v>
      </c>
      <c r="AF676" s="28" t="e">
        <f t="shared" si="503"/>
        <v>#DIV/0!</v>
      </c>
      <c r="AG676" s="2" t="e">
        <f t="shared" si="504"/>
        <v>#DIV/0!</v>
      </c>
      <c r="AH676" s="2" t="e">
        <f t="shared" si="505"/>
        <v>#DIV/0!</v>
      </c>
      <c r="AI676" s="2" t="e">
        <f t="shared" si="526"/>
        <v>#DIV/0!</v>
      </c>
      <c r="AJ676" s="2" t="e">
        <f t="shared" si="493"/>
        <v>#DIV/0!</v>
      </c>
      <c r="AK676" s="2" t="e">
        <f t="shared" si="506"/>
        <v>#DIV/0!</v>
      </c>
      <c r="AL676" s="2" t="e">
        <f t="shared" si="507"/>
        <v>#DIV/0!</v>
      </c>
      <c r="AM676" s="2" t="e">
        <f t="shared" si="527"/>
        <v>#DIV/0!</v>
      </c>
      <c r="AN676" s="2">
        <f t="shared" si="508"/>
        <v>0</v>
      </c>
      <c r="AO676" s="2" t="e">
        <f t="shared" si="509"/>
        <v>#DIV/0!</v>
      </c>
      <c r="AP676" s="2" t="e">
        <f t="shared" si="510"/>
        <v>#DIV/0!</v>
      </c>
      <c r="AQ676" s="2" t="e">
        <f t="shared" si="528"/>
        <v>#DIV/0!</v>
      </c>
      <c r="AR676" s="2" t="e">
        <f t="shared" si="494"/>
        <v>#DIV/0!</v>
      </c>
      <c r="AS676" s="2" t="e">
        <f t="shared" si="511"/>
        <v>#DIV/0!</v>
      </c>
      <c r="AT676" s="2" t="e">
        <f t="shared" si="512"/>
        <v>#DIV/0!</v>
      </c>
      <c r="AU676" s="2" t="e">
        <f t="shared" si="529"/>
        <v>#DIV/0!</v>
      </c>
      <c r="AV676" s="2" t="e">
        <f t="shared" si="513"/>
        <v>#DIV/0!</v>
      </c>
      <c r="AW676" s="2" t="e">
        <f t="shared" si="514"/>
        <v>#DIV/0!</v>
      </c>
      <c r="AX676" s="2" t="e">
        <f t="shared" si="515"/>
        <v>#DIV/0!</v>
      </c>
      <c r="AY676" s="2" t="e">
        <f t="shared" si="530"/>
        <v>#DIV/0!</v>
      </c>
      <c r="AZ676" s="2" t="e">
        <f t="shared" si="495"/>
        <v>#DIV/0!</v>
      </c>
      <c r="BA676" s="2" t="e">
        <f t="shared" si="516"/>
        <v>#DIV/0!</v>
      </c>
      <c r="BB676" s="2" t="e">
        <f t="shared" si="517"/>
        <v>#DIV/0!</v>
      </c>
      <c r="BC676" s="2" t="e">
        <f t="shared" si="531"/>
        <v>#DIV/0!</v>
      </c>
      <c r="BD676" s="2">
        <v>0</v>
      </c>
      <c r="BE676" s="2" t="e">
        <f t="shared" si="518"/>
        <v>#DIV/0!</v>
      </c>
      <c r="BF676" s="2" t="e">
        <f t="shared" si="519"/>
        <v>#DIV/0!</v>
      </c>
      <c r="BG676" s="2" t="e">
        <f t="shared" si="532"/>
        <v>#DIV/0!</v>
      </c>
      <c r="BH676" s="2" t="e">
        <f t="shared" si="496"/>
        <v>#DIV/0!</v>
      </c>
      <c r="BI676" s="2" t="e">
        <f t="shared" si="520"/>
        <v>#DIV/0!</v>
      </c>
      <c r="BJ676" s="2" t="e">
        <f t="shared" si="521"/>
        <v>#DIV/0!</v>
      </c>
      <c r="BK676" s="2" t="e">
        <f t="shared" si="533"/>
        <v>#DIV/0!</v>
      </c>
      <c r="BL676" s="2" t="e">
        <f t="shared" si="522"/>
        <v>#DIV/0!</v>
      </c>
      <c r="BM676" s="2" t="e">
        <f t="shared" si="523"/>
        <v>#DIV/0!</v>
      </c>
      <c r="BN676" s="2" t="e">
        <f t="shared" si="534"/>
        <v>#DIV/0!</v>
      </c>
    </row>
    <row r="677" spans="1:66" x14ac:dyDescent="0.25">
      <c r="A677" s="42">
        <v>674</v>
      </c>
      <c r="E677" s="6">
        <f t="shared" si="524"/>
        <v>0</v>
      </c>
      <c r="F677" s="5" t="str">
        <f t="shared" si="535"/>
        <v>Break Even</v>
      </c>
      <c r="G677" s="4">
        <f t="shared" si="536"/>
        <v>0</v>
      </c>
      <c r="N677" s="5">
        <f t="shared" si="537"/>
        <v>0</v>
      </c>
      <c r="O677" s="4" t="e">
        <f t="shared" si="538"/>
        <v>#DIV/0!</v>
      </c>
      <c r="P677" s="5">
        <f t="shared" si="497"/>
        <v>0</v>
      </c>
      <c r="R677" s="2">
        <f t="shared" si="492"/>
        <v>0</v>
      </c>
      <c r="T677" s="2">
        <f t="shared" si="525"/>
        <v>0</v>
      </c>
      <c r="V677" s="5">
        <f t="shared" si="539"/>
        <v>0</v>
      </c>
      <c r="W677" s="4" t="e">
        <f t="shared" si="540"/>
        <v>#DIV/0!</v>
      </c>
      <c r="X677" s="14">
        <f t="shared" si="498"/>
        <v>0</v>
      </c>
      <c r="Y677" s="5">
        <f t="shared" si="499"/>
        <v>0</v>
      </c>
      <c r="Z677" s="2">
        <f t="shared" si="500"/>
        <v>0</v>
      </c>
      <c r="AA677" s="4">
        <f t="shared" si="501"/>
        <v>0</v>
      </c>
      <c r="AB677" s="13">
        <f t="shared" si="502"/>
        <v>0</v>
      </c>
      <c r="AC677" s="10">
        <f>SUM($E$4:E677)</f>
        <v>-22024.091160220025</v>
      </c>
      <c r="AD677" s="20">
        <f>SUM($AB$4:AB677)</f>
        <v>13539.766460219998</v>
      </c>
      <c r="AF677" s="28" t="e">
        <f t="shared" si="503"/>
        <v>#DIV/0!</v>
      </c>
      <c r="AG677" s="2" t="e">
        <f t="shared" si="504"/>
        <v>#DIV/0!</v>
      </c>
      <c r="AH677" s="2" t="e">
        <f t="shared" si="505"/>
        <v>#DIV/0!</v>
      </c>
      <c r="AI677" s="2" t="e">
        <f t="shared" si="526"/>
        <v>#DIV/0!</v>
      </c>
      <c r="AJ677" s="2" t="e">
        <f t="shared" si="493"/>
        <v>#DIV/0!</v>
      </c>
      <c r="AK677" s="2" t="e">
        <f t="shared" si="506"/>
        <v>#DIV/0!</v>
      </c>
      <c r="AL677" s="2" t="e">
        <f t="shared" si="507"/>
        <v>#DIV/0!</v>
      </c>
      <c r="AM677" s="2" t="e">
        <f t="shared" si="527"/>
        <v>#DIV/0!</v>
      </c>
      <c r="AN677" s="2">
        <f t="shared" si="508"/>
        <v>0</v>
      </c>
      <c r="AO677" s="2" t="e">
        <f t="shared" si="509"/>
        <v>#DIV/0!</v>
      </c>
      <c r="AP677" s="2" t="e">
        <f t="shared" si="510"/>
        <v>#DIV/0!</v>
      </c>
      <c r="AQ677" s="2" t="e">
        <f t="shared" si="528"/>
        <v>#DIV/0!</v>
      </c>
      <c r="AR677" s="2" t="e">
        <f t="shared" si="494"/>
        <v>#DIV/0!</v>
      </c>
      <c r="AS677" s="2" t="e">
        <f t="shared" si="511"/>
        <v>#DIV/0!</v>
      </c>
      <c r="AT677" s="2" t="e">
        <f t="shared" si="512"/>
        <v>#DIV/0!</v>
      </c>
      <c r="AU677" s="2" t="e">
        <f t="shared" si="529"/>
        <v>#DIV/0!</v>
      </c>
      <c r="AV677" s="2" t="e">
        <f t="shared" si="513"/>
        <v>#DIV/0!</v>
      </c>
      <c r="AW677" s="2" t="e">
        <f t="shared" si="514"/>
        <v>#DIV/0!</v>
      </c>
      <c r="AX677" s="2" t="e">
        <f t="shared" si="515"/>
        <v>#DIV/0!</v>
      </c>
      <c r="AY677" s="2" t="e">
        <f t="shared" si="530"/>
        <v>#DIV/0!</v>
      </c>
      <c r="AZ677" s="2" t="e">
        <f t="shared" si="495"/>
        <v>#DIV/0!</v>
      </c>
      <c r="BA677" s="2" t="e">
        <f t="shared" si="516"/>
        <v>#DIV/0!</v>
      </c>
      <c r="BB677" s="2" t="e">
        <f t="shared" si="517"/>
        <v>#DIV/0!</v>
      </c>
      <c r="BC677" s="2" t="e">
        <f t="shared" si="531"/>
        <v>#DIV/0!</v>
      </c>
      <c r="BD677" s="2">
        <v>0</v>
      </c>
      <c r="BE677" s="2" t="e">
        <f t="shared" si="518"/>
        <v>#DIV/0!</v>
      </c>
      <c r="BF677" s="2" t="e">
        <f t="shared" si="519"/>
        <v>#DIV/0!</v>
      </c>
      <c r="BG677" s="2" t="e">
        <f t="shared" si="532"/>
        <v>#DIV/0!</v>
      </c>
      <c r="BH677" s="2" t="e">
        <f t="shared" si="496"/>
        <v>#DIV/0!</v>
      </c>
      <c r="BI677" s="2" t="e">
        <f t="shared" si="520"/>
        <v>#DIV/0!</v>
      </c>
      <c r="BJ677" s="2" t="e">
        <f t="shared" si="521"/>
        <v>#DIV/0!</v>
      </c>
      <c r="BK677" s="2" t="e">
        <f t="shared" si="533"/>
        <v>#DIV/0!</v>
      </c>
      <c r="BL677" s="2" t="e">
        <f t="shared" si="522"/>
        <v>#DIV/0!</v>
      </c>
      <c r="BM677" s="2" t="e">
        <f t="shared" si="523"/>
        <v>#DIV/0!</v>
      </c>
      <c r="BN677" s="2" t="e">
        <f t="shared" si="534"/>
        <v>#DIV/0!</v>
      </c>
    </row>
    <row r="678" spans="1:66" x14ac:dyDescent="0.25">
      <c r="A678" s="42">
        <v>675</v>
      </c>
      <c r="E678" s="6">
        <f t="shared" si="524"/>
        <v>0</v>
      </c>
      <c r="F678" s="5" t="str">
        <f t="shared" si="535"/>
        <v>Break Even</v>
      </c>
      <c r="G678" s="4">
        <f t="shared" si="536"/>
        <v>0</v>
      </c>
      <c r="N678" s="5">
        <f t="shared" si="537"/>
        <v>0</v>
      </c>
      <c r="O678" s="4" t="e">
        <f t="shared" si="538"/>
        <v>#DIV/0!</v>
      </c>
      <c r="P678" s="5">
        <f t="shared" si="497"/>
        <v>0</v>
      </c>
      <c r="R678" s="2">
        <f t="shared" si="492"/>
        <v>0</v>
      </c>
      <c r="T678" s="2">
        <f t="shared" si="525"/>
        <v>0</v>
      </c>
      <c r="V678" s="5">
        <f t="shared" si="539"/>
        <v>0</v>
      </c>
      <c r="W678" s="4" t="e">
        <f t="shared" si="540"/>
        <v>#DIV/0!</v>
      </c>
      <c r="X678" s="14">
        <f t="shared" si="498"/>
        <v>0</v>
      </c>
      <c r="Y678" s="5">
        <f t="shared" si="499"/>
        <v>0</v>
      </c>
      <c r="Z678" s="2">
        <f t="shared" si="500"/>
        <v>0</v>
      </c>
      <c r="AA678" s="4">
        <f t="shared" si="501"/>
        <v>0</v>
      </c>
      <c r="AB678" s="13">
        <f t="shared" si="502"/>
        <v>0</v>
      </c>
      <c r="AC678" s="10">
        <f>SUM($E$4:E678)</f>
        <v>-22024.091160220025</v>
      </c>
      <c r="AD678" s="20">
        <f>SUM($AB$4:AB678)</f>
        <v>13539.766460219998</v>
      </c>
      <c r="AF678" s="28" t="e">
        <f t="shared" si="503"/>
        <v>#DIV/0!</v>
      </c>
      <c r="AG678" s="2" t="e">
        <f t="shared" si="504"/>
        <v>#DIV/0!</v>
      </c>
      <c r="AH678" s="2" t="e">
        <f t="shared" si="505"/>
        <v>#DIV/0!</v>
      </c>
      <c r="AI678" s="2" t="e">
        <f t="shared" si="526"/>
        <v>#DIV/0!</v>
      </c>
      <c r="AJ678" s="2" t="e">
        <f t="shared" si="493"/>
        <v>#DIV/0!</v>
      </c>
      <c r="AK678" s="2" t="e">
        <f t="shared" si="506"/>
        <v>#DIV/0!</v>
      </c>
      <c r="AL678" s="2" t="e">
        <f t="shared" si="507"/>
        <v>#DIV/0!</v>
      </c>
      <c r="AM678" s="2" t="e">
        <f t="shared" si="527"/>
        <v>#DIV/0!</v>
      </c>
      <c r="AN678" s="2">
        <f t="shared" si="508"/>
        <v>0</v>
      </c>
      <c r="AO678" s="2" t="e">
        <f t="shared" si="509"/>
        <v>#DIV/0!</v>
      </c>
      <c r="AP678" s="2" t="e">
        <f t="shared" si="510"/>
        <v>#DIV/0!</v>
      </c>
      <c r="AQ678" s="2" t="e">
        <f t="shared" si="528"/>
        <v>#DIV/0!</v>
      </c>
      <c r="AR678" s="2" t="e">
        <f t="shared" si="494"/>
        <v>#DIV/0!</v>
      </c>
      <c r="AS678" s="2" t="e">
        <f t="shared" si="511"/>
        <v>#DIV/0!</v>
      </c>
      <c r="AT678" s="2" t="e">
        <f t="shared" si="512"/>
        <v>#DIV/0!</v>
      </c>
      <c r="AU678" s="2" t="e">
        <f t="shared" si="529"/>
        <v>#DIV/0!</v>
      </c>
      <c r="AV678" s="2" t="e">
        <f t="shared" si="513"/>
        <v>#DIV/0!</v>
      </c>
      <c r="AW678" s="2" t="e">
        <f t="shared" si="514"/>
        <v>#DIV/0!</v>
      </c>
      <c r="AX678" s="2" t="e">
        <f t="shared" si="515"/>
        <v>#DIV/0!</v>
      </c>
      <c r="AY678" s="2" t="e">
        <f t="shared" si="530"/>
        <v>#DIV/0!</v>
      </c>
      <c r="AZ678" s="2" t="e">
        <f t="shared" si="495"/>
        <v>#DIV/0!</v>
      </c>
      <c r="BA678" s="2" t="e">
        <f t="shared" si="516"/>
        <v>#DIV/0!</v>
      </c>
      <c r="BB678" s="2" t="e">
        <f t="shared" si="517"/>
        <v>#DIV/0!</v>
      </c>
      <c r="BC678" s="2" t="e">
        <f t="shared" si="531"/>
        <v>#DIV/0!</v>
      </c>
      <c r="BD678" s="2">
        <v>0</v>
      </c>
      <c r="BE678" s="2" t="e">
        <f t="shared" si="518"/>
        <v>#DIV/0!</v>
      </c>
      <c r="BF678" s="2" t="e">
        <f t="shared" si="519"/>
        <v>#DIV/0!</v>
      </c>
      <c r="BG678" s="2" t="e">
        <f t="shared" si="532"/>
        <v>#DIV/0!</v>
      </c>
      <c r="BH678" s="2" t="e">
        <f t="shared" si="496"/>
        <v>#DIV/0!</v>
      </c>
      <c r="BI678" s="2" t="e">
        <f t="shared" si="520"/>
        <v>#DIV/0!</v>
      </c>
      <c r="BJ678" s="2" t="e">
        <f t="shared" si="521"/>
        <v>#DIV/0!</v>
      </c>
      <c r="BK678" s="2" t="e">
        <f t="shared" si="533"/>
        <v>#DIV/0!</v>
      </c>
      <c r="BL678" s="2" t="e">
        <f t="shared" si="522"/>
        <v>#DIV/0!</v>
      </c>
      <c r="BM678" s="2" t="e">
        <f t="shared" si="523"/>
        <v>#DIV/0!</v>
      </c>
      <c r="BN678" s="2" t="e">
        <f t="shared" si="534"/>
        <v>#DIV/0!</v>
      </c>
    </row>
    <row r="679" spans="1:66" x14ac:dyDescent="0.25">
      <c r="A679" s="42">
        <v>676</v>
      </c>
      <c r="E679" s="6">
        <f t="shared" si="524"/>
        <v>0</v>
      </c>
      <c r="F679" s="5" t="str">
        <f t="shared" si="535"/>
        <v>Break Even</v>
      </c>
      <c r="G679" s="4">
        <f t="shared" si="536"/>
        <v>0</v>
      </c>
      <c r="N679" s="5">
        <f t="shared" si="537"/>
        <v>0</v>
      </c>
      <c r="O679" s="4" t="e">
        <f t="shared" si="538"/>
        <v>#DIV/0!</v>
      </c>
      <c r="P679" s="5">
        <f t="shared" si="497"/>
        <v>0</v>
      </c>
      <c r="R679" s="2">
        <f t="shared" si="492"/>
        <v>0</v>
      </c>
      <c r="T679" s="2">
        <f t="shared" si="525"/>
        <v>0</v>
      </c>
      <c r="V679" s="5">
        <f t="shared" si="539"/>
        <v>0</v>
      </c>
      <c r="W679" s="4" t="e">
        <f t="shared" si="540"/>
        <v>#DIV/0!</v>
      </c>
      <c r="X679" s="14">
        <f t="shared" si="498"/>
        <v>0</v>
      </c>
      <c r="Y679" s="5">
        <f t="shared" si="499"/>
        <v>0</v>
      </c>
      <c r="Z679" s="2">
        <f t="shared" si="500"/>
        <v>0</v>
      </c>
      <c r="AA679" s="4">
        <f t="shared" si="501"/>
        <v>0</v>
      </c>
      <c r="AB679" s="13">
        <f t="shared" si="502"/>
        <v>0</v>
      </c>
      <c r="AC679" s="10">
        <f>SUM($E$4:E679)</f>
        <v>-22024.091160220025</v>
      </c>
      <c r="AD679" s="20">
        <f>SUM($AB$4:AB679)</f>
        <v>13539.766460219998</v>
      </c>
      <c r="AF679" s="28" t="e">
        <f t="shared" si="503"/>
        <v>#DIV/0!</v>
      </c>
      <c r="AG679" s="2" t="e">
        <f t="shared" si="504"/>
        <v>#DIV/0!</v>
      </c>
      <c r="AH679" s="2" t="e">
        <f t="shared" si="505"/>
        <v>#DIV/0!</v>
      </c>
      <c r="AI679" s="2" t="e">
        <f t="shared" si="526"/>
        <v>#DIV/0!</v>
      </c>
      <c r="AJ679" s="2" t="e">
        <f t="shared" si="493"/>
        <v>#DIV/0!</v>
      </c>
      <c r="AK679" s="2" t="e">
        <f t="shared" si="506"/>
        <v>#DIV/0!</v>
      </c>
      <c r="AL679" s="2" t="e">
        <f t="shared" si="507"/>
        <v>#DIV/0!</v>
      </c>
      <c r="AM679" s="2" t="e">
        <f t="shared" si="527"/>
        <v>#DIV/0!</v>
      </c>
      <c r="AN679" s="2">
        <f t="shared" si="508"/>
        <v>0</v>
      </c>
      <c r="AO679" s="2" t="e">
        <f t="shared" si="509"/>
        <v>#DIV/0!</v>
      </c>
      <c r="AP679" s="2" t="e">
        <f t="shared" si="510"/>
        <v>#DIV/0!</v>
      </c>
      <c r="AQ679" s="2" t="e">
        <f t="shared" si="528"/>
        <v>#DIV/0!</v>
      </c>
      <c r="AR679" s="2" t="e">
        <f t="shared" si="494"/>
        <v>#DIV/0!</v>
      </c>
      <c r="AS679" s="2" t="e">
        <f t="shared" si="511"/>
        <v>#DIV/0!</v>
      </c>
      <c r="AT679" s="2" t="e">
        <f t="shared" si="512"/>
        <v>#DIV/0!</v>
      </c>
      <c r="AU679" s="2" t="e">
        <f t="shared" si="529"/>
        <v>#DIV/0!</v>
      </c>
      <c r="AV679" s="2" t="e">
        <f t="shared" si="513"/>
        <v>#DIV/0!</v>
      </c>
      <c r="AW679" s="2" t="e">
        <f t="shared" si="514"/>
        <v>#DIV/0!</v>
      </c>
      <c r="AX679" s="2" t="e">
        <f t="shared" si="515"/>
        <v>#DIV/0!</v>
      </c>
      <c r="AY679" s="2" t="e">
        <f t="shared" si="530"/>
        <v>#DIV/0!</v>
      </c>
      <c r="AZ679" s="2" t="e">
        <f t="shared" si="495"/>
        <v>#DIV/0!</v>
      </c>
      <c r="BA679" s="2" t="e">
        <f t="shared" si="516"/>
        <v>#DIV/0!</v>
      </c>
      <c r="BB679" s="2" t="e">
        <f t="shared" si="517"/>
        <v>#DIV/0!</v>
      </c>
      <c r="BC679" s="2" t="e">
        <f t="shared" si="531"/>
        <v>#DIV/0!</v>
      </c>
      <c r="BD679" s="2">
        <v>0</v>
      </c>
      <c r="BE679" s="2" t="e">
        <f t="shared" si="518"/>
        <v>#DIV/0!</v>
      </c>
      <c r="BF679" s="2" t="e">
        <f t="shared" si="519"/>
        <v>#DIV/0!</v>
      </c>
      <c r="BG679" s="2" t="e">
        <f t="shared" si="532"/>
        <v>#DIV/0!</v>
      </c>
      <c r="BH679" s="2" t="e">
        <f t="shared" si="496"/>
        <v>#DIV/0!</v>
      </c>
      <c r="BI679" s="2" t="e">
        <f t="shared" si="520"/>
        <v>#DIV/0!</v>
      </c>
      <c r="BJ679" s="2" t="e">
        <f t="shared" si="521"/>
        <v>#DIV/0!</v>
      </c>
      <c r="BK679" s="2" t="e">
        <f t="shared" si="533"/>
        <v>#DIV/0!</v>
      </c>
      <c r="BL679" s="2" t="e">
        <f t="shared" si="522"/>
        <v>#DIV/0!</v>
      </c>
      <c r="BM679" s="2" t="e">
        <f t="shared" si="523"/>
        <v>#DIV/0!</v>
      </c>
      <c r="BN679" s="2" t="e">
        <f t="shared" si="534"/>
        <v>#DIV/0!</v>
      </c>
    </row>
    <row r="680" spans="1:66" x14ac:dyDescent="0.25">
      <c r="A680" s="42">
        <v>677</v>
      </c>
      <c r="E680" s="6">
        <f t="shared" si="524"/>
        <v>0</v>
      </c>
      <c r="F680" s="5" t="str">
        <f t="shared" si="535"/>
        <v>Break Even</v>
      </c>
      <c r="G680" s="4">
        <f t="shared" si="536"/>
        <v>0</v>
      </c>
      <c r="N680" s="5">
        <f t="shared" si="537"/>
        <v>0</v>
      </c>
      <c r="O680" s="4" t="e">
        <f t="shared" si="538"/>
        <v>#DIV/0!</v>
      </c>
      <c r="P680" s="5">
        <f t="shared" si="497"/>
        <v>0</v>
      </c>
      <c r="R680" s="2">
        <f t="shared" ref="R680:R743" si="541">J680</f>
        <v>0</v>
      </c>
      <c r="T680" s="2">
        <f t="shared" si="525"/>
        <v>0</v>
      </c>
      <c r="V680" s="5">
        <f t="shared" si="539"/>
        <v>0</v>
      </c>
      <c r="W680" s="4" t="e">
        <f t="shared" si="540"/>
        <v>#DIV/0!</v>
      </c>
      <c r="X680" s="14">
        <f t="shared" si="498"/>
        <v>0</v>
      </c>
      <c r="Y680" s="5">
        <f t="shared" si="499"/>
        <v>0</v>
      </c>
      <c r="Z680" s="2">
        <f t="shared" si="500"/>
        <v>0</v>
      </c>
      <c r="AA680" s="4">
        <f t="shared" si="501"/>
        <v>0</v>
      </c>
      <c r="AB680" s="13">
        <f t="shared" si="502"/>
        <v>0</v>
      </c>
      <c r="AC680" s="10">
        <f>SUM($E$4:E680)</f>
        <v>-22024.091160220025</v>
      </c>
      <c r="AD680" s="20">
        <f>SUM($AB$4:AB680)</f>
        <v>13539.766460219998</v>
      </c>
      <c r="AF680" s="28" t="e">
        <f t="shared" si="503"/>
        <v>#DIV/0!</v>
      </c>
      <c r="AG680" s="2" t="e">
        <f t="shared" si="504"/>
        <v>#DIV/0!</v>
      </c>
      <c r="AH680" s="2" t="e">
        <f t="shared" si="505"/>
        <v>#DIV/0!</v>
      </c>
      <c r="AI680" s="2" t="e">
        <f t="shared" si="526"/>
        <v>#DIV/0!</v>
      </c>
      <c r="AJ680" s="2" t="e">
        <f t="shared" si="493"/>
        <v>#DIV/0!</v>
      </c>
      <c r="AK680" s="2" t="e">
        <f t="shared" si="506"/>
        <v>#DIV/0!</v>
      </c>
      <c r="AL680" s="2" t="e">
        <f t="shared" si="507"/>
        <v>#DIV/0!</v>
      </c>
      <c r="AM680" s="2" t="e">
        <f t="shared" si="527"/>
        <v>#DIV/0!</v>
      </c>
      <c r="AN680" s="2">
        <f t="shared" si="508"/>
        <v>0</v>
      </c>
      <c r="AO680" s="2" t="e">
        <f t="shared" si="509"/>
        <v>#DIV/0!</v>
      </c>
      <c r="AP680" s="2" t="e">
        <f t="shared" si="510"/>
        <v>#DIV/0!</v>
      </c>
      <c r="AQ680" s="2" t="e">
        <f t="shared" si="528"/>
        <v>#DIV/0!</v>
      </c>
      <c r="AR680" s="2" t="e">
        <f t="shared" si="494"/>
        <v>#DIV/0!</v>
      </c>
      <c r="AS680" s="2" t="e">
        <f t="shared" si="511"/>
        <v>#DIV/0!</v>
      </c>
      <c r="AT680" s="2" t="e">
        <f t="shared" si="512"/>
        <v>#DIV/0!</v>
      </c>
      <c r="AU680" s="2" t="e">
        <f t="shared" si="529"/>
        <v>#DIV/0!</v>
      </c>
      <c r="AV680" s="2" t="e">
        <f t="shared" si="513"/>
        <v>#DIV/0!</v>
      </c>
      <c r="AW680" s="2" t="e">
        <f t="shared" si="514"/>
        <v>#DIV/0!</v>
      </c>
      <c r="AX680" s="2" t="e">
        <f t="shared" si="515"/>
        <v>#DIV/0!</v>
      </c>
      <c r="AY680" s="2" t="e">
        <f t="shared" si="530"/>
        <v>#DIV/0!</v>
      </c>
      <c r="AZ680" s="2" t="e">
        <f t="shared" si="495"/>
        <v>#DIV/0!</v>
      </c>
      <c r="BA680" s="2" t="e">
        <f t="shared" si="516"/>
        <v>#DIV/0!</v>
      </c>
      <c r="BB680" s="2" t="e">
        <f t="shared" si="517"/>
        <v>#DIV/0!</v>
      </c>
      <c r="BC680" s="2" t="e">
        <f t="shared" si="531"/>
        <v>#DIV/0!</v>
      </c>
      <c r="BD680" s="2">
        <v>0</v>
      </c>
      <c r="BE680" s="2" t="e">
        <f t="shared" si="518"/>
        <v>#DIV/0!</v>
      </c>
      <c r="BF680" s="2" t="e">
        <f t="shared" si="519"/>
        <v>#DIV/0!</v>
      </c>
      <c r="BG680" s="2" t="e">
        <f t="shared" si="532"/>
        <v>#DIV/0!</v>
      </c>
      <c r="BH680" s="2" t="e">
        <f t="shared" si="496"/>
        <v>#DIV/0!</v>
      </c>
      <c r="BI680" s="2" t="e">
        <f t="shared" si="520"/>
        <v>#DIV/0!</v>
      </c>
      <c r="BJ680" s="2" t="e">
        <f t="shared" si="521"/>
        <v>#DIV/0!</v>
      </c>
      <c r="BK680" s="2" t="e">
        <f t="shared" si="533"/>
        <v>#DIV/0!</v>
      </c>
      <c r="BL680" s="2" t="e">
        <f t="shared" si="522"/>
        <v>#DIV/0!</v>
      </c>
      <c r="BM680" s="2" t="e">
        <f t="shared" si="523"/>
        <v>#DIV/0!</v>
      </c>
      <c r="BN680" s="2" t="e">
        <f t="shared" si="534"/>
        <v>#DIV/0!</v>
      </c>
    </row>
    <row r="681" spans="1:66" x14ac:dyDescent="0.25">
      <c r="A681" s="42">
        <v>678</v>
      </c>
      <c r="E681" s="6">
        <f t="shared" si="524"/>
        <v>0</v>
      </c>
      <c r="F681" s="5" t="str">
        <f t="shared" si="535"/>
        <v>Break Even</v>
      </c>
      <c r="G681" s="4">
        <f t="shared" si="536"/>
        <v>0</v>
      </c>
      <c r="N681" s="5">
        <f t="shared" si="537"/>
        <v>0</v>
      </c>
      <c r="O681" s="4" t="e">
        <f t="shared" si="538"/>
        <v>#DIV/0!</v>
      </c>
      <c r="P681" s="5">
        <f t="shared" si="497"/>
        <v>0</v>
      </c>
      <c r="R681" s="2">
        <f t="shared" si="541"/>
        <v>0</v>
      </c>
      <c r="T681" s="2">
        <f t="shared" si="525"/>
        <v>0</v>
      </c>
      <c r="V681" s="5">
        <f t="shared" si="539"/>
        <v>0</v>
      </c>
      <c r="W681" s="4" t="e">
        <f t="shared" si="540"/>
        <v>#DIV/0!</v>
      </c>
      <c r="X681" s="14">
        <f t="shared" si="498"/>
        <v>0</v>
      </c>
      <c r="Y681" s="5">
        <f t="shared" si="499"/>
        <v>0</v>
      </c>
      <c r="Z681" s="2">
        <f t="shared" si="500"/>
        <v>0</v>
      </c>
      <c r="AA681" s="4">
        <f t="shared" si="501"/>
        <v>0</v>
      </c>
      <c r="AB681" s="13">
        <f t="shared" si="502"/>
        <v>0</v>
      </c>
      <c r="AC681" s="10">
        <f>SUM($E$4:E681)</f>
        <v>-22024.091160220025</v>
      </c>
      <c r="AD681" s="20">
        <f>SUM($AB$4:AB681)</f>
        <v>13539.766460219998</v>
      </c>
      <c r="AF681" s="28" t="e">
        <f t="shared" si="503"/>
        <v>#DIV/0!</v>
      </c>
      <c r="AG681" s="2" t="e">
        <f t="shared" si="504"/>
        <v>#DIV/0!</v>
      </c>
      <c r="AH681" s="2" t="e">
        <f t="shared" si="505"/>
        <v>#DIV/0!</v>
      </c>
      <c r="AI681" s="2" t="e">
        <f t="shared" si="526"/>
        <v>#DIV/0!</v>
      </c>
      <c r="AJ681" s="2" t="e">
        <f t="shared" si="493"/>
        <v>#DIV/0!</v>
      </c>
      <c r="AK681" s="2" t="e">
        <f t="shared" si="506"/>
        <v>#DIV/0!</v>
      </c>
      <c r="AL681" s="2" t="e">
        <f t="shared" si="507"/>
        <v>#DIV/0!</v>
      </c>
      <c r="AM681" s="2" t="e">
        <f t="shared" si="527"/>
        <v>#DIV/0!</v>
      </c>
      <c r="AN681" s="2">
        <f t="shared" si="508"/>
        <v>0</v>
      </c>
      <c r="AO681" s="2" t="e">
        <f t="shared" si="509"/>
        <v>#DIV/0!</v>
      </c>
      <c r="AP681" s="2" t="e">
        <f t="shared" si="510"/>
        <v>#DIV/0!</v>
      </c>
      <c r="AQ681" s="2" t="e">
        <f t="shared" si="528"/>
        <v>#DIV/0!</v>
      </c>
      <c r="AR681" s="2" t="e">
        <f t="shared" si="494"/>
        <v>#DIV/0!</v>
      </c>
      <c r="AS681" s="2" t="e">
        <f t="shared" si="511"/>
        <v>#DIV/0!</v>
      </c>
      <c r="AT681" s="2" t="e">
        <f t="shared" si="512"/>
        <v>#DIV/0!</v>
      </c>
      <c r="AU681" s="2" t="e">
        <f t="shared" si="529"/>
        <v>#DIV/0!</v>
      </c>
      <c r="AV681" s="2" t="e">
        <f t="shared" si="513"/>
        <v>#DIV/0!</v>
      </c>
      <c r="AW681" s="2" t="e">
        <f t="shared" si="514"/>
        <v>#DIV/0!</v>
      </c>
      <c r="AX681" s="2" t="e">
        <f t="shared" si="515"/>
        <v>#DIV/0!</v>
      </c>
      <c r="AY681" s="2" t="e">
        <f t="shared" si="530"/>
        <v>#DIV/0!</v>
      </c>
      <c r="AZ681" s="2" t="e">
        <f t="shared" si="495"/>
        <v>#DIV/0!</v>
      </c>
      <c r="BA681" s="2" t="e">
        <f t="shared" si="516"/>
        <v>#DIV/0!</v>
      </c>
      <c r="BB681" s="2" t="e">
        <f t="shared" si="517"/>
        <v>#DIV/0!</v>
      </c>
      <c r="BC681" s="2" t="e">
        <f t="shared" si="531"/>
        <v>#DIV/0!</v>
      </c>
      <c r="BD681" s="2">
        <v>0</v>
      </c>
      <c r="BE681" s="2" t="e">
        <f t="shared" si="518"/>
        <v>#DIV/0!</v>
      </c>
      <c r="BF681" s="2" t="e">
        <f t="shared" si="519"/>
        <v>#DIV/0!</v>
      </c>
      <c r="BG681" s="2" t="e">
        <f t="shared" si="532"/>
        <v>#DIV/0!</v>
      </c>
      <c r="BH681" s="2" t="e">
        <f t="shared" si="496"/>
        <v>#DIV/0!</v>
      </c>
      <c r="BI681" s="2" t="e">
        <f t="shared" si="520"/>
        <v>#DIV/0!</v>
      </c>
      <c r="BJ681" s="2" t="e">
        <f t="shared" si="521"/>
        <v>#DIV/0!</v>
      </c>
      <c r="BK681" s="2" t="e">
        <f t="shared" si="533"/>
        <v>#DIV/0!</v>
      </c>
      <c r="BL681" s="2" t="e">
        <f t="shared" si="522"/>
        <v>#DIV/0!</v>
      </c>
      <c r="BM681" s="2" t="e">
        <f t="shared" si="523"/>
        <v>#DIV/0!</v>
      </c>
      <c r="BN681" s="2" t="e">
        <f t="shared" si="534"/>
        <v>#DIV/0!</v>
      </c>
    </row>
    <row r="682" spans="1:66" x14ac:dyDescent="0.25">
      <c r="A682" s="42">
        <v>679</v>
      </c>
      <c r="E682" s="6">
        <f t="shared" si="524"/>
        <v>0</v>
      </c>
      <c r="F682" s="5" t="str">
        <f t="shared" si="535"/>
        <v>Break Even</v>
      </c>
      <c r="G682" s="4">
        <f t="shared" si="536"/>
        <v>0</v>
      </c>
      <c r="N682" s="5">
        <f t="shared" si="537"/>
        <v>0</v>
      </c>
      <c r="O682" s="4" t="e">
        <f t="shared" si="538"/>
        <v>#DIV/0!</v>
      </c>
      <c r="P682" s="5">
        <f t="shared" si="497"/>
        <v>0</v>
      </c>
      <c r="R682" s="2">
        <f t="shared" si="541"/>
        <v>0</v>
      </c>
      <c r="T682" s="2">
        <f t="shared" si="525"/>
        <v>0</v>
      </c>
      <c r="V682" s="5">
        <f t="shared" si="539"/>
        <v>0</v>
      </c>
      <c r="W682" s="4" t="e">
        <f t="shared" si="540"/>
        <v>#DIV/0!</v>
      </c>
      <c r="X682" s="14">
        <f t="shared" si="498"/>
        <v>0</v>
      </c>
      <c r="Y682" s="5">
        <f t="shared" si="499"/>
        <v>0</v>
      </c>
      <c r="Z682" s="2">
        <f t="shared" si="500"/>
        <v>0</v>
      </c>
      <c r="AA682" s="4">
        <f t="shared" si="501"/>
        <v>0</v>
      </c>
      <c r="AB682" s="13">
        <f t="shared" si="502"/>
        <v>0</v>
      </c>
      <c r="AC682" s="10">
        <f>SUM($E$4:E682)</f>
        <v>-22024.091160220025</v>
      </c>
      <c r="AD682" s="20">
        <f>SUM($AB$4:AB682)</f>
        <v>13539.766460219998</v>
      </c>
      <c r="AF682" s="28" t="e">
        <f t="shared" si="503"/>
        <v>#DIV/0!</v>
      </c>
      <c r="AG682" s="2" t="e">
        <f t="shared" si="504"/>
        <v>#DIV/0!</v>
      </c>
      <c r="AH682" s="2" t="e">
        <f t="shared" si="505"/>
        <v>#DIV/0!</v>
      </c>
      <c r="AI682" s="2" t="e">
        <f t="shared" si="526"/>
        <v>#DIV/0!</v>
      </c>
      <c r="AJ682" s="2" t="e">
        <f t="shared" si="493"/>
        <v>#DIV/0!</v>
      </c>
      <c r="AK682" s="2" t="e">
        <f t="shared" si="506"/>
        <v>#DIV/0!</v>
      </c>
      <c r="AL682" s="2" t="e">
        <f t="shared" si="507"/>
        <v>#DIV/0!</v>
      </c>
      <c r="AM682" s="2" t="e">
        <f t="shared" si="527"/>
        <v>#DIV/0!</v>
      </c>
      <c r="AN682" s="2">
        <f t="shared" si="508"/>
        <v>0</v>
      </c>
      <c r="AO682" s="2" t="e">
        <f t="shared" si="509"/>
        <v>#DIV/0!</v>
      </c>
      <c r="AP682" s="2" t="e">
        <f t="shared" si="510"/>
        <v>#DIV/0!</v>
      </c>
      <c r="AQ682" s="2" t="e">
        <f t="shared" si="528"/>
        <v>#DIV/0!</v>
      </c>
      <c r="AR682" s="2" t="e">
        <f t="shared" si="494"/>
        <v>#DIV/0!</v>
      </c>
      <c r="AS682" s="2" t="e">
        <f t="shared" si="511"/>
        <v>#DIV/0!</v>
      </c>
      <c r="AT682" s="2" t="e">
        <f t="shared" si="512"/>
        <v>#DIV/0!</v>
      </c>
      <c r="AU682" s="2" t="e">
        <f t="shared" si="529"/>
        <v>#DIV/0!</v>
      </c>
      <c r="AV682" s="2" t="e">
        <f t="shared" si="513"/>
        <v>#DIV/0!</v>
      </c>
      <c r="AW682" s="2" t="e">
        <f t="shared" si="514"/>
        <v>#DIV/0!</v>
      </c>
      <c r="AX682" s="2" t="e">
        <f t="shared" si="515"/>
        <v>#DIV/0!</v>
      </c>
      <c r="AY682" s="2" t="e">
        <f t="shared" si="530"/>
        <v>#DIV/0!</v>
      </c>
      <c r="AZ682" s="2" t="e">
        <f t="shared" si="495"/>
        <v>#DIV/0!</v>
      </c>
      <c r="BA682" s="2" t="e">
        <f t="shared" si="516"/>
        <v>#DIV/0!</v>
      </c>
      <c r="BB682" s="2" t="e">
        <f t="shared" si="517"/>
        <v>#DIV/0!</v>
      </c>
      <c r="BC682" s="2" t="e">
        <f t="shared" si="531"/>
        <v>#DIV/0!</v>
      </c>
      <c r="BD682" s="2">
        <v>0</v>
      </c>
      <c r="BE682" s="2" t="e">
        <f t="shared" si="518"/>
        <v>#DIV/0!</v>
      </c>
      <c r="BF682" s="2" t="e">
        <f t="shared" si="519"/>
        <v>#DIV/0!</v>
      </c>
      <c r="BG682" s="2" t="e">
        <f t="shared" si="532"/>
        <v>#DIV/0!</v>
      </c>
      <c r="BH682" s="2" t="e">
        <f t="shared" si="496"/>
        <v>#DIV/0!</v>
      </c>
      <c r="BI682" s="2" t="e">
        <f t="shared" si="520"/>
        <v>#DIV/0!</v>
      </c>
      <c r="BJ682" s="2" t="e">
        <f t="shared" si="521"/>
        <v>#DIV/0!</v>
      </c>
      <c r="BK682" s="2" t="e">
        <f t="shared" si="533"/>
        <v>#DIV/0!</v>
      </c>
      <c r="BL682" s="2" t="e">
        <f t="shared" si="522"/>
        <v>#DIV/0!</v>
      </c>
      <c r="BM682" s="2" t="e">
        <f t="shared" si="523"/>
        <v>#DIV/0!</v>
      </c>
      <c r="BN682" s="2" t="e">
        <f t="shared" si="534"/>
        <v>#DIV/0!</v>
      </c>
    </row>
    <row r="683" spans="1:66" x14ac:dyDescent="0.25">
      <c r="A683" s="42">
        <v>680</v>
      </c>
      <c r="E683" s="6">
        <f t="shared" si="524"/>
        <v>0</v>
      </c>
      <c r="F683" s="5" t="str">
        <f t="shared" si="535"/>
        <v>Break Even</v>
      </c>
      <c r="G683" s="4">
        <f t="shared" si="536"/>
        <v>0</v>
      </c>
      <c r="N683" s="5">
        <f t="shared" si="537"/>
        <v>0</v>
      </c>
      <c r="O683" s="4" t="e">
        <f t="shared" si="538"/>
        <v>#DIV/0!</v>
      </c>
      <c r="P683" s="5">
        <f t="shared" si="497"/>
        <v>0</v>
      </c>
      <c r="R683" s="2">
        <f t="shared" si="541"/>
        <v>0</v>
      </c>
      <c r="T683" s="2">
        <f t="shared" si="525"/>
        <v>0</v>
      </c>
      <c r="V683" s="5">
        <f t="shared" si="539"/>
        <v>0</v>
      </c>
      <c r="W683" s="4" t="e">
        <f t="shared" si="540"/>
        <v>#DIV/0!</v>
      </c>
      <c r="X683" s="14">
        <f t="shared" si="498"/>
        <v>0</v>
      </c>
      <c r="Y683" s="5">
        <f t="shared" si="499"/>
        <v>0</v>
      </c>
      <c r="Z683" s="2">
        <f t="shared" si="500"/>
        <v>0</v>
      </c>
      <c r="AA683" s="4">
        <f t="shared" si="501"/>
        <v>0</v>
      </c>
      <c r="AB683" s="13">
        <f t="shared" si="502"/>
        <v>0</v>
      </c>
      <c r="AC683" s="10">
        <f>SUM($E$4:E683)</f>
        <v>-22024.091160220025</v>
      </c>
      <c r="AD683" s="20">
        <f>SUM($AB$4:AB683)</f>
        <v>13539.766460219998</v>
      </c>
      <c r="AF683" s="28" t="e">
        <f t="shared" si="503"/>
        <v>#DIV/0!</v>
      </c>
      <c r="AG683" s="2" t="e">
        <f t="shared" si="504"/>
        <v>#DIV/0!</v>
      </c>
      <c r="AH683" s="2" t="e">
        <f t="shared" si="505"/>
        <v>#DIV/0!</v>
      </c>
      <c r="AI683" s="2" t="e">
        <f t="shared" si="526"/>
        <v>#DIV/0!</v>
      </c>
      <c r="AJ683" s="2" t="e">
        <f t="shared" si="493"/>
        <v>#DIV/0!</v>
      </c>
      <c r="AK683" s="2" t="e">
        <f t="shared" si="506"/>
        <v>#DIV/0!</v>
      </c>
      <c r="AL683" s="2" t="e">
        <f t="shared" si="507"/>
        <v>#DIV/0!</v>
      </c>
      <c r="AM683" s="2" t="e">
        <f t="shared" si="527"/>
        <v>#DIV/0!</v>
      </c>
      <c r="AN683" s="2">
        <f t="shared" si="508"/>
        <v>0</v>
      </c>
      <c r="AO683" s="2" t="e">
        <f t="shared" si="509"/>
        <v>#DIV/0!</v>
      </c>
      <c r="AP683" s="2" t="e">
        <f t="shared" si="510"/>
        <v>#DIV/0!</v>
      </c>
      <c r="AQ683" s="2" t="e">
        <f t="shared" si="528"/>
        <v>#DIV/0!</v>
      </c>
      <c r="AR683" s="2" t="e">
        <f t="shared" si="494"/>
        <v>#DIV/0!</v>
      </c>
      <c r="AS683" s="2" t="e">
        <f t="shared" si="511"/>
        <v>#DIV/0!</v>
      </c>
      <c r="AT683" s="2" t="e">
        <f t="shared" si="512"/>
        <v>#DIV/0!</v>
      </c>
      <c r="AU683" s="2" t="e">
        <f t="shared" si="529"/>
        <v>#DIV/0!</v>
      </c>
      <c r="AV683" s="2" t="e">
        <f t="shared" si="513"/>
        <v>#DIV/0!</v>
      </c>
      <c r="AW683" s="2" t="e">
        <f t="shared" si="514"/>
        <v>#DIV/0!</v>
      </c>
      <c r="AX683" s="2" t="e">
        <f t="shared" si="515"/>
        <v>#DIV/0!</v>
      </c>
      <c r="AY683" s="2" t="e">
        <f t="shared" si="530"/>
        <v>#DIV/0!</v>
      </c>
      <c r="AZ683" s="2" t="e">
        <f t="shared" si="495"/>
        <v>#DIV/0!</v>
      </c>
      <c r="BA683" s="2" t="e">
        <f t="shared" si="516"/>
        <v>#DIV/0!</v>
      </c>
      <c r="BB683" s="2" t="e">
        <f t="shared" si="517"/>
        <v>#DIV/0!</v>
      </c>
      <c r="BC683" s="2" t="e">
        <f t="shared" si="531"/>
        <v>#DIV/0!</v>
      </c>
      <c r="BD683" s="2">
        <v>0</v>
      </c>
      <c r="BE683" s="2" t="e">
        <f t="shared" si="518"/>
        <v>#DIV/0!</v>
      </c>
      <c r="BF683" s="2" t="e">
        <f t="shared" si="519"/>
        <v>#DIV/0!</v>
      </c>
      <c r="BG683" s="2" t="e">
        <f t="shared" si="532"/>
        <v>#DIV/0!</v>
      </c>
      <c r="BH683" s="2" t="e">
        <f t="shared" si="496"/>
        <v>#DIV/0!</v>
      </c>
      <c r="BI683" s="2" t="e">
        <f t="shared" si="520"/>
        <v>#DIV/0!</v>
      </c>
      <c r="BJ683" s="2" t="e">
        <f t="shared" si="521"/>
        <v>#DIV/0!</v>
      </c>
      <c r="BK683" s="2" t="e">
        <f t="shared" si="533"/>
        <v>#DIV/0!</v>
      </c>
      <c r="BL683" s="2" t="e">
        <f t="shared" si="522"/>
        <v>#DIV/0!</v>
      </c>
      <c r="BM683" s="2" t="e">
        <f t="shared" si="523"/>
        <v>#DIV/0!</v>
      </c>
      <c r="BN683" s="2" t="e">
        <f t="shared" si="534"/>
        <v>#DIV/0!</v>
      </c>
    </row>
    <row r="684" spans="1:66" x14ac:dyDescent="0.25">
      <c r="A684" s="42">
        <v>681</v>
      </c>
      <c r="E684" s="6">
        <f t="shared" si="524"/>
        <v>0</v>
      </c>
      <c r="F684" s="5" t="str">
        <f t="shared" si="535"/>
        <v>Break Even</v>
      </c>
      <c r="G684" s="4">
        <f t="shared" si="536"/>
        <v>0</v>
      </c>
      <c r="N684" s="5">
        <f t="shared" si="537"/>
        <v>0</v>
      </c>
      <c r="O684" s="4" t="e">
        <f t="shared" si="538"/>
        <v>#DIV/0!</v>
      </c>
      <c r="P684" s="5">
        <f t="shared" si="497"/>
        <v>0</v>
      </c>
      <c r="R684" s="2">
        <f t="shared" si="541"/>
        <v>0</v>
      </c>
      <c r="T684" s="2">
        <f t="shared" si="525"/>
        <v>0</v>
      </c>
      <c r="V684" s="5">
        <f t="shared" si="539"/>
        <v>0</v>
      </c>
      <c r="W684" s="4" t="e">
        <f t="shared" si="540"/>
        <v>#DIV/0!</v>
      </c>
      <c r="X684" s="14">
        <f t="shared" si="498"/>
        <v>0</v>
      </c>
      <c r="Y684" s="5">
        <f t="shared" si="499"/>
        <v>0</v>
      </c>
      <c r="Z684" s="2">
        <f t="shared" si="500"/>
        <v>0</v>
      </c>
      <c r="AA684" s="4">
        <f t="shared" si="501"/>
        <v>0</v>
      </c>
      <c r="AB684" s="13">
        <f t="shared" si="502"/>
        <v>0</v>
      </c>
      <c r="AC684" s="10">
        <f>SUM($E$4:E684)</f>
        <v>-22024.091160220025</v>
      </c>
      <c r="AD684" s="20">
        <f>SUM($AB$4:AB684)</f>
        <v>13539.766460219998</v>
      </c>
      <c r="AF684" s="28" t="e">
        <f t="shared" si="503"/>
        <v>#DIV/0!</v>
      </c>
      <c r="AG684" s="2" t="e">
        <f t="shared" si="504"/>
        <v>#DIV/0!</v>
      </c>
      <c r="AH684" s="2" t="e">
        <f t="shared" si="505"/>
        <v>#DIV/0!</v>
      </c>
      <c r="AI684" s="2" t="e">
        <f t="shared" si="526"/>
        <v>#DIV/0!</v>
      </c>
      <c r="AJ684" s="2" t="e">
        <f t="shared" si="493"/>
        <v>#DIV/0!</v>
      </c>
      <c r="AK684" s="2" t="e">
        <f t="shared" si="506"/>
        <v>#DIV/0!</v>
      </c>
      <c r="AL684" s="2" t="e">
        <f t="shared" si="507"/>
        <v>#DIV/0!</v>
      </c>
      <c r="AM684" s="2" t="e">
        <f t="shared" si="527"/>
        <v>#DIV/0!</v>
      </c>
      <c r="AN684" s="2">
        <f t="shared" si="508"/>
        <v>0</v>
      </c>
      <c r="AO684" s="2" t="e">
        <f t="shared" si="509"/>
        <v>#DIV/0!</v>
      </c>
      <c r="AP684" s="2" t="e">
        <f t="shared" si="510"/>
        <v>#DIV/0!</v>
      </c>
      <c r="AQ684" s="2" t="e">
        <f t="shared" si="528"/>
        <v>#DIV/0!</v>
      </c>
      <c r="AR684" s="2" t="e">
        <f t="shared" si="494"/>
        <v>#DIV/0!</v>
      </c>
      <c r="AS684" s="2" t="e">
        <f t="shared" si="511"/>
        <v>#DIV/0!</v>
      </c>
      <c r="AT684" s="2" t="e">
        <f t="shared" si="512"/>
        <v>#DIV/0!</v>
      </c>
      <c r="AU684" s="2" t="e">
        <f t="shared" si="529"/>
        <v>#DIV/0!</v>
      </c>
      <c r="AV684" s="2" t="e">
        <f t="shared" si="513"/>
        <v>#DIV/0!</v>
      </c>
      <c r="AW684" s="2" t="e">
        <f t="shared" si="514"/>
        <v>#DIV/0!</v>
      </c>
      <c r="AX684" s="2" t="e">
        <f t="shared" si="515"/>
        <v>#DIV/0!</v>
      </c>
      <c r="AY684" s="2" t="e">
        <f t="shared" si="530"/>
        <v>#DIV/0!</v>
      </c>
      <c r="AZ684" s="2" t="e">
        <f t="shared" si="495"/>
        <v>#DIV/0!</v>
      </c>
      <c r="BA684" s="2" t="e">
        <f t="shared" si="516"/>
        <v>#DIV/0!</v>
      </c>
      <c r="BB684" s="2" t="e">
        <f t="shared" si="517"/>
        <v>#DIV/0!</v>
      </c>
      <c r="BC684" s="2" t="e">
        <f t="shared" si="531"/>
        <v>#DIV/0!</v>
      </c>
      <c r="BD684" s="2">
        <v>0</v>
      </c>
      <c r="BE684" s="2" t="e">
        <f t="shared" si="518"/>
        <v>#DIV/0!</v>
      </c>
      <c r="BF684" s="2" t="e">
        <f t="shared" si="519"/>
        <v>#DIV/0!</v>
      </c>
      <c r="BG684" s="2" t="e">
        <f t="shared" si="532"/>
        <v>#DIV/0!</v>
      </c>
      <c r="BH684" s="2" t="e">
        <f t="shared" si="496"/>
        <v>#DIV/0!</v>
      </c>
      <c r="BI684" s="2" t="e">
        <f t="shared" si="520"/>
        <v>#DIV/0!</v>
      </c>
      <c r="BJ684" s="2" t="e">
        <f t="shared" si="521"/>
        <v>#DIV/0!</v>
      </c>
      <c r="BK684" s="2" t="e">
        <f t="shared" si="533"/>
        <v>#DIV/0!</v>
      </c>
      <c r="BL684" s="2" t="e">
        <f t="shared" si="522"/>
        <v>#DIV/0!</v>
      </c>
      <c r="BM684" s="2" t="e">
        <f t="shared" si="523"/>
        <v>#DIV/0!</v>
      </c>
      <c r="BN684" s="2" t="e">
        <f t="shared" si="534"/>
        <v>#DIV/0!</v>
      </c>
    </row>
    <row r="685" spans="1:66" x14ac:dyDescent="0.25">
      <c r="A685" s="42">
        <v>682</v>
      </c>
      <c r="E685" s="6">
        <f t="shared" si="524"/>
        <v>0</v>
      </c>
      <c r="F685" s="5" t="str">
        <f t="shared" si="535"/>
        <v>Break Even</v>
      </c>
      <c r="G685" s="4">
        <f t="shared" si="536"/>
        <v>0</v>
      </c>
      <c r="N685" s="5">
        <f t="shared" si="537"/>
        <v>0</v>
      </c>
      <c r="O685" s="4" t="e">
        <f t="shared" si="538"/>
        <v>#DIV/0!</v>
      </c>
      <c r="P685" s="5">
        <f t="shared" si="497"/>
        <v>0</v>
      </c>
      <c r="R685" s="2">
        <f t="shared" si="541"/>
        <v>0</v>
      </c>
      <c r="T685" s="2">
        <f t="shared" si="525"/>
        <v>0</v>
      </c>
      <c r="V685" s="5">
        <f t="shared" si="539"/>
        <v>0</v>
      </c>
      <c r="W685" s="4" t="e">
        <f t="shared" si="540"/>
        <v>#DIV/0!</v>
      </c>
      <c r="X685" s="14">
        <f t="shared" si="498"/>
        <v>0</v>
      </c>
      <c r="Y685" s="5">
        <f t="shared" si="499"/>
        <v>0</v>
      </c>
      <c r="Z685" s="2">
        <f t="shared" si="500"/>
        <v>0</v>
      </c>
      <c r="AA685" s="4">
        <f t="shared" si="501"/>
        <v>0</v>
      </c>
      <c r="AB685" s="13">
        <f t="shared" si="502"/>
        <v>0</v>
      </c>
      <c r="AC685" s="10">
        <f>SUM($E$4:E685)</f>
        <v>-22024.091160220025</v>
      </c>
      <c r="AD685" s="20">
        <f>SUM($AB$4:AB685)</f>
        <v>13539.766460219998</v>
      </c>
      <c r="AF685" s="28" t="e">
        <f t="shared" si="503"/>
        <v>#DIV/0!</v>
      </c>
      <c r="AG685" s="2" t="e">
        <f t="shared" si="504"/>
        <v>#DIV/0!</v>
      </c>
      <c r="AH685" s="2" t="e">
        <f t="shared" si="505"/>
        <v>#DIV/0!</v>
      </c>
      <c r="AI685" s="2" t="e">
        <f t="shared" si="526"/>
        <v>#DIV/0!</v>
      </c>
      <c r="AJ685" s="2" t="e">
        <f t="shared" si="493"/>
        <v>#DIV/0!</v>
      </c>
      <c r="AK685" s="2" t="e">
        <f t="shared" si="506"/>
        <v>#DIV/0!</v>
      </c>
      <c r="AL685" s="2" t="e">
        <f t="shared" si="507"/>
        <v>#DIV/0!</v>
      </c>
      <c r="AM685" s="2" t="e">
        <f t="shared" si="527"/>
        <v>#DIV/0!</v>
      </c>
      <c r="AN685" s="2">
        <f t="shared" si="508"/>
        <v>0</v>
      </c>
      <c r="AO685" s="2" t="e">
        <f t="shared" si="509"/>
        <v>#DIV/0!</v>
      </c>
      <c r="AP685" s="2" t="e">
        <f t="shared" si="510"/>
        <v>#DIV/0!</v>
      </c>
      <c r="AQ685" s="2" t="e">
        <f t="shared" si="528"/>
        <v>#DIV/0!</v>
      </c>
      <c r="AR685" s="2" t="e">
        <f t="shared" si="494"/>
        <v>#DIV/0!</v>
      </c>
      <c r="AS685" s="2" t="e">
        <f t="shared" si="511"/>
        <v>#DIV/0!</v>
      </c>
      <c r="AT685" s="2" t="e">
        <f t="shared" si="512"/>
        <v>#DIV/0!</v>
      </c>
      <c r="AU685" s="2" t="e">
        <f t="shared" si="529"/>
        <v>#DIV/0!</v>
      </c>
      <c r="AV685" s="2" t="e">
        <f t="shared" si="513"/>
        <v>#DIV/0!</v>
      </c>
      <c r="AW685" s="2" t="e">
        <f t="shared" si="514"/>
        <v>#DIV/0!</v>
      </c>
      <c r="AX685" s="2" t="e">
        <f t="shared" si="515"/>
        <v>#DIV/0!</v>
      </c>
      <c r="AY685" s="2" t="e">
        <f t="shared" si="530"/>
        <v>#DIV/0!</v>
      </c>
      <c r="AZ685" s="2" t="e">
        <f t="shared" si="495"/>
        <v>#DIV/0!</v>
      </c>
      <c r="BA685" s="2" t="e">
        <f t="shared" si="516"/>
        <v>#DIV/0!</v>
      </c>
      <c r="BB685" s="2" t="e">
        <f t="shared" si="517"/>
        <v>#DIV/0!</v>
      </c>
      <c r="BC685" s="2" t="e">
        <f t="shared" si="531"/>
        <v>#DIV/0!</v>
      </c>
      <c r="BD685" s="2">
        <v>0</v>
      </c>
      <c r="BE685" s="2" t="e">
        <f t="shared" si="518"/>
        <v>#DIV/0!</v>
      </c>
      <c r="BF685" s="2" t="e">
        <f t="shared" si="519"/>
        <v>#DIV/0!</v>
      </c>
      <c r="BG685" s="2" t="e">
        <f t="shared" si="532"/>
        <v>#DIV/0!</v>
      </c>
      <c r="BH685" s="2" t="e">
        <f t="shared" si="496"/>
        <v>#DIV/0!</v>
      </c>
      <c r="BI685" s="2" t="e">
        <f t="shared" si="520"/>
        <v>#DIV/0!</v>
      </c>
      <c r="BJ685" s="2" t="e">
        <f t="shared" si="521"/>
        <v>#DIV/0!</v>
      </c>
      <c r="BK685" s="2" t="e">
        <f t="shared" si="533"/>
        <v>#DIV/0!</v>
      </c>
      <c r="BL685" s="2" t="e">
        <f t="shared" si="522"/>
        <v>#DIV/0!</v>
      </c>
      <c r="BM685" s="2" t="e">
        <f t="shared" si="523"/>
        <v>#DIV/0!</v>
      </c>
      <c r="BN685" s="2" t="e">
        <f t="shared" si="534"/>
        <v>#DIV/0!</v>
      </c>
    </row>
    <row r="686" spans="1:66" x14ac:dyDescent="0.25">
      <c r="A686" s="42">
        <v>683</v>
      </c>
      <c r="E686" s="6">
        <f t="shared" si="524"/>
        <v>0</v>
      </c>
      <c r="F686" s="5" t="str">
        <f t="shared" si="535"/>
        <v>Break Even</v>
      </c>
      <c r="G686" s="4">
        <f t="shared" si="536"/>
        <v>0</v>
      </c>
      <c r="N686" s="5">
        <f t="shared" si="537"/>
        <v>0</v>
      </c>
      <c r="O686" s="4" t="e">
        <f t="shared" si="538"/>
        <v>#DIV/0!</v>
      </c>
      <c r="P686" s="5">
        <f t="shared" si="497"/>
        <v>0</v>
      </c>
      <c r="R686" s="2">
        <f t="shared" si="541"/>
        <v>0</v>
      </c>
      <c r="T686" s="2">
        <f t="shared" si="525"/>
        <v>0</v>
      </c>
      <c r="V686" s="5">
        <f t="shared" si="539"/>
        <v>0</v>
      </c>
      <c r="W686" s="4" t="e">
        <f t="shared" si="540"/>
        <v>#DIV/0!</v>
      </c>
      <c r="X686" s="14">
        <f t="shared" si="498"/>
        <v>0</v>
      </c>
      <c r="Y686" s="5">
        <f t="shared" si="499"/>
        <v>0</v>
      </c>
      <c r="Z686" s="2">
        <f t="shared" si="500"/>
        <v>0</v>
      </c>
      <c r="AA686" s="4">
        <f t="shared" si="501"/>
        <v>0</v>
      </c>
      <c r="AB686" s="13">
        <f t="shared" si="502"/>
        <v>0</v>
      </c>
      <c r="AC686" s="10">
        <f>SUM($E$4:E686)</f>
        <v>-22024.091160220025</v>
      </c>
      <c r="AD686" s="20">
        <f>SUM($AB$4:AB686)</f>
        <v>13539.766460219998</v>
      </c>
      <c r="AF686" s="28" t="e">
        <f t="shared" si="503"/>
        <v>#DIV/0!</v>
      </c>
      <c r="AG686" s="2" t="e">
        <f t="shared" si="504"/>
        <v>#DIV/0!</v>
      </c>
      <c r="AH686" s="2" t="e">
        <f t="shared" si="505"/>
        <v>#DIV/0!</v>
      </c>
      <c r="AI686" s="2" t="e">
        <f t="shared" si="526"/>
        <v>#DIV/0!</v>
      </c>
      <c r="AJ686" s="2" t="e">
        <f t="shared" ref="AJ686:AJ749" si="542">0.18*AI686</f>
        <v>#DIV/0!</v>
      </c>
      <c r="AK686" s="2" t="e">
        <f t="shared" si="506"/>
        <v>#DIV/0!</v>
      </c>
      <c r="AL686" s="2" t="e">
        <f t="shared" si="507"/>
        <v>#DIV/0!</v>
      </c>
      <c r="AM686" s="2" t="e">
        <f t="shared" si="527"/>
        <v>#DIV/0!</v>
      </c>
      <c r="AN686" s="2">
        <f t="shared" si="508"/>
        <v>0</v>
      </c>
      <c r="AO686" s="2" t="e">
        <f t="shared" si="509"/>
        <v>#DIV/0!</v>
      </c>
      <c r="AP686" s="2" t="e">
        <f t="shared" si="510"/>
        <v>#DIV/0!</v>
      </c>
      <c r="AQ686" s="2" t="e">
        <f t="shared" si="528"/>
        <v>#DIV/0!</v>
      </c>
      <c r="AR686" s="2" t="e">
        <f t="shared" ref="AR686:AR749" si="543">0.18*AQ686</f>
        <v>#DIV/0!</v>
      </c>
      <c r="AS686" s="2" t="e">
        <f t="shared" si="511"/>
        <v>#DIV/0!</v>
      </c>
      <c r="AT686" s="2" t="e">
        <f t="shared" si="512"/>
        <v>#DIV/0!</v>
      </c>
      <c r="AU686" s="2" t="e">
        <f t="shared" si="529"/>
        <v>#DIV/0!</v>
      </c>
      <c r="AV686" s="2" t="e">
        <f t="shared" si="513"/>
        <v>#DIV/0!</v>
      </c>
      <c r="AW686" s="2" t="e">
        <f t="shared" si="514"/>
        <v>#DIV/0!</v>
      </c>
      <c r="AX686" s="2" t="e">
        <f t="shared" si="515"/>
        <v>#DIV/0!</v>
      </c>
      <c r="AY686" s="2" t="e">
        <f t="shared" si="530"/>
        <v>#DIV/0!</v>
      </c>
      <c r="AZ686" s="2" t="e">
        <f t="shared" ref="AZ686:AZ749" si="544">0.18*AY686</f>
        <v>#DIV/0!</v>
      </c>
      <c r="BA686" s="2" t="e">
        <f t="shared" si="516"/>
        <v>#DIV/0!</v>
      </c>
      <c r="BB686" s="2" t="e">
        <f t="shared" si="517"/>
        <v>#DIV/0!</v>
      </c>
      <c r="BC686" s="2" t="e">
        <f t="shared" si="531"/>
        <v>#DIV/0!</v>
      </c>
      <c r="BD686" s="2">
        <v>0</v>
      </c>
      <c r="BE686" s="2" t="e">
        <f t="shared" si="518"/>
        <v>#DIV/0!</v>
      </c>
      <c r="BF686" s="2" t="e">
        <f t="shared" si="519"/>
        <v>#DIV/0!</v>
      </c>
      <c r="BG686" s="2" t="e">
        <f t="shared" si="532"/>
        <v>#DIV/0!</v>
      </c>
      <c r="BH686" s="2" t="e">
        <f t="shared" ref="BH686:BH749" si="545">0.18*BG686</f>
        <v>#DIV/0!</v>
      </c>
      <c r="BI686" s="2" t="e">
        <f t="shared" si="520"/>
        <v>#DIV/0!</v>
      </c>
      <c r="BJ686" s="2" t="e">
        <f t="shared" si="521"/>
        <v>#DIV/0!</v>
      </c>
      <c r="BK686" s="2" t="e">
        <f t="shared" si="533"/>
        <v>#DIV/0!</v>
      </c>
      <c r="BL686" s="2" t="e">
        <f t="shared" si="522"/>
        <v>#DIV/0!</v>
      </c>
      <c r="BM686" s="2" t="e">
        <f t="shared" si="523"/>
        <v>#DIV/0!</v>
      </c>
      <c r="BN686" s="2" t="e">
        <f t="shared" si="534"/>
        <v>#DIV/0!</v>
      </c>
    </row>
    <row r="687" spans="1:66" x14ac:dyDescent="0.25">
      <c r="A687" s="42">
        <v>684</v>
      </c>
      <c r="E687" s="6">
        <f t="shared" si="524"/>
        <v>0</v>
      </c>
      <c r="F687" s="5" t="str">
        <f t="shared" si="535"/>
        <v>Break Even</v>
      </c>
      <c r="G687" s="4">
        <f t="shared" si="536"/>
        <v>0</v>
      </c>
      <c r="N687" s="5">
        <f t="shared" si="537"/>
        <v>0</v>
      </c>
      <c r="O687" s="4" t="e">
        <f t="shared" si="538"/>
        <v>#DIV/0!</v>
      </c>
      <c r="P687" s="5">
        <f t="shared" si="497"/>
        <v>0</v>
      </c>
      <c r="R687" s="2">
        <f t="shared" si="541"/>
        <v>0</v>
      </c>
      <c r="T687" s="2">
        <f t="shared" si="525"/>
        <v>0</v>
      </c>
      <c r="V687" s="5">
        <f t="shared" si="539"/>
        <v>0</v>
      </c>
      <c r="W687" s="4" t="e">
        <f t="shared" si="540"/>
        <v>#DIV/0!</v>
      </c>
      <c r="X687" s="14">
        <f t="shared" si="498"/>
        <v>0</v>
      </c>
      <c r="Y687" s="5">
        <f t="shared" si="499"/>
        <v>0</v>
      </c>
      <c r="Z687" s="2">
        <f t="shared" si="500"/>
        <v>0</v>
      </c>
      <c r="AA687" s="4">
        <f t="shared" si="501"/>
        <v>0</v>
      </c>
      <c r="AB687" s="13">
        <f t="shared" si="502"/>
        <v>0</v>
      </c>
      <c r="AC687" s="10">
        <f>SUM($E$4:E687)</f>
        <v>-22024.091160220025</v>
      </c>
      <c r="AD687" s="20">
        <f>SUM($AB$4:AB687)</f>
        <v>13539.766460219998</v>
      </c>
      <c r="AF687" s="28" t="e">
        <f t="shared" si="503"/>
        <v>#DIV/0!</v>
      </c>
      <c r="AG687" s="2" t="e">
        <f t="shared" si="504"/>
        <v>#DIV/0!</v>
      </c>
      <c r="AH687" s="2" t="e">
        <f t="shared" si="505"/>
        <v>#DIV/0!</v>
      </c>
      <c r="AI687" s="2" t="e">
        <f t="shared" si="526"/>
        <v>#DIV/0!</v>
      </c>
      <c r="AJ687" s="2" t="e">
        <f t="shared" si="542"/>
        <v>#DIV/0!</v>
      </c>
      <c r="AK687" s="2" t="e">
        <f t="shared" si="506"/>
        <v>#DIV/0!</v>
      </c>
      <c r="AL687" s="2" t="e">
        <f t="shared" si="507"/>
        <v>#DIV/0!</v>
      </c>
      <c r="AM687" s="2" t="e">
        <f t="shared" si="527"/>
        <v>#DIV/0!</v>
      </c>
      <c r="AN687" s="2">
        <f t="shared" si="508"/>
        <v>0</v>
      </c>
      <c r="AO687" s="2" t="e">
        <f t="shared" si="509"/>
        <v>#DIV/0!</v>
      </c>
      <c r="AP687" s="2" t="e">
        <f t="shared" si="510"/>
        <v>#DIV/0!</v>
      </c>
      <c r="AQ687" s="2" t="e">
        <f t="shared" si="528"/>
        <v>#DIV/0!</v>
      </c>
      <c r="AR687" s="2" t="e">
        <f t="shared" si="543"/>
        <v>#DIV/0!</v>
      </c>
      <c r="AS687" s="2" t="e">
        <f t="shared" si="511"/>
        <v>#DIV/0!</v>
      </c>
      <c r="AT687" s="2" t="e">
        <f t="shared" si="512"/>
        <v>#DIV/0!</v>
      </c>
      <c r="AU687" s="2" t="e">
        <f t="shared" si="529"/>
        <v>#DIV/0!</v>
      </c>
      <c r="AV687" s="2" t="e">
        <f t="shared" si="513"/>
        <v>#DIV/0!</v>
      </c>
      <c r="AW687" s="2" t="e">
        <f t="shared" si="514"/>
        <v>#DIV/0!</v>
      </c>
      <c r="AX687" s="2" t="e">
        <f t="shared" si="515"/>
        <v>#DIV/0!</v>
      </c>
      <c r="AY687" s="2" t="e">
        <f t="shared" si="530"/>
        <v>#DIV/0!</v>
      </c>
      <c r="AZ687" s="2" t="e">
        <f t="shared" si="544"/>
        <v>#DIV/0!</v>
      </c>
      <c r="BA687" s="2" t="e">
        <f t="shared" si="516"/>
        <v>#DIV/0!</v>
      </c>
      <c r="BB687" s="2" t="e">
        <f t="shared" si="517"/>
        <v>#DIV/0!</v>
      </c>
      <c r="BC687" s="2" t="e">
        <f t="shared" si="531"/>
        <v>#DIV/0!</v>
      </c>
      <c r="BD687" s="2">
        <v>0</v>
      </c>
      <c r="BE687" s="2" t="e">
        <f t="shared" si="518"/>
        <v>#DIV/0!</v>
      </c>
      <c r="BF687" s="2" t="e">
        <f t="shared" si="519"/>
        <v>#DIV/0!</v>
      </c>
      <c r="BG687" s="2" t="e">
        <f t="shared" si="532"/>
        <v>#DIV/0!</v>
      </c>
      <c r="BH687" s="2" t="e">
        <f t="shared" si="545"/>
        <v>#DIV/0!</v>
      </c>
      <c r="BI687" s="2" t="e">
        <f t="shared" si="520"/>
        <v>#DIV/0!</v>
      </c>
      <c r="BJ687" s="2" t="e">
        <f t="shared" si="521"/>
        <v>#DIV/0!</v>
      </c>
      <c r="BK687" s="2" t="e">
        <f t="shared" si="533"/>
        <v>#DIV/0!</v>
      </c>
      <c r="BL687" s="2" t="e">
        <f t="shared" si="522"/>
        <v>#DIV/0!</v>
      </c>
      <c r="BM687" s="2" t="e">
        <f t="shared" si="523"/>
        <v>#DIV/0!</v>
      </c>
      <c r="BN687" s="2" t="e">
        <f t="shared" si="534"/>
        <v>#DIV/0!</v>
      </c>
    </row>
    <row r="688" spans="1:66" x14ac:dyDescent="0.25">
      <c r="A688" s="42">
        <v>685</v>
      </c>
      <c r="E688" s="6">
        <f t="shared" si="524"/>
        <v>0</v>
      </c>
      <c r="F688" s="5" t="str">
        <f t="shared" si="535"/>
        <v>Break Even</v>
      </c>
      <c r="G688" s="4">
        <f t="shared" si="536"/>
        <v>0</v>
      </c>
      <c r="N688" s="5">
        <f t="shared" si="537"/>
        <v>0</v>
      </c>
      <c r="O688" s="4" t="e">
        <f t="shared" si="538"/>
        <v>#DIV/0!</v>
      </c>
      <c r="P688" s="5">
        <f t="shared" si="497"/>
        <v>0</v>
      </c>
      <c r="R688" s="2">
        <f t="shared" si="541"/>
        <v>0</v>
      </c>
      <c r="T688" s="2">
        <f t="shared" si="525"/>
        <v>0</v>
      </c>
      <c r="V688" s="5">
        <f t="shared" si="539"/>
        <v>0</v>
      </c>
      <c r="W688" s="4" t="e">
        <f t="shared" si="540"/>
        <v>#DIV/0!</v>
      </c>
      <c r="X688" s="14">
        <f t="shared" si="498"/>
        <v>0</v>
      </c>
      <c r="Y688" s="5">
        <f t="shared" si="499"/>
        <v>0</v>
      </c>
      <c r="Z688" s="2">
        <f t="shared" si="500"/>
        <v>0</v>
      </c>
      <c r="AA688" s="4">
        <f t="shared" si="501"/>
        <v>0</v>
      </c>
      <c r="AB688" s="13">
        <f t="shared" si="502"/>
        <v>0</v>
      </c>
      <c r="AC688" s="10">
        <f>SUM($E$4:E688)</f>
        <v>-22024.091160220025</v>
      </c>
      <c r="AD688" s="20">
        <f>SUM($AB$4:AB688)</f>
        <v>13539.766460219998</v>
      </c>
      <c r="AF688" s="28" t="e">
        <f t="shared" si="503"/>
        <v>#DIV/0!</v>
      </c>
      <c r="AG688" s="2" t="e">
        <f t="shared" si="504"/>
        <v>#DIV/0!</v>
      </c>
      <c r="AH688" s="2" t="e">
        <f t="shared" si="505"/>
        <v>#DIV/0!</v>
      </c>
      <c r="AI688" s="2" t="e">
        <f t="shared" si="526"/>
        <v>#DIV/0!</v>
      </c>
      <c r="AJ688" s="2" t="e">
        <f t="shared" si="542"/>
        <v>#DIV/0!</v>
      </c>
      <c r="AK688" s="2" t="e">
        <f t="shared" si="506"/>
        <v>#DIV/0!</v>
      </c>
      <c r="AL688" s="2" t="e">
        <f t="shared" si="507"/>
        <v>#DIV/0!</v>
      </c>
      <c r="AM688" s="2" t="e">
        <f t="shared" si="527"/>
        <v>#DIV/0!</v>
      </c>
      <c r="AN688" s="2">
        <f t="shared" si="508"/>
        <v>0</v>
      </c>
      <c r="AO688" s="2" t="e">
        <f t="shared" si="509"/>
        <v>#DIV/0!</v>
      </c>
      <c r="AP688" s="2" t="e">
        <f t="shared" si="510"/>
        <v>#DIV/0!</v>
      </c>
      <c r="AQ688" s="2" t="e">
        <f t="shared" si="528"/>
        <v>#DIV/0!</v>
      </c>
      <c r="AR688" s="2" t="e">
        <f t="shared" si="543"/>
        <v>#DIV/0!</v>
      </c>
      <c r="AS688" s="2" t="e">
        <f t="shared" si="511"/>
        <v>#DIV/0!</v>
      </c>
      <c r="AT688" s="2" t="e">
        <f t="shared" si="512"/>
        <v>#DIV/0!</v>
      </c>
      <c r="AU688" s="2" t="e">
        <f t="shared" si="529"/>
        <v>#DIV/0!</v>
      </c>
      <c r="AV688" s="2" t="e">
        <f t="shared" si="513"/>
        <v>#DIV/0!</v>
      </c>
      <c r="AW688" s="2" t="e">
        <f t="shared" si="514"/>
        <v>#DIV/0!</v>
      </c>
      <c r="AX688" s="2" t="e">
        <f t="shared" si="515"/>
        <v>#DIV/0!</v>
      </c>
      <c r="AY688" s="2" t="e">
        <f t="shared" si="530"/>
        <v>#DIV/0!</v>
      </c>
      <c r="AZ688" s="2" t="e">
        <f t="shared" si="544"/>
        <v>#DIV/0!</v>
      </c>
      <c r="BA688" s="2" t="e">
        <f t="shared" si="516"/>
        <v>#DIV/0!</v>
      </c>
      <c r="BB688" s="2" t="e">
        <f t="shared" si="517"/>
        <v>#DIV/0!</v>
      </c>
      <c r="BC688" s="2" t="e">
        <f t="shared" si="531"/>
        <v>#DIV/0!</v>
      </c>
      <c r="BD688" s="2">
        <v>0</v>
      </c>
      <c r="BE688" s="2" t="e">
        <f t="shared" si="518"/>
        <v>#DIV/0!</v>
      </c>
      <c r="BF688" s="2" t="e">
        <f t="shared" si="519"/>
        <v>#DIV/0!</v>
      </c>
      <c r="BG688" s="2" t="e">
        <f t="shared" si="532"/>
        <v>#DIV/0!</v>
      </c>
      <c r="BH688" s="2" t="e">
        <f t="shared" si="545"/>
        <v>#DIV/0!</v>
      </c>
      <c r="BI688" s="2" t="e">
        <f t="shared" si="520"/>
        <v>#DIV/0!</v>
      </c>
      <c r="BJ688" s="2" t="e">
        <f t="shared" si="521"/>
        <v>#DIV/0!</v>
      </c>
      <c r="BK688" s="2" t="e">
        <f t="shared" si="533"/>
        <v>#DIV/0!</v>
      </c>
      <c r="BL688" s="2" t="e">
        <f t="shared" si="522"/>
        <v>#DIV/0!</v>
      </c>
      <c r="BM688" s="2" t="e">
        <f t="shared" si="523"/>
        <v>#DIV/0!</v>
      </c>
      <c r="BN688" s="2" t="e">
        <f t="shared" si="534"/>
        <v>#DIV/0!</v>
      </c>
    </row>
    <row r="689" spans="1:66" x14ac:dyDescent="0.25">
      <c r="A689" s="42">
        <v>686</v>
      </c>
      <c r="E689" s="6">
        <f t="shared" si="524"/>
        <v>0</v>
      </c>
      <c r="F689" s="5" t="str">
        <f t="shared" si="535"/>
        <v>Break Even</v>
      </c>
      <c r="G689" s="4">
        <f t="shared" si="536"/>
        <v>0</v>
      </c>
      <c r="N689" s="5">
        <f t="shared" si="537"/>
        <v>0</v>
      </c>
      <c r="O689" s="4" t="e">
        <f t="shared" si="538"/>
        <v>#DIV/0!</v>
      </c>
      <c r="P689" s="5">
        <f t="shared" si="497"/>
        <v>0</v>
      </c>
      <c r="R689" s="2">
        <f t="shared" si="541"/>
        <v>0</v>
      </c>
      <c r="T689" s="2">
        <f t="shared" si="525"/>
        <v>0</v>
      </c>
      <c r="V689" s="5">
        <f t="shared" si="539"/>
        <v>0</v>
      </c>
      <c r="W689" s="4" t="e">
        <f t="shared" si="540"/>
        <v>#DIV/0!</v>
      </c>
      <c r="X689" s="14">
        <f t="shared" si="498"/>
        <v>0</v>
      </c>
      <c r="Y689" s="5">
        <f t="shared" si="499"/>
        <v>0</v>
      </c>
      <c r="Z689" s="2">
        <f t="shared" si="500"/>
        <v>0</v>
      </c>
      <c r="AA689" s="4">
        <f t="shared" si="501"/>
        <v>0</v>
      </c>
      <c r="AB689" s="13">
        <f t="shared" si="502"/>
        <v>0</v>
      </c>
      <c r="AC689" s="10">
        <f>SUM($E$4:E689)</f>
        <v>-22024.091160220025</v>
      </c>
      <c r="AD689" s="20">
        <f>SUM($AB$4:AB689)</f>
        <v>13539.766460219998</v>
      </c>
      <c r="AF689" s="28" t="e">
        <f t="shared" si="503"/>
        <v>#DIV/0!</v>
      </c>
      <c r="AG689" s="2" t="e">
        <f t="shared" si="504"/>
        <v>#DIV/0!</v>
      </c>
      <c r="AH689" s="2" t="e">
        <f t="shared" si="505"/>
        <v>#DIV/0!</v>
      </c>
      <c r="AI689" s="2" t="e">
        <f t="shared" si="526"/>
        <v>#DIV/0!</v>
      </c>
      <c r="AJ689" s="2" t="e">
        <f t="shared" si="542"/>
        <v>#DIV/0!</v>
      </c>
      <c r="AK689" s="2" t="e">
        <f t="shared" si="506"/>
        <v>#DIV/0!</v>
      </c>
      <c r="AL689" s="2" t="e">
        <f t="shared" si="507"/>
        <v>#DIV/0!</v>
      </c>
      <c r="AM689" s="2" t="e">
        <f t="shared" si="527"/>
        <v>#DIV/0!</v>
      </c>
      <c r="AN689" s="2">
        <f t="shared" si="508"/>
        <v>0</v>
      </c>
      <c r="AO689" s="2" t="e">
        <f t="shared" si="509"/>
        <v>#DIV/0!</v>
      </c>
      <c r="AP689" s="2" t="e">
        <f t="shared" si="510"/>
        <v>#DIV/0!</v>
      </c>
      <c r="AQ689" s="2" t="e">
        <f t="shared" si="528"/>
        <v>#DIV/0!</v>
      </c>
      <c r="AR689" s="2" t="e">
        <f t="shared" si="543"/>
        <v>#DIV/0!</v>
      </c>
      <c r="AS689" s="2" t="e">
        <f t="shared" si="511"/>
        <v>#DIV/0!</v>
      </c>
      <c r="AT689" s="2" t="e">
        <f t="shared" si="512"/>
        <v>#DIV/0!</v>
      </c>
      <c r="AU689" s="2" t="e">
        <f t="shared" si="529"/>
        <v>#DIV/0!</v>
      </c>
      <c r="AV689" s="2" t="e">
        <f t="shared" si="513"/>
        <v>#DIV/0!</v>
      </c>
      <c r="AW689" s="2" t="e">
        <f t="shared" si="514"/>
        <v>#DIV/0!</v>
      </c>
      <c r="AX689" s="2" t="e">
        <f t="shared" si="515"/>
        <v>#DIV/0!</v>
      </c>
      <c r="AY689" s="2" t="e">
        <f t="shared" si="530"/>
        <v>#DIV/0!</v>
      </c>
      <c r="AZ689" s="2" t="e">
        <f t="shared" si="544"/>
        <v>#DIV/0!</v>
      </c>
      <c r="BA689" s="2" t="e">
        <f t="shared" si="516"/>
        <v>#DIV/0!</v>
      </c>
      <c r="BB689" s="2" t="e">
        <f t="shared" si="517"/>
        <v>#DIV/0!</v>
      </c>
      <c r="BC689" s="2" t="e">
        <f t="shared" si="531"/>
        <v>#DIV/0!</v>
      </c>
      <c r="BD689" s="2">
        <v>0</v>
      </c>
      <c r="BE689" s="2" t="e">
        <f t="shared" si="518"/>
        <v>#DIV/0!</v>
      </c>
      <c r="BF689" s="2" t="e">
        <f t="shared" si="519"/>
        <v>#DIV/0!</v>
      </c>
      <c r="BG689" s="2" t="e">
        <f t="shared" si="532"/>
        <v>#DIV/0!</v>
      </c>
      <c r="BH689" s="2" t="e">
        <f t="shared" si="545"/>
        <v>#DIV/0!</v>
      </c>
      <c r="BI689" s="2" t="e">
        <f t="shared" si="520"/>
        <v>#DIV/0!</v>
      </c>
      <c r="BJ689" s="2" t="e">
        <f t="shared" si="521"/>
        <v>#DIV/0!</v>
      </c>
      <c r="BK689" s="2" t="e">
        <f t="shared" si="533"/>
        <v>#DIV/0!</v>
      </c>
      <c r="BL689" s="2" t="e">
        <f t="shared" si="522"/>
        <v>#DIV/0!</v>
      </c>
      <c r="BM689" s="2" t="e">
        <f t="shared" si="523"/>
        <v>#DIV/0!</v>
      </c>
      <c r="BN689" s="2" t="e">
        <f t="shared" si="534"/>
        <v>#DIV/0!</v>
      </c>
    </row>
    <row r="690" spans="1:66" x14ac:dyDescent="0.25">
      <c r="A690" s="42">
        <v>687</v>
      </c>
      <c r="E690" s="6">
        <f t="shared" si="524"/>
        <v>0</v>
      </c>
      <c r="F690" s="5" t="str">
        <f t="shared" si="535"/>
        <v>Break Even</v>
      </c>
      <c r="G690" s="4">
        <f t="shared" si="536"/>
        <v>0</v>
      </c>
      <c r="N690" s="5">
        <f t="shared" si="537"/>
        <v>0</v>
      </c>
      <c r="O690" s="4" t="e">
        <f t="shared" si="538"/>
        <v>#DIV/0!</v>
      </c>
      <c r="P690" s="5">
        <f t="shared" si="497"/>
        <v>0</v>
      </c>
      <c r="R690" s="2">
        <f t="shared" si="541"/>
        <v>0</v>
      </c>
      <c r="T690" s="2">
        <f t="shared" si="525"/>
        <v>0</v>
      </c>
      <c r="V690" s="5">
        <f t="shared" si="539"/>
        <v>0</v>
      </c>
      <c r="W690" s="4" t="e">
        <f t="shared" si="540"/>
        <v>#DIV/0!</v>
      </c>
      <c r="X690" s="14">
        <f t="shared" si="498"/>
        <v>0</v>
      </c>
      <c r="Y690" s="5">
        <f t="shared" si="499"/>
        <v>0</v>
      </c>
      <c r="Z690" s="2">
        <f t="shared" si="500"/>
        <v>0</v>
      </c>
      <c r="AA690" s="4">
        <f t="shared" si="501"/>
        <v>0</v>
      </c>
      <c r="AB690" s="13">
        <f t="shared" si="502"/>
        <v>0</v>
      </c>
      <c r="AC690" s="10">
        <f>SUM($E$4:E690)</f>
        <v>-22024.091160220025</v>
      </c>
      <c r="AD690" s="20">
        <f>SUM($AB$4:AB690)</f>
        <v>13539.766460219998</v>
      </c>
      <c r="AF690" s="28" t="e">
        <f t="shared" si="503"/>
        <v>#DIV/0!</v>
      </c>
      <c r="AG690" s="2" t="e">
        <f t="shared" si="504"/>
        <v>#DIV/0!</v>
      </c>
      <c r="AH690" s="2" t="e">
        <f t="shared" si="505"/>
        <v>#DIV/0!</v>
      </c>
      <c r="AI690" s="2" t="e">
        <f t="shared" si="526"/>
        <v>#DIV/0!</v>
      </c>
      <c r="AJ690" s="2" t="e">
        <f t="shared" si="542"/>
        <v>#DIV/0!</v>
      </c>
      <c r="AK690" s="2" t="e">
        <f t="shared" si="506"/>
        <v>#DIV/0!</v>
      </c>
      <c r="AL690" s="2" t="e">
        <f t="shared" si="507"/>
        <v>#DIV/0!</v>
      </c>
      <c r="AM690" s="2" t="e">
        <f t="shared" si="527"/>
        <v>#DIV/0!</v>
      </c>
      <c r="AN690" s="2">
        <f t="shared" si="508"/>
        <v>0</v>
      </c>
      <c r="AO690" s="2" t="e">
        <f t="shared" si="509"/>
        <v>#DIV/0!</v>
      </c>
      <c r="AP690" s="2" t="e">
        <f t="shared" si="510"/>
        <v>#DIV/0!</v>
      </c>
      <c r="AQ690" s="2" t="e">
        <f t="shared" si="528"/>
        <v>#DIV/0!</v>
      </c>
      <c r="AR690" s="2" t="e">
        <f t="shared" si="543"/>
        <v>#DIV/0!</v>
      </c>
      <c r="AS690" s="2" t="e">
        <f t="shared" si="511"/>
        <v>#DIV/0!</v>
      </c>
      <c r="AT690" s="2" t="e">
        <f t="shared" si="512"/>
        <v>#DIV/0!</v>
      </c>
      <c r="AU690" s="2" t="e">
        <f t="shared" si="529"/>
        <v>#DIV/0!</v>
      </c>
      <c r="AV690" s="2" t="e">
        <f t="shared" si="513"/>
        <v>#DIV/0!</v>
      </c>
      <c r="AW690" s="2" t="e">
        <f t="shared" si="514"/>
        <v>#DIV/0!</v>
      </c>
      <c r="AX690" s="2" t="e">
        <f t="shared" si="515"/>
        <v>#DIV/0!</v>
      </c>
      <c r="AY690" s="2" t="e">
        <f t="shared" si="530"/>
        <v>#DIV/0!</v>
      </c>
      <c r="AZ690" s="2" t="e">
        <f t="shared" si="544"/>
        <v>#DIV/0!</v>
      </c>
      <c r="BA690" s="2" t="e">
        <f t="shared" si="516"/>
        <v>#DIV/0!</v>
      </c>
      <c r="BB690" s="2" t="e">
        <f t="shared" si="517"/>
        <v>#DIV/0!</v>
      </c>
      <c r="BC690" s="2" t="e">
        <f t="shared" si="531"/>
        <v>#DIV/0!</v>
      </c>
      <c r="BD690" s="2">
        <v>0</v>
      </c>
      <c r="BE690" s="2" t="e">
        <f t="shared" si="518"/>
        <v>#DIV/0!</v>
      </c>
      <c r="BF690" s="2" t="e">
        <f t="shared" si="519"/>
        <v>#DIV/0!</v>
      </c>
      <c r="BG690" s="2" t="e">
        <f t="shared" si="532"/>
        <v>#DIV/0!</v>
      </c>
      <c r="BH690" s="2" t="e">
        <f t="shared" si="545"/>
        <v>#DIV/0!</v>
      </c>
      <c r="BI690" s="2" t="e">
        <f t="shared" si="520"/>
        <v>#DIV/0!</v>
      </c>
      <c r="BJ690" s="2" t="e">
        <f t="shared" si="521"/>
        <v>#DIV/0!</v>
      </c>
      <c r="BK690" s="2" t="e">
        <f t="shared" si="533"/>
        <v>#DIV/0!</v>
      </c>
      <c r="BL690" s="2" t="e">
        <f t="shared" si="522"/>
        <v>#DIV/0!</v>
      </c>
      <c r="BM690" s="2" t="e">
        <f t="shared" si="523"/>
        <v>#DIV/0!</v>
      </c>
      <c r="BN690" s="2" t="e">
        <f t="shared" si="534"/>
        <v>#DIV/0!</v>
      </c>
    </row>
    <row r="691" spans="1:66" x14ac:dyDescent="0.25">
      <c r="A691" s="42">
        <v>688</v>
      </c>
      <c r="E691" s="6">
        <f t="shared" si="524"/>
        <v>0</v>
      </c>
      <c r="F691" s="5" t="str">
        <f t="shared" si="535"/>
        <v>Break Even</v>
      </c>
      <c r="G691" s="4">
        <f t="shared" si="536"/>
        <v>0</v>
      </c>
      <c r="N691" s="5">
        <f t="shared" si="537"/>
        <v>0</v>
      </c>
      <c r="O691" s="4" t="e">
        <f t="shared" si="538"/>
        <v>#DIV/0!</v>
      </c>
      <c r="P691" s="5">
        <f t="shared" si="497"/>
        <v>0</v>
      </c>
      <c r="R691" s="2">
        <f t="shared" si="541"/>
        <v>0</v>
      </c>
      <c r="T691" s="2">
        <f t="shared" si="525"/>
        <v>0</v>
      </c>
      <c r="V691" s="5">
        <f t="shared" si="539"/>
        <v>0</v>
      </c>
      <c r="W691" s="4" t="e">
        <f t="shared" si="540"/>
        <v>#DIV/0!</v>
      </c>
      <c r="X691" s="14">
        <f t="shared" si="498"/>
        <v>0</v>
      </c>
      <c r="Y691" s="5">
        <f t="shared" si="499"/>
        <v>0</v>
      </c>
      <c r="Z691" s="2">
        <f t="shared" si="500"/>
        <v>0</v>
      </c>
      <c r="AA691" s="4">
        <f t="shared" si="501"/>
        <v>0</v>
      </c>
      <c r="AB691" s="13">
        <f t="shared" si="502"/>
        <v>0</v>
      </c>
      <c r="AC691" s="10">
        <f>SUM($E$4:E691)</f>
        <v>-22024.091160220025</v>
      </c>
      <c r="AD691" s="20">
        <f>SUM($AB$4:AB691)</f>
        <v>13539.766460219998</v>
      </c>
      <c r="AF691" s="28" t="e">
        <f t="shared" si="503"/>
        <v>#DIV/0!</v>
      </c>
      <c r="AG691" s="2" t="e">
        <f t="shared" si="504"/>
        <v>#DIV/0!</v>
      </c>
      <c r="AH691" s="2" t="e">
        <f t="shared" si="505"/>
        <v>#DIV/0!</v>
      </c>
      <c r="AI691" s="2" t="e">
        <f t="shared" si="526"/>
        <v>#DIV/0!</v>
      </c>
      <c r="AJ691" s="2" t="e">
        <f t="shared" si="542"/>
        <v>#DIV/0!</v>
      </c>
      <c r="AK691" s="2" t="e">
        <f t="shared" si="506"/>
        <v>#DIV/0!</v>
      </c>
      <c r="AL691" s="2" t="e">
        <f t="shared" si="507"/>
        <v>#DIV/0!</v>
      </c>
      <c r="AM691" s="2" t="e">
        <f t="shared" si="527"/>
        <v>#DIV/0!</v>
      </c>
      <c r="AN691" s="2">
        <f t="shared" si="508"/>
        <v>0</v>
      </c>
      <c r="AO691" s="2" t="e">
        <f t="shared" si="509"/>
        <v>#DIV/0!</v>
      </c>
      <c r="AP691" s="2" t="e">
        <f t="shared" si="510"/>
        <v>#DIV/0!</v>
      </c>
      <c r="AQ691" s="2" t="e">
        <f t="shared" si="528"/>
        <v>#DIV/0!</v>
      </c>
      <c r="AR691" s="2" t="e">
        <f t="shared" si="543"/>
        <v>#DIV/0!</v>
      </c>
      <c r="AS691" s="2" t="e">
        <f t="shared" si="511"/>
        <v>#DIV/0!</v>
      </c>
      <c r="AT691" s="2" t="e">
        <f t="shared" si="512"/>
        <v>#DIV/0!</v>
      </c>
      <c r="AU691" s="2" t="e">
        <f t="shared" si="529"/>
        <v>#DIV/0!</v>
      </c>
      <c r="AV691" s="2" t="e">
        <f t="shared" si="513"/>
        <v>#DIV/0!</v>
      </c>
      <c r="AW691" s="2" t="e">
        <f t="shared" si="514"/>
        <v>#DIV/0!</v>
      </c>
      <c r="AX691" s="2" t="e">
        <f t="shared" si="515"/>
        <v>#DIV/0!</v>
      </c>
      <c r="AY691" s="2" t="e">
        <f t="shared" si="530"/>
        <v>#DIV/0!</v>
      </c>
      <c r="AZ691" s="2" t="e">
        <f t="shared" si="544"/>
        <v>#DIV/0!</v>
      </c>
      <c r="BA691" s="2" t="e">
        <f t="shared" si="516"/>
        <v>#DIV/0!</v>
      </c>
      <c r="BB691" s="2" t="e">
        <f t="shared" si="517"/>
        <v>#DIV/0!</v>
      </c>
      <c r="BC691" s="2" t="e">
        <f t="shared" si="531"/>
        <v>#DIV/0!</v>
      </c>
      <c r="BD691" s="2">
        <v>0</v>
      </c>
      <c r="BE691" s="2" t="e">
        <f t="shared" si="518"/>
        <v>#DIV/0!</v>
      </c>
      <c r="BF691" s="2" t="e">
        <f t="shared" si="519"/>
        <v>#DIV/0!</v>
      </c>
      <c r="BG691" s="2" t="e">
        <f t="shared" si="532"/>
        <v>#DIV/0!</v>
      </c>
      <c r="BH691" s="2" t="e">
        <f t="shared" si="545"/>
        <v>#DIV/0!</v>
      </c>
      <c r="BI691" s="2" t="e">
        <f t="shared" si="520"/>
        <v>#DIV/0!</v>
      </c>
      <c r="BJ691" s="2" t="e">
        <f t="shared" si="521"/>
        <v>#DIV/0!</v>
      </c>
      <c r="BK691" s="2" t="e">
        <f t="shared" si="533"/>
        <v>#DIV/0!</v>
      </c>
      <c r="BL691" s="2" t="e">
        <f t="shared" si="522"/>
        <v>#DIV/0!</v>
      </c>
      <c r="BM691" s="2" t="e">
        <f t="shared" si="523"/>
        <v>#DIV/0!</v>
      </c>
      <c r="BN691" s="2" t="e">
        <f t="shared" si="534"/>
        <v>#DIV/0!</v>
      </c>
    </row>
    <row r="692" spans="1:66" x14ac:dyDescent="0.25">
      <c r="A692" s="42">
        <v>689</v>
      </c>
      <c r="E692" s="6">
        <f t="shared" si="524"/>
        <v>0</v>
      </c>
      <c r="F692" s="5" t="str">
        <f t="shared" si="535"/>
        <v>Break Even</v>
      </c>
      <c r="G692" s="4">
        <f t="shared" si="536"/>
        <v>0</v>
      </c>
      <c r="N692" s="5">
        <f t="shared" si="537"/>
        <v>0</v>
      </c>
      <c r="O692" s="4" t="e">
        <f t="shared" si="538"/>
        <v>#DIV/0!</v>
      </c>
      <c r="P692" s="5">
        <f t="shared" si="497"/>
        <v>0</v>
      </c>
      <c r="R692" s="2">
        <f t="shared" si="541"/>
        <v>0</v>
      </c>
      <c r="T692" s="2">
        <f t="shared" si="525"/>
        <v>0</v>
      </c>
      <c r="V692" s="5">
        <f t="shared" si="539"/>
        <v>0</v>
      </c>
      <c r="W692" s="4" t="e">
        <f t="shared" si="540"/>
        <v>#DIV/0!</v>
      </c>
      <c r="X692" s="14">
        <f t="shared" si="498"/>
        <v>0</v>
      </c>
      <c r="Y692" s="5">
        <f t="shared" si="499"/>
        <v>0</v>
      </c>
      <c r="Z692" s="2">
        <f t="shared" si="500"/>
        <v>0</v>
      </c>
      <c r="AA692" s="4">
        <f t="shared" si="501"/>
        <v>0</v>
      </c>
      <c r="AB692" s="13">
        <f t="shared" si="502"/>
        <v>0</v>
      </c>
      <c r="AC692" s="10">
        <f>SUM($E$4:E692)</f>
        <v>-22024.091160220025</v>
      </c>
      <c r="AD692" s="20">
        <f>SUM($AB$4:AB692)</f>
        <v>13539.766460219998</v>
      </c>
      <c r="AF692" s="28" t="e">
        <f t="shared" si="503"/>
        <v>#DIV/0!</v>
      </c>
      <c r="AG692" s="2" t="e">
        <f t="shared" si="504"/>
        <v>#DIV/0!</v>
      </c>
      <c r="AH692" s="2" t="e">
        <f t="shared" si="505"/>
        <v>#DIV/0!</v>
      </c>
      <c r="AI692" s="2" t="e">
        <f t="shared" si="526"/>
        <v>#DIV/0!</v>
      </c>
      <c r="AJ692" s="2" t="e">
        <f t="shared" si="542"/>
        <v>#DIV/0!</v>
      </c>
      <c r="AK692" s="2" t="e">
        <f t="shared" si="506"/>
        <v>#DIV/0!</v>
      </c>
      <c r="AL692" s="2" t="e">
        <f t="shared" si="507"/>
        <v>#DIV/0!</v>
      </c>
      <c r="AM692" s="2" t="e">
        <f t="shared" si="527"/>
        <v>#DIV/0!</v>
      </c>
      <c r="AN692" s="2">
        <f t="shared" si="508"/>
        <v>0</v>
      </c>
      <c r="AO692" s="2" t="e">
        <f t="shared" si="509"/>
        <v>#DIV/0!</v>
      </c>
      <c r="AP692" s="2" t="e">
        <f t="shared" si="510"/>
        <v>#DIV/0!</v>
      </c>
      <c r="AQ692" s="2" t="e">
        <f t="shared" si="528"/>
        <v>#DIV/0!</v>
      </c>
      <c r="AR692" s="2" t="e">
        <f t="shared" si="543"/>
        <v>#DIV/0!</v>
      </c>
      <c r="AS692" s="2" t="e">
        <f t="shared" si="511"/>
        <v>#DIV/0!</v>
      </c>
      <c r="AT692" s="2" t="e">
        <f t="shared" si="512"/>
        <v>#DIV/0!</v>
      </c>
      <c r="AU692" s="2" t="e">
        <f t="shared" si="529"/>
        <v>#DIV/0!</v>
      </c>
      <c r="AV692" s="2" t="e">
        <f t="shared" si="513"/>
        <v>#DIV/0!</v>
      </c>
      <c r="AW692" s="2" t="e">
        <f t="shared" si="514"/>
        <v>#DIV/0!</v>
      </c>
      <c r="AX692" s="2" t="e">
        <f t="shared" si="515"/>
        <v>#DIV/0!</v>
      </c>
      <c r="AY692" s="2" t="e">
        <f t="shared" si="530"/>
        <v>#DIV/0!</v>
      </c>
      <c r="AZ692" s="2" t="e">
        <f t="shared" si="544"/>
        <v>#DIV/0!</v>
      </c>
      <c r="BA692" s="2" t="e">
        <f t="shared" si="516"/>
        <v>#DIV/0!</v>
      </c>
      <c r="BB692" s="2" t="e">
        <f t="shared" si="517"/>
        <v>#DIV/0!</v>
      </c>
      <c r="BC692" s="2" t="e">
        <f t="shared" si="531"/>
        <v>#DIV/0!</v>
      </c>
      <c r="BD692" s="2">
        <v>0</v>
      </c>
      <c r="BE692" s="2" t="e">
        <f t="shared" si="518"/>
        <v>#DIV/0!</v>
      </c>
      <c r="BF692" s="2" t="e">
        <f t="shared" si="519"/>
        <v>#DIV/0!</v>
      </c>
      <c r="BG692" s="2" t="e">
        <f t="shared" si="532"/>
        <v>#DIV/0!</v>
      </c>
      <c r="BH692" s="2" t="e">
        <f t="shared" si="545"/>
        <v>#DIV/0!</v>
      </c>
      <c r="BI692" s="2" t="e">
        <f t="shared" si="520"/>
        <v>#DIV/0!</v>
      </c>
      <c r="BJ692" s="2" t="e">
        <f t="shared" si="521"/>
        <v>#DIV/0!</v>
      </c>
      <c r="BK692" s="2" t="e">
        <f t="shared" si="533"/>
        <v>#DIV/0!</v>
      </c>
      <c r="BL692" s="2" t="e">
        <f t="shared" si="522"/>
        <v>#DIV/0!</v>
      </c>
      <c r="BM692" s="2" t="e">
        <f t="shared" si="523"/>
        <v>#DIV/0!</v>
      </c>
      <c r="BN692" s="2" t="e">
        <f t="shared" si="534"/>
        <v>#DIV/0!</v>
      </c>
    </row>
    <row r="693" spans="1:66" x14ac:dyDescent="0.25">
      <c r="A693" s="42">
        <v>690</v>
      </c>
      <c r="E693" s="6">
        <f t="shared" si="524"/>
        <v>0</v>
      </c>
      <c r="F693" s="5" t="str">
        <f t="shared" si="535"/>
        <v>Break Even</v>
      </c>
      <c r="G693" s="4">
        <f t="shared" si="536"/>
        <v>0</v>
      </c>
      <c r="N693" s="5">
        <f t="shared" si="537"/>
        <v>0</v>
      </c>
      <c r="O693" s="4" t="e">
        <f t="shared" si="538"/>
        <v>#DIV/0!</v>
      </c>
      <c r="P693" s="5">
        <f t="shared" si="497"/>
        <v>0</v>
      </c>
      <c r="R693" s="2">
        <f t="shared" si="541"/>
        <v>0</v>
      </c>
      <c r="T693" s="2">
        <f t="shared" si="525"/>
        <v>0</v>
      </c>
      <c r="V693" s="5">
        <f t="shared" si="539"/>
        <v>0</v>
      </c>
      <c r="W693" s="4" t="e">
        <f t="shared" si="540"/>
        <v>#DIV/0!</v>
      </c>
      <c r="X693" s="14">
        <f t="shared" si="498"/>
        <v>0</v>
      </c>
      <c r="Y693" s="5">
        <f t="shared" si="499"/>
        <v>0</v>
      </c>
      <c r="Z693" s="2">
        <f t="shared" si="500"/>
        <v>0</v>
      </c>
      <c r="AA693" s="4">
        <f t="shared" si="501"/>
        <v>0</v>
      </c>
      <c r="AB693" s="13">
        <f t="shared" si="502"/>
        <v>0</v>
      </c>
      <c r="AC693" s="10">
        <f>SUM($E$4:E693)</f>
        <v>-22024.091160220025</v>
      </c>
      <c r="AD693" s="20">
        <f>SUM($AB$4:AB693)</f>
        <v>13539.766460219998</v>
      </c>
      <c r="AF693" s="28" t="e">
        <f t="shared" si="503"/>
        <v>#DIV/0!</v>
      </c>
      <c r="AG693" s="2" t="e">
        <f t="shared" si="504"/>
        <v>#DIV/0!</v>
      </c>
      <c r="AH693" s="2" t="e">
        <f t="shared" si="505"/>
        <v>#DIV/0!</v>
      </c>
      <c r="AI693" s="2" t="e">
        <f t="shared" si="526"/>
        <v>#DIV/0!</v>
      </c>
      <c r="AJ693" s="2" t="e">
        <f t="shared" si="542"/>
        <v>#DIV/0!</v>
      </c>
      <c r="AK693" s="2" t="e">
        <f t="shared" si="506"/>
        <v>#DIV/0!</v>
      </c>
      <c r="AL693" s="2" t="e">
        <f t="shared" si="507"/>
        <v>#DIV/0!</v>
      </c>
      <c r="AM693" s="2" t="e">
        <f t="shared" si="527"/>
        <v>#DIV/0!</v>
      </c>
      <c r="AN693" s="2">
        <f t="shared" si="508"/>
        <v>0</v>
      </c>
      <c r="AO693" s="2" t="e">
        <f t="shared" si="509"/>
        <v>#DIV/0!</v>
      </c>
      <c r="AP693" s="2" t="e">
        <f t="shared" si="510"/>
        <v>#DIV/0!</v>
      </c>
      <c r="AQ693" s="2" t="e">
        <f t="shared" si="528"/>
        <v>#DIV/0!</v>
      </c>
      <c r="AR693" s="2" t="e">
        <f t="shared" si="543"/>
        <v>#DIV/0!</v>
      </c>
      <c r="AS693" s="2" t="e">
        <f t="shared" si="511"/>
        <v>#DIV/0!</v>
      </c>
      <c r="AT693" s="2" t="e">
        <f t="shared" si="512"/>
        <v>#DIV/0!</v>
      </c>
      <c r="AU693" s="2" t="e">
        <f t="shared" si="529"/>
        <v>#DIV/0!</v>
      </c>
      <c r="AV693" s="2" t="e">
        <f t="shared" si="513"/>
        <v>#DIV/0!</v>
      </c>
      <c r="AW693" s="2" t="e">
        <f t="shared" si="514"/>
        <v>#DIV/0!</v>
      </c>
      <c r="AX693" s="2" t="e">
        <f t="shared" si="515"/>
        <v>#DIV/0!</v>
      </c>
      <c r="AY693" s="2" t="e">
        <f t="shared" si="530"/>
        <v>#DIV/0!</v>
      </c>
      <c r="AZ693" s="2" t="e">
        <f t="shared" si="544"/>
        <v>#DIV/0!</v>
      </c>
      <c r="BA693" s="2" t="e">
        <f t="shared" si="516"/>
        <v>#DIV/0!</v>
      </c>
      <c r="BB693" s="2" t="e">
        <f t="shared" si="517"/>
        <v>#DIV/0!</v>
      </c>
      <c r="BC693" s="2" t="e">
        <f t="shared" si="531"/>
        <v>#DIV/0!</v>
      </c>
      <c r="BD693" s="2">
        <v>0</v>
      </c>
      <c r="BE693" s="2" t="e">
        <f t="shared" si="518"/>
        <v>#DIV/0!</v>
      </c>
      <c r="BF693" s="2" t="e">
        <f t="shared" si="519"/>
        <v>#DIV/0!</v>
      </c>
      <c r="BG693" s="2" t="e">
        <f t="shared" si="532"/>
        <v>#DIV/0!</v>
      </c>
      <c r="BH693" s="2" t="e">
        <f t="shared" si="545"/>
        <v>#DIV/0!</v>
      </c>
      <c r="BI693" s="2" t="e">
        <f t="shared" si="520"/>
        <v>#DIV/0!</v>
      </c>
      <c r="BJ693" s="2" t="e">
        <f t="shared" si="521"/>
        <v>#DIV/0!</v>
      </c>
      <c r="BK693" s="2" t="e">
        <f t="shared" si="533"/>
        <v>#DIV/0!</v>
      </c>
      <c r="BL693" s="2" t="e">
        <f t="shared" si="522"/>
        <v>#DIV/0!</v>
      </c>
      <c r="BM693" s="2" t="e">
        <f t="shared" si="523"/>
        <v>#DIV/0!</v>
      </c>
      <c r="BN693" s="2" t="e">
        <f t="shared" si="534"/>
        <v>#DIV/0!</v>
      </c>
    </row>
    <row r="694" spans="1:66" x14ac:dyDescent="0.25">
      <c r="A694" s="42">
        <v>691</v>
      </c>
      <c r="E694" s="6">
        <f t="shared" si="524"/>
        <v>0</v>
      </c>
      <c r="F694" s="5" t="str">
        <f t="shared" si="535"/>
        <v>Break Even</v>
      </c>
      <c r="G694" s="4">
        <f t="shared" si="536"/>
        <v>0</v>
      </c>
      <c r="N694" s="5">
        <f t="shared" si="537"/>
        <v>0</v>
      </c>
      <c r="O694" s="4" t="e">
        <f t="shared" si="538"/>
        <v>#DIV/0!</v>
      </c>
      <c r="P694" s="5">
        <f t="shared" si="497"/>
        <v>0</v>
      </c>
      <c r="R694" s="2">
        <f t="shared" si="541"/>
        <v>0</v>
      </c>
      <c r="T694" s="2">
        <f t="shared" si="525"/>
        <v>0</v>
      </c>
      <c r="V694" s="5">
        <f t="shared" si="539"/>
        <v>0</v>
      </c>
      <c r="W694" s="4" t="e">
        <f t="shared" si="540"/>
        <v>#DIV/0!</v>
      </c>
      <c r="X694" s="14">
        <f t="shared" si="498"/>
        <v>0</v>
      </c>
      <c r="Y694" s="5">
        <f t="shared" si="499"/>
        <v>0</v>
      </c>
      <c r="Z694" s="2">
        <f t="shared" si="500"/>
        <v>0</v>
      </c>
      <c r="AA694" s="4">
        <f t="shared" si="501"/>
        <v>0</v>
      </c>
      <c r="AB694" s="13">
        <f t="shared" si="502"/>
        <v>0</v>
      </c>
      <c r="AC694" s="10">
        <f>SUM($E$4:E694)</f>
        <v>-22024.091160220025</v>
      </c>
      <c r="AD694" s="20">
        <f>SUM($AB$4:AB694)</f>
        <v>13539.766460219998</v>
      </c>
      <c r="AF694" s="28" t="e">
        <f t="shared" si="503"/>
        <v>#DIV/0!</v>
      </c>
      <c r="AG694" s="2" t="e">
        <f t="shared" si="504"/>
        <v>#DIV/0!</v>
      </c>
      <c r="AH694" s="2" t="e">
        <f t="shared" si="505"/>
        <v>#DIV/0!</v>
      </c>
      <c r="AI694" s="2" t="e">
        <f t="shared" si="526"/>
        <v>#DIV/0!</v>
      </c>
      <c r="AJ694" s="2" t="e">
        <f t="shared" si="542"/>
        <v>#DIV/0!</v>
      </c>
      <c r="AK694" s="2" t="e">
        <f t="shared" si="506"/>
        <v>#DIV/0!</v>
      </c>
      <c r="AL694" s="2" t="e">
        <f t="shared" si="507"/>
        <v>#DIV/0!</v>
      </c>
      <c r="AM694" s="2" t="e">
        <f t="shared" si="527"/>
        <v>#DIV/0!</v>
      </c>
      <c r="AN694" s="2">
        <f t="shared" si="508"/>
        <v>0</v>
      </c>
      <c r="AO694" s="2" t="e">
        <f t="shared" si="509"/>
        <v>#DIV/0!</v>
      </c>
      <c r="AP694" s="2" t="e">
        <f t="shared" si="510"/>
        <v>#DIV/0!</v>
      </c>
      <c r="AQ694" s="2" t="e">
        <f t="shared" si="528"/>
        <v>#DIV/0!</v>
      </c>
      <c r="AR694" s="2" t="e">
        <f t="shared" si="543"/>
        <v>#DIV/0!</v>
      </c>
      <c r="AS694" s="2" t="e">
        <f t="shared" si="511"/>
        <v>#DIV/0!</v>
      </c>
      <c r="AT694" s="2" t="e">
        <f t="shared" si="512"/>
        <v>#DIV/0!</v>
      </c>
      <c r="AU694" s="2" t="e">
        <f t="shared" si="529"/>
        <v>#DIV/0!</v>
      </c>
      <c r="AV694" s="2" t="e">
        <f t="shared" si="513"/>
        <v>#DIV/0!</v>
      </c>
      <c r="AW694" s="2" t="e">
        <f t="shared" si="514"/>
        <v>#DIV/0!</v>
      </c>
      <c r="AX694" s="2" t="e">
        <f t="shared" si="515"/>
        <v>#DIV/0!</v>
      </c>
      <c r="AY694" s="2" t="e">
        <f t="shared" si="530"/>
        <v>#DIV/0!</v>
      </c>
      <c r="AZ694" s="2" t="e">
        <f t="shared" si="544"/>
        <v>#DIV/0!</v>
      </c>
      <c r="BA694" s="2" t="e">
        <f t="shared" si="516"/>
        <v>#DIV/0!</v>
      </c>
      <c r="BB694" s="2" t="e">
        <f t="shared" si="517"/>
        <v>#DIV/0!</v>
      </c>
      <c r="BC694" s="2" t="e">
        <f t="shared" si="531"/>
        <v>#DIV/0!</v>
      </c>
      <c r="BD694" s="2">
        <v>0</v>
      </c>
      <c r="BE694" s="2" t="e">
        <f t="shared" si="518"/>
        <v>#DIV/0!</v>
      </c>
      <c r="BF694" s="2" t="e">
        <f t="shared" si="519"/>
        <v>#DIV/0!</v>
      </c>
      <c r="BG694" s="2" t="e">
        <f t="shared" si="532"/>
        <v>#DIV/0!</v>
      </c>
      <c r="BH694" s="2" t="e">
        <f t="shared" si="545"/>
        <v>#DIV/0!</v>
      </c>
      <c r="BI694" s="2" t="e">
        <f t="shared" si="520"/>
        <v>#DIV/0!</v>
      </c>
      <c r="BJ694" s="2" t="e">
        <f t="shared" si="521"/>
        <v>#DIV/0!</v>
      </c>
      <c r="BK694" s="2" t="e">
        <f t="shared" si="533"/>
        <v>#DIV/0!</v>
      </c>
      <c r="BL694" s="2" t="e">
        <f t="shared" si="522"/>
        <v>#DIV/0!</v>
      </c>
      <c r="BM694" s="2" t="e">
        <f t="shared" si="523"/>
        <v>#DIV/0!</v>
      </c>
      <c r="BN694" s="2" t="e">
        <f t="shared" si="534"/>
        <v>#DIV/0!</v>
      </c>
    </row>
    <row r="695" spans="1:66" x14ac:dyDescent="0.25">
      <c r="A695" s="42">
        <v>692</v>
      </c>
      <c r="E695" s="6">
        <f t="shared" si="524"/>
        <v>0</v>
      </c>
      <c r="F695" s="5" t="str">
        <f t="shared" si="535"/>
        <v>Break Even</v>
      </c>
      <c r="G695" s="4">
        <f t="shared" si="536"/>
        <v>0</v>
      </c>
      <c r="N695" s="5">
        <f t="shared" si="537"/>
        <v>0</v>
      </c>
      <c r="O695" s="4" t="e">
        <f t="shared" si="538"/>
        <v>#DIV/0!</v>
      </c>
      <c r="P695" s="5">
        <f t="shared" si="497"/>
        <v>0</v>
      </c>
      <c r="R695" s="2">
        <f t="shared" si="541"/>
        <v>0</v>
      </c>
      <c r="T695" s="2">
        <f t="shared" si="525"/>
        <v>0</v>
      </c>
      <c r="V695" s="5">
        <f t="shared" si="539"/>
        <v>0</v>
      </c>
      <c r="W695" s="4" t="e">
        <f t="shared" si="540"/>
        <v>#DIV/0!</v>
      </c>
      <c r="X695" s="14">
        <f t="shared" si="498"/>
        <v>0</v>
      </c>
      <c r="Y695" s="5">
        <f t="shared" si="499"/>
        <v>0</v>
      </c>
      <c r="Z695" s="2">
        <f t="shared" si="500"/>
        <v>0</v>
      </c>
      <c r="AA695" s="4">
        <f t="shared" si="501"/>
        <v>0</v>
      </c>
      <c r="AB695" s="13">
        <f t="shared" si="502"/>
        <v>0</v>
      </c>
      <c r="AC695" s="10">
        <f>SUM($E$4:E695)</f>
        <v>-22024.091160220025</v>
      </c>
      <c r="AD695" s="20">
        <f>SUM($AB$4:AB695)</f>
        <v>13539.766460219998</v>
      </c>
      <c r="AF695" s="28" t="e">
        <f t="shared" si="503"/>
        <v>#DIV/0!</v>
      </c>
      <c r="AG695" s="2" t="e">
        <f t="shared" si="504"/>
        <v>#DIV/0!</v>
      </c>
      <c r="AH695" s="2" t="e">
        <f t="shared" si="505"/>
        <v>#DIV/0!</v>
      </c>
      <c r="AI695" s="2" t="e">
        <f t="shared" si="526"/>
        <v>#DIV/0!</v>
      </c>
      <c r="AJ695" s="2" t="e">
        <f t="shared" si="542"/>
        <v>#DIV/0!</v>
      </c>
      <c r="AK695" s="2" t="e">
        <f t="shared" si="506"/>
        <v>#DIV/0!</v>
      </c>
      <c r="AL695" s="2" t="e">
        <f t="shared" si="507"/>
        <v>#DIV/0!</v>
      </c>
      <c r="AM695" s="2" t="e">
        <f t="shared" si="527"/>
        <v>#DIV/0!</v>
      </c>
      <c r="AN695" s="2">
        <f t="shared" si="508"/>
        <v>0</v>
      </c>
      <c r="AO695" s="2" t="e">
        <f t="shared" si="509"/>
        <v>#DIV/0!</v>
      </c>
      <c r="AP695" s="2" t="e">
        <f t="shared" si="510"/>
        <v>#DIV/0!</v>
      </c>
      <c r="AQ695" s="2" t="e">
        <f t="shared" si="528"/>
        <v>#DIV/0!</v>
      </c>
      <c r="AR695" s="2" t="e">
        <f t="shared" si="543"/>
        <v>#DIV/0!</v>
      </c>
      <c r="AS695" s="2" t="e">
        <f t="shared" si="511"/>
        <v>#DIV/0!</v>
      </c>
      <c r="AT695" s="2" t="e">
        <f t="shared" si="512"/>
        <v>#DIV/0!</v>
      </c>
      <c r="AU695" s="2" t="e">
        <f t="shared" si="529"/>
        <v>#DIV/0!</v>
      </c>
      <c r="AV695" s="2" t="e">
        <f t="shared" si="513"/>
        <v>#DIV/0!</v>
      </c>
      <c r="AW695" s="2" t="e">
        <f t="shared" si="514"/>
        <v>#DIV/0!</v>
      </c>
      <c r="AX695" s="2" t="e">
        <f t="shared" si="515"/>
        <v>#DIV/0!</v>
      </c>
      <c r="AY695" s="2" t="e">
        <f t="shared" si="530"/>
        <v>#DIV/0!</v>
      </c>
      <c r="AZ695" s="2" t="e">
        <f t="shared" si="544"/>
        <v>#DIV/0!</v>
      </c>
      <c r="BA695" s="2" t="e">
        <f t="shared" si="516"/>
        <v>#DIV/0!</v>
      </c>
      <c r="BB695" s="2" t="e">
        <f t="shared" si="517"/>
        <v>#DIV/0!</v>
      </c>
      <c r="BC695" s="2" t="e">
        <f t="shared" si="531"/>
        <v>#DIV/0!</v>
      </c>
      <c r="BD695" s="2">
        <v>0</v>
      </c>
      <c r="BE695" s="2" t="e">
        <f t="shared" si="518"/>
        <v>#DIV/0!</v>
      </c>
      <c r="BF695" s="2" t="e">
        <f t="shared" si="519"/>
        <v>#DIV/0!</v>
      </c>
      <c r="BG695" s="2" t="e">
        <f t="shared" si="532"/>
        <v>#DIV/0!</v>
      </c>
      <c r="BH695" s="2" t="e">
        <f t="shared" si="545"/>
        <v>#DIV/0!</v>
      </c>
      <c r="BI695" s="2" t="e">
        <f t="shared" si="520"/>
        <v>#DIV/0!</v>
      </c>
      <c r="BJ695" s="2" t="e">
        <f t="shared" si="521"/>
        <v>#DIV/0!</v>
      </c>
      <c r="BK695" s="2" t="e">
        <f t="shared" si="533"/>
        <v>#DIV/0!</v>
      </c>
      <c r="BL695" s="2" t="e">
        <f t="shared" si="522"/>
        <v>#DIV/0!</v>
      </c>
      <c r="BM695" s="2" t="e">
        <f t="shared" si="523"/>
        <v>#DIV/0!</v>
      </c>
      <c r="BN695" s="2" t="e">
        <f t="shared" si="534"/>
        <v>#DIV/0!</v>
      </c>
    </row>
    <row r="696" spans="1:66" x14ac:dyDescent="0.25">
      <c r="A696" s="42">
        <v>693</v>
      </c>
      <c r="E696" s="6">
        <f t="shared" si="524"/>
        <v>0</v>
      </c>
      <c r="F696" s="5" t="str">
        <f t="shared" si="535"/>
        <v>Break Even</v>
      </c>
      <c r="G696" s="4">
        <f t="shared" si="536"/>
        <v>0</v>
      </c>
      <c r="N696" s="5">
        <f t="shared" si="537"/>
        <v>0</v>
      </c>
      <c r="O696" s="4" t="e">
        <f t="shared" si="538"/>
        <v>#DIV/0!</v>
      </c>
      <c r="P696" s="5">
        <f t="shared" si="497"/>
        <v>0</v>
      </c>
      <c r="R696" s="2">
        <f t="shared" si="541"/>
        <v>0</v>
      </c>
      <c r="T696" s="2">
        <f t="shared" si="525"/>
        <v>0</v>
      </c>
      <c r="V696" s="5">
        <f t="shared" si="539"/>
        <v>0</v>
      </c>
      <c r="W696" s="4" t="e">
        <f t="shared" si="540"/>
        <v>#DIV/0!</v>
      </c>
      <c r="X696" s="14">
        <f t="shared" si="498"/>
        <v>0</v>
      </c>
      <c r="Y696" s="5">
        <f t="shared" si="499"/>
        <v>0</v>
      </c>
      <c r="Z696" s="2">
        <f t="shared" si="500"/>
        <v>0</v>
      </c>
      <c r="AA696" s="4">
        <f t="shared" si="501"/>
        <v>0</v>
      </c>
      <c r="AB696" s="13">
        <f t="shared" si="502"/>
        <v>0</v>
      </c>
      <c r="AC696" s="10">
        <f>SUM($E$4:E696)</f>
        <v>-22024.091160220025</v>
      </c>
      <c r="AD696" s="20">
        <f>SUM($AB$4:AB696)</f>
        <v>13539.766460219998</v>
      </c>
      <c r="AF696" s="28" t="e">
        <f t="shared" si="503"/>
        <v>#DIV/0!</v>
      </c>
      <c r="AG696" s="2" t="e">
        <f t="shared" si="504"/>
        <v>#DIV/0!</v>
      </c>
      <c r="AH696" s="2" t="e">
        <f t="shared" si="505"/>
        <v>#DIV/0!</v>
      </c>
      <c r="AI696" s="2" t="e">
        <f t="shared" si="526"/>
        <v>#DIV/0!</v>
      </c>
      <c r="AJ696" s="2" t="e">
        <f t="shared" si="542"/>
        <v>#DIV/0!</v>
      </c>
      <c r="AK696" s="2" t="e">
        <f t="shared" si="506"/>
        <v>#DIV/0!</v>
      </c>
      <c r="AL696" s="2" t="e">
        <f t="shared" si="507"/>
        <v>#DIV/0!</v>
      </c>
      <c r="AM696" s="2" t="e">
        <f t="shared" si="527"/>
        <v>#DIV/0!</v>
      </c>
      <c r="AN696" s="2">
        <f t="shared" si="508"/>
        <v>0</v>
      </c>
      <c r="AO696" s="2" t="e">
        <f t="shared" si="509"/>
        <v>#DIV/0!</v>
      </c>
      <c r="AP696" s="2" t="e">
        <f t="shared" si="510"/>
        <v>#DIV/0!</v>
      </c>
      <c r="AQ696" s="2" t="e">
        <f t="shared" si="528"/>
        <v>#DIV/0!</v>
      </c>
      <c r="AR696" s="2" t="e">
        <f t="shared" si="543"/>
        <v>#DIV/0!</v>
      </c>
      <c r="AS696" s="2" t="e">
        <f t="shared" si="511"/>
        <v>#DIV/0!</v>
      </c>
      <c r="AT696" s="2" t="e">
        <f t="shared" si="512"/>
        <v>#DIV/0!</v>
      </c>
      <c r="AU696" s="2" t="e">
        <f t="shared" si="529"/>
        <v>#DIV/0!</v>
      </c>
      <c r="AV696" s="2" t="e">
        <f t="shared" si="513"/>
        <v>#DIV/0!</v>
      </c>
      <c r="AW696" s="2" t="e">
        <f t="shared" si="514"/>
        <v>#DIV/0!</v>
      </c>
      <c r="AX696" s="2" t="e">
        <f t="shared" si="515"/>
        <v>#DIV/0!</v>
      </c>
      <c r="AY696" s="2" t="e">
        <f t="shared" si="530"/>
        <v>#DIV/0!</v>
      </c>
      <c r="AZ696" s="2" t="e">
        <f t="shared" si="544"/>
        <v>#DIV/0!</v>
      </c>
      <c r="BA696" s="2" t="e">
        <f t="shared" si="516"/>
        <v>#DIV/0!</v>
      </c>
      <c r="BB696" s="2" t="e">
        <f t="shared" si="517"/>
        <v>#DIV/0!</v>
      </c>
      <c r="BC696" s="2" t="e">
        <f t="shared" si="531"/>
        <v>#DIV/0!</v>
      </c>
      <c r="BD696" s="2">
        <v>0</v>
      </c>
      <c r="BE696" s="2" t="e">
        <f t="shared" si="518"/>
        <v>#DIV/0!</v>
      </c>
      <c r="BF696" s="2" t="e">
        <f t="shared" si="519"/>
        <v>#DIV/0!</v>
      </c>
      <c r="BG696" s="2" t="e">
        <f t="shared" si="532"/>
        <v>#DIV/0!</v>
      </c>
      <c r="BH696" s="2" t="e">
        <f t="shared" si="545"/>
        <v>#DIV/0!</v>
      </c>
      <c r="BI696" s="2" t="e">
        <f t="shared" si="520"/>
        <v>#DIV/0!</v>
      </c>
      <c r="BJ696" s="2" t="e">
        <f t="shared" si="521"/>
        <v>#DIV/0!</v>
      </c>
      <c r="BK696" s="2" t="e">
        <f t="shared" si="533"/>
        <v>#DIV/0!</v>
      </c>
      <c r="BL696" s="2" t="e">
        <f t="shared" si="522"/>
        <v>#DIV/0!</v>
      </c>
      <c r="BM696" s="2" t="e">
        <f t="shared" si="523"/>
        <v>#DIV/0!</v>
      </c>
      <c r="BN696" s="2" t="e">
        <f t="shared" si="534"/>
        <v>#DIV/0!</v>
      </c>
    </row>
    <row r="697" spans="1:66" x14ac:dyDescent="0.25">
      <c r="A697" s="42">
        <v>694</v>
      </c>
      <c r="E697" s="6">
        <f t="shared" si="524"/>
        <v>0</v>
      </c>
      <c r="F697" s="5" t="str">
        <f t="shared" si="535"/>
        <v>Break Even</v>
      </c>
      <c r="G697" s="4">
        <f t="shared" si="536"/>
        <v>0</v>
      </c>
      <c r="N697" s="5">
        <f t="shared" si="537"/>
        <v>0</v>
      </c>
      <c r="O697" s="4" t="e">
        <f t="shared" si="538"/>
        <v>#DIV/0!</v>
      </c>
      <c r="P697" s="5">
        <f t="shared" si="497"/>
        <v>0</v>
      </c>
      <c r="R697" s="2">
        <f t="shared" si="541"/>
        <v>0</v>
      </c>
      <c r="T697" s="2">
        <f t="shared" si="525"/>
        <v>0</v>
      </c>
      <c r="V697" s="5">
        <f t="shared" si="539"/>
        <v>0</v>
      </c>
      <c r="W697" s="4" t="e">
        <f t="shared" si="540"/>
        <v>#DIV/0!</v>
      </c>
      <c r="X697" s="14">
        <f t="shared" si="498"/>
        <v>0</v>
      </c>
      <c r="Y697" s="5">
        <f t="shared" si="499"/>
        <v>0</v>
      </c>
      <c r="Z697" s="2">
        <f t="shared" si="500"/>
        <v>0</v>
      </c>
      <c r="AA697" s="4">
        <f t="shared" si="501"/>
        <v>0</v>
      </c>
      <c r="AB697" s="13">
        <f t="shared" si="502"/>
        <v>0</v>
      </c>
      <c r="AC697" s="10">
        <f>SUM($E$4:E697)</f>
        <v>-22024.091160220025</v>
      </c>
      <c r="AD697" s="20">
        <f>SUM($AB$4:AB697)</f>
        <v>13539.766460219998</v>
      </c>
      <c r="AF697" s="28" t="e">
        <f t="shared" si="503"/>
        <v>#DIV/0!</v>
      </c>
      <c r="AG697" s="2" t="e">
        <f t="shared" si="504"/>
        <v>#DIV/0!</v>
      </c>
      <c r="AH697" s="2" t="e">
        <f t="shared" si="505"/>
        <v>#DIV/0!</v>
      </c>
      <c r="AI697" s="2" t="e">
        <f t="shared" si="526"/>
        <v>#DIV/0!</v>
      </c>
      <c r="AJ697" s="2" t="e">
        <f t="shared" si="542"/>
        <v>#DIV/0!</v>
      </c>
      <c r="AK697" s="2" t="e">
        <f t="shared" si="506"/>
        <v>#DIV/0!</v>
      </c>
      <c r="AL697" s="2" t="e">
        <f t="shared" si="507"/>
        <v>#DIV/0!</v>
      </c>
      <c r="AM697" s="2" t="e">
        <f t="shared" si="527"/>
        <v>#DIV/0!</v>
      </c>
      <c r="AN697" s="2">
        <f t="shared" si="508"/>
        <v>0</v>
      </c>
      <c r="AO697" s="2" t="e">
        <f t="shared" si="509"/>
        <v>#DIV/0!</v>
      </c>
      <c r="AP697" s="2" t="e">
        <f t="shared" si="510"/>
        <v>#DIV/0!</v>
      </c>
      <c r="AQ697" s="2" t="e">
        <f t="shared" si="528"/>
        <v>#DIV/0!</v>
      </c>
      <c r="AR697" s="2" t="e">
        <f t="shared" si="543"/>
        <v>#DIV/0!</v>
      </c>
      <c r="AS697" s="2" t="e">
        <f t="shared" si="511"/>
        <v>#DIV/0!</v>
      </c>
      <c r="AT697" s="2" t="e">
        <f t="shared" si="512"/>
        <v>#DIV/0!</v>
      </c>
      <c r="AU697" s="2" t="e">
        <f t="shared" si="529"/>
        <v>#DIV/0!</v>
      </c>
      <c r="AV697" s="2" t="e">
        <f t="shared" si="513"/>
        <v>#DIV/0!</v>
      </c>
      <c r="AW697" s="2" t="e">
        <f t="shared" si="514"/>
        <v>#DIV/0!</v>
      </c>
      <c r="AX697" s="2" t="e">
        <f t="shared" si="515"/>
        <v>#DIV/0!</v>
      </c>
      <c r="AY697" s="2" t="e">
        <f t="shared" si="530"/>
        <v>#DIV/0!</v>
      </c>
      <c r="AZ697" s="2" t="e">
        <f t="shared" si="544"/>
        <v>#DIV/0!</v>
      </c>
      <c r="BA697" s="2" t="e">
        <f t="shared" si="516"/>
        <v>#DIV/0!</v>
      </c>
      <c r="BB697" s="2" t="e">
        <f t="shared" si="517"/>
        <v>#DIV/0!</v>
      </c>
      <c r="BC697" s="2" t="e">
        <f t="shared" si="531"/>
        <v>#DIV/0!</v>
      </c>
      <c r="BD697" s="2">
        <v>0</v>
      </c>
      <c r="BE697" s="2" t="e">
        <f t="shared" si="518"/>
        <v>#DIV/0!</v>
      </c>
      <c r="BF697" s="2" t="e">
        <f t="shared" si="519"/>
        <v>#DIV/0!</v>
      </c>
      <c r="BG697" s="2" t="e">
        <f t="shared" si="532"/>
        <v>#DIV/0!</v>
      </c>
      <c r="BH697" s="2" t="e">
        <f t="shared" si="545"/>
        <v>#DIV/0!</v>
      </c>
      <c r="BI697" s="2" t="e">
        <f t="shared" si="520"/>
        <v>#DIV/0!</v>
      </c>
      <c r="BJ697" s="2" t="e">
        <f t="shared" si="521"/>
        <v>#DIV/0!</v>
      </c>
      <c r="BK697" s="2" t="e">
        <f t="shared" si="533"/>
        <v>#DIV/0!</v>
      </c>
      <c r="BL697" s="2" t="e">
        <f t="shared" si="522"/>
        <v>#DIV/0!</v>
      </c>
      <c r="BM697" s="2" t="e">
        <f t="shared" si="523"/>
        <v>#DIV/0!</v>
      </c>
      <c r="BN697" s="2" t="e">
        <f t="shared" si="534"/>
        <v>#DIV/0!</v>
      </c>
    </row>
    <row r="698" spans="1:66" x14ac:dyDescent="0.25">
      <c r="A698" s="42">
        <v>695</v>
      </c>
      <c r="E698" s="6">
        <f t="shared" si="524"/>
        <v>0</v>
      </c>
      <c r="F698" s="5" t="str">
        <f t="shared" si="535"/>
        <v>Break Even</v>
      </c>
      <c r="G698" s="4">
        <f t="shared" si="536"/>
        <v>0</v>
      </c>
      <c r="N698" s="5">
        <f t="shared" si="537"/>
        <v>0</v>
      </c>
      <c r="O698" s="4" t="e">
        <f t="shared" si="538"/>
        <v>#DIV/0!</v>
      </c>
      <c r="P698" s="5">
        <f t="shared" si="497"/>
        <v>0</v>
      </c>
      <c r="R698" s="2">
        <f t="shared" si="541"/>
        <v>0</v>
      </c>
      <c r="T698" s="2">
        <f t="shared" si="525"/>
        <v>0</v>
      </c>
      <c r="V698" s="5">
        <f t="shared" si="539"/>
        <v>0</v>
      </c>
      <c r="W698" s="4" t="e">
        <f t="shared" si="540"/>
        <v>#DIV/0!</v>
      </c>
      <c r="X698" s="14">
        <f t="shared" si="498"/>
        <v>0</v>
      </c>
      <c r="Y698" s="5">
        <f t="shared" si="499"/>
        <v>0</v>
      </c>
      <c r="Z698" s="2">
        <f t="shared" si="500"/>
        <v>0</v>
      </c>
      <c r="AA698" s="4">
        <f t="shared" si="501"/>
        <v>0</v>
      </c>
      <c r="AB698" s="13">
        <f t="shared" si="502"/>
        <v>0</v>
      </c>
      <c r="AC698" s="10">
        <f>SUM($E$4:E698)</f>
        <v>-22024.091160220025</v>
      </c>
      <c r="AD698" s="20">
        <f>SUM($AB$4:AB698)</f>
        <v>13539.766460219998</v>
      </c>
      <c r="AF698" s="28" t="e">
        <f t="shared" si="503"/>
        <v>#DIV/0!</v>
      </c>
      <c r="AG698" s="2" t="e">
        <f t="shared" si="504"/>
        <v>#DIV/0!</v>
      </c>
      <c r="AH698" s="2" t="e">
        <f t="shared" si="505"/>
        <v>#DIV/0!</v>
      </c>
      <c r="AI698" s="2" t="e">
        <f t="shared" si="526"/>
        <v>#DIV/0!</v>
      </c>
      <c r="AJ698" s="2" t="e">
        <f t="shared" si="542"/>
        <v>#DIV/0!</v>
      </c>
      <c r="AK698" s="2" t="e">
        <f t="shared" si="506"/>
        <v>#DIV/0!</v>
      </c>
      <c r="AL698" s="2" t="e">
        <f t="shared" si="507"/>
        <v>#DIV/0!</v>
      </c>
      <c r="AM698" s="2" t="e">
        <f t="shared" si="527"/>
        <v>#DIV/0!</v>
      </c>
      <c r="AN698" s="2">
        <f t="shared" si="508"/>
        <v>0</v>
      </c>
      <c r="AO698" s="2" t="e">
        <f t="shared" si="509"/>
        <v>#DIV/0!</v>
      </c>
      <c r="AP698" s="2" t="e">
        <f t="shared" si="510"/>
        <v>#DIV/0!</v>
      </c>
      <c r="AQ698" s="2" t="e">
        <f t="shared" si="528"/>
        <v>#DIV/0!</v>
      </c>
      <c r="AR698" s="2" t="e">
        <f t="shared" si="543"/>
        <v>#DIV/0!</v>
      </c>
      <c r="AS698" s="2" t="e">
        <f t="shared" si="511"/>
        <v>#DIV/0!</v>
      </c>
      <c r="AT698" s="2" t="e">
        <f t="shared" si="512"/>
        <v>#DIV/0!</v>
      </c>
      <c r="AU698" s="2" t="e">
        <f t="shared" si="529"/>
        <v>#DIV/0!</v>
      </c>
      <c r="AV698" s="2" t="e">
        <f t="shared" si="513"/>
        <v>#DIV/0!</v>
      </c>
      <c r="AW698" s="2" t="e">
        <f t="shared" si="514"/>
        <v>#DIV/0!</v>
      </c>
      <c r="AX698" s="2" t="e">
        <f t="shared" si="515"/>
        <v>#DIV/0!</v>
      </c>
      <c r="AY698" s="2" t="e">
        <f t="shared" si="530"/>
        <v>#DIV/0!</v>
      </c>
      <c r="AZ698" s="2" t="e">
        <f t="shared" si="544"/>
        <v>#DIV/0!</v>
      </c>
      <c r="BA698" s="2" t="e">
        <f t="shared" si="516"/>
        <v>#DIV/0!</v>
      </c>
      <c r="BB698" s="2" t="e">
        <f t="shared" si="517"/>
        <v>#DIV/0!</v>
      </c>
      <c r="BC698" s="2" t="e">
        <f t="shared" si="531"/>
        <v>#DIV/0!</v>
      </c>
      <c r="BD698" s="2">
        <v>0</v>
      </c>
      <c r="BE698" s="2" t="e">
        <f t="shared" si="518"/>
        <v>#DIV/0!</v>
      </c>
      <c r="BF698" s="2" t="e">
        <f t="shared" si="519"/>
        <v>#DIV/0!</v>
      </c>
      <c r="BG698" s="2" t="e">
        <f t="shared" si="532"/>
        <v>#DIV/0!</v>
      </c>
      <c r="BH698" s="2" t="e">
        <f t="shared" si="545"/>
        <v>#DIV/0!</v>
      </c>
      <c r="BI698" s="2" t="e">
        <f t="shared" si="520"/>
        <v>#DIV/0!</v>
      </c>
      <c r="BJ698" s="2" t="e">
        <f t="shared" si="521"/>
        <v>#DIV/0!</v>
      </c>
      <c r="BK698" s="2" t="e">
        <f t="shared" si="533"/>
        <v>#DIV/0!</v>
      </c>
      <c r="BL698" s="2" t="e">
        <f t="shared" si="522"/>
        <v>#DIV/0!</v>
      </c>
      <c r="BM698" s="2" t="e">
        <f t="shared" si="523"/>
        <v>#DIV/0!</v>
      </c>
      <c r="BN698" s="2" t="e">
        <f t="shared" si="534"/>
        <v>#DIV/0!</v>
      </c>
    </row>
    <row r="699" spans="1:66" x14ac:dyDescent="0.25">
      <c r="A699" s="42">
        <v>696</v>
      </c>
      <c r="E699" s="6">
        <f t="shared" si="524"/>
        <v>0</v>
      </c>
      <c r="F699" s="5" t="str">
        <f t="shared" si="535"/>
        <v>Break Even</v>
      </c>
      <c r="G699" s="4">
        <f t="shared" si="536"/>
        <v>0</v>
      </c>
      <c r="N699" s="5">
        <f t="shared" si="537"/>
        <v>0</v>
      </c>
      <c r="O699" s="4" t="e">
        <f t="shared" si="538"/>
        <v>#DIV/0!</v>
      </c>
      <c r="P699" s="5">
        <f t="shared" si="497"/>
        <v>0</v>
      </c>
      <c r="R699" s="2">
        <f t="shared" si="541"/>
        <v>0</v>
      </c>
      <c r="T699" s="2">
        <f t="shared" si="525"/>
        <v>0</v>
      </c>
      <c r="V699" s="5">
        <f t="shared" si="539"/>
        <v>0</v>
      </c>
      <c r="W699" s="4" t="e">
        <f t="shared" si="540"/>
        <v>#DIV/0!</v>
      </c>
      <c r="X699" s="14">
        <f t="shared" si="498"/>
        <v>0</v>
      </c>
      <c r="Y699" s="5">
        <f t="shared" si="499"/>
        <v>0</v>
      </c>
      <c r="Z699" s="2">
        <f t="shared" si="500"/>
        <v>0</v>
      </c>
      <c r="AA699" s="4">
        <f t="shared" si="501"/>
        <v>0</v>
      </c>
      <c r="AB699" s="13">
        <f t="shared" si="502"/>
        <v>0</v>
      </c>
      <c r="AC699" s="10">
        <f>SUM($E$4:E699)</f>
        <v>-22024.091160220025</v>
      </c>
      <c r="AD699" s="20">
        <f>SUM($AB$4:AB699)</f>
        <v>13539.766460219998</v>
      </c>
      <c r="AF699" s="28" t="e">
        <f t="shared" si="503"/>
        <v>#DIV/0!</v>
      </c>
      <c r="AG699" s="2" t="e">
        <f t="shared" si="504"/>
        <v>#DIV/0!</v>
      </c>
      <c r="AH699" s="2" t="e">
        <f t="shared" si="505"/>
        <v>#DIV/0!</v>
      </c>
      <c r="AI699" s="2" t="e">
        <f t="shared" si="526"/>
        <v>#DIV/0!</v>
      </c>
      <c r="AJ699" s="2" t="e">
        <f t="shared" si="542"/>
        <v>#DIV/0!</v>
      </c>
      <c r="AK699" s="2" t="e">
        <f t="shared" si="506"/>
        <v>#DIV/0!</v>
      </c>
      <c r="AL699" s="2" t="e">
        <f t="shared" si="507"/>
        <v>#DIV/0!</v>
      </c>
      <c r="AM699" s="2" t="e">
        <f t="shared" si="527"/>
        <v>#DIV/0!</v>
      </c>
      <c r="AN699" s="2">
        <f t="shared" si="508"/>
        <v>0</v>
      </c>
      <c r="AO699" s="2" t="e">
        <f t="shared" si="509"/>
        <v>#DIV/0!</v>
      </c>
      <c r="AP699" s="2" t="e">
        <f t="shared" si="510"/>
        <v>#DIV/0!</v>
      </c>
      <c r="AQ699" s="2" t="e">
        <f t="shared" si="528"/>
        <v>#DIV/0!</v>
      </c>
      <c r="AR699" s="2" t="e">
        <f t="shared" si="543"/>
        <v>#DIV/0!</v>
      </c>
      <c r="AS699" s="2" t="e">
        <f t="shared" si="511"/>
        <v>#DIV/0!</v>
      </c>
      <c r="AT699" s="2" t="e">
        <f t="shared" si="512"/>
        <v>#DIV/0!</v>
      </c>
      <c r="AU699" s="2" t="e">
        <f t="shared" si="529"/>
        <v>#DIV/0!</v>
      </c>
      <c r="AV699" s="2" t="e">
        <f t="shared" si="513"/>
        <v>#DIV/0!</v>
      </c>
      <c r="AW699" s="2" t="e">
        <f t="shared" si="514"/>
        <v>#DIV/0!</v>
      </c>
      <c r="AX699" s="2" t="e">
        <f t="shared" si="515"/>
        <v>#DIV/0!</v>
      </c>
      <c r="AY699" s="2" t="e">
        <f t="shared" si="530"/>
        <v>#DIV/0!</v>
      </c>
      <c r="AZ699" s="2" t="e">
        <f t="shared" si="544"/>
        <v>#DIV/0!</v>
      </c>
      <c r="BA699" s="2" t="e">
        <f t="shared" si="516"/>
        <v>#DIV/0!</v>
      </c>
      <c r="BB699" s="2" t="e">
        <f t="shared" si="517"/>
        <v>#DIV/0!</v>
      </c>
      <c r="BC699" s="2" t="e">
        <f t="shared" si="531"/>
        <v>#DIV/0!</v>
      </c>
      <c r="BD699" s="2">
        <v>0</v>
      </c>
      <c r="BE699" s="2" t="e">
        <f t="shared" si="518"/>
        <v>#DIV/0!</v>
      </c>
      <c r="BF699" s="2" t="e">
        <f t="shared" si="519"/>
        <v>#DIV/0!</v>
      </c>
      <c r="BG699" s="2" t="e">
        <f t="shared" si="532"/>
        <v>#DIV/0!</v>
      </c>
      <c r="BH699" s="2" t="e">
        <f t="shared" si="545"/>
        <v>#DIV/0!</v>
      </c>
      <c r="BI699" s="2" t="e">
        <f t="shared" si="520"/>
        <v>#DIV/0!</v>
      </c>
      <c r="BJ699" s="2" t="e">
        <f t="shared" si="521"/>
        <v>#DIV/0!</v>
      </c>
      <c r="BK699" s="2" t="e">
        <f t="shared" si="533"/>
        <v>#DIV/0!</v>
      </c>
      <c r="BL699" s="2" t="e">
        <f t="shared" si="522"/>
        <v>#DIV/0!</v>
      </c>
      <c r="BM699" s="2" t="e">
        <f t="shared" si="523"/>
        <v>#DIV/0!</v>
      </c>
      <c r="BN699" s="2" t="e">
        <f t="shared" si="534"/>
        <v>#DIV/0!</v>
      </c>
    </row>
    <row r="700" spans="1:66" x14ac:dyDescent="0.25">
      <c r="A700" s="42">
        <v>697</v>
      </c>
      <c r="E700" s="6">
        <f t="shared" si="524"/>
        <v>0</v>
      </c>
      <c r="F700" s="5" t="str">
        <f t="shared" si="535"/>
        <v>Break Even</v>
      </c>
      <c r="G700" s="4">
        <f t="shared" si="536"/>
        <v>0</v>
      </c>
      <c r="N700" s="5">
        <f t="shared" si="537"/>
        <v>0</v>
      </c>
      <c r="O700" s="4" t="e">
        <f t="shared" si="538"/>
        <v>#DIV/0!</v>
      </c>
      <c r="P700" s="5">
        <f t="shared" si="497"/>
        <v>0</v>
      </c>
      <c r="R700" s="2">
        <f t="shared" si="541"/>
        <v>0</v>
      </c>
      <c r="T700" s="2">
        <f t="shared" si="525"/>
        <v>0</v>
      </c>
      <c r="V700" s="5">
        <f t="shared" si="539"/>
        <v>0</v>
      </c>
      <c r="W700" s="4" t="e">
        <f t="shared" si="540"/>
        <v>#DIV/0!</v>
      </c>
      <c r="X700" s="14">
        <f t="shared" si="498"/>
        <v>0</v>
      </c>
      <c r="Y700" s="5">
        <f t="shared" si="499"/>
        <v>0</v>
      </c>
      <c r="Z700" s="2">
        <f t="shared" si="500"/>
        <v>0</v>
      </c>
      <c r="AA700" s="4">
        <f t="shared" si="501"/>
        <v>0</v>
      </c>
      <c r="AB700" s="13">
        <f t="shared" si="502"/>
        <v>0</v>
      </c>
      <c r="AC700" s="10">
        <f>SUM($E$4:E700)</f>
        <v>-22024.091160220025</v>
      </c>
      <c r="AD700" s="20">
        <f>SUM($AB$4:AB700)</f>
        <v>13539.766460219998</v>
      </c>
      <c r="AF700" s="28" t="e">
        <f t="shared" si="503"/>
        <v>#DIV/0!</v>
      </c>
      <c r="AG700" s="2" t="e">
        <f t="shared" si="504"/>
        <v>#DIV/0!</v>
      </c>
      <c r="AH700" s="2" t="e">
        <f t="shared" si="505"/>
        <v>#DIV/0!</v>
      </c>
      <c r="AI700" s="2" t="e">
        <f t="shared" si="526"/>
        <v>#DIV/0!</v>
      </c>
      <c r="AJ700" s="2" t="e">
        <f t="shared" si="542"/>
        <v>#DIV/0!</v>
      </c>
      <c r="AK700" s="2" t="e">
        <f t="shared" si="506"/>
        <v>#DIV/0!</v>
      </c>
      <c r="AL700" s="2" t="e">
        <f t="shared" si="507"/>
        <v>#DIV/0!</v>
      </c>
      <c r="AM700" s="2" t="e">
        <f t="shared" si="527"/>
        <v>#DIV/0!</v>
      </c>
      <c r="AN700" s="2">
        <f t="shared" si="508"/>
        <v>0</v>
      </c>
      <c r="AO700" s="2" t="e">
        <f t="shared" si="509"/>
        <v>#DIV/0!</v>
      </c>
      <c r="AP700" s="2" t="e">
        <f t="shared" si="510"/>
        <v>#DIV/0!</v>
      </c>
      <c r="AQ700" s="2" t="e">
        <f t="shared" si="528"/>
        <v>#DIV/0!</v>
      </c>
      <c r="AR700" s="2" t="e">
        <f t="shared" si="543"/>
        <v>#DIV/0!</v>
      </c>
      <c r="AS700" s="2" t="e">
        <f t="shared" si="511"/>
        <v>#DIV/0!</v>
      </c>
      <c r="AT700" s="2" t="e">
        <f t="shared" si="512"/>
        <v>#DIV/0!</v>
      </c>
      <c r="AU700" s="2" t="e">
        <f t="shared" si="529"/>
        <v>#DIV/0!</v>
      </c>
      <c r="AV700" s="2" t="e">
        <f t="shared" si="513"/>
        <v>#DIV/0!</v>
      </c>
      <c r="AW700" s="2" t="e">
        <f t="shared" si="514"/>
        <v>#DIV/0!</v>
      </c>
      <c r="AX700" s="2" t="e">
        <f t="shared" si="515"/>
        <v>#DIV/0!</v>
      </c>
      <c r="AY700" s="2" t="e">
        <f t="shared" si="530"/>
        <v>#DIV/0!</v>
      </c>
      <c r="AZ700" s="2" t="e">
        <f t="shared" si="544"/>
        <v>#DIV/0!</v>
      </c>
      <c r="BA700" s="2" t="e">
        <f t="shared" si="516"/>
        <v>#DIV/0!</v>
      </c>
      <c r="BB700" s="2" t="e">
        <f t="shared" si="517"/>
        <v>#DIV/0!</v>
      </c>
      <c r="BC700" s="2" t="e">
        <f t="shared" si="531"/>
        <v>#DIV/0!</v>
      </c>
      <c r="BD700" s="2">
        <v>0</v>
      </c>
      <c r="BE700" s="2" t="e">
        <f t="shared" si="518"/>
        <v>#DIV/0!</v>
      </c>
      <c r="BF700" s="2" t="e">
        <f t="shared" si="519"/>
        <v>#DIV/0!</v>
      </c>
      <c r="BG700" s="2" t="e">
        <f t="shared" si="532"/>
        <v>#DIV/0!</v>
      </c>
      <c r="BH700" s="2" t="e">
        <f t="shared" si="545"/>
        <v>#DIV/0!</v>
      </c>
      <c r="BI700" s="2" t="e">
        <f t="shared" si="520"/>
        <v>#DIV/0!</v>
      </c>
      <c r="BJ700" s="2" t="e">
        <f t="shared" si="521"/>
        <v>#DIV/0!</v>
      </c>
      <c r="BK700" s="2" t="e">
        <f t="shared" si="533"/>
        <v>#DIV/0!</v>
      </c>
      <c r="BL700" s="2" t="e">
        <f t="shared" si="522"/>
        <v>#DIV/0!</v>
      </c>
      <c r="BM700" s="2" t="e">
        <f t="shared" si="523"/>
        <v>#DIV/0!</v>
      </c>
      <c r="BN700" s="2" t="e">
        <f t="shared" si="534"/>
        <v>#DIV/0!</v>
      </c>
    </row>
    <row r="701" spans="1:66" x14ac:dyDescent="0.25">
      <c r="A701" s="42">
        <v>698</v>
      </c>
      <c r="E701" s="6">
        <f t="shared" si="524"/>
        <v>0</v>
      </c>
      <c r="F701" s="5" t="str">
        <f t="shared" si="535"/>
        <v>Break Even</v>
      </c>
      <c r="G701" s="4">
        <f t="shared" si="536"/>
        <v>0</v>
      </c>
      <c r="N701" s="5">
        <f t="shared" si="537"/>
        <v>0</v>
      </c>
      <c r="O701" s="4" t="e">
        <f t="shared" si="538"/>
        <v>#DIV/0!</v>
      </c>
      <c r="P701" s="5">
        <f t="shared" si="497"/>
        <v>0</v>
      </c>
      <c r="R701" s="2">
        <f t="shared" si="541"/>
        <v>0</v>
      </c>
      <c r="T701" s="2">
        <f t="shared" si="525"/>
        <v>0</v>
      </c>
      <c r="V701" s="5">
        <f t="shared" si="539"/>
        <v>0</v>
      </c>
      <c r="W701" s="4" t="e">
        <f t="shared" si="540"/>
        <v>#DIV/0!</v>
      </c>
      <c r="X701" s="14">
        <f t="shared" si="498"/>
        <v>0</v>
      </c>
      <c r="Y701" s="5">
        <f t="shared" si="499"/>
        <v>0</v>
      </c>
      <c r="Z701" s="2">
        <f t="shared" si="500"/>
        <v>0</v>
      </c>
      <c r="AA701" s="4">
        <f t="shared" si="501"/>
        <v>0</v>
      </c>
      <c r="AB701" s="13">
        <f t="shared" si="502"/>
        <v>0</v>
      </c>
      <c r="AC701" s="10">
        <f>SUM($E$4:E701)</f>
        <v>-22024.091160220025</v>
      </c>
      <c r="AD701" s="20">
        <f>SUM($AB$4:AB701)</f>
        <v>13539.766460219998</v>
      </c>
      <c r="AF701" s="28" t="e">
        <f t="shared" si="503"/>
        <v>#DIV/0!</v>
      </c>
      <c r="AG701" s="2" t="e">
        <f t="shared" si="504"/>
        <v>#DIV/0!</v>
      </c>
      <c r="AH701" s="2" t="e">
        <f t="shared" si="505"/>
        <v>#DIV/0!</v>
      </c>
      <c r="AI701" s="2" t="e">
        <f t="shared" si="526"/>
        <v>#DIV/0!</v>
      </c>
      <c r="AJ701" s="2" t="e">
        <f t="shared" si="542"/>
        <v>#DIV/0!</v>
      </c>
      <c r="AK701" s="2" t="e">
        <f t="shared" si="506"/>
        <v>#DIV/0!</v>
      </c>
      <c r="AL701" s="2" t="e">
        <f t="shared" si="507"/>
        <v>#DIV/0!</v>
      </c>
      <c r="AM701" s="2" t="e">
        <f t="shared" si="527"/>
        <v>#DIV/0!</v>
      </c>
      <c r="AN701" s="2">
        <f t="shared" si="508"/>
        <v>0</v>
      </c>
      <c r="AO701" s="2" t="e">
        <f t="shared" si="509"/>
        <v>#DIV/0!</v>
      </c>
      <c r="AP701" s="2" t="e">
        <f t="shared" si="510"/>
        <v>#DIV/0!</v>
      </c>
      <c r="AQ701" s="2" t="e">
        <f t="shared" si="528"/>
        <v>#DIV/0!</v>
      </c>
      <c r="AR701" s="2" t="e">
        <f t="shared" si="543"/>
        <v>#DIV/0!</v>
      </c>
      <c r="AS701" s="2" t="e">
        <f t="shared" si="511"/>
        <v>#DIV/0!</v>
      </c>
      <c r="AT701" s="2" t="e">
        <f t="shared" si="512"/>
        <v>#DIV/0!</v>
      </c>
      <c r="AU701" s="2" t="e">
        <f t="shared" si="529"/>
        <v>#DIV/0!</v>
      </c>
      <c r="AV701" s="2" t="e">
        <f t="shared" si="513"/>
        <v>#DIV/0!</v>
      </c>
      <c r="AW701" s="2" t="e">
        <f t="shared" si="514"/>
        <v>#DIV/0!</v>
      </c>
      <c r="AX701" s="2" t="e">
        <f t="shared" si="515"/>
        <v>#DIV/0!</v>
      </c>
      <c r="AY701" s="2" t="e">
        <f t="shared" si="530"/>
        <v>#DIV/0!</v>
      </c>
      <c r="AZ701" s="2" t="e">
        <f t="shared" si="544"/>
        <v>#DIV/0!</v>
      </c>
      <c r="BA701" s="2" t="e">
        <f t="shared" si="516"/>
        <v>#DIV/0!</v>
      </c>
      <c r="BB701" s="2" t="e">
        <f t="shared" si="517"/>
        <v>#DIV/0!</v>
      </c>
      <c r="BC701" s="2" t="e">
        <f t="shared" si="531"/>
        <v>#DIV/0!</v>
      </c>
      <c r="BD701" s="2">
        <v>0</v>
      </c>
      <c r="BE701" s="2" t="e">
        <f t="shared" si="518"/>
        <v>#DIV/0!</v>
      </c>
      <c r="BF701" s="2" t="e">
        <f t="shared" si="519"/>
        <v>#DIV/0!</v>
      </c>
      <c r="BG701" s="2" t="e">
        <f t="shared" si="532"/>
        <v>#DIV/0!</v>
      </c>
      <c r="BH701" s="2" t="e">
        <f t="shared" si="545"/>
        <v>#DIV/0!</v>
      </c>
      <c r="BI701" s="2" t="e">
        <f t="shared" si="520"/>
        <v>#DIV/0!</v>
      </c>
      <c r="BJ701" s="2" t="e">
        <f t="shared" si="521"/>
        <v>#DIV/0!</v>
      </c>
      <c r="BK701" s="2" t="e">
        <f t="shared" si="533"/>
        <v>#DIV/0!</v>
      </c>
      <c r="BL701" s="2" t="e">
        <f t="shared" si="522"/>
        <v>#DIV/0!</v>
      </c>
      <c r="BM701" s="2" t="e">
        <f t="shared" si="523"/>
        <v>#DIV/0!</v>
      </c>
      <c r="BN701" s="2" t="e">
        <f t="shared" si="534"/>
        <v>#DIV/0!</v>
      </c>
    </row>
    <row r="702" spans="1:66" x14ac:dyDescent="0.25">
      <c r="A702" s="42">
        <v>699</v>
      </c>
      <c r="E702" s="6">
        <f t="shared" si="524"/>
        <v>0</v>
      </c>
      <c r="F702" s="5" t="str">
        <f t="shared" si="535"/>
        <v>Break Even</v>
      </c>
      <c r="G702" s="4">
        <f t="shared" si="536"/>
        <v>0</v>
      </c>
      <c r="N702" s="5">
        <f t="shared" si="537"/>
        <v>0</v>
      </c>
      <c r="O702" s="4" t="e">
        <f t="shared" si="538"/>
        <v>#DIV/0!</v>
      </c>
      <c r="P702" s="5">
        <f t="shared" si="497"/>
        <v>0</v>
      </c>
      <c r="R702" s="2">
        <f t="shared" si="541"/>
        <v>0</v>
      </c>
      <c r="T702" s="2">
        <f t="shared" si="525"/>
        <v>0</v>
      </c>
      <c r="V702" s="5">
        <f t="shared" si="539"/>
        <v>0</v>
      </c>
      <c r="W702" s="4" t="e">
        <f t="shared" si="540"/>
        <v>#DIV/0!</v>
      </c>
      <c r="X702" s="14">
        <f t="shared" si="498"/>
        <v>0</v>
      </c>
      <c r="Y702" s="5">
        <f t="shared" si="499"/>
        <v>0</v>
      </c>
      <c r="Z702" s="2">
        <f t="shared" si="500"/>
        <v>0</v>
      </c>
      <c r="AA702" s="4">
        <f t="shared" si="501"/>
        <v>0</v>
      </c>
      <c r="AB702" s="13">
        <f t="shared" si="502"/>
        <v>0</v>
      </c>
      <c r="AC702" s="10">
        <f>SUM($E$4:E702)</f>
        <v>-22024.091160220025</v>
      </c>
      <c r="AD702" s="20">
        <f>SUM($AB$4:AB702)</f>
        <v>13539.766460219998</v>
      </c>
      <c r="AF702" s="28" t="e">
        <f t="shared" si="503"/>
        <v>#DIV/0!</v>
      </c>
      <c r="AG702" s="2" t="e">
        <f t="shared" si="504"/>
        <v>#DIV/0!</v>
      </c>
      <c r="AH702" s="2" t="e">
        <f t="shared" si="505"/>
        <v>#DIV/0!</v>
      </c>
      <c r="AI702" s="2" t="e">
        <f t="shared" si="526"/>
        <v>#DIV/0!</v>
      </c>
      <c r="AJ702" s="2" t="e">
        <f t="shared" si="542"/>
        <v>#DIV/0!</v>
      </c>
      <c r="AK702" s="2" t="e">
        <f t="shared" si="506"/>
        <v>#DIV/0!</v>
      </c>
      <c r="AL702" s="2" t="e">
        <f t="shared" si="507"/>
        <v>#DIV/0!</v>
      </c>
      <c r="AM702" s="2" t="e">
        <f t="shared" si="527"/>
        <v>#DIV/0!</v>
      </c>
      <c r="AN702" s="2">
        <f t="shared" si="508"/>
        <v>0</v>
      </c>
      <c r="AO702" s="2" t="e">
        <f t="shared" si="509"/>
        <v>#DIV/0!</v>
      </c>
      <c r="AP702" s="2" t="e">
        <f t="shared" si="510"/>
        <v>#DIV/0!</v>
      </c>
      <c r="AQ702" s="2" t="e">
        <f t="shared" si="528"/>
        <v>#DIV/0!</v>
      </c>
      <c r="AR702" s="2" t="e">
        <f t="shared" si="543"/>
        <v>#DIV/0!</v>
      </c>
      <c r="AS702" s="2" t="e">
        <f t="shared" si="511"/>
        <v>#DIV/0!</v>
      </c>
      <c r="AT702" s="2" t="e">
        <f t="shared" si="512"/>
        <v>#DIV/0!</v>
      </c>
      <c r="AU702" s="2" t="e">
        <f t="shared" si="529"/>
        <v>#DIV/0!</v>
      </c>
      <c r="AV702" s="2" t="e">
        <f t="shared" si="513"/>
        <v>#DIV/0!</v>
      </c>
      <c r="AW702" s="2" t="e">
        <f t="shared" si="514"/>
        <v>#DIV/0!</v>
      </c>
      <c r="AX702" s="2" t="e">
        <f t="shared" si="515"/>
        <v>#DIV/0!</v>
      </c>
      <c r="AY702" s="2" t="e">
        <f t="shared" si="530"/>
        <v>#DIV/0!</v>
      </c>
      <c r="AZ702" s="2" t="e">
        <f t="shared" si="544"/>
        <v>#DIV/0!</v>
      </c>
      <c r="BA702" s="2" t="e">
        <f t="shared" si="516"/>
        <v>#DIV/0!</v>
      </c>
      <c r="BB702" s="2" t="e">
        <f t="shared" si="517"/>
        <v>#DIV/0!</v>
      </c>
      <c r="BC702" s="2" t="e">
        <f t="shared" si="531"/>
        <v>#DIV/0!</v>
      </c>
      <c r="BD702" s="2">
        <v>0</v>
      </c>
      <c r="BE702" s="2" t="e">
        <f t="shared" si="518"/>
        <v>#DIV/0!</v>
      </c>
      <c r="BF702" s="2" t="e">
        <f t="shared" si="519"/>
        <v>#DIV/0!</v>
      </c>
      <c r="BG702" s="2" t="e">
        <f t="shared" si="532"/>
        <v>#DIV/0!</v>
      </c>
      <c r="BH702" s="2" t="e">
        <f t="shared" si="545"/>
        <v>#DIV/0!</v>
      </c>
      <c r="BI702" s="2" t="e">
        <f t="shared" si="520"/>
        <v>#DIV/0!</v>
      </c>
      <c r="BJ702" s="2" t="e">
        <f t="shared" si="521"/>
        <v>#DIV/0!</v>
      </c>
      <c r="BK702" s="2" t="e">
        <f t="shared" si="533"/>
        <v>#DIV/0!</v>
      </c>
      <c r="BL702" s="2" t="e">
        <f t="shared" si="522"/>
        <v>#DIV/0!</v>
      </c>
      <c r="BM702" s="2" t="e">
        <f t="shared" si="523"/>
        <v>#DIV/0!</v>
      </c>
      <c r="BN702" s="2" t="e">
        <f t="shared" si="534"/>
        <v>#DIV/0!</v>
      </c>
    </row>
    <row r="703" spans="1:66" x14ac:dyDescent="0.25">
      <c r="A703" s="42">
        <v>700</v>
      </c>
      <c r="E703" s="6">
        <f t="shared" si="524"/>
        <v>0</v>
      </c>
      <c r="F703" s="5" t="str">
        <f t="shared" si="535"/>
        <v>Break Even</v>
      </c>
      <c r="G703" s="4">
        <f t="shared" si="536"/>
        <v>0</v>
      </c>
      <c r="N703" s="5">
        <f t="shared" si="537"/>
        <v>0</v>
      </c>
      <c r="O703" s="4" t="e">
        <f t="shared" si="538"/>
        <v>#DIV/0!</v>
      </c>
      <c r="P703" s="5">
        <f t="shared" si="497"/>
        <v>0</v>
      </c>
      <c r="R703" s="2">
        <f t="shared" si="541"/>
        <v>0</v>
      </c>
      <c r="T703" s="2">
        <f t="shared" si="525"/>
        <v>0</v>
      </c>
      <c r="V703" s="5">
        <f t="shared" si="539"/>
        <v>0</v>
      </c>
      <c r="W703" s="4" t="e">
        <f t="shared" si="540"/>
        <v>#DIV/0!</v>
      </c>
      <c r="X703" s="14">
        <f t="shared" si="498"/>
        <v>0</v>
      </c>
      <c r="Y703" s="5">
        <f t="shared" si="499"/>
        <v>0</v>
      </c>
      <c r="Z703" s="2">
        <f t="shared" si="500"/>
        <v>0</v>
      </c>
      <c r="AA703" s="4">
        <f t="shared" si="501"/>
        <v>0</v>
      </c>
      <c r="AB703" s="13">
        <f t="shared" si="502"/>
        <v>0</v>
      </c>
      <c r="AC703" s="10">
        <f>SUM($E$4:E703)</f>
        <v>-22024.091160220025</v>
      </c>
      <c r="AD703" s="20">
        <f>SUM($AB$4:AB703)</f>
        <v>13539.766460219998</v>
      </c>
      <c r="AF703" s="28" t="e">
        <f t="shared" si="503"/>
        <v>#DIV/0!</v>
      </c>
      <c r="AG703" s="2" t="e">
        <f t="shared" si="504"/>
        <v>#DIV/0!</v>
      </c>
      <c r="AH703" s="2" t="e">
        <f t="shared" si="505"/>
        <v>#DIV/0!</v>
      </c>
      <c r="AI703" s="2" t="e">
        <f t="shared" si="526"/>
        <v>#DIV/0!</v>
      </c>
      <c r="AJ703" s="2" t="e">
        <f t="shared" si="542"/>
        <v>#DIV/0!</v>
      </c>
      <c r="AK703" s="2" t="e">
        <f t="shared" si="506"/>
        <v>#DIV/0!</v>
      </c>
      <c r="AL703" s="2" t="e">
        <f t="shared" si="507"/>
        <v>#DIV/0!</v>
      </c>
      <c r="AM703" s="2" t="e">
        <f t="shared" si="527"/>
        <v>#DIV/0!</v>
      </c>
      <c r="AN703" s="2">
        <f t="shared" si="508"/>
        <v>0</v>
      </c>
      <c r="AO703" s="2" t="e">
        <f t="shared" si="509"/>
        <v>#DIV/0!</v>
      </c>
      <c r="AP703" s="2" t="e">
        <f t="shared" si="510"/>
        <v>#DIV/0!</v>
      </c>
      <c r="AQ703" s="2" t="e">
        <f t="shared" si="528"/>
        <v>#DIV/0!</v>
      </c>
      <c r="AR703" s="2" t="e">
        <f t="shared" si="543"/>
        <v>#DIV/0!</v>
      </c>
      <c r="AS703" s="2" t="e">
        <f t="shared" si="511"/>
        <v>#DIV/0!</v>
      </c>
      <c r="AT703" s="2" t="e">
        <f t="shared" si="512"/>
        <v>#DIV/0!</v>
      </c>
      <c r="AU703" s="2" t="e">
        <f t="shared" si="529"/>
        <v>#DIV/0!</v>
      </c>
      <c r="AV703" s="2" t="e">
        <f t="shared" si="513"/>
        <v>#DIV/0!</v>
      </c>
      <c r="AW703" s="2" t="e">
        <f t="shared" si="514"/>
        <v>#DIV/0!</v>
      </c>
      <c r="AX703" s="2" t="e">
        <f t="shared" si="515"/>
        <v>#DIV/0!</v>
      </c>
      <c r="AY703" s="2" t="e">
        <f t="shared" si="530"/>
        <v>#DIV/0!</v>
      </c>
      <c r="AZ703" s="2" t="e">
        <f t="shared" si="544"/>
        <v>#DIV/0!</v>
      </c>
      <c r="BA703" s="2" t="e">
        <f t="shared" si="516"/>
        <v>#DIV/0!</v>
      </c>
      <c r="BB703" s="2" t="e">
        <f t="shared" si="517"/>
        <v>#DIV/0!</v>
      </c>
      <c r="BC703" s="2" t="e">
        <f t="shared" si="531"/>
        <v>#DIV/0!</v>
      </c>
      <c r="BD703" s="2">
        <v>0</v>
      </c>
      <c r="BE703" s="2" t="e">
        <f t="shared" si="518"/>
        <v>#DIV/0!</v>
      </c>
      <c r="BF703" s="2" t="e">
        <f t="shared" si="519"/>
        <v>#DIV/0!</v>
      </c>
      <c r="BG703" s="2" t="e">
        <f t="shared" si="532"/>
        <v>#DIV/0!</v>
      </c>
      <c r="BH703" s="2" t="e">
        <f t="shared" si="545"/>
        <v>#DIV/0!</v>
      </c>
      <c r="BI703" s="2" t="e">
        <f t="shared" si="520"/>
        <v>#DIV/0!</v>
      </c>
      <c r="BJ703" s="2" t="e">
        <f t="shared" si="521"/>
        <v>#DIV/0!</v>
      </c>
      <c r="BK703" s="2" t="e">
        <f t="shared" si="533"/>
        <v>#DIV/0!</v>
      </c>
      <c r="BL703" s="2" t="e">
        <f t="shared" si="522"/>
        <v>#DIV/0!</v>
      </c>
      <c r="BM703" s="2" t="e">
        <f t="shared" si="523"/>
        <v>#DIV/0!</v>
      </c>
      <c r="BN703" s="2" t="e">
        <f t="shared" si="534"/>
        <v>#DIV/0!</v>
      </c>
    </row>
    <row r="704" spans="1:66" x14ac:dyDescent="0.25">
      <c r="A704" s="42">
        <v>701</v>
      </c>
      <c r="E704" s="6">
        <f t="shared" si="524"/>
        <v>0</v>
      </c>
      <c r="F704" s="5" t="str">
        <f t="shared" si="535"/>
        <v>Break Even</v>
      </c>
      <c r="G704" s="4">
        <f t="shared" si="536"/>
        <v>0</v>
      </c>
      <c r="N704" s="5">
        <f t="shared" si="537"/>
        <v>0</v>
      </c>
      <c r="O704" s="4" t="e">
        <f t="shared" si="538"/>
        <v>#DIV/0!</v>
      </c>
      <c r="P704" s="5">
        <f t="shared" si="497"/>
        <v>0</v>
      </c>
      <c r="R704" s="2">
        <f t="shared" si="541"/>
        <v>0</v>
      </c>
      <c r="T704" s="2">
        <f t="shared" si="525"/>
        <v>0</v>
      </c>
      <c r="V704" s="5">
        <f t="shared" si="539"/>
        <v>0</v>
      </c>
      <c r="W704" s="4" t="e">
        <f t="shared" si="540"/>
        <v>#DIV/0!</v>
      </c>
      <c r="X704" s="14">
        <f t="shared" si="498"/>
        <v>0</v>
      </c>
      <c r="Y704" s="5">
        <f t="shared" si="499"/>
        <v>0</v>
      </c>
      <c r="Z704" s="2">
        <f t="shared" si="500"/>
        <v>0</v>
      </c>
      <c r="AA704" s="4">
        <f t="shared" si="501"/>
        <v>0</v>
      </c>
      <c r="AB704" s="13">
        <f t="shared" si="502"/>
        <v>0</v>
      </c>
      <c r="AC704" s="10">
        <f>SUM($E$4:E704)</f>
        <v>-22024.091160220025</v>
      </c>
      <c r="AD704" s="20">
        <f>SUM($AB$4:AB704)</f>
        <v>13539.766460219998</v>
      </c>
      <c r="AF704" s="28" t="e">
        <f t="shared" si="503"/>
        <v>#DIV/0!</v>
      </c>
      <c r="AG704" s="2" t="e">
        <f t="shared" si="504"/>
        <v>#DIV/0!</v>
      </c>
      <c r="AH704" s="2" t="e">
        <f t="shared" si="505"/>
        <v>#DIV/0!</v>
      </c>
      <c r="AI704" s="2" t="e">
        <f t="shared" si="526"/>
        <v>#DIV/0!</v>
      </c>
      <c r="AJ704" s="2" t="e">
        <f t="shared" si="542"/>
        <v>#DIV/0!</v>
      </c>
      <c r="AK704" s="2" t="e">
        <f t="shared" si="506"/>
        <v>#DIV/0!</v>
      </c>
      <c r="AL704" s="2" t="e">
        <f t="shared" si="507"/>
        <v>#DIV/0!</v>
      </c>
      <c r="AM704" s="2" t="e">
        <f t="shared" si="527"/>
        <v>#DIV/0!</v>
      </c>
      <c r="AN704" s="2">
        <f t="shared" si="508"/>
        <v>0</v>
      </c>
      <c r="AO704" s="2" t="e">
        <f t="shared" si="509"/>
        <v>#DIV/0!</v>
      </c>
      <c r="AP704" s="2" t="e">
        <f t="shared" si="510"/>
        <v>#DIV/0!</v>
      </c>
      <c r="AQ704" s="2" t="e">
        <f t="shared" si="528"/>
        <v>#DIV/0!</v>
      </c>
      <c r="AR704" s="2" t="e">
        <f t="shared" si="543"/>
        <v>#DIV/0!</v>
      </c>
      <c r="AS704" s="2" t="e">
        <f t="shared" si="511"/>
        <v>#DIV/0!</v>
      </c>
      <c r="AT704" s="2" t="e">
        <f t="shared" si="512"/>
        <v>#DIV/0!</v>
      </c>
      <c r="AU704" s="2" t="e">
        <f t="shared" si="529"/>
        <v>#DIV/0!</v>
      </c>
      <c r="AV704" s="2" t="e">
        <f t="shared" si="513"/>
        <v>#DIV/0!</v>
      </c>
      <c r="AW704" s="2" t="e">
        <f t="shared" si="514"/>
        <v>#DIV/0!</v>
      </c>
      <c r="AX704" s="2" t="e">
        <f t="shared" si="515"/>
        <v>#DIV/0!</v>
      </c>
      <c r="AY704" s="2" t="e">
        <f t="shared" si="530"/>
        <v>#DIV/0!</v>
      </c>
      <c r="AZ704" s="2" t="e">
        <f t="shared" si="544"/>
        <v>#DIV/0!</v>
      </c>
      <c r="BA704" s="2" t="e">
        <f t="shared" si="516"/>
        <v>#DIV/0!</v>
      </c>
      <c r="BB704" s="2" t="e">
        <f t="shared" si="517"/>
        <v>#DIV/0!</v>
      </c>
      <c r="BC704" s="2" t="e">
        <f t="shared" si="531"/>
        <v>#DIV/0!</v>
      </c>
      <c r="BD704" s="2">
        <v>0</v>
      </c>
      <c r="BE704" s="2" t="e">
        <f t="shared" si="518"/>
        <v>#DIV/0!</v>
      </c>
      <c r="BF704" s="2" t="e">
        <f t="shared" si="519"/>
        <v>#DIV/0!</v>
      </c>
      <c r="BG704" s="2" t="e">
        <f t="shared" si="532"/>
        <v>#DIV/0!</v>
      </c>
      <c r="BH704" s="2" t="e">
        <f t="shared" si="545"/>
        <v>#DIV/0!</v>
      </c>
      <c r="BI704" s="2" t="e">
        <f t="shared" si="520"/>
        <v>#DIV/0!</v>
      </c>
      <c r="BJ704" s="2" t="e">
        <f t="shared" si="521"/>
        <v>#DIV/0!</v>
      </c>
      <c r="BK704" s="2" t="e">
        <f t="shared" si="533"/>
        <v>#DIV/0!</v>
      </c>
      <c r="BL704" s="2" t="e">
        <f t="shared" si="522"/>
        <v>#DIV/0!</v>
      </c>
      <c r="BM704" s="2" t="e">
        <f t="shared" si="523"/>
        <v>#DIV/0!</v>
      </c>
      <c r="BN704" s="2" t="e">
        <f t="shared" si="534"/>
        <v>#DIV/0!</v>
      </c>
    </row>
    <row r="705" spans="1:66" x14ac:dyDescent="0.25">
      <c r="A705" s="42">
        <v>702</v>
      </c>
      <c r="E705" s="6">
        <f t="shared" si="524"/>
        <v>0</v>
      </c>
      <c r="F705" s="5" t="str">
        <f t="shared" si="535"/>
        <v>Break Even</v>
      </c>
      <c r="G705" s="4">
        <f t="shared" si="536"/>
        <v>0</v>
      </c>
      <c r="N705" s="5">
        <f t="shared" si="537"/>
        <v>0</v>
      </c>
      <c r="O705" s="4" t="e">
        <f t="shared" si="538"/>
        <v>#DIV/0!</v>
      </c>
      <c r="P705" s="5">
        <f t="shared" si="497"/>
        <v>0</v>
      </c>
      <c r="R705" s="2">
        <f t="shared" si="541"/>
        <v>0</v>
      </c>
      <c r="T705" s="2">
        <f t="shared" si="525"/>
        <v>0</v>
      </c>
      <c r="V705" s="5">
        <f t="shared" si="539"/>
        <v>0</v>
      </c>
      <c r="W705" s="4" t="e">
        <f t="shared" si="540"/>
        <v>#DIV/0!</v>
      </c>
      <c r="X705" s="14">
        <f t="shared" si="498"/>
        <v>0</v>
      </c>
      <c r="Y705" s="5">
        <f t="shared" si="499"/>
        <v>0</v>
      </c>
      <c r="Z705" s="2">
        <f t="shared" si="500"/>
        <v>0</v>
      </c>
      <c r="AA705" s="4">
        <f t="shared" si="501"/>
        <v>0</v>
      </c>
      <c r="AB705" s="13">
        <f t="shared" si="502"/>
        <v>0</v>
      </c>
      <c r="AC705" s="10">
        <f>SUM($E$4:E705)</f>
        <v>-22024.091160220025</v>
      </c>
      <c r="AD705" s="20">
        <f>SUM($AB$4:AB705)</f>
        <v>13539.766460219998</v>
      </c>
      <c r="AF705" s="28" t="e">
        <f t="shared" si="503"/>
        <v>#DIV/0!</v>
      </c>
      <c r="AG705" s="2" t="e">
        <f t="shared" si="504"/>
        <v>#DIV/0!</v>
      </c>
      <c r="AH705" s="2" t="e">
        <f t="shared" si="505"/>
        <v>#DIV/0!</v>
      </c>
      <c r="AI705" s="2" t="e">
        <f t="shared" si="526"/>
        <v>#DIV/0!</v>
      </c>
      <c r="AJ705" s="2" t="e">
        <f t="shared" si="542"/>
        <v>#DIV/0!</v>
      </c>
      <c r="AK705" s="2" t="e">
        <f t="shared" si="506"/>
        <v>#DIV/0!</v>
      </c>
      <c r="AL705" s="2" t="e">
        <f t="shared" si="507"/>
        <v>#DIV/0!</v>
      </c>
      <c r="AM705" s="2" t="e">
        <f t="shared" si="527"/>
        <v>#DIV/0!</v>
      </c>
      <c r="AN705" s="2">
        <f t="shared" si="508"/>
        <v>0</v>
      </c>
      <c r="AO705" s="2" t="e">
        <f t="shared" si="509"/>
        <v>#DIV/0!</v>
      </c>
      <c r="AP705" s="2" t="e">
        <f t="shared" si="510"/>
        <v>#DIV/0!</v>
      </c>
      <c r="AQ705" s="2" t="e">
        <f t="shared" si="528"/>
        <v>#DIV/0!</v>
      </c>
      <c r="AR705" s="2" t="e">
        <f t="shared" si="543"/>
        <v>#DIV/0!</v>
      </c>
      <c r="AS705" s="2" t="e">
        <f t="shared" si="511"/>
        <v>#DIV/0!</v>
      </c>
      <c r="AT705" s="2" t="e">
        <f t="shared" si="512"/>
        <v>#DIV/0!</v>
      </c>
      <c r="AU705" s="2" t="e">
        <f t="shared" si="529"/>
        <v>#DIV/0!</v>
      </c>
      <c r="AV705" s="2" t="e">
        <f t="shared" si="513"/>
        <v>#DIV/0!</v>
      </c>
      <c r="AW705" s="2" t="e">
        <f t="shared" si="514"/>
        <v>#DIV/0!</v>
      </c>
      <c r="AX705" s="2" t="e">
        <f t="shared" si="515"/>
        <v>#DIV/0!</v>
      </c>
      <c r="AY705" s="2" t="e">
        <f t="shared" si="530"/>
        <v>#DIV/0!</v>
      </c>
      <c r="AZ705" s="2" t="e">
        <f t="shared" si="544"/>
        <v>#DIV/0!</v>
      </c>
      <c r="BA705" s="2" t="e">
        <f t="shared" si="516"/>
        <v>#DIV/0!</v>
      </c>
      <c r="BB705" s="2" t="e">
        <f t="shared" si="517"/>
        <v>#DIV/0!</v>
      </c>
      <c r="BC705" s="2" t="e">
        <f t="shared" si="531"/>
        <v>#DIV/0!</v>
      </c>
      <c r="BD705" s="2">
        <v>0</v>
      </c>
      <c r="BE705" s="2" t="e">
        <f t="shared" si="518"/>
        <v>#DIV/0!</v>
      </c>
      <c r="BF705" s="2" t="e">
        <f t="shared" si="519"/>
        <v>#DIV/0!</v>
      </c>
      <c r="BG705" s="2" t="e">
        <f t="shared" si="532"/>
        <v>#DIV/0!</v>
      </c>
      <c r="BH705" s="2" t="e">
        <f t="shared" si="545"/>
        <v>#DIV/0!</v>
      </c>
      <c r="BI705" s="2" t="e">
        <f t="shared" si="520"/>
        <v>#DIV/0!</v>
      </c>
      <c r="BJ705" s="2" t="e">
        <f t="shared" si="521"/>
        <v>#DIV/0!</v>
      </c>
      <c r="BK705" s="2" t="e">
        <f t="shared" si="533"/>
        <v>#DIV/0!</v>
      </c>
      <c r="BL705" s="2" t="e">
        <f t="shared" si="522"/>
        <v>#DIV/0!</v>
      </c>
      <c r="BM705" s="2" t="e">
        <f t="shared" si="523"/>
        <v>#DIV/0!</v>
      </c>
      <c r="BN705" s="2" t="e">
        <f t="shared" si="534"/>
        <v>#DIV/0!</v>
      </c>
    </row>
    <row r="706" spans="1:66" x14ac:dyDescent="0.25">
      <c r="A706" s="42">
        <v>703</v>
      </c>
      <c r="E706" s="6">
        <f t="shared" si="524"/>
        <v>0</v>
      </c>
      <c r="F706" s="5" t="str">
        <f t="shared" si="535"/>
        <v>Break Even</v>
      </c>
      <c r="G706" s="4">
        <f t="shared" si="536"/>
        <v>0</v>
      </c>
      <c r="N706" s="5">
        <f t="shared" si="537"/>
        <v>0</v>
      </c>
      <c r="O706" s="4" t="e">
        <f t="shared" si="538"/>
        <v>#DIV/0!</v>
      </c>
      <c r="P706" s="5">
        <f t="shared" si="497"/>
        <v>0</v>
      </c>
      <c r="R706" s="2">
        <f t="shared" si="541"/>
        <v>0</v>
      </c>
      <c r="T706" s="2">
        <f t="shared" si="525"/>
        <v>0</v>
      </c>
      <c r="V706" s="5">
        <f t="shared" si="539"/>
        <v>0</v>
      </c>
      <c r="W706" s="4" t="e">
        <f t="shared" si="540"/>
        <v>#DIV/0!</v>
      </c>
      <c r="X706" s="14">
        <f t="shared" si="498"/>
        <v>0</v>
      </c>
      <c r="Y706" s="5">
        <f t="shared" si="499"/>
        <v>0</v>
      </c>
      <c r="Z706" s="2">
        <f t="shared" si="500"/>
        <v>0</v>
      </c>
      <c r="AA706" s="4">
        <f t="shared" si="501"/>
        <v>0</v>
      </c>
      <c r="AB706" s="13">
        <f t="shared" si="502"/>
        <v>0</v>
      </c>
      <c r="AC706" s="10">
        <f>SUM($E$4:E706)</f>
        <v>-22024.091160220025</v>
      </c>
      <c r="AD706" s="20">
        <f>SUM($AB$4:AB706)</f>
        <v>13539.766460219998</v>
      </c>
      <c r="AF706" s="28" t="e">
        <f t="shared" si="503"/>
        <v>#DIV/0!</v>
      </c>
      <c r="AG706" s="2" t="e">
        <f t="shared" si="504"/>
        <v>#DIV/0!</v>
      </c>
      <c r="AH706" s="2" t="e">
        <f t="shared" si="505"/>
        <v>#DIV/0!</v>
      </c>
      <c r="AI706" s="2" t="e">
        <f t="shared" si="526"/>
        <v>#DIV/0!</v>
      </c>
      <c r="AJ706" s="2" t="e">
        <f t="shared" si="542"/>
        <v>#DIV/0!</v>
      </c>
      <c r="AK706" s="2" t="e">
        <f t="shared" si="506"/>
        <v>#DIV/0!</v>
      </c>
      <c r="AL706" s="2" t="e">
        <f t="shared" si="507"/>
        <v>#DIV/0!</v>
      </c>
      <c r="AM706" s="2" t="e">
        <f t="shared" si="527"/>
        <v>#DIV/0!</v>
      </c>
      <c r="AN706" s="2">
        <f t="shared" si="508"/>
        <v>0</v>
      </c>
      <c r="AO706" s="2" t="e">
        <f t="shared" si="509"/>
        <v>#DIV/0!</v>
      </c>
      <c r="AP706" s="2" t="e">
        <f t="shared" si="510"/>
        <v>#DIV/0!</v>
      </c>
      <c r="AQ706" s="2" t="e">
        <f t="shared" si="528"/>
        <v>#DIV/0!</v>
      </c>
      <c r="AR706" s="2" t="e">
        <f t="shared" si="543"/>
        <v>#DIV/0!</v>
      </c>
      <c r="AS706" s="2" t="e">
        <f t="shared" si="511"/>
        <v>#DIV/0!</v>
      </c>
      <c r="AT706" s="2" t="e">
        <f t="shared" si="512"/>
        <v>#DIV/0!</v>
      </c>
      <c r="AU706" s="2" t="e">
        <f t="shared" si="529"/>
        <v>#DIV/0!</v>
      </c>
      <c r="AV706" s="2" t="e">
        <f t="shared" si="513"/>
        <v>#DIV/0!</v>
      </c>
      <c r="AW706" s="2" t="e">
        <f t="shared" si="514"/>
        <v>#DIV/0!</v>
      </c>
      <c r="AX706" s="2" t="e">
        <f t="shared" si="515"/>
        <v>#DIV/0!</v>
      </c>
      <c r="AY706" s="2" t="e">
        <f t="shared" si="530"/>
        <v>#DIV/0!</v>
      </c>
      <c r="AZ706" s="2" t="e">
        <f t="shared" si="544"/>
        <v>#DIV/0!</v>
      </c>
      <c r="BA706" s="2" t="e">
        <f t="shared" si="516"/>
        <v>#DIV/0!</v>
      </c>
      <c r="BB706" s="2" t="e">
        <f t="shared" si="517"/>
        <v>#DIV/0!</v>
      </c>
      <c r="BC706" s="2" t="e">
        <f t="shared" si="531"/>
        <v>#DIV/0!</v>
      </c>
      <c r="BD706" s="2">
        <v>0</v>
      </c>
      <c r="BE706" s="2" t="e">
        <f t="shared" si="518"/>
        <v>#DIV/0!</v>
      </c>
      <c r="BF706" s="2" t="e">
        <f t="shared" si="519"/>
        <v>#DIV/0!</v>
      </c>
      <c r="BG706" s="2" t="e">
        <f t="shared" si="532"/>
        <v>#DIV/0!</v>
      </c>
      <c r="BH706" s="2" t="e">
        <f t="shared" si="545"/>
        <v>#DIV/0!</v>
      </c>
      <c r="BI706" s="2" t="e">
        <f t="shared" si="520"/>
        <v>#DIV/0!</v>
      </c>
      <c r="BJ706" s="2" t="e">
        <f t="shared" si="521"/>
        <v>#DIV/0!</v>
      </c>
      <c r="BK706" s="2" t="e">
        <f t="shared" si="533"/>
        <v>#DIV/0!</v>
      </c>
      <c r="BL706" s="2" t="e">
        <f t="shared" si="522"/>
        <v>#DIV/0!</v>
      </c>
      <c r="BM706" s="2" t="e">
        <f t="shared" si="523"/>
        <v>#DIV/0!</v>
      </c>
      <c r="BN706" s="2" t="e">
        <f t="shared" si="534"/>
        <v>#DIV/0!</v>
      </c>
    </row>
    <row r="707" spans="1:66" x14ac:dyDescent="0.25">
      <c r="A707" s="42">
        <v>704</v>
      </c>
      <c r="E707" s="6">
        <f t="shared" si="524"/>
        <v>0</v>
      </c>
      <c r="F707" s="5" t="str">
        <f t="shared" si="535"/>
        <v>Break Even</v>
      </c>
      <c r="G707" s="4">
        <f t="shared" si="536"/>
        <v>0</v>
      </c>
      <c r="N707" s="5">
        <f t="shared" si="537"/>
        <v>0</v>
      </c>
      <c r="O707" s="4" t="e">
        <f t="shared" si="538"/>
        <v>#DIV/0!</v>
      </c>
      <c r="P707" s="5">
        <f t="shared" si="497"/>
        <v>0</v>
      </c>
      <c r="R707" s="2">
        <f t="shared" si="541"/>
        <v>0</v>
      </c>
      <c r="T707" s="2">
        <f t="shared" si="525"/>
        <v>0</v>
      </c>
      <c r="V707" s="5">
        <f t="shared" si="539"/>
        <v>0</v>
      </c>
      <c r="W707" s="4" t="e">
        <f t="shared" si="540"/>
        <v>#DIV/0!</v>
      </c>
      <c r="X707" s="14">
        <f t="shared" si="498"/>
        <v>0</v>
      </c>
      <c r="Y707" s="5">
        <f t="shared" si="499"/>
        <v>0</v>
      </c>
      <c r="Z707" s="2">
        <f t="shared" si="500"/>
        <v>0</v>
      </c>
      <c r="AA707" s="4">
        <f t="shared" si="501"/>
        <v>0</v>
      </c>
      <c r="AB707" s="13">
        <f t="shared" si="502"/>
        <v>0</v>
      </c>
      <c r="AC707" s="10">
        <f>SUM($E$4:E707)</f>
        <v>-22024.091160220025</v>
      </c>
      <c r="AD707" s="20">
        <f>SUM($AB$4:AB707)</f>
        <v>13539.766460219998</v>
      </c>
      <c r="AF707" s="28" t="e">
        <f t="shared" si="503"/>
        <v>#DIV/0!</v>
      </c>
      <c r="AG707" s="2" t="e">
        <f t="shared" si="504"/>
        <v>#DIV/0!</v>
      </c>
      <c r="AH707" s="2" t="e">
        <f t="shared" si="505"/>
        <v>#DIV/0!</v>
      </c>
      <c r="AI707" s="2" t="e">
        <f t="shared" si="526"/>
        <v>#DIV/0!</v>
      </c>
      <c r="AJ707" s="2" t="e">
        <f t="shared" si="542"/>
        <v>#DIV/0!</v>
      </c>
      <c r="AK707" s="2" t="e">
        <f t="shared" si="506"/>
        <v>#DIV/0!</v>
      </c>
      <c r="AL707" s="2" t="e">
        <f t="shared" si="507"/>
        <v>#DIV/0!</v>
      </c>
      <c r="AM707" s="2" t="e">
        <f t="shared" si="527"/>
        <v>#DIV/0!</v>
      </c>
      <c r="AN707" s="2">
        <f t="shared" si="508"/>
        <v>0</v>
      </c>
      <c r="AO707" s="2" t="e">
        <f t="shared" si="509"/>
        <v>#DIV/0!</v>
      </c>
      <c r="AP707" s="2" t="e">
        <f t="shared" si="510"/>
        <v>#DIV/0!</v>
      </c>
      <c r="AQ707" s="2" t="e">
        <f t="shared" si="528"/>
        <v>#DIV/0!</v>
      </c>
      <c r="AR707" s="2" t="e">
        <f t="shared" si="543"/>
        <v>#DIV/0!</v>
      </c>
      <c r="AS707" s="2" t="e">
        <f t="shared" si="511"/>
        <v>#DIV/0!</v>
      </c>
      <c r="AT707" s="2" t="e">
        <f t="shared" si="512"/>
        <v>#DIV/0!</v>
      </c>
      <c r="AU707" s="2" t="e">
        <f t="shared" si="529"/>
        <v>#DIV/0!</v>
      </c>
      <c r="AV707" s="2" t="e">
        <f t="shared" si="513"/>
        <v>#DIV/0!</v>
      </c>
      <c r="AW707" s="2" t="e">
        <f t="shared" si="514"/>
        <v>#DIV/0!</v>
      </c>
      <c r="AX707" s="2" t="e">
        <f t="shared" si="515"/>
        <v>#DIV/0!</v>
      </c>
      <c r="AY707" s="2" t="e">
        <f t="shared" si="530"/>
        <v>#DIV/0!</v>
      </c>
      <c r="AZ707" s="2" t="e">
        <f t="shared" si="544"/>
        <v>#DIV/0!</v>
      </c>
      <c r="BA707" s="2" t="e">
        <f t="shared" si="516"/>
        <v>#DIV/0!</v>
      </c>
      <c r="BB707" s="2" t="e">
        <f t="shared" si="517"/>
        <v>#DIV/0!</v>
      </c>
      <c r="BC707" s="2" t="e">
        <f t="shared" si="531"/>
        <v>#DIV/0!</v>
      </c>
      <c r="BD707" s="2">
        <v>0</v>
      </c>
      <c r="BE707" s="2" t="e">
        <f t="shared" si="518"/>
        <v>#DIV/0!</v>
      </c>
      <c r="BF707" s="2" t="e">
        <f t="shared" si="519"/>
        <v>#DIV/0!</v>
      </c>
      <c r="BG707" s="2" t="e">
        <f t="shared" si="532"/>
        <v>#DIV/0!</v>
      </c>
      <c r="BH707" s="2" t="e">
        <f t="shared" si="545"/>
        <v>#DIV/0!</v>
      </c>
      <c r="BI707" s="2" t="e">
        <f t="shared" si="520"/>
        <v>#DIV/0!</v>
      </c>
      <c r="BJ707" s="2" t="e">
        <f t="shared" si="521"/>
        <v>#DIV/0!</v>
      </c>
      <c r="BK707" s="2" t="e">
        <f t="shared" si="533"/>
        <v>#DIV/0!</v>
      </c>
      <c r="BL707" s="2" t="e">
        <f t="shared" si="522"/>
        <v>#DIV/0!</v>
      </c>
      <c r="BM707" s="2" t="e">
        <f t="shared" si="523"/>
        <v>#DIV/0!</v>
      </c>
      <c r="BN707" s="2" t="e">
        <f t="shared" si="534"/>
        <v>#DIV/0!</v>
      </c>
    </row>
    <row r="708" spans="1:66" x14ac:dyDescent="0.25">
      <c r="A708" s="42">
        <v>705</v>
      </c>
      <c r="E708" s="6">
        <f t="shared" si="524"/>
        <v>0</v>
      </c>
      <c r="F708" s="5" t="str">
        <f t="shared" si="535"/>
        <v>Break Even</v>
      </c>
      <c r="G708" s="4">
        <f t="shared" si="536"/>
        <v>0</v>
      </c>
      <c r="N708" s="5">
        <f t="shared" si="537"/>
        <v>0</v>
      </c>
      <c r="O708" s="4" t="e">
        <f t="shared" si="538"/>
        <v>#DIV/0!</v>
      </c>
      <c r="P708" s="5">
        <f t="shared" ref="P708:P771" si="546">H708</f>
        <v>0</v>
      </c>
      <c r="R708" s="2">
        <f t="shared" si="541"/>
        <v>0</v>
      </c>
      <c r="T708" s="2">
        <f t="shared" si="525"/>
        <v>0</v>
      </c>
      <c r="V708" s="5">
        <f t="shared" si="539"/>
        <v>0</v>
      </c>
      <c r="W708" s="4" t="e">
        <f t="shared" si="540"/>
        <v>#DIV/0!</v>
      </c>
      <c r="X708" s="14">
        <f t="shared" ref="X708:X771" si="547">MAX(Q708,S708,U708)-MIN(I708,K708,M708)</f>
        <v>0</v>
      </c>
      <c r="Y708" s="5">
        <f t="shared" ref="Y708:Y771" si="548">P708*(Q708-I708)</f>
        <v>0</v>
      </c>
      <c r="Z708" s="2">
        <f t="shared" ref="Z708:Z771" si="549">R708*(S708-K708)</f>
        <v>0</v>
      </c>
      <c r="AA708" s="4">
        <f t="shared" ref="AA708:AA771" si="550">T708*(U708-M708)</f>
        <v>0</v>
      </c>
      <c r="AB708" s="13">
        <f t="shared" ref="AB708:AB771" si="551">IF(C708="EQ Intraday",AM708,IF(C708="Index Option",AU708,IF(C708="Index Future",BC708,IF(C708="EQ Delivery",BK708,IF(C708="Stock Option",AU708,IF(C708="Stock Future",BC708,IF(C708="",0,"Error")))))))</f>
        <v>0</v>
      </c>
      <c r="AC708" s="10">
        <f>SUM($E$4:E708)</f>
        <v>-22024.091160220025</v>
      </c>
      <c r="AD708" s="20">
        <f>SUM($AB$4:AB708)</f>
        <v>13539.766460219998</v>
      </c>
      <c r="AF708" s="28" t="e">
        <f t="shared" ref="AF708:AF771" si="552">MIN(IF(ISBLANK(U708)=FALSE,120,IF(ISBLANK(S708)=FALSE,80,40)),(((V708*W708)+(N708*O708))*0.0001))</f>
        <v>#DIV/0!</v>
      </c>
      <c r="AG708" s="2" t="e">
        <f t="shared" ref="AG708:AG771" si="553">(0.00025*V708*W708)</f>
        <v>#DIV/0!</v>
      </c>
      <c r="AH708" s="2" t="e">
        <f t="shared" ref="AH708:AH771" si="554">(0.0000325*((V708*W708)+(N708*O708)))</f>
        <v>#DIV/0!</v>
      </c>
      <c r="AI708" s="2" t="e">
        <f t="shared" si="526"/>
        <v>#DIV/0!</v>
      </c>
      <c r="AJ708" s="2" t="e">
        <f t="shared" si="542"/>
        <v>#DIV/0!</v>
      </c>
      <c r="AK708" s="2" t="e">
        <f t="shared" ref="AK708:AK771" si="555">(((V708*W708)+(N708*O708))/10000000)*20</f>
        <v>#DIV/0!</v>
      </c>
      <c r="AL708" s="2" t="e">
        <f t="shared" ref="AL708:AL771" si="556">0.00006*((V708*W708)+(N708*O708))</f>
        <v>#DIV/0!</v>
      </c>
      <c r="AM708" s="2" t="e">
        <f t="shared" si="527"/>
        <v>#DIV/0!</v>
      </c>
      <c r="AN708" s="2">
        <f t="shared" ref="AN708:AN771" si="557">COUNT(H708,J708,L708)*40</f>
        <v>0</v>
      </c>
      <c r="AO708" s="2" t="e">
        <f t="shared" ref="AO708:AO771" si="558">0.0005*V708*W708</f>
        <v>#DIV/0!</v>
      </c>
      <c r="AP708" s="2" t="e">
        <f t="shared" ref="AP708:AP771" si="559">0.00053*((N708*O708)+(V708*W708))</f>
        <v>#DIV/0!</v>
      </c>
      <c r="AQ708" s="2" t="e">
        <f t="shared" si="528"/>
        <v>#DIV/0!</v>
      </c>
      <c r="AR708" s="2" t="e">
        <f t="shared" si="543"/>
        <v>#DIV/0!</v>
      </c>
      <c r="AS708" s="2" t="e">
        <f t="shared" ref="AS708:AS771" si="560">(((V708*W708)+(N708*O708))/10000000)*20</f>
        <v>#DIV/0!</v>
      </c>
      <c r="AT708" s="2" t="e">
        <f t="shared" ref="AT708:AT771" si="561">0.00006*((V708*W708)+(N708*O708))</f>
        <v>#DIV/0!</v>
      </c>
      <c r="AU708" s="2" t="e">
        <f t="shared" si="529"/>
        <v>#DIV/0!</v>
      </c>
      <c r="AV708" s="2" t="e">
        <f t="shared" ref="AV708:AV771" si="562">MIN(IF(ISBLANK(U708)=FALSE,120,IF(ISBLANK(S708)=FALSE,80,40)),(((V708*W708)+(N708*O708))*0.0001))</f>
        <v>#DIV/0!</v>
      </c>
      <c r="AW708" s="2" t="e">
        <f t="shared" ref="AW708:AW771" si="563">0.0001*V708*W708</f>
        <v>#DIV/0!</v>
      </c>
      <c r="AX708" s="2" t="e">
        <f t="shared" ref="AX708:AX771" si="564">0.000021*((N708*O708)+(V708*W708))</f>
        <v>#DIV/0!</v>
      </c>
      <c r="AY708" s="2" t="e">
        <f t="shared" si="530"/>
        <v>#DIV/0!</v>
      </c>
      <c r="AZ708" s="2" t="e">
        <f t="shared" si="544"/>
        <v>#DIV/0!</v>
      </c>
      <c r="BA708" s="2" t="e">
        <f t="shared" ref="BA708:BA771" si="565">(((V708*W708)+(N708*O708))/10000000)*20</f>
        <v>#DIV/0!</v>
      </c>
      <c r="BB708" s="2" t="e">
        <f t="shared" ref="BB708:BB771" si="566">0.00006*((V708*W708)+(N708*O708))</f>
        <v>#DIV/0!</v>
      </c>
      <c r="BC708" s="2" t="e">
        <f t="shared" si="531"/>
        <v>#DIV/0!</v>
      </c>
      <c r="BD708" s="2">
        <v>0</v>
      </c>
      <c r="BE708" s="2" t="e">
        <f t="shared" ref="BE708:BE771" si="567">0.001*((N708*O708)+(V708*W708))</f>
        <v>#DIV/0!</v>
      </c>
      <c r="BF708" s="2" t="e">
        <f t="shared" ref="BF708:BF771" si="568">(0.0000325*((V708*W708)+(N708*O708)))</f>
        <v>#DIV/0!</v>
      </c>
      <c r="BG708" s="2" t="e">
        <f t="shared" si="532"/>
        <v>#DIV/0!</v>
      </c>
      <c r="BH708" s="2" t="e">
        <f t="shared" si="545"/>
        <v>#DIV/0!</v>
      </c>
      <c r="BI708" s="2" t="e">
        <f t="shared" ref="BI708:BI771" si="569">(((V708*W708)+(N708*O708))/10000000)*20</f>
        <v>#DIV/0!</v>
      </c>
      <c r="BJ708" s="2" t="e">
        <f t="shared" ref="BJ708:BJ771" si="570">0.00006*((V708*W708)+(N708*O708))</f>
        <v>#DIV/0!</v>
      </c>
      <c r="BK708" s="2" t="e">
        <f t="shared" si="533"/>
        <v>#DIV/0!</v>
      </c>
      <c r="BL708" s="2" t="e">
        <f t="shared" ref="BL708:BL771" si="571">N708*O708</f>
        <v>#DIV/0!</v>
      </c>
      <c r="BM708" s="2" t="e">
        <f t="shared" ref="BM708:BM771" si="572">V708*W708</f>
        <v>#DIV/0!</v>
      </c>
      <c r="BN708" s="2" t="e">
        <f t="shared" si="534"/>
        <v>#DIV/0!</v>
      </c>
    </row>
    <row r="709" spans="1:66" x14ac:dyDescent="0.25">
      <c r="A709" s="42">
        <v>706</v>
      </c>
      <c r="E709" s="6">
        <f t="shared" ref="E709:E772" si="573">G709-AB709</f>
        <v>0</v>
      </c>
      <c r="F709" s="5" t="str">
        <f t="shared" si="535"/>
        <v>Break Even</v>
      </c>
      <c r="G709" s="4">
        <f t="shared" si="536"/>
        <v>0</v>
      </c>
      <c r="N709" s="5">
        <f t="shared" si="537"/>
        <v>0</v>
      </c>
      <c r="O709" s="4" t="e">
        <f t="shared" si="538"/>
        <v>#DIV/0!</v>
      </c>
      <c r="P709" s="5">
        <f t="shared" si="546"/>
        <v>0</v>
      </c>
      <c r="R709" s="2">
        <f t="shared" si="541"/>
        <v>0</v>
      </c>
      <c r="T709" s="2">
        <f t="shared" ref="T709:T772" si="574">L709</f>
        <v>0</v>
      </c>
      <c r="V709" s="5">
        <f t="shared" si="539"/>
        <v>0</v>
      </c>
      <c r="W709" s="4" t="e">
        <f t="shared" si="540"/>
        <v>#DIV/0!</v>
      </c>
      <c r="X709" s="14">
        <f t="shared" si="547"/>
        <v>0</v>
      </c>
      <c r="Y709" s="5">
        <f t="shared" si="548"/>
        <v>0</v>
      </c>
      <c r="Z709" s="2">
        <f t="shared" si="549"/>
        <v>0</v>
      </c>
      <c r="AA709" s="4">
        <f t="shared" si="550"/>
        <v>0</v>
      </c>
      <c r="AB709" s="13">
        <f t="shared" si="551"/>
        <v>0</v>
      </c>
      <c r="AC709" s="10">
        <f>SUM($E$4:E709)</f>
        <v>-22024.091160220025</v>
      </c>
      <c r="AD709" s="20">
        <f>SUM($AB$4:AB709)</f>
        <v>13539.766460219998</v>
      </c>
      <c r="AF709" s="28" t="e">
        <f t="shared" si="552"/>
        <v>#DIV/0!</v>
      </c>
      <c r="AG709" s="2" t="e">
        <f t="shared" si="553"/>
        <v>#DIV/0!</v>
      </c>
      <c r="AH709" s="2" t="e">
        <f t="shared" si="554"/>
        <v>#DIV/0!</v>
      </c>
      <c r="AI709" s="2" t="e">
        <f t="shared" ref="AI709:AI772" si="575">AH709+AF709</f>
        <v>#DIV/0!</v>
      </c>
      <c r="AJ709" s="2" t="e">
        <f t="shared" si="542"/>
        <v>#DIV/0!</v>
      </c>
      <c r="AK709" s="2" t="e">
        <f t="shared" si="555"/>
        <v>#DIV/0!</v>
      </c>
      <c r="AL709" s="2" t="e">
        <f t="shared" si="556"/>
        <v>#DIV/0!</v>
      </c>
      <c r="AM709" s="2" t="e">
        <f t="shared" ref="AM709:AM772" si="576">SUM(AF709:AH709,AJ709:AL709)</f>
        <v>#DIV/0!</v>
      </c>
      <c r="AN709" s="2">
        <f t="shared" si="557"/>
        <v>0</v>
      </c>
      <c r="AO709" s="2" t="e">
        <f t="shared" si="558"/>
        <v>#DIV/0!</v>
      </c>
      <c r="AP709" s="2" t="e">
        <f t="shared" si="559"/>
        <v>#DIV/0!</v>
      </c>
      <c r="AQ709" s="2" t="e">
        <f t="shared" ref="AQ709:AQ772" si="577">AN709+AP709</f>
        <v>#DIV/0!</v>
      </c>
      <c r="AR709" s="2" t="e">
        <f t="shared" si="543"/>
        <v>#DIV/0!</v>
      </c>
      <c r="AS709" s="2" t="e">
        <f t="shared" si="560"/>
        <v>#DIV/0!</v>
      </c>
      <c r="AT709" s="2" t="e">
        <f t="shared" si="561"/>
        <v>#DIV/0!</v>
      </c>
      <c r="AU709" s="2" t="e">
        <f t="shared" ref="AU709:AU772" si="578">SUM(AN709:AP709,AR709:AT709)</f>
        <v>#DIV/0!</v>
      </c>
      <c r="AV709" s="2" t="e">
        <f t="shared" si="562"/>
        <v>#DIV/0!</v>
      </c>
      <c r="AW709" s="2" t="e">
        <f t="shared" si="563"/>
        <v>#DIV/0!</v>
      </c>
      <c r="AX709" s="2" t="e">
        <f t="shared" si="564"/>
        <v>#DIV/0!</v>
      </c>
      <c r="AY709" s="2" t="e">
        <f t="shared" ref="AY709:AY772" si="579">AV709+AX709</f>
        <v>#DIV/0!</v>
      </c>
      <c r="AZ709" s="2" t="e">
        <f t="shared" si="544"/>
        <v>#DIV/0!</v>
      </c>
      <c r="BA709" s="2" t="e">
        <f t="shared" si="565"/>
        <v>#DIV/0!</v>
      </c>
      <c r="BB709" s="2" t="e">
        <f t="shared" si="566"/>
        <v>#DIV/0!</v>
      </c>
      <c r="BC709" s="2" t="e">
        <f t="shared" ref="BC709:BC772" si="580">SUM(AV709:AX709,AZ709:BB709)</f>
        <v>#DIV/0!</v>
      </c>
      <c r="BD709" s="2">
        <v>0</v>
      </c>
      <c r="BE709" s="2" t="e">
        <f t="shared" si="567"/>
        <v>#DIV/0!</v>
      </c>
      <c r="BF709" s="2" t="e">
        <f t="shared" si="568"/>
        <v>#DIV/0!</v>
      </c>
      <c r="BG709" s="2" t="e">
        <f t="shared" ref="BG709:BG772" si="581">BD709+BF709</f>
        <v>#DIV/0!</v>
      </c>
      <c r="BH709" s="2" t="e">
        <f t="shared" si="545"/>
        <v>#DIV/0!</v>
      </c>
      <c r="BI709" s="2" t="e">
        <f t="shared" si="569"/>
        <v>#DIV/0!</v>
      </c>
      <c r="BJ709" s="2" t="e">
        <f t="shared" si="570"/>
        <v>#DIV/0!</v>
      </c>
      <c r="BK709" s="2" t="e">
        <f t="shared" ref="BK709:BK772" si="582">SUM(BD709:BF709,BH709:BJ709)</f>
        <v>#DIV/0!</v>
      </c>
      <c r="BL709" s="2" t="e">
        <f t="shared" si="571"/>
        <v>#DIV/0!</v>
      </c>
      <c r="BM709" s="2" t="e">
        <f t="shared" si="572"/>
        <v>#DIV/0!</v>
      </c>
      <c r="BN709" s="2" t="e">
        <f t="shared" ref="BN709:BN772" si="583">BM709+BL709</f>
        <v>#DIV/0!</v>
      </c>
    </row>
    <row r="710" spans="1:66" x14ac:dyDescent="0.25">
      <c r="A710" s="42">
        <v>707</v>
      </c>
      <c r="E710" s="6">
        <f t="shared" si="573"/>
        <v>0</v>
      </c>
      <c r="F710" s="5" t="str">
        <f t="shared" ref="F710:F773" si="584">IF(G710&gt;0,"Win",IF(G710=0,"Break Even","Loss"))</f>
        <v>Break Even</v>
      </c>
      <c r="G710" s="4">
        <f t="shared" ref="G710:G773" si="585">SUM(Y710,Z710,AA710)</f>
        <v>0</v>
      </c>
      <c r="N710" s="5">
        <f t="shared" ref="N710:N773" si="586">SUM(H710,J710,L710)</f>
        <v>0</v>
      </c>
      <c r="O710" s="4" t="e">
        <f t="shared" ref="O710:O773" si="587">AVERAGE(M710,K710,I710)</f>
        <v>#DIV/0!</v>
      </c>
      <c r="P710" s="5">
        <f t="shared" si="546"/>
        <v>0</v>
      </c>
      <c r="R710" s="2">
        <f t="shared" si="541"/>
        <v>0</v>
      </c>
      <c r="T710" s="2">
        <f t="shared" si="574"/>
        <v>0</v>
      </c>
      <c r="V710" s="5">
        <f t="shared" ref="V710:V773" si="588">SUM(P710,R710,T710)</f>
        <v>0</v>
      </c>
      <c r="W710" s="4" t="e">
        <f t="shared" ref="W710:W773" si="589">AVERAGE(Q710,S710,U710)</f>
        <v>#DIV/0!</v>
      </c>
      <c r="X710" s="14">
        <f t="shared" si="547"/>
        <v>0</v>
      </c>
      <c r="Y710" s="5">
        <f t="shared" si="548"/>
        <v>0</v>
      </c>
      <c r="Z710" s="2">
        <f t="shared" si="549"/>
        <v>0</v>
      </c>
      <c r="AA710" s="4">
        <f t="shared" si="550"/>
        <v>0</v>
      </c>
      <c r="AB710" s="13">
        <f t="shared" si="551"/>
        <v>0</v>
      </c>
      <c r="AC710" s="10">
        <f>SUM($E$4:E710)</f>
        <v>-22024.091160220025</v>
      </c>
      <c r="AD710" s="20">
        <f>SUM($AB$4:AB710)</f>
        <v>13539.766460219998</v>
      </c>
      <c r="AF710" s="28" t="e">
        <f t="shared" si="552"/>
        <v>#DIV/0!</v>
      </c>
      <c r="AG710" s="2" t="e">
        <f t="shared" si="553"/>
        <v>#DIV/0!</v>
      </c>
      <c r="AH710" s="2" t="e">
        <f t="shared" si="554"/>
        <v>#DIV/0!</v>
      </c>
      <c r="AI710" s="2" t="e">
        <f t="shared" si="575"/>
        <v>#DIV/0!</v>
      </c>
      <c r="AJ710" s="2" t="e">
        <f t="shared" si="542"/>
        <v>#DIV/0!</v>
      </c>
      <c r="AK710" s="2" t="e">
        <f t="shared" si="555"/>
        <v>#DIV/0!</v>
      </c>
      <c r="AL710" s="2" t="e">
        <f t="shared" si="556"/>
        <v>#DIV/0!</v>
      </c>
      <c r="AM710" s="2" t="e">
        <f t="shared" si="576"/>
        <v>#DIV/0!</v>
      </c>
      <c r="AN710" s="2">
        <f t="shared" si="557"/>
        <v>0</v>
      </c>
      <c r="AO710" s="2" t="e">
        <f t="shared" si="558"/>
        <v>#DIV/0!</v>
      </c>
      <c r="AP710" s="2" t="e">
        <f t="shared" si="559"/>
        <v>#DIV/0!</v>
      </c>
      <c r="AQ710" s="2" t="e">
        <f t="shared" si="577"/>
        <v>#DIV/0!</v>
      </c>
      <c r="AR710" s="2" t="e">
        <f t="shared" si="543"/>
        <v>#DIV/0!</v>
      </c>
      <c r="AS710" s="2" t="e">
        <f t="shared" si="560"/>
        <v>#DIV/0!</v>
      </c>
      <c r="AT710" s="2" t="e">
        <f t="shared" si="561"/>
        <v>#DIV/0!</v>
      </c>
      <c r="AU710" s="2" t="e">
        <f t="shared" si="578"/>
        <v>#DIV/0!</v>
      </c>
      <c r="AV710" s="2" t="e">
        <f t="shared" si="562"/>
        <v>#DIV/0!</v>
      </c>
      <c r="AW710" s="2" t="e">
        <f t="shared" si="563"/>
        <v>#DIV/0!</v>
      </c>
      <c r="AX710" s="2" t="e">
        <f t="shared" si="564"/>
        <v>#DIV/0!</v>
      </c>
      <c r="AY710" s="2" t="e">
        <f t="shared" si="579"/>
        <v>#DIV/0!</v>
      </c>
      <c r="AZ710" s="2" t="e">
        <f t="shared" si="544"/>
        <v>#DIV/0!</v>
      </c>
      <c r="BA710" s="2" t="e">
        <f t="shared" si="565"/>
        <v>#DIV/0!</v>
      </c>
      <c r="BB710" s="2" t="e">
        <f t="shared" si="566"/>
        <v>#DIV/0!</v>
      </c>
      <c r="BC710" s="2" t="e">
        <f t="shared" si="580"/>
        <v>#DIV/0!</v>
      </c>
      <c r="BD710" s="2">
        <v>0</v>
      </c>
      <c r="BE710" s="2" t="e">
        <f t="shared" si="567"/>
        <v>#DIV/0!</v>
      </c>
      <c r="BF710" s="2" t="e">
        <f t="shared" si="568"/>
        <v>#DIV/0!</v>
      </c>
      <c r="BG710" s="2" t="e">
        <f t="shared" si="581"/>
        <v>#DIV/0!</v>
      </c>
      <c r="BH710" s="2" t="e">
        <f t="shared" si="545"/>
        <v>#DIV/0!</v>
      </c>
      <c r="BI710" s="2" t="e">
        <f t="shared" si="569"/>
        <v>#DIV/0!</v>
      </c>
      <c r="BJ710" s="2" t="e">
        <f t="shared" si="570"/>
        <v>#DIV/0!</v>
      </c>
      <c r="BK710" s="2" t="e">
        <f t="shared" si="582"/>
        <v>#DIV/0!</v>
      </c>
      <c r="BL710" s="2" t="e">
        <f t="shared" si="571"/>
        <v>#DIV/0!</v>
      </c>
      <c r="BM710" s="2" t="e">
        <f t="shared" si="572"/>
        <v>#DIV/0!</v>
      </c>
      <c r="BN710" s="2" t="e">
        <f t="shared" si="583"/>
        <v>#DIV/0!</v>
      </c>
    </row>
    <row r="711" spans="1:66" x14ac:dyDescent="0.25">
      <c r="A711" s="42">
        <v>708</v>
      </c>
      <c r="E711" s="6">
        <f t="shared" si="573"/>
        <v>0</v>
      </c>
      <c r="F711" s="5" t="str">
        <f t="shared" si="584"/>
        <v>Break Even</v>
      </c>
      <c r="G711" s="4">
        <f t="shared" si="585"/>
        <v>0</v>
      </c>
      <c r="N711" s="5">
        <f t="shared" si="586"/>
        <v>0</v>
      </c>
      <c r="O711" s="4" t="e">
        <f t="shared" si="587"/>
        <v>#DIV/0!</v>
      </c>
      <c r="P711" s="5">
        <f t="shared" si="546"/>
        <v>0</v>
      </c>
      <c r="R711" s="2">
        <f t="shared" si="541"/>
        <v>0</v>
      </c>
      <c r="T711" s="2">
        <f t="shared" si="574"/>
        <v>0</v>
      </c>
      <c r="V711" s="5">
        <f t="shared" si="588"/>
        <v>0</v>
      </c>
      <c r="W711" s="4" t="e">
        <f t="shared" si="589"/>
        <v>#DIV/0!</v>
      </c>
      <c r="X711" s="14">
        <f t="shared" si="547"/>
        <v>0</v>
      </c>
      <c r="Y711" s="5">
        <f t="shared" si="548"/>
        <v>0</v>
      </c>
      <c r="Z711" s="2">
        <f t="shared" si="549"/>
        <v>0</v>
      </c>
      <c r="AA711" s="4">
        <f t="shared" si="550"/>
        <v>0</v>
      </c>
      <c r="AB711" s="13">
        <f t="shared" si="551"/>
        <v>0</v>
      </c>
      <c r="AC711" s="10">
        <f>SUM($E$4:E711)</f>
        <v>-22024.091160220025</v>
      </c>
      <c r="AD711" s="20">
        <f>SUM($AB$4:AB711)</f>
        <v>13539.766460219998</v>
      </c>
      <c r="AF711" s="28" t="e">
        <f t="shared" si="552"/>
        <v>#DIV/0!</v>
      </c>
      <c r="AG711" s="2" t="e">
        <f t="shared" si="553"/>
        <v>#DIV/0!</v>
      </c>
      <c r="AH711" s="2" t="e">
        <f t="shared" si="554"/>
        <v>#DIV/0!</v>
      </c>
      <c r="AI711" s="2" t="e">
        <f t="shared" si="575"/>
        <v>#DIV/0!</v>
      </c>
      <c r="AJ711" s="2" t="e">
        <f t="shared" si="542"/>
        <v>#DIV/0!</v>
      </c>
      <c r="AK711" s="2" t="e">
        <f t="shared" si="555"/>
        <v>#DIV/0!</v>
      </c>
      <c r="AL711" s="2" t="e">
        <f t="shared" si="556"/>
        <v>#DIV/0!</v>
      </c>
      <c r="AM711" s="2" t="e">
        <f t="shared" si="576"/>
        <v>#DIV/0!</v>
      </c>
      <c r="AN711" s="2">
        <f t="shared" si="557"/>
        <v>0</v>
      </c>
      <c r="AO711" s="2" t="e">
        <f t="shared" si="558"/>
        <v>#DIV/0!</v>
      </c>
      <c r="AP711" s="2" t="e">
        <f t="shared" si="559"/>
        <v>#DIV/0!</v>
      </c>
      <c r="AQ711" s="2" t="e">
        <f t="shared" si="577"/>
        <v>#DIV/0!</v>
      </c>
      <c r="AR711" s="2" t="e">
        <f t="shared" si="543"/>
        <v>#DIV/0!</v>
      </c>
      <c r="AS711" s="2" t="e">
        <f t="shared" si="560"/>
        <v>#DIV/0!</v>
      </c>
      <c r="AT711" s="2" t="e">
        <f t="shared" si="561"/>
        <v>#DIV/0!</v>
      </c>
      <c r="AU711" s="2" t="e">
        <f t="shared" si="578"/>
        <v>#DIV/0!</v>
      </c>
      <c r="AV711" s="2" t="e">
        <f t="shared" si="562"/>
        <v>#DIV/0!</v>
      </c>
      <c r="AW711" s="2" t="e">
        <f t="shared" si="563"/>
        <v>#DIV/0!</v>
      </c>
      <c r="AX711" s="2" t="e">
        <f t="shared" si="564"/>
        <v>#DIV/0!</v>
      </c>
      <c r="AY711" s="2" t="e">
        <f t="shared" si="579"/>
        <v>#DIV/0!</v>
      </c>
      <c r="AZ711" s="2" t="e">
        <f t="shared" si="544"/>
        <v>#DIV/0!</v>
      </c>
      <c r="BA711" s="2" t="e">
        <f t="shared" si="565"/>
        <v>#DIV/0!</v>
      </c>
      <c r="BB711" s="2" t="e">
        <f t="shared" si="566"/>
        <v>#DIV/0!</v>
      </c>
      <c r="BC711" s="2" t="e">
        <f t="shared" si="580"/>
        <v>#DIV/0!</v>
      </c>
      <c r="BD711" s="2">
        <v>0</v>
      </c>
      <c r="BE711" s="2" t="e">
        <f t="shared" si="567"/>
        <v>#DIV/0!</v>
      </c>
      <c r="BF711" s="2" t="e">
        <f t="shared" si="568"/>
        <v>#DIV/0!</v>
      </c>
      <c r="BG711" s="2" t="e">
        <f t="shared" si="581"/>
        <v>#DIV/0!</v>
      </c>
      <c r="BH711" s="2" t="e">
        <f t="shared" si="545"/>
        <v>#DIV/0!</v>
      </c>
      <c r="BI711" s="2" t="e">
        <f t="shared" si="569"/>
        <v>#DIV/0!</v>
      </c>
      <c r="BJ711" s="2" t="e">
        <f t="shared" si="570"/>
        <v>#DIV/0!</v>
      </c>
      <c r="BK711" s="2" t="e">
        <f t="shared" si="582"/>
        <v>#DIV/0!</v>
      </c>
      <c r="BL711" s="2" t="e">
        <f t="shared" si="571"/>
        <v>#DIV/0!</v>
      </c>
      <c r="BM711" s="2" t="e">
        <f t="shared" si="572"/>
        <v>#DIV/0!</v>
      </c>
      <c r="BN711" s="2" t="e">
        <f t="shared" si="583"/>
        <v>#DIV/0!</v>
      </c>
    </row>
    <row r="712" spans="1:66" x14ac:dyDescent="0.25">
      <c r="A712" s="42">
        <v>709</v>
      </c>
      <c r="E712" s="6">
        <f t="shared" si="573"/>
        <v>0</v>
      </c>
      <c r="F712" s="5" t="str">
        <f t="shared" si="584"/>
        <v>Break Even</v>
      </c>
      <c r="G712" s="4">
        <f t="shared" si="585"/>
        <v>0</v>
      </c>
      <c r="N712" s="5">
        <f t="shared" si="586"/>
        <v>0</v>
      </c>
      <c r="O712" s="4" t="e">
        <f t="shared" si="587"/>
        <v>#DIV/0!</v>
      </c>
      <c r="P712" s="5">
        <f t="shared" si="546"/>
        <v>0</v>
      </c>
      <c r="R712" s="2">
        <f t="shared" si="541"/>
        <v>0</v>
      </c>
      <c r="T712" s="2">
        <f t="shared" si="574"/>
        <v>0</v>
      </c>
      <c r="V712" s="5">
        <f t="shared" si="588"/>
        <v>0</v>
      </c>
      <c r="W712" s="4" t="e">
        <f t="shared" si="589"/>
        <v>#DIV/0!</v>
      </c>
      <c r="X712" s="14">
        <f t="shared" si="547"/>
        <v>0</v>
      </c>
      <c r="Y712" s="5">
        <f t="shared" si="548"/>
        <v>0</v>
      </c>
      <c r="Z712" s="2">
        <f t="shared" si="549"/>
        <v>0</v>
      </c>
      <c r="AA712" s="4">
        <f t="shared" si="550"/>
        <v>0</v>
      </c>
      <c r="AB712" s="13">
        <f t="shared" si="551"/>
        <v>0</v>
      </c>
      <c r="AC712" s="10">
        <f>SUM($E$4:E712)</f>
        <v>-22024.091160220025</v>
      </c>
      <c r="AD712" s="20">
        <f>SUM($AB$4:AB712)</f>
        <v>13539.766460219998</v>
      </c>
      <c r="AF712" s="28" t="e">
        <f t="shared" si="552"/>
        <v>#DIV/0!</v>
      </c>
      <c r="AG712" s="2" t="e">
        <f t="shared" si="553"/>
        <v>#DIV/0!</v>
      </c>
      <c r="AH712" s="2" t="e">
        <f t="shared" si="554"/>
        <v>#DIV/0!</v>
      </c>
      <c r="AI712" s="2" t="e">
        <f t="shared" si="575"/>
        <v>#DIV/0!</v>
      </c>
      <c r="AJ712" s="2" t="e">
        <f t="shared" si="542"/>
        <v>#DIV/0!</v>
      </c>
      <c r="AK712" s="2" t="e">
        <f t="shared" si="555"/>
        <v>#DIV/0!</v>
      </c>
      <c r="AL712" s="2" t="e">
        <f t="shared" si="556"/>
        <v>#DIV/0!</v>
      </c>
      <c r="AM712" s="2" t="e">
        <f t="shared" si="576"/>
        <v>#DIV/0!</v>
      </c>
      <c r="AN712" s="2">
        <f t="shared" si="557"/>
        <v>0</v>
      </c>
      <c r="AO712" s="2" t="e">
        <f t="shared" si="558"/>
        <v>#DIV/0!</v>
      </c>
      <c r="AP712" s="2" t="e">
        <f t="shared" si="559"/>
        <v>#DIV/0!</v>
      </c>
      <c r="AQ712" s="2" t="e">
        <f t="shared" si="577"/>
        <v>#DIV/0!</v>
      </c>
      <c r="AR712" s="2" t="e">
        <f t="shared" si="543"/>
        <v>#DIV/0!</v>
      </c>
      <c r="AS712" s="2" t="e">
        <f t="shared" si="560"/>
        <v>#DIV/0!</v>
      </c>
      <c r="AT712" s="2" t="e">
        <f t="shared" si="561"/>
        <v>#DIV/0!</v>
      </c>
      <c r="AU712" s="2" t="e">
        <f t="shared" si="578"/>
        <v>#DIV/0!</v>
      </c>
      <c r="AV712" s="2" t="e">
        <f t="shared" si="562"/>
        <v>#DIV/0!</v>
      </c>
      <c r="AW712" s="2" t="e">
        <f t="shared" si="563"/>
        <v>#DIV/0!</v>
      </c>
      <c r="AX712" s="2" t="e">
        <f t="shared" si="564"/>
        <v>#DIV/0!</v>
      </c>
      <c r="AY712" s="2" t="e">
        <f t="shared" si="579"/>
        <v>#DIV/0!</v>
      </c>
      <c r="AZ712" s="2" t="e">
        <f t="shared" si="544"/>
        <v>#DIV/0!</v>
      </c>
      <c r="BA712" s="2" t="e">
        <f t="shared" si="565"/>
        <v>#DIV/0!</v>
      </c>
      <c r="BB712" s="2" t="e">
        <f t="shared" si="566"/>
        <v>#DIV/0!</v>
      </c>
      <c r="BC712" s="2" t="e">
        <f t="shared" si="580"/>
        <v>#DIV/0!</v>
      </c>
      <c r="BD712" s="2">
        <v>0</v>
      </c>
      <c r="BE712" s="2" t="e">
        <f t="shared" si="567"/>
        <v>#DIV/0!</v>
      </c>
      <c r="BF712" s="2" t="e">
        <f t="shared" si="568"/>
        <v>#DIV/0!</v>
      </c>
      <c r="BG712" s="2" t="e">
        <f t="shared" si="581"/>
        <v>#DIV/0!</v>
      </c>
      <c r="BH712" s="2" t="e">
        <f t="shared" si="545"/>
        <v>#DIV/0!</v>
      </c>
      <c r="BI712" s="2" t="e">
        <f t="shared" si="569"/>
        <v>#DIV/0!</v>
      </c>
      <c r="BJ712" s="2" t="e">
        <f t="shared" si="570"/>
        <v>#DIV/0!</v>
      </c>
      <c r="BK712" s="2" t="e">
        <f t="shared" si="582"/>
        <v>#DIV/0!</v>
      </c>
      <c r="BL712" s="2" t="e">
        <f t="shared" si="571"/>
        <v>#DIV/0!</v>
      </c>
      <c r="BM712" s="2" t="e">
        <f t="shared" si="572"/>
        <v>#DIV/0!</v>
      </c>
      <c r="BN712" s="2" t="e">
        <f t="shared" si="583"/>
        <v>#DIV/0!</v>
      </c>
    </row>
    <row r="713" spans="1:66" x14ac:dyDescent="0.25">
      <c r="A713" s="42">
        <v>710</v>
      </c>
      <c r="E713" s="6">
        <f t="shared" si="573"/>
        <v>0</v>
      </c>
      <c r="F713" s="5" t="str">
        <f t="shared" si="584"/>
        <v>Break Even</v>
      </c>
      <c r="G713" s="4">
        <f t="shared" si="585"/>
        <v>0</v>
      </c>
      <c r="N713" s="5">
        <f t="shared" si="586"/>
        <v>0</v>
      </c>
      <c r="O713" s="4" t="e">
        <f t="shared" si="587"/>
        <v>#DIV/0!</v>
      </c>
      <c r="P713" s="5">
        <f t="shared" si="546"/>
        <v>0</v>
      </c>
      <c r="R713" s="2">
        <f t="shared" si="541"/>
        <v>0</v>
      </c>
      <c r="T713" s="2">
        <f t="shared" si="574"/>
        <v>0</v>
      </c>
      <c r="V713" s="5">
        <f t="shared" si="588"/>
        <v>0</v>
      </c>
      <c r="W713" s="4" t="e">
        <f t="shared" si="589"/>
        <v>#DIV/0!</v>
      </c>
      <c r="X713" s="14">
        <f t="shared" si="547"/>
        <v>0</v>
      </c>
      <c r="Y713" s="5">
        <f t="shared" si="548"/>
        <v>0</v>
      </c>
      <c r="Z713" s="2">
        <f t="shared" si="549"/>
        <v>0</v>
      </c>
      <c r="AA713" s="4">
        <f t="shared" si="550"/>
        <v>0</v>
      </c>
      <c r="AB713" s="13">
        <f t="shared" si="551"/>
        <v>0</v>
      </c>
      <c r="AC713" s="10">
        <f>SUM($E$4:E713)</f>
        <v>-22024.091160220025</v>
      </c>
      <c r="AD713" s="20">
        <f>SUM($AB$4:AB713)</f>
        <v>13539.766460219998</v>
      </c>
      <c r="AF713" s="28" t="e">
        <f t="shared" si="552"/>
        <v>#DIV/0!</v>
      </c>
      <c r="AG713" s="2" t="e">
        <f t="shared" si="553"/>
        <v>#DIV/0!</v>
      </c>
      <c r="AH713" s="2" t="e">
        <f t="shared" si="554"/>
        <v>#DIV/0!</v>
      </c>
      <c r="AI713" s="2" t="e">
        <f t="shared" si="575"/>
        <v>#DIV/0!</v>
      </c>
      <c r="AJ713" s="2" t="e">
        <f t="shared" si="542"/>
        <v>#DIV/0!</v>
      </c>
      <c r="AK713" s="2" t="e">
        <f t="shared" si="555"/>
        <v>#DIV/0!</v>
      </c>
      <c r="AL713" s="2" t="e">
        <f t="shared" si="556"/>
        <v>#DIV/0!</v>
      </c>
      <c r="AM713" s="2" t="e">
        <f t="shared" si="576"/>
        <v>#DIV/0!</v>
      </c>
      <c r="AN713" s="2">
        <f t="shared" si="557"/>
        <v>0</v>
      </c>
      <c r="AO713" s="2" t="e">
        <f t="shared" si="558"/>
        <v>#DIV/0!</v>
      </c>
      <c r="AP713" s="2" t="e">
        <f t="shared" si="559"/>
        <v>#DIV/0!</v>
      </c>
      <c r="AQ713" s="2" t="e">
        <f t="shared" si="577"/>
        <v>#DIV/0!</v>
      </c>
      <c r="AR713" s="2" t="e">
        <f t="shared" si="543"/>
        <v>#DIV/0!</v>
      </c>
      <c r="AS713" s="2" t="e">
        <f t="shared" si="560"/>
        <v>#DIV/0!</v>
      </c>
      <c r="AT713" s="2" t="e">
        <f t="shared" si="561"/>
        <v>#DIV/0!</v>
      </c>
      <c r="AU713" s="2" t="e">
        <f t="shared" si="578"/>
        <v>#DIV/0!</v>
      </c>
      <c r="AV713" s="2" t="e">
        <f t="shared" si="562"/>
        <v>#DIV/0!</v>
      </c>
      <c r="AW713" s="2" t="e">
        <f t="shared" si="563"/>
        <v>#DIV/0!</v>
      </c>
      <c r="AX713" s="2" t="e">
        <f t="shared" si="564"/>
        <v>#DIV/0!</v>
      </c>
      <c r="AY713" s="2" t="e">
        <f t="shared" si="579"/>
        <v>#DIV/0!</v>
      </c>
      <c r="AZ713" s="2" t="e">
        <f t="shared" si="544"/>
        <v>#DIV/0!</v>
      </c>
      <c r="BA713" s="2" t="e">
        <f t="shared" si="565"/>
        <v>#DIV/0!</v>
      </c>
      <c r="BB713" s="2" t="e">
        <f t="shared" si="566"/>
        <v>#DIV/0!</v>
      </c>
      <c r="BC713" s="2" t="e">
        <f t="shared" si="580"/>
        <v>#DIV/0!</v>
      </c>
      <c r="BD713" s="2">
        <v>0</v>
      </c>
      <c r="BE713" s="2" t="e">
        <f t="shared" si="567"/>
        <v>#DIV/0!</v>
      </c>
      <c r="BF713" s="2" t="e">
        <f t="shared" si="568"/>
        <v>#DIV/0!</v>
      </c>
      <c r="BG713" s="2" t="e">
        <f t="shared" si="581"/>
        <v>#DIV/0!</v>
      </c>
      <c r="BH713" s="2" t="e">
        <f t="shared" si="545"/>
        <v>#DIV/0!</v>
      </c>
      <c r="BI713" s="2" t="e">
        <f t="shared" si="569"/>
        <v>#DIV/0!</v>
      </c>
      <c r="BJ713" s="2" t="e">
        <f t="shared" si="570"/>
        <v>#DIV/0!</v>
      </c>
      <c r="BK713" s="2" t="e">
        <f t="shared" si="582"/>
        <v>#DIV/0!</v>
      </c>
      <c r="BL713" s="2" t="e">
        <f t="shared" si="571"/>
        <v>#DIV/0!</v>
      </c>
      <c r="BM713" s="2" t="e">
        <f t="shared" si="572"/>
        <v>#DIV/0!</v>
      </c>
      <c r="BN713" s="2" t="e">
        <f t="shared" si="583"/>
        <v>#DIV/0!</v>
      </c>
    </row>
    <row r="714" spans="1:66" x14ac:dyDescent="0.25">
      <c r="A714" s="42">
        <v>711</v>
      </c>
      <c r="E714" s="6">
        <f t="shared" si="573"/>
        <v>0</v>
      </c>
      <c r="F714" s="5" t="str">
        <f t="shared" si="584"/>
        <v>Break Even</v>
      </c>
      <c r="G714" s="4">
        <f t="shared" si="585"/>
        <v>0</v>
      </c>
      <c r="N714" s="5">
        <f t="shared" si="586"/>
        <v>0</v>
      </c>
      <c r="O714" s="4" t="e">
        <f t="shared" si="587"/>
        <v>#DIV/0!</v>
      </c>
      <c r="P714" s="5">
        <f t="shared" si="546"/>
        <v>0</v>
      </c>
      <c r="R714" s="2">
        <f t="shared" si="541"/>
        <v>0</v>
      </c>
      <c r="T714" s="2">
        <f t="shared" si="574"/>
        <v>0</v>
      </c>
      <c r="V714" s="5">
        <f t="shared" si="588"/>
        <v>0</v>
      </c>
      <c r="W714" s="4" t="e">
        <f t="shared" si="589"/>
        <v>#DIV/0!</v>
      </c>
      <c r="X714" s="14">
        <f t="shared" si="547"/>
        <v>0</v>
      </c>
      <c r="Y714" s="5">
        <f t="shared" si="548"/>
        <v>0</v>
      </c>
      <c r="Z714" s="2">
        <f t="shared" si="549"/>
        <v>0</v>
      </c>
      <c r="AA714" s="4">
        <f t="shared" si="550"/>
        <v>0</v>
      </c>
      <c r="AB714" s="13">
        <f t="shared" si="551"/>
        <v>0</v>
      </c>
      <c r="AC714" s="10">
        <f>SUM($E$4:E714)</f>
        <v>-22024.091160220025</v>
      </c>
      <c r="AD714" s="20">
        <f>SUM($AB$4:AB714)</f>
        <v>13539.766460219998</v>
      </c>
      <c r="AF714" s="28" t="e">
        <f t="shared" si="552"/>
        <v>#DIV/0!</v>
      </c>
      <c r="AG714" s="2" t="e">
        <f t="shared" si="553"/>
        <v>#DIV/0!</v>
      </c>
      <c r="AH714" s="2" t="e">
        <f t="shared" si="554"/>
        <v>#DIV/0!</v>
      </c>
      <c r="AI714" s="2" t="e">
        <f t="shared" si="575"/>
        <v>#DIV/0!</v>
      </c>
      <c r="AJ714" s="2" t="e">
        <f t="shared" si="542"/>
        <v>#DIV/0!</v>
      </c>
      <c r="AK714" s="2" t="e">
        <f t="shared" si="555"/>
        <v>#DIV/0!</v>
      </c>
      <c r="AL714" s="2" t="e">
        <f t="shared" si="556"/>
        <v>#DIV/0!</v>
      </c>
      <c r="AM714" s="2" t="e">
        <f t="shared" si="576"/>
        <v>#DIV/0!</v>
      </c>
      <c r="AN714" s="2">
        <f t="shared" si="557"/>
        <v>0</v>
      </c>
      <c r="AO714" s="2" t="e">
        <f t="shared" si="558"/>
        <v>#DIV/0!</v>
      </c>
      <c r="AP714" s="2" t="e">
        <f t="shared" si="559"/>
        <v>#DIV/0!</v>
      </c>
      <c r="AQ714" s="2" t="e">
        <f t="shared" si="577"/>
        <v>#DIV/0!</v>
      </c>
      <c r="AR714" s="2" t="e">
        <f t="shared" si="543"/>
        <v>#DIV/0!</v>
      </c>
      <c r="AS714" s="2" t="e">
        <f t="shared" si="560"/>
        <v>#DIV/0!</v>
      </c>
      <c r="AT714" s="2" t="e">
        <f t="shared" si="561"/>
        <v>#DIV/0!</v>
      </c>
      <c r="AU714" s="2" t="e">
        <f t="shared" si="578"/>
        <v>#DIV/0!</v>
      </c>
      <c r="AV714" s="2" t="e">
        <f t="shared" si="562"/>
        <v>#DIV/0!</v>
      </c>
      <c r="AW714" s="2" t="e">
        <f t="shared" si="563"/>
        <v>#DIV/0!</v>
      </c>
      <c r="AX714" s="2" t="e">
        <f t="shared" si="564"/>
        <v>#DIV/0!</v>
      </c>
      <c r="AY714" s="2" t="e">
        <f t="shared" si="579"/>
        <v>#DIV/0!</v>
      </c>
      <c r="AZ714" s="2" t="e">
        <f t="shared" si="544"/>
        <v>#DIV/0!</v>
      </c>
      <c r="BA714" s="2" t="e">
        <f t="shared" si="565"/>
        <v>#DIV/0!</v>
      </c>
      <c r="BB714" s="2" t="e">
        <f t="shared" si="566"/>
        <v>#DIV/0!</v>
      </c>
      <c r="BC714" s="2" t="e">
        <f t="shared" si="580"/>
        <v>#DIV/0!</v>
      </c>
      <c r="BD714" s="2">
        <v>0</v>
      </c>
      <c r="BE714" s="2" t="e">
        <f t="shared" si="567"/>
        <v>#DIV/0!</v>
      </c>
      <c r="BF714" s="2" t="e">
        <f t="shared" si="568"/>
        <v>#DIV/0!</v>
      </c>
      <c r="BG714" s="2" t="e">
        <f t="shared" si="581"/>
        <v>#DIV/0!</v>
      </c>
      <c r="BH714" s="2" t="e">
        <f t="shared" si="545"/>
        <v>#DIV/0!</v>
      </c>
      <c r="BI714" s="2" t="e">
        <f t="shared" si="569"/>
        <v>#DIV/0!</v>
      </c>
      <c r="BJ714" s="2" t="e">
        <f t="shared" si="570"/>
        <v>#DIV/0!</v>
      </c>
      <c r="BK714" s="2" t="e">
        <f t="shared" si="582"/>
        <v>#DIV/0!</v>
      </c>
      <c r="BL714" s="2" t="e">
        <f t="shared" si="571"/>
        <v>#DIV/0!</v>
      </c>
      <c r="BM714" s="2" t="e">
        <f t="shared" si="572"/>
        <v>#DIV/0!</v>
      </c>
      <c r="BN714" s="2" t="e">
        <f t="shared" si="583"/>
        <v>#DIV/0!</v>
      </c>
    </row>
    <row r="715" spans="1:66" x14ac:dyDescent="0.25">
      <c r="A715" s="42">
        <v>712</v>
      </c>
      <c r="E715" s="6">
        <f t="shared" si="573"/>
        <v>0</v>
      </c>
      <c r="F715" s="5" t="str">
        <f t="shared" si="584"/>
        <v>Break Even</v>
      </c>
      <c r="G715" s="4">
        <f t="shared" si="585"/>
        <v>0</v>
      </c>
      <c r="N715" s="5">
        <f t="shared" si="586"/>
        <v>0</v>
      </c>
      <c r="O715" s="4" t="e">
        <f t="shared" si="587"/>
        <v>#DIV/0!</v>
      </c>
      <c r="P715" s="5">
        <f t="shared" si="546"/>
        <v>0</v>
      </c>
      <c r="R715" s="2">
        <f t="shared" si="541"/>
        <v>0</v>
      </c>
      <c r="T715" s="2">
        <f t="shared" si="574"/>
        <v>0</v>
      </c>
      <c r="V715" s="5">
        <f t="shared" si="588"/>
        <v>0</v>
      </c>
      <c r="W715" s="4" t="e">
        <f t="shared" si="589"/>
        <v>#DIV/0!</v>
      </c>
      <c r="X715" s="14">
        <f t="shared" si="547"/>
        <v>0</v>
      </c>
      <c r="Y715" s="5">
        <f t="shared" si="548"/>
        <v>0</v>
      </c>
      <c r="Z715" s="2">
        <f t="shared" si="549"/>
        <v>0</v>
      </c>
      <c r="AA715" s="4">
        <f t="shared" si="550"/>
        <v>0</v>
      </c>
      <c r="AB715" s="13">
        <f t="shared" si="551"/>
        <v>0</v>
      </c>
      <c r="AC715" s="10">
        <f>SUM($E$4:E715)</f>
        <v>-22024.091160220025</v>
      </c>
      <c r="AD715" s="20">
        <f>SUM($AB$4:AB715)</f>
        <v>13539.766460219998</v>
      </c>
      <c r="AF715" s="28" t="e">
        <f t="shared" si="552"/>
        <v>#DIV/0!</v>
      </c>
      <c r="AG715" s="2" t="e">
        <f t="shared" si="553"/>
        <v>#DIV/0!</v>
      </c>
      <c r="AH715" s="2" t="e">
        <f t="shared" si="554"/>
        <v>#DIV/0!</v>
      </c>
      <c r="AI715" s="2" t="e">
        <f t="shared" si="575"/>
        <v>#DIV/0!</v>
      </c>
      <c r="AJ715" s="2" t="e">
        <f t="shared" si="542"/>
        <v>#DIV/0!</v>
      </c>
      <c r="AK715" s="2" t="e">
        <f t="shared" si="555"/>
        <v>#DIV/0!</v>
      </c>
      <c r="AL715" s="2" t="e">
        <f t="shared" si="556"/>
        <v>#DIV/0!</v>
      </c>
      <c r="AM715" s="2" t="e">
        <f t="shared" si="576"/>
        <v>#DIV/0!</v>
      </c>
      <c r="AN715" s="2">
        <f t="shared" si="557"/>
        <v>0</v>
      </c>
      <c r="AO715" s="2" t="e">
        <f t="shared" si="558"/>
        <v>#DIV/0!</v>
      </c>
      <c r="AP715" s="2" t="e">
        <f t="shared" si="559"/>
        <v>#DIV/0!</v>
      </c>
      <c r="AQ715" s="2" t="e">
        <f t="shared" si="577"/>
        <v>#DIV/0!</v>
      </c>
      <c r="AR715" s="2" t="e">
        <f t="shared" si="543"/>
        <v>#DIV/0!</v>
      </c>
      <c r="AS715" s="2" t="e">
        <f t="shared" si="560"/>
        <v>#DIV/0!</v>
      </c>
      <c r="AT715" s="2" t="e">
        <f t="shared" si="561"/>
        <v>#DIV/0!</v>
      </c>
      <c r="AU715" s="2" t="e">
        <f t="shared" si="578"/>
        <v>#DIV/0!</v>
      </c>
      <c r="AV715" s="2" t="e">
        <f t="shared" si="562"/>
        <v>#DIV/0!</v>
      </c>
      <c r="AW715" s="2" t="e">
        <f t="shared" si="563"/>
        <v>#DIV/0!</v>
      </c>
      <c r="AX715" s="2" t="e">
        <f t="shared" si="564"/>
        <v>#DIV/0!</v>
      </c>
      <c r="AY715" s="2" t="e">
        <f t="shared" si="579"/>
        <v>#DIV/0!</v>
      </c>
      <c r="AZ715" s="2" t="e">
        <f t="shared" si="544"/>
        <v>#DIV/0!</v>
      </c>
      <c r="BA715" s="2" t="e">
        <f t="shared" si="565"/>
        <v>#DIV/0!</v>
      </c>
      <c r="BB715" s="2" t="e">
        <f t="shared" si="566"/>
        <v>#DIV/0!</v>
      </c>
      <c r="BC715" s="2" t="e">
        <f t="shared" si="580"/>
        <v>#DIV/0!</v>
      </c>
      <c r="BD715" s="2">
        <v>0</v>
      </c>
      <c r="BE715" s="2" t="e">
        <f t="shared" si="567"/>
        <v>#DIV/0!</v>
      </c>
      <c r="BF715" s="2" t="e">
        <f t="shared" si="568"/>
        <v>#DIV/0!</v>
      </c>
      <c r="BG715" s="2" t="e">
        <f t="shared" si="581"/>
        <v>#DIV/0!</v>
      </c>
      <c r="BH715" s="2" t="e">
        <f t="shared" si="545"/>
        <v>#DIV/0!</v>
      </c>
      <c r="BI715" s="2" t="e">
        <f t="shared" si="569"/>
        <v>#DIV/0!</v>
      </c>
      <c r="BJ715" s="2" t="e">
        <f t="shared" si="570"/>
        <v>#DIV/0!</v>
      </c>
      <c r="BK715" s="2" t="e">
        <f t="shared" si="582"/>
        <v>#DIV/0!</v>
      </c>
      <c r="BL715" s="2" t="e">
        <f t="shared" si="571"/>
        <v>#DIV/0!</v>
      </c>
      <c r="BM715" s="2" t="e">
        <f t="shared" si="572"/>
        <v>#DIV/0!</v>
      </c>
      <c r="BN715" s="2" t="e">
        <f t="shared" si="583"/>
        <v>#DIV/0!</v>
      </c>
    </row>
    <row r="716" spans="1:66" x14ac:dyDescent="0.25">
      <c r="A716" s="42">
        <v>713</v>
      </c>
      <c r="E716" s="6">
        <f t="shared" si="573"/>
        <v>0</v>
      </c>
      <c r="F716" s="5" t="str">
        <f t="shared" si="584"/>
        <v>Break Even</v>
      </c>
      <c r="G716" s="4">
        <f t="shared" si="585"/>
        <v>0</v>
      </c>
      <c r="N716" s="5">
        <f t="shared" si="586"/>
        <v>0</v>
      </c>
      <c r="O716" s="4" t="e">
        <f t="shared" si="587"/>
        <v>#DIV/0!</v>
      </c>
      <c r="P716" s="5">
        <f t="shared" si="546"/>
        <v>0</v>
      </c>
      <c r="R716" s="2">
        <f t="shared" si="541"/>
        <v>0</v>
      </c>
      <c r="T716" s="2">
        <f t="shared" si="574"/>
        <v>0</v>
      </c>
      <c r="V716" s="5">
        <f t="shared" si="588"/>
        <v>0</v>
      </c>
      <c r="W716" s="4" t="e">
        <f t="shared" si="589"/>
        <v>#DIV/0!</v>
      </c>
      <c r="X716" s="14">
        <f t="shared" si="547"/>
        <v>0</v>
      </c>
      <c r="Y716" s="5">
        <f t="shared" si="548"/>
        <v>0</v>
      </c>
      <c r="Z716" s="2">
        <f t="shared" si="549"/>
        <v>0</v>
      </c>
      <c r="AA716" s="4">
        <f t="shared" si="550"/>
        <v>0</v>
      </c>
      <c r="AB716" s="13">
        <f t="shared" si="551"/>
        <v>0</v>
      </c>
      <c r="AC716" s="10">
        <f>SUM($E$4:E716)</f>
        <v>-22024.091160220025</v>
      </c>
      <c r="AD716" s="20">
        <f>SUM($AB$4:AB716)</f>
        <v>13539.766460219998</v>
      </c>
      <c r="AF716" s="28" t="e">
        <f t="shared" si="552"/>
        <v>#DIV/0!</v>
      </c>
      <c r="AG716" s="2" t="e">
        <f t="shared" si="553"/>
        <v>#DIV/0!</v>
      </c>
      <c r="AH716" s="2" t="e">
        <f t="shared" si="554"/>
        <v>#DIV/0!</v>
      </c>
      <c r="AI716" s="2" t="e">
        <f t="shared" si="575"/>
        <v>#DIV/0!</v>
      </c>
      <c r="AJ716" s="2" t="e">
        <f t="shared" si="542"/>
        <v>#DIV/0!</v>
      </c>
      <c r="AK716" s="2" t="e">
        <f t="shared" si="555"/>
        <v>#DIV/0!</v>
      </c>
      <c r="AL716" s="2" t="e">
        <f t="shared" si="556"/>
        <v>#DIV/0!</v>
      </c>
      <c r="AM716" s="2" t="e">
        <f t="shared" si="576"/>
        <v>#DIV/0!</v>
      </c>
      <c r="AN716" s="2">
        <f t="shared" si="557"/>
        <v>0</v>
      </c>
      <c r="AO716" s="2" t="e">
        <f t="shared" si="558"/>
        <v>#DIV/0!</v>
      </c>
      <c r="AP716" s="2" t="e">
        <f t="shared" si="559"/>
        <v>#DIV/0!</v>
      </c>
      <c r="AQ716" s="2" t="e">
        <f t="shared" si="577"/>
        <v>#DIV/0!</v>
      </c>
      <c r="AR716" s="2" t="e">
        <f t="shared" si="543"/>
        <v>#DIV/0!</v>
      </c>
      <c r="AS716" s="2" t="e">
        <f t="shared" si="560"/>
        <v>#DIV/0!</v>
      </c>
      <c r="AT716" s="2" t="e">
        <f t="shared" si="561"/>
        <v>#DIV/0!</v>
      </c>
      <c r="AU716" s="2" t="e">
        <f t="shared" si="578"/>
        <v>#DIV/0!</v>
      </c>
      <c r="AV716" s="2" t="e">
        <f t="shared" si="562"/>
        <v>#DIV/0!</v>
      </c>
      <c r="AW716" s="2" t="e">
        <f t="shared" si="563"/>
        <v>#DIV/0!</v>
      </c>
      <c r="AX716" s="2" t="e">
        <f t="shared" si="564"/>
        <v>#DIV/0!</v>
      </c>
      <c r="AY716" s="2" t="e">
        <f t="shared" si="579"/>
        <v>#DIV/0!</v>
      </c>
      <c r="AZ716" s="2" t="e">
        <f t="shared" si="544"/>
        <v>#DIV/0!</v>
      </c>
      <c r="BA716" s="2" t="e">
        <f t="shared" si="565"/>
        <v>#DIV/0!</v>
      </c>
      <c r="BB716" s="2" t="e">
        <f t="shared" si="566"/>
        <v>#DIV/0!</v>
      </c>
      <c r="BC716" s="2" t="e">
        <f t="shared" si="580"/>
        <v>#DIV/0!</v>
      </c>
      <c r="BD716" s="2">
        <v>0</v>
      </c>
      <c r="BE716" s="2" t="e">
        <f t="shared" si="567"/>
        <v>#DIV/0!</v>
      </c>
      <c r="BF716" s="2" t="e">
        <f t="shared" si="568"/>
        <v>#DIV/0!</v>
      </c>
      <c r="BG716" s="2" t="e">
        <f t="shared" si="581"/>
        <v>#DIV/0!</v>
      </c>
      <c r="BH716" s="2" t="e">
        <f t="shared" si="545"/>
        <v>#DIV/0!</v>
      </c>
      <c r="BI716" s="2" t="e">
        <f t="shared" si="569"/>
        <v>#DIV/0!</v>
      </c>
      <c r="BJ716" s="2" t="e">
        <f t="shared" si="570"/>
        <v>#DIV/0!</v>
      </c>
      <c r="BK716" s="2" t="e">
        <f t="shared" si="582"/>
        <v>#DIV/0!</v>
      </c>
      <c r="BL716" s="2" t="e">
        <f t="shared" si="571"/>
        <v>#DIV/0!</v>
      </c>
      <c r="BM716" s="2" t="e">
        <f t="shared" si="572"/>
        <v>#DIV/0!</v>
      </c>
      <c r="BN716" s="2" t="e">
        <f t="shared" si="583"/>
        <v>#DIV/0!</v>
      </c>
    </row>
    <row r="717" spans="1:66" x14ac:dyDescent="0.25">
      <c r="A717" s="42">
        <v>714</v>
      </c>
      <c r="E717" s="6">
        <f t="shared" si="573"/>
        <v>0</v>
      </c>
      <c r="F717" s="5" t="str">
        <f t="shared" si="584"/>
        <v>Break Even</v>
      </c>
      <c r="G717" s="4">
        <f t="shared" si="585"/>
        <v>0</v>
      </c>
      <c r="N717" s="5">
        <f t="shared" si="586"/>
        <v>0</v>
      </c>
      <c r="O717" s="4" t="e">
        <f t="shared" si="587"/>
        <v>#DIV/0!</v>
      </c>
      <c r="P717" s="5">
        <f t="shared" si="546"/>
        <v>0</v>
      </c>
      <c r="R717" s="2">
        <f t="shared" si="541"/>
        <v>0</v>
      </c>
      <c r="T717" s="2">
        <f t="shared" si="574"/>
        <v>0</v>
      </c>
      <c r="V717" s="5">
        <f t="shared" si="588"/>
        <v>0</v>
      </c>
      <c r="W717" s="4" t="e">
        <f t="shared" si="589"/>
        <v>#DIV/0!</v>
      </c>
      <c r="X717" s="14">
        <f t="shared" si="547"/>
        <v>0</v>
      </c>
      <c r="Y717" s="5">
        <f t="shared" si="548"/>
        <v>0</v>
      </c>
      <c r="Z717" s="2">
        <f t="shared" si="549"/>
        <v>0</v>
      </c>
      <c r="AA717" s="4">
        <f t="shared" si="550"/>
        <v>0</v>
      </c>
      <c r="AB717" s="13">
        <f t="shared" si="551"/>
        <v>0</v>
      </c>
      <c r="AC717" s="10">
        <f>SUM($E$4:E717)</f>
        <v>-22024.091160220025</v>
      </c>
      <c r="AD717" s="20">
        <f>SUM($AB$4:AB717)</f>
        <v>13539.766460219998</v>
      </c>
      <c r="AF717" s="28" t="e">
        <f t="shared" si="552"/>
        <v>#DIV/0!</v>
      </c>
      <c r="AG717" s="2" t="e">
        <f t="shared" si="553"/>
        <v>#DIV/0!</v>
      </c>
      <c r="AH717" s="2" t="e">
        <f t="shared" si="554"/>
        <v>#DIV/0!</v>
      </c>
      <c r="AI717" s="2" t="e">
        <f t="shared" si="575"/>
        <v>#DIV/0!</v>
      </c>
      <c r="AJ717" s="2" t="e">
        <f t="shared" si="542"/>
        <v>#DIV/0!</v>
      </c>
      <c r="AK717" s="2" t="e">
        <f t="shared" si="555"/>
        <v>#DIV/0!</v>
      </c>
      <c r="AL717" s="2" t="e">
        <f t="shared" si="556"/>
        <v>#DIV/0!</v>
      </c>
      <c r="AM717" s="2" t="e">
        <f t="shared" si="576"/>
        <v>#DIV/0!</v>
      </c>
      <c r="AN717" s="2">
        <f t="shared" si="557"/>
        <v>0</v>
      </c>
      <c r="AO717" s="2" t="e">
        <f t="shared" si="558"/>
        <v>#DIV/0!</v>
      </c>
      <c r="AP717" s="2" t="e">
        <f t="shared" si="559"/>
        <v>#DIV/0!</v>
      </c>
      <c r="AQ717" s="2" t="e">
        <f t="shared" si="577"/>
        <v>#DIV/0!</v>
      </c>
      <c r="AR717" s="2" t="e">
        <f t="shared" si="543"/>
        <v>#DIV/0!</v>
      </c>
      <c r="AS717" s="2" t="e">
        <f t="shared" si="560"/>
        <v>#DIV/0!</v>
      </c>
      <c r="AT717" s="2" t="e">
        <f t="shared" si="561"/>
        <v>#DIV/0!</v>
      </c>
      <c r="AU717" s="2" t="e">
        <f t="shared" si="578"/>
        <v>#DIV/0!</v>
      </c>
      <c r="AV717" s="2" t="e">
        <f t="shared" si="562"/>
        <v>#DIV/0!</v>
      </c>
      <c r="AW717" s="2" t="e">
        <f t="shared" si="563"/>
        <v>#DIV/0!</v>
      </c>
      <c r="AX717" s="2" t="e">
        <f t="shared" si="564"/>
        <v>#DIV/0!</v>
      </c>
      <c r="AY717" s="2" t="e">
        <f t="shared" si="579"/>
        <v>#DIV/0!</v>
      </c>
      <c r="AZ717" s="2" t="e">
        <f t="shared" si="544"/>
        <v>#DIV/0!</v>
      </c>
      <c r="BA717" s="2" t="e">
        <f t="shared" si="565"/>
        <v>#DIV/0!</v>
      </c>
      <c r="BB717" s="2" t="e">
        <f t="shared" si="566"/>
        <v>#DIV/0!</v>
      </c>
      <c r="BC717" s="2" t="e">
        <f t="shared" si="580"/>
        <v>#DIV/0!</v>
      </c>
      <c r="BD717" s="2">
        <v>0</v>
      </c>
      <c r="BE717" s="2" t="e">
        <f t="shared" si="567"/>
        <v>#DIV/0!</v>
      </c>
      <c r="BF717" s="2" t="e">
        <f t="shared" si="568"/>
        <v>#DIV/0!</v>
      </c>
      <c r="BG717" s="2" t="e">
        <f t="shared" si="581"/>
        <v>#DIV/0!</v>
      </c>
      <c r="BH717" s="2" t="e">
        <f t="shared" si="545"/>
        <v>#DIV/0!</v>
      </c>
      <c r="BI717" s="2" t="e">
        <f t="shared" si="569"/>
        <v>#DIV/0!</v>
      </c>
      <c r="BJ717" s="2" t="e">
        <f t="shared" si="570"/>
        <v>#DIV/0!</v>
      </c>
      <c r="BK717" s="2" t="e">
        <f t="shared" si="582"/>
        <v>#DIV/0!</v>
      </c>
      <c r="BL717" s="2" t="e">
        <f t="shared" si="571"/>
        <v>#DIV/0!</v>
      </c>
      <c r="BM717" s="2" t="e">
        <f t="shared" si="572"/>
        <v>#DIV/0!</v>
      </c>
      <c r="BN717" s="2" t="e">
        <f t="shared" si="583"/>
        <v>#DIV/0!</v>
      </c>
    </row>
    <row r="718" spans="1:66" x14ac:dyDescent="0.25">
      <c r="A718" s="42">
        <v>715</v>
      </c>
      <c r="E718" s="6">
        <f t="shared" si="573"/>
        <v>0</v>
      </c>
      <c r="F718" s="5" t="str">
        <f t="shared" si="584"/>
        <v>Break Even</v>
      </c>
      <c r="G718" s="4">
        <f t="shared" si="585"/>
        <v>0</v>
      </c>
      <c r="N718" s="5">
        <f t="shared" si="586"/>
        <v>0</v>
      </c>
      <c r="O718" s="4" t="e">
        <f t="shared" si="587"/>
        <v>#DIV/0!</v>
      </c>
      <c r="P718" s="5">
        <f t="shared" si="546"/>
        <v>0</v>
      </c>
      <c r="R718" s="2">
        <f t="shared" si="541"/>
        <v>0</v>
      </c>
      <c r="T718" s="2">
        <f t="shared" si="574"/>
        <v>0</v>
      </c>
      <c r="V718" s="5">
        <f t="shared" si="588"/>
        <v>0</v>
      </c>
      <c r="W718" s="4" t="e">
        <f t="shared" si="589"/>
        <v>#DIV/0!</v>
      </c>
      <c r="X718" s="14">
        <f t="shared" si="547"/>
        <v>0</v>
      </c>
      <c r="Y718" s="5">
        <f t="shared" si="548"/>
        <v>0</v>
      </c>
      <c r="Z718" s="2">
        <f t="shared" si="549"/>
        <v>0</v>
      </c>
      <c r="AA718" s="4">
        <f t="shared" si="550"/>
        <v>0</v>
      </c>
      <c r="AB718" s="13">
        <f t="shared" si="551"/>
        <v>0</v>
      </c>
      <c r="AC718" s="10">
        <f>SUM($E$4:E718)</f>
        <v>-22024.091160220025</v>
      </c>
      <c r="AD718" s="20">
        <f>SUM($AB$4:AB718)</f>
        <v>13539.766460219998</v>
      </c>
      <c r="AF718" s="28" t="e">
        <f t="shared" si="552"/>
        <v>#DIV/0!</v>
      </c>
      <c r="AG718" s="2" t="e">
        <f t="shared" si="553"/>
        <v>#DIV/0!</v>
      </c>
      <c r="AH718" s="2" t="e">
        <f t="shared" si="554"/>
        <v>#DIV/0!</v>
      </c>
      <c r="AI718" s="2" t="e">
        <f t="shared" si="575"/>
        <v>#DIV/0!</v>
      </c>
      <c r="AJ718" s="2" t="e">
        <f t="shared" si="542"/>
        <v>#DIV/0!</v>
      </c>
      <c r="AK718" s="2" t="e">
        <f t="shared" si="555"/>
        <v>#DIV/0!</v>
      </c>
      <c r="AL718" s="2" t="e">
        <f t="shared" si="556"/>
        <v>#DIV/0!</v>
      </c>
      <c r="AM718" s="2" t="e">
        <f t="shared" si="576"/>
        <v>#DIV/0!</v>
      </c>
      <c r="AN718" s="2">
        <f t="shared" si="557"/>
        <v>0</v>
      </c>
      <c r="AO718" s="2" t="e">
        <f t="shared" si="558"/>
        <v>#DIV/0!</v>
      </c>
      <c r="AP718" s="2" t="e">
        <f t="shared" si="559"/>
        <v>#DIV/0!</v>
      </c>
      <c r="AQ718" s="2" t="e">
        <f t="shared" si="577"/>
        <v>#DIV/0!</v>
      </c>
      <c r="AR718" s="2" t="e">
        <f t="shared" si="543"/>
        <v>#DIV/0!</v>
      </c>
      <c r="AS718" s="2" t="e">
        <f t="shared" si="560"/>
        <v>#DIV/0!</v>
      </c>
      <c r="AT718" s="2" t="e">
        <f t="shared" si="561"/>
        <v>#DIV/0!</v>
      </c>
      <c r="AU718" s="2" t="e">
        <f t="shared" si="578"/>
        <v>#DIV/0!</v>
      </c>
      <c r="AV718" s="2" t="e">
        <f t="shared" si="562"/>
        <v>#DIV/0!</v>
      </c>
      <c r="AW718" s="2" t="e">
        <f t="shared" si="563"/>
        <v>#DIV/0!</v>
      </c>
      <c r="AX718" s="2" t="e">
        <f t="shared" si="564"/>
        <v>#DIV/0!</v>
      </c>
      <c r="AY718" s="2" t="e">
        <f t="shared" si="579"/>
        <v>#DIV/0!</v>
      </c>
      <c r="AZ718" s="2" t="e">
        <f t="shared" si="544"/>
        <v>#DIV/0!</v>
      </c>
      <c r="BA718" s="2" t="e">
        <f t="shared" si="565"/>
        <v>#DIV/0!</v>
      </c>
      <c r="BB718" s="2" t="e">
        <f t="shared" si="566"/>
        <v>#DIV/0!</v>
      </c>
      <c r="BC718" s="2" t="e">
        <f t="shared" si="580"/>
        <v>#DIV/0!</v>
      </c>
      <c r="BD718" s="2">
        <v>0</v>
      </c>
      <c r="BE718" s="2" t="e">
        <f t="shared" si="567"/>
        <v>#DIV/0!</v>
      </c>
      <c r="BF718" s="2" t="e">
        <f t="shared" si="568"/>
        <v>#DIV/0!</v>
      </c>
      <c r="BG718" s="2" t="e">
        <f t="shared" si="581"/>
        <v>#DIV/0!</v>
      </c>
      <c r="BH718" s="2" t="e">
        <f t="shared" si="545"/>
        <v>#DIV/0!</v>
      </c>
      <c r="BI718" s="2" t="e">
        <f t="shared" si="569"/>
        <v>#DIV/0!</v>
      </c>
      <c r="BJ718" s="2" t="e">
        <f t="shared" si="570"/>
        <v>#DIV/0!</v>
      </c>
      <c r="BK718" s="2" t="e">
        <f t="shared" si="582"/>
        <v>#DIV/0!</v>
      </c>
      <c r="BL718" s="2" t="e">
        <f t="shared" si="571"/>
        <v>#DIV/0!</v>
      </c>
      <c r="BM718" s="2" t="e">
        <f t="shared" si="572"/>
        <v>#DIV/0!</v>
      </c>
      <c r="BN718" s="2" t="e">
        <f t="shared" si="583"/>
        <v>#DIV/0!</v>
      </c>
    </row>
    <row r="719" spans="1:66" x14ac:dyDescent="0.25">
      <c r="A719" s="42">
        <v>716</v>
      </c>
      <c r="E719" s="6">
        <f t="shared" si="573"/>
        <v>0</v>
      </c>
      <c r="F719" s="5" t="str">
        <f t="shared" si="584"/>
        <v>Break Even</v>
      </c>
      <c r="G719" s="4">
        <f t="shared" si="585"/>
        <v>0</v>
      </c>
      <c r="N719" s="5">
        <f t="shared" si="586"/>
        <v>0</v>
      </c>
      <c r="O719" s="4" t="e">
        <f t="shared" si="587"/>
        <v>#DIV/0!</v>
      </c>
      <c r="P719" s="5">
        <f t="shared" si="546"/>
        <v>0</v>
      </c>
      <c r="R719" s="2">
        <f t="shared" si="541"/>
        <v>0</v>
      </c>
      <c r="T719" s="2">
        <f t="shared" si="574"/>
        <v>0</v>
      </c>
      <c r="V719" s="5">
        <f t="shared" si="588"/>
        <v>0</v>
      </c>
      <c r="W719" s="4" t="e">
        <f t="shared" si="589"/>
        <v>#DIV/0!</v>
      </c>
      <c r="X719" s="14">
        <f t="shared" si="547"/>
        <v>0</v>
      </c>
      <c r="Y719" s="5">
        <f t="shared" si="548"/>
        <v>0</v>
      </c>
      <c r="Z719" s="2">
        <f t="shared" si="549"/>
        <v>0</v>
      </c>
      <c r="AA719" s="4">
        <f t="shared" si="550"/>
        <v>0</v>
      </c>
      <c r="AB719" s="13">
        <f t="shared" si="551"/>
        <v>0</v>
      </c>
      <c r="AC719" s="10">
        <f>SUM($E$4:E719)</f>
        <v>-22024.091160220025</v>
      </c>
      <c r="AD719" s="20">
        <f>SUM($AB$4:AB719)</f>
        <v>13539.766460219998</v>
      </c>
      <c r="AF719" s="28" t="e">
        <f t="shared" si="552"/>
        <v>#DIV/0!</v>
      </c>
      <c r="AG719" s="2" t="e">
        <f t="shared" si="553"/>
        <v>#DIV/0!</v>
      </c>
      <c r="AH719" s="2" t="e">
        <f t="shared" si="554"/>
        <v>#DIV/0!</v>
      </c>
      <c r="AI719" s="2" t="e">
        <f t="shared" si="575"/>
        <v>#DIV/0!</v>
      </c>
      <c r="AJ719" s="2" t="e">
        <f t="shared" si="542"/>
        <v>#DIV/0!</v>
      </c>
      <c r="AK719" s="2" t="e">
        <f t="shared" si="555"/>
        <v>#DIV/0!</v>
      </c>
      <c r="AL719" s="2" t="e">
        <f t="shared" si="556"/>
        <v>#DIV/0!</v>
      </c>
      <c r="AM719" s="2" t="e">
        <f t="shared" si="576"/>
        <v>#DIV/0!</v>
      </c>
      <c r="AN719" s="2">
        <f t="shared" si="557"/>
        <v>0</v>
      </c>
      <c r="AO719" s="2" t="e">
        <f t="shared" si="558"/>
        <v>#DIV/0!</v>
      </c>
      <c r="AP719" s="2" t="e">
        <f t="shared" si="559"/>
        <v>#DIV/0!</v>
      </c>
      <c r="AQ719" s="2" t="e">
        <f t="shared" si="577"/>
        <v>#DIV/0!</v>
      </c>
      <c r="AR719" s="2" t="e">
        <f t="shared" si="543"/>
        <v>#DIV/0!</v>
      </c>
      <c r="AS719" s="2" t="e">
        <f t="shared" si="560"/>
        <v>#DIV/0!</v>
      </c>
      <c r="AT719" s="2" t="e">
        <f t="shared" si="561"/>
        <v>#DIV/0!</v>
      </c>
      <c r="AU719" s="2" t="e">
        <f t="shared" si="578"/>
        <v>#DIV/0!</v>
      </c>
      <c r="AV719" s="2" t="e">
        <f t="shared" si="562"/>
        <v>#DIV/0!</v>
      </c>
      <c r="AW719" s="2" t="e">
        <f t="shared" si="563"/>
        <v>#DIV/0!</v>
      </c>
      <c r="AX719" s="2" t="e">
        <f t="shared" si="564"/>
        <v>#DIV/0!</v>
      </c>
      <c r="AY719" s="2" t="e">
        <f t="shared" si="579"/>
        <v>#DIV/0!</v>
      </c>
      <c r="AZ719" s="2" t="e">
        <f t="shared" si="544"/>
        <v>#DIV/0!</v>
      </c>
      <c r="BA719" s="2" t="e">
        <f t="shared" si="565"/>
        <v>#DIV/0!</v>
      </c>
      <c r="BB719" s="2" t="e">
        <f t="shared" si="566"/>
        <v>#DIV/0!</v>
      </c>
      <c r="BC719" s="2" t="e">
        <f t="shared" si="580"/>
        <v>#DIV/0!</v>
      </c>
      <c r="BD719" s="2">
        <v>0</v>
      </c>
      <c r="BE719" s="2" t="e">
        <f t="shared" si="567"/>
        <v>#DIV/0!</v>
      </c>
      <c r="BF719" s="2" t="e">
        <f t="shared" si="568"/>
        <v>#DIV/0!</v>
      </c>
      <c r="BG719" s="2" t="e">
        <f t="shared" si="581"/>
        <v>#DIV/0!</v>
      </c>
      <c r="BH719" s="2" t="e">
        <f t="shared" si="545"/>
        <v>#DIV/0!</v>
      </c>
      <c r="BI719" s="2" t="e">
        <f t="shared" si="569"/>
        <v>#DIV/0!</v>
      </c>
      <c r="BJ719" s="2" t="e">
        <f t="shared" si="570"/>
        <v>#DIV/0!</v>
      </c>
      <c r="BK719" s="2" t="e">
        <f t="shared" si="582"/>
        <v>#DIV/0!</v>
      </c>
      <c r="BL719" s="2" t="e">
        <f t="shared" si="571"/>
        <v>#DIV/0!</v>
      </c>
      <c r="BM719" s="2" t="e">
        <f t="shared" si="572"/>
        <v>#DIV/0!</v>
      </c>
      <c r="BN719" s="2" t="e">
        <f t="shared" si="583"/>
        <v>#DIV/0!</v>
      </c>
    </row>
    <row r="720" spans="1:66" x14ac:dyDescent="0.25">
      <c r="A720" s="42">
        <v>717</v>
      </c>
      <c r="E720" s="6">
        <f t="shared" si="573"/>
        <v>0</v>
      </c>
      <c r="F720" s="5" t="str">
        <f t="shared" si="584"/>
        <v>Break Even</v>
      </c>
      <c r="G720" s="4">
        <f t="shared" si="585"/>
        <v>0</v>
      </c>
      <c r="N720" s="5">
        <f t="shared" si="586"/>
        <v>0</v>
      </c>
      <c r="O720" s="4" t="e">
        <f t="shared" si="587"/>
        <v>#DIV/0!</v>
      </c>
      <c r="P720" s="5">
        <f t="shared" si="546"/>
        <v>0</v>
      </c>
      <c r="R720" s="2">
        <f t="shared" si="541"/>
        <v>0</v>
      </c>
      <c r="T720" s="2">
        <f t="shared" si="574"/>
        <v>0</v>
      </c>
      <c r="V720" s="5">
        <f t="shared" si="588"/>
        <v>0</v>
      </c>
      <c r="W720" s="4" t="e">
        <f t="shared" si="589"/>
        <v>#DIV/0!</v>
      </c>
      <c r="X720" s="14">
        <f t="shared" si="547"/>
        <v>0</v>
      </c>
      <c r="Y720" s="5">
        <f t="shared" si="548"/>
        <v>0</v>
      </c>
      <c r="Z720" s="2">
        <f t="shared" si="549"/>
        <v>0</v>
      </c>
      <c r="AA720" s="4">
        <f t="shared" si="550"/>
        <v>0</v>
      </c>
      <c r="AB720" s="13">
        <f t="shared" si="551"/>
        <v>0</v>
      </c>
      <c r="AC720" s="10">
        <f>SUM($E$4:E720)</f>
        <v>-22024.091160220025</v>
      </c>
      <c r="AD720" s="20">
        <f>SUM($AB$4:AB720)</f>
        <v>13539.766460219998</v>
      </c>
      <c r="AF720" s="28" t="e">
        <f t="shared" si="552"/>
        <v>#DIV/0!</v>
      </c>
      <c r="AG720" s="2" t="e">
        <f t="shared" si="553"/>
        <v>#DIV/0!</v>
      </c>
      <c r="AH720" s="2" t="e">
        <f t="shared" si="554"/>
        <v>#DIV/0!</v>
      </c>
      <c r="AI720" s="2" t="e">
        <f t="shared" si="575"/>
        <v>#DIV/0!</v>
      </c>
      <c r="AJ720" s="2" t="e">
        <f t="shared" si="542"/>
        <v>#DIV/0!</v>
      </c>
      <c r="AK720" s="2" t="e">
        <f t="shared" si="555"/>
        <v>#DIV/0!</v>
      </c>
      <c r="AL720" s="2" t="e">
        <f t="shared" si="556"/>
        <v>#DIV/0!</v>
      </c>
      <c r="AM720" s="2" t="e">
        <f t="shared" si="576"/>
        <v>#DIV/0!</v>
      </c>
      <c r="AN720" s="2">
        <f t="shared" si="557"/>
        <v>0</v>
      </c>
      <c r="AO720" s="2" t="e">
        <f t="shared" si="558"/>
        <v>#DIV/0!</v>
      </c>
      <c r="AP720" s="2" t="e">
        <f t="shared" si="559"/>
        <v>#DIV/0!</v>
      </c>
      <c r="AQ720" s="2" t="e">
        <f t="shared" si="577"/>
        <v>#DIV/0!</v>
      </c>
      <c r="AR720" s="2" t="e">
        <f t="shared" si="543"/>
        <v>#DIV/0!</v>
      </c>
      <c r="AS720" s="2" t="e">
        <f t="shared" si="560"/>
        <v>#DIV/0!</v>
      </c>
      <c r="AT720" s="2" t="e">
        <f t="shared" si="561"/>
        <v>#DIV/0!</v>
      </c>
      <c r="AU720" s="2" t="e">
        <f t="shared" si="578"/>
        <v>#DIV/0!</v>
      </c>
      <c r="AV720" s="2" t="e">
        <f t="shared" si="562"/>
        <v>#DIV/0!</v>
      </c>
      <c r="AW720" s="2" t="e">
        <f t="shared" si="563"/>
        <v>#DIV/0!</v>
      </c>
      <c r="AX720" s="2" t="e">
        <f t="shared" si="564"/>
        <v>#DIV/0!</v>
      </c>
      <c r="AY720" s="2" t="e">
        <f t="shared" si="579"/>
        <v>#DIV/0!</v>
      </c>
      <c r="AZ720" s="2" t="e">
        <f t="shared" si="544"/>
        <v>#DIV/0!</v>
      </c>
      <c r="BA720" s="2" t="e">
        <f t="shared" si="565"/>
        <v>#DIV/0!</v>
      </c>
      <c r="BB720" s="2" t="e">
        <f t="shared" si="566"/>
        <v>#DIV/0!</v>
      </c>
      <c r="BC720" s="2" t="e">
        <f t="shared" si="580"/>
        <v>#DIV/0!</v>
      </c>
      <c r="BD720" s="2">
        <v>0</v>
      </c>
      <c r="BE720" s="2" t="e">
        <f t="shared" si="567"/>
        <v>#DIV/0!</v>
      </c>
      <c r="BF720" s="2" t="e">
        <f t="shared" si="568"/>
        <v>#DIV/0!</v>
      </c>
      <c r="BG720" s="2" t="e">
        <f t="shared" si="581"/>
        <v>#DIV/0!</v>
      </c>
      <c r="BH720" s="2" t="e">
        <f t="shared" si="545"/>
        <v>#DIV/0!</v>
      </c>
      <c r="BI720" s="2" t="e">
        <f t="shared" si="569"/>
        <v>#DIV/0!</v>
      </c>
      <c r="BJ720" s="2" t="e">
        <f t="shared" si="570"/>
        <v>#DIV/0!</v>
      </c>
      <c r="BK720" s="2" t="e">
        <f t="shared" si="582"/>
        <v>#DIV/0!</v>
      </c>
      <c r="BL720" s="2" t="e">
        <f t="shared" si="571"/>
        <v>#DIV/0!</v>
      </c>
      <c r="BM720" s="2" t="e">
        <f t="shared" si="572"/>
        <v>#DIV/0!</v>
      </c>
      <c r="BN720" s="2" t="e">
        <f t="shared" si="583"/>
        <v>#DIV/0!</v>
      </c>
    </row>
    <row r="721" spans="1:66" x14ac:dyDescent="0.25">
      <c r="A721" s="42">
        <v>718</v>
      </c>
      <c r="E721" s="6">
        <f t="shared" si="573"/>
        <v>0</v>
      </c>
      <c r="F721" s="5" t="str">
        <f t="shared" si="584"/>
        <v>Break Even</v>
      </c>
      <c r="G721" s="4">
        <f t="shared" si="585"/>
        <v>0</v>
      </c>
      <c r="N721" s="5">
        <f t="shared" si="586"/>
        <v>0</v>
      </c>
      <c r="O721" s="4" t="e">
        <f t="shared" si="587"/>
        <v>#DIV/0!</v>
      </c>
      <c r="P721" s="5">
        <f t="shared" si="546"/>
        <v>0</v>
      </c>
      <c r="R721" s="2">
        <f t="shared" si="541"/>
        <v>0</v>
      </c>
      <c r="T721" s="2">
        <f t="shared" si="574"/>
        <v>0</v>
      </c>
      <c r="V721" s="5">
        <f t="shared" si="588"/>
        <v>0</v>
      </c>
      <c r="W721" s="4" t="e">
        <f t="shared" si="589"/>
        <v>#DIV/0!</v>
      </c>
      <c r="X721" s="14">
        <f t="shared" si="547"/>
        <v>0</v>
      </c>
      <c r="Y721" s="5">
        <f t="shared" si="548"/>
        <v>0</v>
      </c>
      <c r="Z721" s="2">
        <f t="shared" si="549"/>
        <v>0</v>
      </c>
      <c r="AA721" s="4">
        <f t="shared" si="550"/>
        <v>0</v>
      </c>
      <c r="AB721" s="13">
        <f t="shared" si="551"/>
        <v>0</v>
      </c>
      <c r="AC721" s="10">
        <f>SUM($E$4:E721)</f>
        <v>-22024.091160220025</v>
      </c>
      <c r="AD721" s="20">
        <f>SUM($AB$4:AB721)</f>
        <v>13539.766460219998</v>
      </c>
      <c r="AF721" s="28" t="e">
        <f t="shared" si="552"/>
        <v>#DIV/0!</v>
      </c>
      <c r="AG721" s="2" t="e">
        <f t="shared" si="553"/>
        <v>#DIV/0!</v>
      </c>
      <c r="AH721" s="2" t="e">
        <f t="shared" si="554"/>
        <v>#DIV/0!</v>
      </c>
      <c r="AI721" s="2" t="e">
        <f t="shared" si="575"/>
        <v>#DIV/0!</v>
      </c>
      <c r="AJ721" s="2" t="e">
        <f t="shared" si="542"/>
        <v>#DIV/0!</v>
      </c>
      <c r="AK721" s="2" t="e">
        <f t="shared" si="555"/>
        <v>#DIV/0!</v>
      </c>
      <c r="AL721" s="2" t="e">
        <f t="shared" si="556"/>
        <v>#DIV/0!</v>
      </c>
      <c r="AM721" s="2" t="e">
        <f t="shared" si="576"/>
        <v>#DIV/0!</v>
      </c>
      <c r="AN721" s="2">
        <f t="shared" si="557"/>
        <v>0</v>
      </c>
      <c r="AO721" s="2" t="e">
        <f t="shared" si="558"/>
        <v>#DIV/0!</v>
      </c>
      <c r="AP721" s="2" t="e">
        <f t="shared" si="559"/>
        <v>#DIV/0!</v>
      </c>
      <c r="AQ721" s="2" t="e">
        <f t="shared" si="577"/>
        <v>#DIV/0!</v>
      </c>
      <c r="AR721" s="2" t="e">
        <f t="shared" si="543"/>
        <v>#DIV/0!</v>
      </c>
      <c r="AS721" s="2" t="e">
        <f t="shared" si="560"/>
        <v>#DIV/0!</v>
      </c>
      <c r="AT721" s="2" t="e">
        <f t="shared" si="561"/>
        <v>#DIV/0!</v>
      </c>
      <c r="AU721" s="2" t="e">
        <f t="shared" si="578"/>
        <v>#DIV/0!</v>
      </c>
      <c r="AV721" s="2" t="e">
        <f t="shared" si="562"/>
        <v>#DIV/0!</v>
      </c>
      <c r="AW721" s="2" t="e">
        <f t="shared" si="563"/>
        <v>#DIV/0!</v>
      </c>
      <c r="AX721" s="2" t="e">
        <f t="shared" si="564"/>
        <v>#DIV/0!</v>
      </c>
      <c r="AY721" s="2" t="e">
        <f t="shared" si="579"/>
        <v>#DIV/0!</v>
      </c>
      <c r="AZ721" s="2" t="e">
        <f t="shared" si="544"/>
        <v>#DIV/0!</v>
      </c>
      <c r="BA721" s="2" t="e">
        <f t="shared" si="565"/>
        <v>#DIV/0!</v>
      </c>
      <c r="BB721" s="2" t="e">
        <f t="shared" si="566"/>
        <v>#DIV/0!</v>
      </c>
      <c r="BC721" s="2" t="e">
        <f t="shared" si="580"/>
        <v>#DIV/0!</v>
      </c>
      <c r="BD721" s="2">
        <v>0</v>
      </c>
      <c r="BE721" s="2" t="e">
        <f t="shared" si="567"/>
        <v>#DIV/0!</v>
      </c>
      <c r="BF721" s="2" t="e">
        <f t="shared" si="568"/>
        <v>#DIV/0!</v>
      </c>
      <c r="BG721" s="2" t="e">
        <f t="shared" si="581"/>
        <v>#DIV/0!</v>
      </c>
      <c r="BH721" s="2" t="e">
        <f t="shared" si="545"/>
        <v>#DIV/0!</v>
      </c>
      <c r="BI721" s="2" t="e">
        <f t="shared" si="569"/>
        <v>#DIV/0!</v>
      </c>
      <c r="BJ721" s="2" t="e">
        <f t="shared" si="570"/>
        <v>#DIV/0!</v>
      </c>
      <c r="BK721" s="2" t="e">
        <f t="shared" si="582"/>
        <v>#DIV/0!</v>
      </c>
      <c r="BL721" s="2" t="e">
        <f t="shared" si="571"/>
        <v>#DIV/0!</v>
      </c>
      <c r="BM721" s="2" t="e">
        <f t="shared" si="572"/>
        <v>#DIV/0!</v>
      </c>
      <c r="BN721" s="2" t="e">
        <f t="shared" si="583"/>
        <v>#DIV/0!</v>
      </c>
    </row>
    <row r="722" spans="1:66" x14ac:dyDescent="0.25">
      <c r="A722" s="42">
        <v>719</v>
      </c>
      <c r="E722" s="6">
        <f t="shared" si="573"/>
        <v>0</v>
      </c>
      <c r="F722" s="5" t="str">
        <f t="shared" si="584"/>
        <v>Break Even</v>
      </c>
      <c r="G722" s="4">
        <f t="shared" si="585"/>
        <v>0</v>
      </c>
      <c r="N722" s="5">
        <f t="shared" si="586"/>
        <v>0</v>
      </c>
      <c r="O722" s="4" t="e">
        <f t="shared" si="587"/>
        <v>#DIV/0!</v>
      </c>
      <c r="P722" s="5">
        <f t="shared" si="546"/>
        <v>0</v>
      </c>
      <c r="R722" s="2">
        <f t="shared" si="541"/>
        <v>0</v>
      </c>
      <c r="T722" s="2">
        <f t="shared" si="574"/>
        <v>0</v>
      </c>
      <c r="V722" s="5">
        <f t="shared" si="588"/>
        <v>0</v>
      </c>
      <c r="W722" s="4" t="e">
        <f t="shared" si="589"/>
        <v>#DIV/0!</v>
      </c>
      <c r="X722" s="14">
        <f t="shared" si="547"/>
        <v>0</v>
      </c>
      <c r="Y722" s="5">
        <f t="shared" si="548"/>
        <v>0</v>
      </c>
      <c r="Z722" s="2">
        <f t="shared" si="549"/>
        <v>0</v>
      </c>
      <c r="AA722" s="4">
        <f t="shared" si="550"/>
        <v>0</v>
      </c>
      <c r="AB722" s="13">
        <f t="shared" si="551"/>
        <v>0</v>
      </c>
      <c r="AC722" s="10">
        <f>SUM($E$4:E722)</f>
        <v>-22024.091160220025</v>
      </c>
      <c r="AD722" s="20">
        <f>SUM($AB$4:AB722)</f>
        <v>13539.766460219998</v>
      </c>
      <c r="AF722" s="28" t="e">
        <f t="shared" si="552"/>
        <v>#DIV/0!</v>
      </c>
      <c r="AG722" s="2" t="e">
        <f t="shared" si="553"/>
        <v>#DIV/0!</v>
      </c>
      <c r="AH722" s="2" t="e">
        <f t="shared" si="554"/>
        <v>#DIV/0!</v>
      </c>
      <c r="AI722" s="2" t="e">
        <f t="shared" si="575"/>
        <v>#DIV/0!</v>
      </c>
      <c r="AJ722" s="2" t="e">
        <f t="shared" si="542"/>
        <v>#DIV/0!</v>
      </c>
      <c r="AK722" s="2" t="e">
        <f t="shared" si="555"/>
        <v>#DIV/0!</v>
      </c>
      <c r="AL722" s="2" t="e">
        <f t="shared" si="556"/>
        <v>#DIV/0!</v>
      </c>
      <c r="AM722" s="2" t="e">
        <f t="shared" si="576"/>
        <v>#DIV/0!</v>
      </c>
      <c r="AN722" s="2">
        <f t="shared" si="557"/>
        <v>0</v>
      </c>
      <c r="AO722" s="2" t="e">
        <f t="shared" si="558"/>
        <v>#DIV/0!</v>
      </c>
      <c r="AP722" s="2" t="e">
        <f t="shared" si="559"/>
        <v>#DIV/0!</v>
      </c>
      <c r="AQ722" s="2" t="e">
        <f t="shared" si="577"/>
        <v>#DIV/0!</v>
      </c>
      <c r="AR722" s="2" t="e">
        <f t="shared" si="543"/>
        <v>#DIV/0!</v>
      </c>
      <c r="AS722" s="2" t="e">
        <f t="shared" si="560"/>
        <v>#DIV/0!</v>
      </c>
      <c r="AT722" s="2" t="e">
        <f t="shared" si="561"/>
        <v>#DIV/0!</v>
      </c>
      <c r="AU722" s="2" t="e">
        <f t="shared" si="578"/>
        <v>#DIV/0!</v>
      </c>
      <c r="AV722" s="2" t="e">
        <f t="shared" si="562"/>
        <v>#DIV/0!</v>
      </c>
      <c r="AW722" s="2" t="e">
        <f t="shared" si="563"/>
        <v>#DIV/0!</v>
      </c>
      <c r="AX722" s="2" t="e">
        <f t="shared" si="564"/>
        <v>#DIV/0!</v>
      </c>
      <c r="AY722" s="2" t="e">
        <f t="shared" si="579"/>
        <v>#DIV/0!</v>
      </c>
      <c r="AZ722" s="2" t="e">
        <f t="shared" si="544"/>
        <v>#DIV/0!</v>
      </c>
      <c r="BA722" s="2" t="e">
        <f t="shared" si="565"/>
        <v>#DIV/0!</v>
      </c>
      <c r="BB722" s="2" t="e">
        <f t="shared" si="566"/>
        <v>#DIV/0!</v>
      </c>
      <c r="BC722" s="2" t="e">
        <f t="shared" si="580"/>
        <v>#DIV/0!</v>
      </c>
      <c r="BD722" s="2">
        <v>0</v>
      </c>
      <c r="BE722" s="2" t="e">
        <f t="shared" si="567"/>
        <v>#DIV/0!</v>
      </c>
      <c r="BF722" s="2" t="e">
        <f t="shared" si="568"/>
        <v>#DIV/0!</v>
      </c>
      <c r="BG722" s="2" t="e">
        <f t="shared" si="581"/>
        <v>#DIV/0!</v>
      </c>
      <c r="BH722" s="2" t="e">
        <f t="shared" si="545"/>
        <v>#DIV/0!</v>
      </c>
      <c r="BI722" s="2" t="e">
        <f t="shared" si="569"/>
        <v>#DIV/0!</v>
      </c>
      <c r="BJ722" s="2" t="e">
        <f t="shared" si="570"/>
        <v>#DIV/0!</v>
      </c>
      <c r="BK722" s="2" t="e">
        <f t="shared" si="582"/>
        <v>#DIV/0!</v>
      </c>
      <c r="BL722" s="2" t="e">
        <f t="shared" si="571"/>
        <v>#DIV/0!</v>
      </c>
      <c r="BM722" s="2" t="e">
        <f t="shared" si="572"/>
        <v>#DIV/0!</v>
      </c>
      <c r="BN722" s="2" t="e">
        <f t="shared" si="583"/>
        <v>#DIV/0!</v>
      </c>
    </row>
    <row r="723" spans="1:66" x14ac:dyDescent="0.25">
      <c r="A723" s="42">
        <v>720</v>
      </c>
      <c r="E723" s="6">
        <f t="shared" si="573"/>
        <v>0</v>
      </c>
      <c r="F723" s="5" t="str">
        <f t="shared" si="584"/>
        <v>Break Even</v>
      </c>
      <c r="G723" s="4">
        <f t="shared" si="585"/>
        <v>0</v>
      </c>
      <c r="N723" s="5">
        <f t="shared" si="586"/>
        <v>0</v>
      </c>
      <c r="O723" s="4" t="e">
        <f t="shared" si="587"/>
        <v>#DIV/0!</v>
      </c>
      <c r="P723" s="5">
        <f t="shared" si="546"/>
        <v>0</v>
      </c>
      <c r="R723" s="2">
        <f t="shared" si="541"/>
        <v>0</v>
      </c>
      <c r="T723" s="2">
        <f t="shared" si="574"/>
        <v>0</v>
      </c>
      <c r="V723" s="5">
        <f t="shared" si="588"/>
        <v>0</v>
      </c>
      <c r="W723" s="4" t="e">
        <f t="shared" si="589"/>
        <v>#DIV/0!</v>
      </c>
      <c r="X723" s="14">
        <f t="shared" si="547"/>
        <v>0</v>
      </c>
      <c r="Y723" s="5">
        <f t="shared" si="548"/>
        <v>0</v>
      </c>
      <c r="Z723" s="2">
        <f t="shared" si="549"/>
        <v>0</v>
      </c>
      <c r="AA723" s="4">
        <f t="shared" si="550"/>
        <v>0</v>
      </c>
      <c r="AB723" s="13">
        <f t="shared" si="551"/>
        <v>0</v>
      </c>
      <c r="AC723" s="10">
        <f>SUM($E$4:E723)</f>
        <v>-22024.091160220025</v>
      </c>
      <c r="AD723" s="20">
        <f>SUM($AB$4:AB723)</f>
        <v>13539.766460219998</v>
      </c>
      <c r="AF723" s="28" t="e">
        <f t="shared" si="552"/>
        <v>#DIV/0!</v>
      </c>
      <c r="AG723" s="2" t="e">
        <f t="shared" si="553"/>
        <v>#DIV/0!</v>
      </c>
      <c r="AH723" s="2" t="e">
        <f t="shared" si="554"/>
        <v>#DIV/0!</v>
      </c>
      <c r="AI723" s="2" t="e">
        <f t="shared" si="575"/>
        <v>#DIV/0!</v>
      </c>
      <c r="AJ723" s="2" t="e">
        <f t="shared" si="542"/>
        <v>#DIV/0!</v>
      </c>
      <c r="AK723" s="2" t="e">
        <f t="shared" si="555"/>
        <v>#DIV/0!</v>
      </c>
      <c r="AL723" s="2" t="e">
        <f t="shared" si="556"/>
        <v>#DIV/0!</v>
      </c>
      <c r="AM723" s="2" t="e">
        <f t="shared" si="576"/>
        <v>#DIV/0!</v>
      </c>
      <c r="AN723" s="2">
        <f t="shared" si="557"/>
        <v>0</v>
      </c>
      <c r="AO723" s="2" t="e">
        <f t="shared" si="558"/>
        <v>#DIV/0!</v>
      </c>
      <c r="AP723" s="2" t="e">
        <f t="shared" si="559"/>
        <v>#DIV/0!</v>
      </c>
      <c r="AQ723" s="2" t="e">
        <f t="shared" si="577"/>
        <v>#DIV/0!</v>
      </c>
      <c r="AR723" s="2" t="e">
        <f t="shared" si="543"/>
        <v>#DIV/0!</v>
      </c>
      <c r="AS723" s="2" t="e">
        <f t="shared" si="560"/>
        <v>#DIV/0!</v>
      </c>
      <c r="AT723" s="2" t="e">
        <f t="shared" si="561"/>
        <v>#DIV/0!</v>
      </c>
      <c r="AU723" s="2" t="e">
        <f t="shared" si="578"/>
        <v>#DIV/0!</v>
      </c>
      <c r="AV723" s="2" t="e">
        <f t="shared" si="562"/>
        <v>#DIV/0!</v>
      </c>
      <c r="AW723" s="2" t="e">
        <f t="shared" si="563"/>
        <v>#DIV/0!</v>
      </c>
      <c r="AX723" s="2" t="e">
        <f t="shared" si="564"/>
        <v>#DIV/0!</v>
      </c>
      <c r="AY723" s="2" t="e">
        <f t="shared" si="579"/>
        <v>#DIV/0!</v>
      </c>
      <c r="AZ723" s="2" t="e">
        <f t="shared" si="544"/>
        <v>#DIV/0!</v>
      </c>
      <c r="BA723" s="2" t="e">
        <f t="shared" si="565"/>
        <v>#DIV/0!</v>
      </c>
      <c r="BB723" s="2" t="e">
        <f t="shared" si="566"/>
        <v>#DIV/0!</v>
      </c>
      <c r="BC723" s="2" t="e">
        <f t="shared" si="580"/>
        <v>#DIV/0!</v>
      </c>
      <c r="BD723" s="2">
        <v>0</v>
      </c>
      <c r="BE723" s="2" t="e">
        <f t="shared" si="567"/>
        <v>#DIV/0!</v>
      </c>
      <c r="BF723" s="2" t="e">
        <f t="shared" si="568"/>
        <v>#DIV/0!</v>
      </c>
      <c r="BG723" s="2" t="e">
        <f t="shared" si="581"/>
        <v>#DIV/0!</v>
      </c>
      <c r="BH723" s="2" t="e">
        <f t="shared" si="545"/>
        <v>#DIV/0!</v>
      </c>
      <c r="BI723" s="2" t="e">
        <f t="shared" si="569"/>
        <v>#DIV/0!</v>
      </c>
      <c r="BJ723" s="2" t="e">
        <f t="shared" si="570"/>
        <v>#DIV/0!</v>
      </c>
      <c r="BK723" s="2" t="e">
        <f t="shared" si="582"/>
        <v>#DIV/0!</v>
      </c>
      <c r="BL723" s="2" t="e">
        <f t="shared" si="571"/>
        <v>#DIV/0!</v>
      </c>
      <c r="BM723" s="2" t="e">
        <f t="shared" si="572"/>
        <v>#DIV/0!</v>
      </c>
      <c r="BN723" s="2" t="e">
        <f t="shared" si="583"/>
        <v>#DIV/0!</v>
      </c>
    </row>
    <row r="724" spans="1:66" x14ac:dyDescent="0.25">
      <c r="A724" s="42">
        <v>721</v>
      </c>
      <c r="E724" s="6">
        <f t="shared" si="573"/>
        <v>0</v>
      </c>
      <c r="F724" s="5" t="str">
        <f t="shared" si="584"/>
        <v>Break Even</v>
      </c>
      <c r="G724" s="4">
        <f t="shared" si="585"/>
        <v>0</v>
      </c>
      <c r="N724" s="5">
        <f t="shared" si="586"/>
        <v>0</v>
      </c>
      <c r="O724" s="4" t="e">
        <f t="shared" si="587"/>
        <v>#DIV/0!</v>
      </c>
      <c r="P724" s="5">
        <f t="shared" si="546"/>
        <v>0</v>
      </c>
      <c r="R724" s="2">
        <f t="shared" si="541"/>
        <v>0</v>
      </c>
      <c r="T724" s="2">
        <f t="shared" si="574"/>
        <v>0</v>
      </c>
      <c r="V724" s="5">
        <f t="shared" si="588"/>
        <v>0</v>
      </c>
      <c r="W724" s="4" t="e">
        <f t="shared" si="589"/>
        <v>#DIV/0!</v>
      </c>
      <c r="X724" s="14">
        <f t="shared" si="547"/>
        <v>0</v>
      </c>
      <c r="Y724" s="5">
        <f t="shared" si="548"/>
        <v>0</v>
      </c>
      <c r="Z724" s="2">
        <f t="shared" si="549"/>
        <v>0</v>
      </c>
      <c r="AA724" s="4">
        <f t="shared" si="550"/>
        <v>0</v>
      </c>
      <c r="AB724" s="13">
        <f t="shared" si="551"/>
        <v>0</v>
      </c>
      <c r="AC724" s="10">
        <f>SUM($E$4:E724)</f>
        <v>-22024.091160220025</v>
      </c>
      <c r="AD724" s="20">
        <f>SUM($AB$4:AB724)</f>
        <v>13539.766460219998</v>
      </c>
      <c r="AF724" s="28" t="e">
        <f t="shared" si="552"/>
        <v>#DIV/0!</v>
      </c>
      <c r="AG724" s="2" t="e">
        <f t="shared" si="553"/>
        <v>#DIV/0!</v>
      </c>
      <c r="AH724" s="2" t="e">
        <f t="shared" si="554"/>
        <v>#DIV/0!</v>
      </c>
      <c r="AI724" s="2" t="e">
        <f t="shared" si="575"/>
        <v>#DIV/0!</v>
      </c>
      <c r="AJ724" s="2" t="e">
        <f t="shared" si="542"/>
        <v>#DIV/0!</v>
      </c>
      <c r="AK724" s="2" t="e">
        <f t="shared" si="555"/>
        <v>#DIV/0!</v>
      </c>
      <c r="AL724" s="2" t="e">
        <f t="shared" si="556"/>
        <v>#DIV/0!</v>
      </c>
      <c r="AM724" s="2" t="e">
        <f t="shared" si="576"/>
        <v>#DIV/0!</v>
      </c>
      <c r="AN724" s="2">
        <f t="shared" si="557"/>
        <v>0</v>
      </c>
      <c r="AO724" s="2" t="e">
        <f t="shared" si="558"/>
        <v>#DIV/0!</v>
      </c>
      <c r="AP724" s="2" t="e">
        <f t="shared" si="559"/>
        <v>#DIV/0!</v>
      </c>
      <c r="AQ724" s="2" t="e">
        <f t="shared" si="577"/>
        <v>#DIV/0!</v>
      </c>
      <c r="AR724" s="2" t="e">
        <f t="shared" si="543"/>
        <v>#DIV/0!</v>
      </c>
      <c r="AS724" s="2" t="e">
        <f t="shared" si="560"/>
        <v>#DIV/0!</v>
      </c>
      <c r="AT724" s="2" t="e">
        <f t="shared" si="561"/>
        <v>#DIV/0!</v>
      </c>
      <c r="AU724" s="2" t="e">
        <f t="shared" si="578"/>
        <v>#DIV/0!</v>
      </c>
      <c r="AV724" s="2" t="e">
        <f t="shared" si="562"/>
        <v>#DIV/0!</v>
      </c>
      <c r="AW724" s="2" t="e">
        <f t="shared" si="563"/>
        <v>#DIV/0!</v>
      </c>
      <c r="AX724" s="2" t="e">
        <f t="shared" si="564"/>
        <v>#DIV/0!</v>
      </c>
      <c r="AY724" s="2" t="e">
        <f t="shared" si="579"/>
        <v>#DIV/0!</v>
      </c>
      <c r="AZ724" s="2" t="e">
        <f t="shared" si="544"/>
        <v>#DIV/0!</v>
      </c>
      <c r="BA724" s="2" t="e">
        <f t="shared" si="565"/>
        <v>#DIV/0!</v>
      </c>
      <c r="BB724" s="2" t="e">
        <f t="shared" si="566"/>
        <v>#DIV/0!</v>
      </c>
      <c r="BC724" s="2" t="e">
        <f t="shared" si="580"/>
        <v>#DIV/0!</v>
      </c>
      <c r="BD724" s="2">
        <v>0</v>
      </c>
      <c r="BE724" s="2" t="e">
        <f t="shared" si="567"/>
        <v>#DIV/0!</v>
      </c>
      <c r="BF724" s="2" t="e">
        <f t="shared" si="568"/>
        <v>#DIV/0!</v>
      </c>
      <c r="BG724" s="2" t="e">
        <f t="shared" si="581"/>
        <v>#DIV/0!</v>
      </c>
      <c r="BH724" s="2" t="e">
        <f t="shared" si="545"/>
        <v>#DIV/0!</v>
      </c>
      <c r="BI724" s="2" t="e">
        <f t="shared" si="569"/>
        <v>#DIV/0!</v>
      </c>
      <c r="BJ724" s="2" t="e">
        <f t="shared" si="570"/>
        <v>#DIV/0!</v>
      </c>
      <c r="BK724" s="2" t="e">
        <f t="shared" si="582"/>
        <v>#DIV/0!</v>
      </c>
      <c r="BL724" s="2" t="e">
        <f t="shared" si="571"/>
        <v>#DIV/0!</v>
      </c>
      <c r="BM724" s="2" t="e">
        <f t="shared" si="572"/>
        <v>#DIV/0!</v>
      </c>
      <c r="BN724" s="2" t="e">
        <f t="shared" si="583"/>
        <v>#DIV/0!</v>
      </c>
    </row>
    <row r="725" spans="1:66" x14ac:dyDescent="0.25">
      <c r="A725" s="42">
        <v>722</v>
      </c>
      <c r="E725" s="6">
        <f t="shared" si="573"/>
        <v>0</v>
      </c>
      <c r="F725" s="5" t="str">
        <f t="shared" si="584"/>
        <v>Break Even</v>
      </c>
      <c r="G725" s="4">
        <f t="shared" si="585"/>
        <v>0</v>
      </c>
      <c r="N725" s="5">
        <f t="shared" si="586"/>
        <v>0</v>
      </c>
      <c r="O725" s="4" t="e">
        <f t="shared" si="587"/>
        <v>#DIV/0!</v>
      </c>
      <c r="P725" s="5">
        <f t="shared" si="546"/>
        <v>0</v>
      </c>
      <c r="R725" s="2">
        <f t="shared" si="541"/>
        <v>0</v>
      </c>
      <c r="T725" s="2">
        <f t="shared" si="574"/>
        <v>0</v>
      </c>
      <c r="V725" s="5">
        <f t="shared" si="588"/>
        <v>0</v>
      </c>
      <c r="W725" s="4" t="e">
        <f t="shared" si="589"/>
        <v>#DIV/0!</v>
      </c>
      <c r="X725" s="14">
        <f t="shared" si="547"/>
        <v>0</v>
      </c>
      <c r="Y725" s="5">
        <f t="shared" si="548"/>
        <v>0</v>
      </c>
      <c r="Z725" s="2">
        <f t="shared" si="549"/>
        <v>0</v>
      </c>
      <c r="AA725" s="4">
        <f t="shared" si="550"/>
        <v>0</v>
      </c>
      <c r="AB725" s="13">
        <f t="shared" si="551"/>
        <v>0</v>
      </c>
      <c r="AC725" s="10">
        <f>SUM($E$4:E725)</f>
        <v>-22024.091160220025</v>
      </c>
      <c r="AD725" s="20">
        <f>SUM($AB$4:AB725)</f>
        <v>13539.766460219998</v>
      </c>
      <c r="AF725" s="28" t="e">
        <f t="shared" si="552"/>
        <v>#DIV/0!</v>
      </c>
      <c r="AG725" s="2" t="e">
        <f t="shared" si="553"/>
        <v>#DIV/0!</v>
      </c>
      <c r="AH725" s="2" t="e">
        <f t="shared" si="554"/>
        <v>#DIV/0!</v>
      </c>
      <c r="AI725" s="2" t="e">
        <f t="shared" si="575"/>
        <v>#DIV/0!</v>
      </c>
      <c r="AJ725" s="2" t="e">
        <f t="shared" si="542"/>
        <v>#DIV/0!</v>
      </c>
      <c r="AK725" s="2" t="e">
        <f t="shared" si="555"/>
        <v>#DIV/0!</v>
      </c>
      <c r="AL725" s="2" t="e">
        <f t="shared" si="556"/>
        <v>#DIV/0!</v>
      </c>
      <c r="AM725" s="2" t="e">
        <f t="shared" si="576"/>
        <v>#DIV/0!</v>
      </c>
      <c r="AN725" s="2">
        <f t="shared" si="557"/>
        <v>0</v>
      </c>
      <c r="AO725" s="2" t="e">
        <f t="shared" si="558"/>
        <v>#DIV/0!</v>
      </c>
      <c r="AP725" s="2" t="e">
        <f t="shared" si="559"/>
        <v>#DIV/0!</v>
      </c>
      <c r="AQ725" s="2" t="e">
        <f t="shared" si="577"/>
        <v>#DIV/0!</v>
      </c>
      <c r="AR725" s="2" t="e">
        <f t="shared" si="543"/>
        <v>#DIV/0!</v>
      </c>
      <c r="AS725" s="2" t="e">
        <f t="shared" si="560"/>
        <v>#DIV/0!</v>
      </c>
      <c r="AT725" s="2" t="e">
        <f t="shared" si="561"/>
        <v>#DIV/0!</v>
      </c>
      <c r="AU725" s="2" t="e">
        <f t="shared" si="578"/>
        <v>#DIV/0!</v>
      </c>
      <c r="AV725" s="2" t="e">
        <f t="shared" si="562"/>
        <v>#DIV/0!</v>
      </c>
      <c r="AW725" s="2" t="e">
        <f t="shared" si="563"/>
        <v>#DIV/0!</v>
      </c>
      <c r="AX725" s="2" t="e">
        <f t="shared" si="564"/>
        <v>#DIV/0!</v>
      </c>
      <c r="AY725" s="2" t="e">
        <f t="shared" si="579"/>
        <v>#DIV/0!</v>
      </c>
      <c r="AZ725" s="2" t="e">
        <f t="shared" si="544"/>
        <v>#DIV/0!</v>
      </c>
      <c r="BA725" s="2" t="e">
        <f t="shared" si="565"/>
        <v>#DIV/0!</v>
      </c>
      <c r="BB725" s="2" t="e">
        <f t="shared" si="566"/>
        <v>#DIV/0!</v>
      </c>
      <c r="BC725" s="2" t="e">
        <f t="shared" si="580"/>
        <v>#DIV/0!</v>
      </c>
      <c r="BD725" s="2">
        <v>0</v>
      </c>
      <c r="BE725" s="2" t="e">
        <f t="shared" si="567"/>
        <v>#DIV/0!</v>
      </c>
      <c r="BF725" s="2" t="e">
        <f t="shared" si="568"/>
        <v>#DIV/0!</v>
      </c>
      <c r="BG725" s="2" t="e">
        <f t="shared" si="581"/>
        <v>#DIV/0!</v>
      </c>
      <c r="BH725" s="2" t="e">
        <f t="shared" si="545"/>
        <v>#DIV/0!</v>
      </c>
      <c r="BI725" s="2" t="e">
        <f t="shared" si="569"/>
        <v>#DIV/0!</v>
      </c>
      <c r="BJ725" s="2" t="e">
        <f t="shared" si="570"/>
        <v>#DIV/0!</v>
      </c>
      <c r="BK725" s="2" t="e">
        <f t="shared" si="582"/>
        <v>#DIV/0!</v>
      </c>
      <c r="BL725" s="2" t="e">
        <f t="shared" si="571"/>
        <v>#DIV/0!</v>
      </c>
      <c r="BM725" s="2" t="e">
        <f t="shared" si="572"/>
        <v>#DIV/0!</v>
      </c>
      <c r="BN725" s="2" t="e">
        <f t="shared" si="583"/>
        <v>#DIV/0!</v>
      </c>
    </row>
    <row r="726" spans="1:66" x14ac:dyDescent="0.25">
      <c r="A726" s="42">
        <v>723</v>
      </c>
      <c r="E726" s="6">
        <f t="shared" si="573"/>
        <v>0</v>
      </c>
      <c r="F726" s="5" t="str">
        <f t="shared" si="584"/>
        <v>Break Even</v>
      </c>
      <c r="G726" s="4">
        <f t="shared" si="585"/>
        <v>0</v>
      </c>
      <c r="N726" s="5">
        <f t="shared" si="586"/>
        <v>0</v>
      </c>
      <c r="O726" s="4" t="e">
        <f t="shared" si="587"/>
        <v>#DIV/0!</v>
      </c>
      <c r="P726" s="5">
        <f t="shared" si="546"/>
        <v>0</v>
      </c>
      <c r="R726" s="2">
        <f t="shared" si="541"/>
        <v>0</v>
      </c>
      <c r="T726" s="2">
        <f t="shared" si="574"/>
        <v>0</v>
      </c>
      <c r="V726" s="5">
        <f t="shared" si="588"/>
        <v>0</v>
      </c>
      <c r="W726" s="4" t="e">
        <f t="shared" si="589"/>
        <v>#DIV/0!</v>
      </c>
      <c r="X726" s="14">
        <f t="shared" si="547"/>
        <v>0</v>
      </c>
      <c r="Y726" s="5">
        <f t="shared" si="548"/>
        <v>0</v>
      </c>
      <c r="Z726" s="2">
        <f t="shared" si="549"/>
        <v>0</v>
      </c>
      <c r="AA726" s="4">
        <f t="shared" si="550"/>
        <v>0</v>
      </c>
      <c r="AB726" s="13">
        <f t="shared" si="551"/>
        <v>0</v>
      </c>
      <c r="AC726" s="10">
        <f>SUM($E$4:E726)</f>
        <v>-22024.091160220025</v>
      </c>
      <c r="AD726" s="20">
        <f>SUM($AB$4:AB726)</f>
        <v>13539.766460219998</v>
      </c>
      <c r="AF726" s="28" t="e">
        <f t="shared" si="552"/>
        <v>#DIV/0!</v>
      </c>
      <c r="AG726" s="2" t="e">
        <f t="shared" si="553"/>
        <v>#DIV/0!</v>
      </c>
      <c r="AH726" s="2" t="e">
        <f t="shared" si="554"/>
        <v>#DIV/0!</v>
      </c>
      <c r="AI726" s="2" t="e">
        <f t="shared" si="575"/>
        <v>#DIV/0!</v>
      </c>
      <c r="AJ726" s="2" t="e">
        <f t="shared" si="542"/>
        <v>#DIV/0!</v>
      </c>
      <c r="AK726" s="2" t="e">
        <f t="shared" si="555"/>
        <v>#DIV/0!</v>
      </c>
      <c r="AL726" s="2" t="e">
        <f t="shared" si="556"/>
        <v>#DIV/0!</v>
      </c>
      <c r="AM726" s="2" t="e">
        <f t="shared" si="576"/>
        <v>#DIV/0!</v>
      </c>
      <c r="AN726" s="2">
        <f t="shared" si="557"/>
        <v>0</v>
      </c>
      <c r="AO726" s="2" t="e">
        <f t="shared" si="558"/>
        <v>#DIV/0!</v>
      </c>
      <c r="AP726" s="2" t="e">
        <f t="shared" si="559"/>
        <v>#DIV/0!</v>
      </c>
      <c r="AQ726" s="2" t="e">
        <f t="shared" si="577"/>
        <v>#DIV/0!</v>
      </c>
      <c r="AR726" s="2" t="e">
        <f t="shared" si="543"/>
        <v>#DIV/0!</v>
      </c>
      <c r="AS726" s="2" t="e">
        <f t="shared" si="560"/>
        <v>#DIV/0!</v>
      </c>
      <c r="AT726" s="2" t="e">
        <f t="shared" si="561"/>
        <v>#DIV/0!</v>
      </c>
      <c r="AU726" s="2" t="e">
        <f t="shared" si="578"/>
        <v>#DIV/0!</v>
      </c>
      <c r="AV726" s="2" t="e">
        <f t="shared" si="562"/>
        <v>#DIV/0!</v>
      </c>
      <c r="AW726" s="2" t="e">
        <f t="shared" si="563"/>
        <v>#DIV/0!</v>
      </c>
      <c r="AX726" s="2" t="e">
        <f t="shared" si="564"/>
        <v>#DIV/0!</v>
      </c>
      <c r="AY726" s="2" t="e">
        <f t="shared" si="579"/>
        <v>#DIV/0!</v>
      </c>
      <c r="AZ726" s="2" t="e">
        <f t="shared" si="544"/>
        <v>#DIV/0!</v>
      </c>
      <c r="BA726" s="2" t="e">
        <f t="shared" si="565"/>
        <v>#DIV/0!</v>
      </c>
      <c r="BB726" s="2" t="e">
        <f t="shared" si="566"/>
        <v>#DIV/0!</v>
      </c>
      <c r="BC726" s="2" t="e">
        <f t="shared" si="580"/>
        <v>#DIV/0!</v>
      </c>
      <c r="BD726" s="2">
        <v>0</v>
      </c>
      <c r="BE726" s="2" t="e">
        <f t="shared" si="567"/>
        <v>#DIV/0!</v>
      </c>
      <c r="BF726" s="2" t="e">
        <f t="shared" si="568"/>
        <v>#DIV/0!</v>
      </c>
      <c r="BG726" s="2" t="e">
        <f t="shared" si="581"/>
        <v>#DIV/0!</v>
      </c>
      <c r="BH726" s="2" t="e">
        <f t="shared" si="545"/>
        <v>#DIV/0!</v>
      </c>
      <c r="BI726" s="2" t="e">
        <f t="shared" si="569"/>
        <v>#DIV/0!</v>
      </c>
      <c r="BJ726" s="2" t="e">
        <f t="shared" si="570"/>
        <v>#DIV/0!</v>
      </c>
      <c r="BK726" s="2" t="e">
        <f t="shared" si="582"/>
        <v>#DIV/0!</v>
      </c>
      <c r="BL726" s="2" t="e">
        <f t="shared" si="571"/>
        <v>#DIV/0!</v>
      </c>
      <c r="BM726" s="2" t="e">
        <f t="shared" si="572"/>
        <v>#DIV/0!</v>
      </c>
      <c r="BN726" s="2" t="e">
        <f t="shared" si="583"/>
        <v>#DIV/0!</v>
      </c>
    </row>
    <row r="727" spans="1:66" x14ac:dyDescent="0.25">
      <c r="A727" s="42">
        <v>724</v>
      </c>
      <c r="E727" s="6">
        <f t="shared" si="573"/>
        <v>0</v>
      </c>
      <c r="F727" s="5" t="str">
        <f t="shared" si="584"/>
        <v>Break Even</v>
      </c>
      <c r="G727" s="4">
        <f t="shared" si="585"/>
        <v>0</v>
      </c>
      <c r="N727" s="5">
        <f t="shared" si="586"/>
        <v>0</v>
      </c>
      <c r="O727" s="4" t="e">
        <f t="shared" si="587"/>
        <v>#DIV/0!</v>
      </c>
      <c r="P727" s="5">
        <f t="shared" si="546"/>
        <v>0</v>
      </c>
      <c r="R727" s="2">
        <f t="shared" si="541"/>
        <v>0</v>
      </c>
      <c r="T727" s="2">
        <f t="shared" si="574"/>
        <v>0</v>
      </c>
      <c r="V727" s="5">
        <f t="shared" si="588"/>
        <v>0</v>
      </c>
      <c r="W727" s="4" t="e">
        <f t="shared" si="589"/>
        <v>#DIV/0!</v>
      </c>
      <c r="X727" s="14">
        <f t="shared" si="547"/>
        <v>0</v>
      </c>
      <c r="Y727" s="5">
        <f t="shared" si="548"/>
        <v>0</v>
      </c>
      <c r="Z727" s="2">
        <f t="shared" si="549"/>
        <v>0</v>
      </c>
      <c r="AA727" s="4">
        <f t="shared" si="550"/>
        <v>0</v>
      </c>
      <c r="AB727" s="13">
        <f t="shared" si="551"/>
        <v>0</v>
      </c>
      <c r="AC727" s="10">
        <f>SUM($E$4:E727)</f>
        <v>-22024.091160220025</v>
      </c>
      <c r="AD727" s="20">
        <f>SUM($AB$4:AB727)</f>
        <v>13539.766460219998</v>
      </c>
      <c r="AF727" s="28" t="e">
        <f t="shared" si="552"/>
        <v>#DIV/0!</v>
      </c>
      <c r="AG727" s="2" t="e">
        <f t="shared" si="553"/>
        <v>#DIV/0!</v>
      </c>
      <c r="AH727" s="2" t="e">
        <f t="shared" si="554"/>
        <v>#DIV/0!</v>
      </c>
      <c r="AI727" s="2" t="e">
        <f t="shared" si="575"/>
        <v>#DIV/0!</v>
      </c>
      <c r="AJ727" s="2" t="e">
        <f t="shared" si="542"/>
        <v>#DIV/0!</v>
      </c>
      <c r="AK727" s="2" t="e">
        <f t="shared" si="555"/>
        <v>#DIV/0!</v>
      </c>
      <c r="AL727" s="2" t="e">
        <f t="shared" si="556"/>
        <v>#DIV/0!</v>
      </c>
      <c r="AM727" s="2" t="e">
        <f t="shared" si="576"/>
        <v>#DIV/0!</v>
      </c>
      <c r="AN727" s="2">
        <f t="shared" si="557"/>
        <v>0</v>
      </c>
      <c r="AO727" s="2" t="e">
        <f t="shared" si="558"/>
        <v>#DIV/0!</v>
      </c>
      <c r="AP727" s="2" t="e">
        <f t="shared" si="559"/>
        <v>#DIV/0!</v>
      </c>
      <c r="AQ727" s="2" t="e">
        <f t="shared" si="577"/>
        <v>#DIV/0!</v>
      </c>
      <c r="AR727" s="2" t="e">
        <f t="shared" si="543"/>
        <v>#DIV/0!</v>
      </c>
      <c r="AS727" s="2" t="e">
        <f t="shared" si="560"/>
        <v>#DIV/0!</v>
      </c>
      <c r="AT727" s="2" t="e">
        <f t="shared" si="561"/>
        <v>#DIV/0!</v>
      </c>
      <c r="AU727" s="2" t="e">
        <f t="shared" si="578"/>
        <v>#DIV/0!</v>
      </c>
      <c r="AV727" s="2" t="e">
        <f t="shared" si="562"/>
        <v>#DIV/0!</v>
      </c>
      <c r="AW727" s="2" t="e">
        <f t="shared" si="563"/>
        <v>#DIV/0!</v>
      </c>
      <c r="AX727" s="2" t="e">
        <f t="shared" si="564"/>
        <v>#DIV/0!</v>
      </c>
      <c r="AY727" s="2" t="e">
        <f t="shared" si="579"/>
        <v>#DIV/0!</v>
      </c>
      <c r="AZ727" s="2" t="e">
        <f t="shared" si="544"/>
        <v>#DIV/0!</v>
      </c>
      <c r="BA727" s="2" t="e">
        <f t="shared" si="565"/>
        <v>#DIV/0!</v>
      </c>
      <c r="BB727" s="2" t="e">
        <f t="shared" si="566"/>
        <v>#DIV/0!</v>
      </c>
      <c r="BC727" s="2" t="e">
        <f t="shared" si="580"/>
        <v>#DIV/0!</v>
      </c>
      <c r="BD727" s="2">
        <v>0</v>
      </c>
      <c r="BE727" s="2" t="e">
        <f t="shared" si="567"/>
        <v>#DIV/0!</v>
      </c>
      <c r="BF727" s="2" t="e">
        <f t="shared" si="568"/>
        <v>#DIV/0!</v>
      </c>
      <c r="BG727" s="2" t="e">
        <f t="shared" si="581"/>
        <v>#DIV/0!</v>
      </c>
      <c r="BH727" s="2" t="e">
        <f t="shared" si="545"/>
        <v>#DIV/0!</v>
      </c>
      <c r="BI727" s="2" t="e">
        <f t="shared" si="569"/>
        <v>#DIV/0!</v>
      </c>
      <c r="BJ727" s="2" t="e">
        <f t="shared" si="570"/>
        <v>#DIV/0!</v>
      </c>
      <c r="BK727" s="2" t="e">
        <f t="shared" si="582"/>
        <v>#DIV/0!</v>
      </c>
      <c r="BL727" s="2" t="e">
        <f t="shared" si="571"/>
        <v>#DIV/0!</v>
      </c>
      <c r="BM727" s="2" t="e">
        <f t="shared" si="572"/>
        <v>#DIV/0!</v>
      </c>
      <c r="BN727" s="2" t="e">
        <f t="shared" si="583"/>
        <v>#DIV/0!</v>
      </c>
    </row>
    <row r="728" spans="1:66" x14ac:dyDescent="0.25">
      <c r="A728" s="42">
        <v>725</v>
      </c>
      <c r="E728" s="6">
        <f t="shared" si="573"/>
        <v>0</v>
      </c>
      <c r="F728" s="5" t="str">
        <f t="shared" si="584"/>
        <v>Break Even</v>
      </c>
      <c r="G728" s="4">
        <f t="shared" si="585"/>
        <v>0</v>
      </c>
      <c r="N728" s="5">
        <f t="shared" si="586"/>
        <v>0</v>
      </c>
      <c r="O728" s="4" t="e">
        <f t="shared" si="587"/>
        <v>#DIV/0!</v>
      </c>
      <c r="P728" s="5">
        <f t="shared" si="546"/>
        <v>0</v>
      </c>
      <c r="R728" s="2">
        <f t="shared" si="541"/>
        <v>0</v>
      </c>
      <c r="T728" s="2">
        <f t="shared" si="574"/>
        <v>0</v>
      </c>
      <c r="V728" s="5">
        <f t="shared" si="588"/>
        <v>0</v>
      </c>
      <c r="W728" s="4" t="e">
        <f t="shared" si="589"/>
        <v>#DIV/0!</v>
      </c>
      <c r="X728" s="14">
        <f t="shared" si="547"/>
        <v>0</v>
      </c>
      <c r="Y728" s="5">
        <f t="shared" si="548"/>
        <v>0</v>
      </c>
      <c r="Z728" s="2">
        <f t="shared" si="549"/>
        <v>0</v>
      </c>
      <c r="AA728" s="4">
        <f t="shared" si="550"/>
        <v>0</v>
      </c>
      <c r="AB728" s="13">
        <f t="shared" si="551"/>
        <v>0</v>
      </c>
      <c r="AC728" s="10">
        <f>SUM($E$4:E728)</f>
        <v>-22024.091160220025</v>
      </c>
      <c r="AD728" s="20">
        <f>SUM($AB$4:AB728)</f>
        <v>13539.766460219998</v>
      </c>
      <c r="AF728" s="28" t="e">
        <f t="shared" si="552"/>
        <v>#DIV/0!</v>
      </c>
      <c r="AG728" s="2" t="e">
        <f t="shared" si="553"/>
        <v>#DIV/0!</v>
      </c>
      <c r="AH728" s="2" t="e">
        <f t="shared" si="554"/>
        <v>#DIV/0!</v>
      </c>
      <c r="AI728" s="2" t="e">
        <f t="shared" si="575"/>
        <v>#DIV/0!</v>
      </c>
      <c r="AJ728" s="2" t="e">
        <f t="shared" si="542"/>
        <v>#DIV/0!</v>
      </c>
      <c r="AK728" s="2" t="e">
        <f t="shared" si="555"/>
        <v>#DIV/0!</v>
      </c>
      <c r="AL728" s="2" t="e">
        <f t="shared" si="556"/>
        <v>#DIV/0!</v>
      </c>
      <c r="AM728" s="2" t="e">
        <f t="shared" si="576"/>
        <v>#DIV/0!</v>
      </c>
      <c r="AN728" s="2">
        <f t="shared" si="557"/>
        <v>0</v>
      </c>
      <c r="AO728" s="2" t="e">
        <f t="shared" si="558"/>
        <v>#DIV/0!</v>
      </c>
      <c r="AP728" s="2" t="e">
        <f t="shared" si="559"/>
        <v>#DIV/0!</v>
      </c>
      <c r="AQ728" s="2" t="e">
        <f t="shared" si="577"/>
        <v>#DIV/0!</v>
      </c>
      <c r="AR728" s="2" t="e">
        <f t="shared" si="543"/>
        <v>#DIV/0!</v>
      </c>
      <c r="AS728" s="2" t="e">
        <f t="shared" si="560"/>
        <v>#DIV/0!</v>
      </c>
      <c r="AT728" s="2" t="e">
        <f t="shared" si="561"/>
        <v>#DIV/0!</v>
      </c>
      <c r="AU728" s="2" t="e">
        <f t="shared" si="578"/>
        <v>#DIV/0!</v>
      </c>
      <c r="AV728" s="2" t="e">
        <f t="shared" si="562"/>
        <v>#DIV/0!</v>
      </c>
      <c r="AW728" s="2" t="e">
        <f t="shared" si="563"/>
        <v>#DIV/0!</v>
      </c>
      <c r="AX728" s="2" t="e">
        <f t="shared" si="564"/>
        <v>#DIV/0!</v>
      </c>
      <c r="AY728" s="2" t="e">
        <f t="shared" si="579"/>
        <v>#DIV/0!</v>
      </c>
      <c r="AZ728" s="2" t="e">
        <f t="shared" si="544"/>
        <v>#DIV/0!</v>
      </c>
      <c r="BA728" s="2" t="e">
        <f t="shared" si="565"/>
        <v>#DIV/0!</v>
      </c>
      <c r="BB728" s="2" t="e">
        <f t="shared" si="566"/>
        <v>#DIV/0!</v>
      </c>
      <c r="BC728" s="2" t="e">
        <f t="shared" si="580"/>
        <v>#DIV/0!</v>
      </c>
      <c r="BD728" s="2">
        <v>0</v>
      </c>
      <c r="BE728" s="2" t="e">
        <f t="shared" si="567"/>
        <v>#DIV/0!</v>
      </c>
      <c r="BF728" s="2" t="e">
        <f t="shared" si="568"/>
        <v>#DIV/0!</v>
      </c>
      <c r="BG728" s="2" t="e">
        <f t="shared" si="581"/>
        <v>#DIV/0!</v>
      </c>
      <c r="BH728" s="2" t="e">
        <f t="shared" si="545"/>
        <v>#DIV/0!</v>
      </c>
      <c r="BI728" s="2" t="e">
        <f t="shared" si="569"/>
        <v>#DIV/0!</v>
      </c>
      <c r="BJ728" s="2" t="e">
        <f t="shared" si="570"/>
        <v>#DIV/0!</v>
      </c>
      <c r="BK728" s="2" t="e">
        <f t="shared" si="582"/>
        <v>#DIV/0!</v>
      </c>
      <c r="BL728" s="2" t="e">
        <f t="shared" si="571"/>
        <v>#DIV/0!</v>
      </c>
      <c r="BM728" s="2" t="e">
        <f t="shared" si="572"/>
        <v>#DIV/0!</v>
      </c>
      <c r="BN728" s="2" t="e">
        <f t="shared" si="583"/>
        <v>#DIV/0!</v>
      </c>
    </row>
    <row r="729" spans="1:66" x14ac:dyDescent="0.25">
      <c r="A729" s="42">
        <v>726</v>
      </c>
      <c r="E729" s="6">
        <f t="shared" si="573"/>
        <v>0</v>
      </c>
      <c r="F729" s="5" t="str">
        <f t="shared" si="584"/>
        <v>Break Even</v>
      </c>
      <c r="G729" s="4">
        <f t="shared" si="585"/>
        <v>0</v>
      </c>
      <c r="N729" s="5">
        <f t="shared" si="586"/>
        <v>0</v>
      </c>
      <c r="O729" s="4" t="e">
        <f t="shared" si="587"/>
        <v>#DIV/0!</v>
      </c>
      <c r="P729" s="5">
        <f t="shared" si="546"/>
        <v>0</v>
      </c>
      <c r="R729" s="2">
        <f t="shared" si="541"/>
        <v>0</v>
      </c>
      <c r="T729" s="2">
        <f t="shared" si="574"/>
        <v>0</v>
      </c>
      <c r="V729" s="5">
        <f t="shared" si="588"/>
        <v>0</v>
      </c>
      <c r="W729" s="4" t="e">
        <f t="shared" si="589"/>
        <v>#DIV/0!</v>
      </c>
      <c r="X729" s="14">
        <f t="shared" si="547"/>
        <v>0</v>
      </c>
      <c r="Y729" s="5">
        <f t="shared" si="548"/>
        <v>0</v>
      </c>
      <c r="Z729" s="2">
        <f t="shared" si="549"/>
        <v>0</v>
      </c>
      <c r="AA729" s="4">
        <f t="shared" si="550"/>
        <v>0</v>
      </c>
      <c r="AB729" s="13">
        <f t="shared" si="551"/>
        <v>0</v>
      </c>
      <c r="AC729" s="10">
        <f>SUM($E$4:E729)</f>
        <v>-22024.091160220025</v>
      </c>
      <c r="AD729" s="20">
        <f>SUM($AB$4:AB729)</f>
        <v>13539.766460219998</v>
      </c>
      <c r="AF729" s="28" t="e">
        <f t="shared" si="552"/>
        <v>#DIV/0!</v>
      </c>
      <c r="AG729" s="2" t="e">
        <f t="shared" si="553"/>
        <v>#DIV/0!</v>
      </c>
      <c r="AH729" s="2" t="e">
        <f t="shared" si="554"/>
        <v>#DIV/0!</v>
      </c>
      <c r="AI729" s="2" t="e">
        <f t="shared" si="575"/>
        <v>#DIV/0!</v>
      </c>
      <c r="AJ729" s="2" t="e">
        <f t="shared" si="542"/>
        <v>#DIV/0!</v>
      </c>
      <c r="AK729" s="2" t="e">
        <f t="shared" si="555"/>
        <v>#DIV/0!</v>
      </c>
      <c r="AL729" s="2" t="e">
        <f t="shared" si="556"/>
        <v>#DIV/0!</v>
      </c>
      <c r="AM729" s="2" t="e">
        <f t="shared" si="576"/>
        <v>#DIV/0!</v>
      </c>
      <c r="AN729" s="2">
        <f t="shared" si="557"/>
        <v>0</v>
      </c>
      <c r="AO729" s="2" t="e">
        <f t="shared" si="558"/>
        <v>#DIV/0!</v>
      </c>
      <c r="AP729" s="2" t="e">
        <f t="shared" si="559"/>
        <v>#DIV/0!</v>
      </c>
      <c r="AQ729" s="2" t="e">
        <f t="shared" si="577"/>
        <v>#DIV/0!</v>
      </c>
      <c r="AR729" s="2" t="e">
        <f t="shared" si="543"/>
        <v>#DIV/0!</v>
      </c>
      <c r="AS729" s="2" t="e">
        <f t="shared" si="560"/>
        <v>#DIV/0!</v>
      </c>
      <c r="AT729" s="2" t="e">
        <f t="shared" si="561"/>
        <v>#DIV/0!</v>
      </c>
      <c r="AU729" s="2" t="e">
        <f t="shared" si="578"/>
        <v>#DIV/0!</v>
      </c>
      <c r="AV729" s="2" t="e">
        <f t="shared" si="562"/>
        <v>#DIV/0!</v>
      </c>
      <c r="AW729" s="2" t="e">
        <f t="shared" si="563"/>
        <v>#DIV/0!</v>
      </c>
      <c r="AX729" s="2" t="e">
        <f t="shared" si="564"/>
        <v>#DIV/0!</v>
      </c>
      <c r="AY729" s="2" t="e">
        <f t="shared" si="579"/>
        <v>#DIV/0!</v>
      </c>
      <c r="AZ729" s="2" t="e">
        <f t="shared" si="544"/>
        <v>#DIV/0!</v>
      </c>
      <c r="BA729" s="2" t="e">
        <f t="shared" si="565"/>
        <v>#DIV/0!</v>
      </c>
      <c r="BB729" s="2" t="e">
        <f t="shared" si="566"/>
        <v>#DIV/0!</v>
      </c>
      <c r="BC729" s="2" t="e">
        <f t="shared" si="580"/>
        <v>#DIV/0!</v>
      </c>
      <c r="BD729" s="2">
        <v>0</v>
      </c>
      <c r="BE729" s="2" t="e">
        <f t="shared" si="567"/>
        <v>#DIV/0!</v>
      </c>
      <c r="BF729" s="2" t="e">
        <f t="shared" si="568"/>
        <v>#DIV/0!</v>
      </c>
      <c r="BG729" s="2" t="e">
        <f t="shared" si="581"/>
        <v>#DIV/0!</v>
      </c>
      <c r="BH729" s="2" t="e">
        <f t="shared" si="545"/>
        <v>#DIV/0!</v>
      </c>
      <c r="BI729" s="2" t="e">
        <f t="shared" si="569"/>
        <v>#DIV/0!</v>
      </c>
      <c r="BJ729" s="2" t="e">
        <f t="shared" si="570"/>
        <v>#DIV/0!</v>
      </c>
      <c r="BK729" s="2" t="e">
        <f t="shared" si="582"/>
        <v>#DIV/0!</v>
      </c>
      <c r="BL729" s="2" t="e">
        <f t="shared" si="571"/>
        <v>#DIV/0!</v>
      </c>
      <c r="BM729" s="2" t="e">
        <f t="shared" si="572"/>
        <v>#DIV/0!</v>
      </c>
      <c r="BN729" s="2" t="e">
        <f t="shared" si="583"/>
        <v>#DIV/0!</v>
      </c>
    </row>
    <row r="730" spans="1:66" x14ac:dyDescent="0.25">
      <c r="A730" s="42">
        <v>727</v>
      </c>
      <c r="E730" s="6">
        <f t="shared" si="573"/>
        <v>0</v>
      </c>
      <c r="F730" s="5" t="str">
        <f t="shared" si="584"/>
        <v>Break Even</v>
      </c>
      <c r="G730" s="4">
        <f t="shared" si="585"/>
        <v>0</v>
      </c>
      <c r="N730" s="5">
        <f t="shared" si="586"/>
        <v>0</v>
      </c>
      <c r="O730" s="4" t="e">
        <f t="shared" si="587"/>
        <v>#DIV/0!</v>
      </c>
      <c r="P730" s="5">
        <f t="shared" si="546"/>
        <v>0</v>
      </c>
      <c r="R730" s="2">
        <f t="shared" si="541"/>
        <v>0</v>
      </c>
      <c r="T730" s="2">
        <f t="shared" si="574"/>
        <v>0</v>
      </c>
      <c r="V730" s="5">
        <f t="shared" si="588"/>
        <v>0</v>
      </c>
      <c r="W730" s="4" t="e">
        <f t="shared" si="589"/>
        <v>#DIV/0!</v>
      </c>
      <c r="X730" s="14">
        <f t="shared" si="547"/>
        <v>0</v>
      </c>
      <c r="Y730" s="5">
        <f t="shared" si="548"/>
        <v>0</v>
      </c>
      <c r="Z730" s="2">
        <f t="shared" si="549"/>
        <v>0</v>
      </c>
      <c r="AA730" s="4">
        <f t="shared" si="550"/>
        <v>0</v>
      </c>
      <c r="AB730" s="13">
        <f t="shared" si="551"/>
        <v>0</v>
      </c>
      <c r="AC730" s="10">
        <f>SUM($E$4:E730)</f>
        <v>-22024.091160220025</v>
      </c>
      <c r="AD730" s="20">
        <f>SUM($AB$4:AB730)</f>
        <v>13539.766460219998</v>
      </c>
      <c r="AF730" s="28" t="e">
        <f t="shared" si="552"/>
        <v>#DIV/0!</v>
      </c>
      <c r="AG730" s="2" t="e">
        <f t="shared" si="553"/>
        <v>#DIV/0!</v>
      </c>
      <c r="AH730" s="2" t="e">
        <f t="shared" si="554"/>
        <v>#DIV/0!</v>
      </c>
      <c r="AI730" s="2" t="e">
        <f t="shared" si="575"/>
        <v>#DIV/0!</v>
      </c>
      <c r="AJ730" s="2" t="e">
        <f t="shared" si="542"/>
        <v>#DIV/0!</v>
      </c>
      <c r="AK730" s="2" t="e">
        <f t="shared" si="555"/>
        <v>#DIV/0!</v>
      </c>
      <c r="AL730" s="2" t="e">
        <f t="shared" si="556"/>
        <v>#DIV/0!</v>
      </c>
      <c r="AM730" s="2" t="e">
        <f t="shared" si="576"/>
        <v>#DIV/0!</v>
      </c>
      <c r="AN730" s="2">
        <f t="shared" si="557"/>
        <v>0</v>
      </c>
      <c r="AO730" s="2" t="e">
        <f t="shared" si="558"/>
        <v>#DIV/0!</v>
      </c>
      <c r="AP730" s="2" t="e">
        <f t="shared" si="559"/>
        <v>#DIV/0!</v>
      </c>
      <c r="AQ730" s="2" t="e">
        <f t="shared" si="577"/>
        <v>#DIV/0!</v>
      </c>
      <c r="AR730" s="2" t="e">
        <f t="shared" si="543"/>
        <v>#DIV/0!</v>
      </c>
      <c r="AS730" s="2" t="e">
        <f t="shared" si="560"/>
        <v>#DIV/0!</v>
      </c>
      <c r="AT730" s="2" t="e">
        <f t="shared" si="561"/>
        <v>#DIV/0!</v>
      </c>
      <c r="AU730" s="2" t="e">
        <f t="shared" si="578"/>
        <v>#DIV/0!</v>
      </c>
      <c r="AV730" s="2" t="e">
        <f t="shared" si="562"/>
        <v>#DIV/0!</v>
      </c>
      <c r="AW730" s="2" t="e">
        <f t="shared" si="563"/>
        <v>#DIV/0!</v>
      </c>
      <c r="AX730" s="2" t="e">
        <f t="shared" si="564"/>
        <v>#DIV/0!</v>
      </c>
      <c r="AY730" s="2" t="e">
        <f t="shared" si="579"/>
        <v>#DIV/0!</v>
      </c>
      <c r="AZ730" s="2" t="e">
        <f t="shared" si="544"/>
        <v>#DIV/0!</v>
      </c>
      <c r="BA730" s="2" t="e">
        <f t="shared" si="565"/>
        <v>#DIV/0!</v>
      </c>
      <c r="BB730" s="2" t="e">
        <f t="shared" si="566"/>
        <v>#DIV/0!</v>
      </c>
      <c r="BC730" s="2" t="e">
        <f t="shared" si="580"/>
        <v>#DIV/0!</v>
      </c>
      <c r="BD730" s="2">
        <v>0</v>
      </c>
      <c r="BE730" s="2" t="e">
        <f t="shared" si="567"/>
        <v>#DIV/0!</v>
      </c>
      <c r="BF730" s="2" t="e">
        <f t="shared" si="568"/>
        <v>#DIV/0!</v>
      </c>
      <c r="BG730" s="2" t="e">
        <f t="shared" si="581"/>
        <v>#DIV/0!</v>
      </c>
      <c r="BH730" s="2" t="e">
        <f t="shared" si="545"/>
        <v>#DIV/0!</v>
      </c>
      <c r="BI730" s="2" t="e">
        <f t="shared" si="569"/>
        <v>#DIV/0!</v>
      </c>
      <c r="BJ730" s="2" t="e">
        <f t="shared" si="570"/>
        <v>#DIV/0!</v>
      </c>
      <c r="BK730" s="2" t="e">
        <f t="shared" si="582"/>
        <v>#DIV/0!</v>
      </c>
      <c r="BL730" s="2" t="e">
        <f t="shared" si="571"/>
        <v>#DIV/0!</v>
      </c>
      <c r="BM730" s="2" t="e">
        <f t="shared" si="572"/>
        <v>#DIV/0!</v>
      </c>
      <c r="BN730" s="2" t="e">
        <f t="shared" si="583"/>
        <v>#DIV/0!</v>
      </c>
    </row>
    <row r="731" spans="1:66" x14ac:dyDescent="0.25">
      <c r="A731" s="42">
        <v>728</v>
      </c>
      <c r="E731" s="6">
        <f t="shared" si="573"/>
        <v>0</v>
      </c>
      <c r="F731" s="5" t="str">
        <f t="shared" si="584"/>
        <v>Break Even</v>
      </c>
      <c r="G731" s="4">
        <f t="shared" si="585"/>
        <v>0</v>
      </c>
      <c r="N731" s="5">
        <f t="shared" si="586"/>
        <v>0</v>
      </c>
      <c r="O731" s="4" t="e">
        <f t="shared" si="587"/>
        <v>#DIV/0!</v>
      </c>
      <c r="P731" s="5">
        <f t="shared" si="546"/>
        <v>0</v>
      </c>
      <c r="R731" s="2">
        <f t="shared" si="541"/>
        <v>0</v>
      </c>
      <c r="T731" s="2">
        <f t="shared" si="574"/>
        <v>0</v>
      </c>
      <c r="V731" s="5">
        <f t="shared" si="588"/>
        <v>0</v>
      </c>
      <c r="W731" s="4" t="e">
        <f t="shared" si="589"/>
        <v>#DIV/0!</v>
      </c>
      <c r="X731" s="14">
        <f t="shared" si="547"/>
        <v>0</v>
      </c>
      <c r="Y731" s="5">
        <f t="shared" si="548"/>
        <v>0</v>
      </c>
      <c r="Z731" s="2">
        <f t="shared" si="549"/>
        <v>0</v>
      </c>
      <c r="AA731" s="4">
        <f t="shared" si="550"/>
        <v>0</v>
      </c>
      <c r="AB731" s="13">
        <f t="shared" si="551"/>
        <v>0</v>
      </c>
      <c r="AC731" s="10">
        <f>SUM($E$4:E731)</f>
        <v>-22024.091160220025</v>
      </c>
      <c r="AD731" s="20">
        <f>SUM($AB$4:AB731)</f>
        <v>13539.766460219998</v>
      </c>
      <c r="AF731" s="28" t="e">
        <f t="shared" si="552"/>
        <v>#DIV/0!</v>
      </c>
      <c r="AG731" s="2" t="e">
        <f t="shared" si="553"/>
        <v>#DIV/0!</v>
      </c>
      <c r="AH731" s="2" t="e">
        <f t="shared" si="554"/>
        <v>#DIV/0!</v>
      </c>
      <c r="AI731" s="2" t="e">
        <f t="shared" si="575"/>
        <v>#DIV/0!</v>
      </c>
      <c r="AJ731" s="2" t="e">
        <f t="shared" si="542"/>
        <v>#DIV/0!</v>
      </c>
      <c r="AK731" s="2" t="e">
        <f t="shared" si="555"/>
        <v>#DIV/0!</v>
      </c>
      <c r="AL731" s="2" t="e">
        <f t="shared" si="556"/>
        <v>#DIV/0!</v>
      </c>
      <c r="AM731" s="2" t="e">
        <f t="shared" si="576"/>
        <v>#DIV/0!</v>
      </c>
      <c r="AN731" s="2">
        <f t="shared" si="557"/>
        <v>0</v>
      </c>
      <c r="AO731" s="2" t="e">
        <f t="shared" si="558"/>
        <v>#DIV/0!</v>
      </c>
      <c r="AP731" s="2" t="e">
        <f t="shared" si="559"/>
        <v>#DIV/0!</v>
      </c>
      <c r="AQ731" s="2" t="e">
        <f t="shared" si="577"/>
        <v>#DIV/0!</v>
      </c>
      <c r="AR731" s="2" t="e">
        <f t="shared" si="543"/>
        <v>#DIV/0!</v>
      </c>
      <c r="AS731" s="2" t="e">
        <f t="shared" si="560"/>
        <v>#DIV/0!</v>
      </c>
      <c r="AT731" s="2" t="e">
        <f t="shared" si="561"/>
        <v>#DIV/0!</v>
      </c>
      <c r="AU731" s="2" t="e">
        <f t="shared" si="578"/>
        <v>#DIV/0!</v>
      </c>
      <c r="AV731" s="2" t="e">
        <f t="shared" si="562"/>
        <v>#DIV/0!</v>
      </c>
      <c r="AW731" s="2" t="e">
        <f t="shared" si="563"/>
        <v>#DIV/0!</v>
      </c>
      <c r="AX731" s="2" t="e">
        <f t="shared" si="564"/>
        <v>#DIV/0!</v>
      </c>
      <c r="AY731" s="2" t="e">
        <f t="shared" si="579"/>
        <v>#DIV/0!</v>
      </c>
      <c r="AZ731" s="2" t="e">
        <f t="shared" si="544"/>
        <v>#DIV/0!</v>
      </c>
      <c r="BA731" s="2" t="e">
        <f t="shared" si="565"/>
        <v>#DIV/0!</v>
      </c>
      <c r="BB731" s="2" t="e">
        <f t="shared" si="566"/>
        <v>#DIV/0!</v>
      </c>
      <c r="BC731" s="2" t="e">
        <f t="shared" si="580"/>
        <v>#DIV/0!</v>
      </c>
      <c r="BD731" s="2">
        <v>0</v>
      </c>
      <c r="BE731" s="2" t="e">
        <f t="shared" si="567"/>
        <v>#DIV/0!</v>
      </c>
      <c r="BF731" s="2" t="e">
        <f t="shared" si="568"/>
        <v>#DIV/0!</v>
      </c>
      <c r="BG731" s="2" t="e">
        <f t="shared" si="581"/>
        <v>#DIV/0!</v>
      </c>
      <c r="BH731" s="2" t="e">
        <f t="shared" si="545"/>
        <v>#DIV/0!</v>
      </c>
      <c r="BI731" s="2" t="e">
        <f t="shared" si="569"/>
        <v>#DIV/0!</v>
      </c>
      <c r="BJ731" s="2" t="e">
        <f t="shared" si="570"/>
        <v>#DIV/0!</v>
      </c>
      <c r="BK731" s="2" t="e">
        <f t="shared" si="582"/>
        <v>#DIV/0!</v>
      </c>
      <c r="BL731" s="2" t="e">
        <f t="shared" si="571"/>
        <v>#DIV/0!</v>
      </c>
      <c r="BM731" s="2" t="e">
        <f t="shared" si="572"/>
        <v>#DIV/0!</v>
      </c>
      <c r="BN731" s="2" t="e">
        <f t="shared" si="583"/>
        <v>#DIV/0!</v>
      </c>
    </row>
    <row r="732" spans="1:66" x14ac:dyDescent="0.25">
      <c r="A732" s="42">
        <v>729</v>
      </c>
      <c r="E732" s="6">
        <f t="shared" si="573"/>
        <v>0</v>
      </c>
      <c r="F732" s="5" t="str">
        <f t="shared" si="584"/>
        <v>Break Even</v>
      </c>
      <c r="G732" s="4">
        <f t="shared" si="585"/>
        <v>0</v>
      </c>
      <c r="N732" s="5">
        <f t="shared" si="586"/>
        <v>0</v>
      </c>
      <c r="O732" s="4" t="e">
        <f t="shared" si="587"/>
        <v>#DIV/0!</v>
      </c>
      <c r="P732" s="5">
        <f t="shared" si="546"/>
        <v>0</v>
      </c>
      <c r="R732" s="2">
        <f t="shared" si="541"/>
        <v>0</v>
      </c>
      <c r="T732" s="2">
        <f t="shared" si="574"/>
        <v>0</v>
      </c>
      <c r="V732" s="5">
        <f t="shared" si="588"/>
        <v>0</v>
      </c>
      <c r="W732" s="4" t="e">
        <f t="shared" si="589"/>
        <v>#DIV/0!</v>
      </c>
      <c r="X732" s="14">
        <f t="shared" si="547"/>
        <v>0</v>
      </c>
      <c r="Y732" s="5">
        <f t="shared" si="548"/>
        <v>0</v>
      </c>
      <c r="Z732" s="2">
        <f t="shared" si="549"/>
        <v>0</v>
      </c>
      <c r="AA732" s="4">
        <f t="shared" si="550"/>
        <v>0</v>
      </c>
      <c r="AB732" s="13">
        <f t="shared" si="551"/>
        <v>0</v>
      </c>
      <c r="AC732" s="10">
        <f>SUM($E$4:E732)</f>
        <v>-22024.091160220025</v>
      </c>
      <c r="AD732" s="20">
        <f>SUM($AB$4:AB732)</f>
        <v>13539.766460219998</v>
      </c>
      <c r="AF732" s="28" t="e">
        <f t="shared" si="552"/>
        <v>#DIV/0!</v>
      </c>
      <c r="AG732" s="2" t="e">
        <f t="shared" si="553"/>
        <v>#DIV/0!</v>
      </c>
      <c r="AH732" s="2" t="e">
        <f t="shared" si="554"/>
        <v>#DIV/0!</v>
      </c>
      <c r="AI732" s="2" t="e">
        <f t="shared" si="575"/>
        <v>#DIV/0!</v>
      </c>
      <c r="AJ732" s="2" t="e">
        <f t="shared" si="542"/>
        <v>#DIV/0!</v>
      </c>
      <c r="AK732" s="2" t="e">
        <f t="shared" si="555"/>
        <v>#DIV/0!</v>
      </c>
      <c r="AL732" s="2" t="e">
        <f t="shared" si="556"/>
        <v>#DIV/0!</v>
      </c>
      <c r="AM732" s="2" t="e">
        <f t="shared" si="576"/>
        <v>#DIV/0!</v>
      </c>
      <c r="AN732" s="2">
        <f t="shared" si="557"/>
        <v>0</v>
      </c>
      <c r="AO732" s="2" t="e">
        <f t="shared" si="558"/>
        <v>#DIV/0!</v>
      </c>
      <c r="AP732" s="2" t="e">
        <f t="shared" si="559"/>
        <v>#DIV/0!</v>
      </c>
      <c r="AQ732" s="2" t="e">
        <f t="shared" si="577"/>
        <v>#DIV/0!</v>
      </c>
      <c r="AR732" s="2" t="e">
        <f t="shared" si="543"/>
        <v>#DIV/0!</v>
      </c>
      <c r="AS732" s="2" t="e">
        <f t="shared" si="560"/>
        <v>#DIV/0!</v>
      </c>
      <c r="AT732" s="2" t="e">
        <f t="shared" si="561"/>
        <v>#DIV/0!</v>
      </c>
      <c r="AU732" s="2" t="e">
        <f t="shared" si="578"/>
        <v>#DIV/0!</v>
      </c>
      <c r="AV732" s="2" t="e">
        <f t="shared" si="562"/>
        <v>#DIV/0!</v>
      </c>
      <c r="AW732" s="2" t="e">
        <f t="shared" si="563"/>
        <v>#DIV/0!</v>
      </c>
      <c r="AX732" s="2" t="e">
        <f t="shared" si="564"/>
        <v>#DIV/0!</v>
      </c>
      <c r="AY732" s="2" t="e">
        <f t="shared" si="579"/>
        <v>#DIV/0!</v>
      </c>
      <c r="AZ732" s="2" t="e">
        <f t="shared" si="544"/>
        <v>#DIV/0!</v>
      </c>
      <c r="BA732" s="2" t="e">
        <f t="shared" si="565"/>
        <v>#DIV/0!</v>
      </c>
      <c r="BB732" s="2" t="e">
        <f t="shared" si="566"/>
        <v>#DIV/0!</v>
      </c>
      <c r="BC732" s="2" t="e">
        <f t="shared" si="580"/>
        <v>#DIV/0!</v>
      </c>
      <c r="BD732" s="2">
        <v>0</v>
      </c>
      <c r="BE732" s="2" t="e">
        <f t="shared" si="567"/>
        <v>#DIV/0!</v>
      </c>
      <c r="BF732" s="2" t="e">
        <f t="shared" si="568"/>
        <v>#DIV/0!</v>
      </c>
      <c r="BG732" s="2" t="e">
        <f t="shared" si="581"/>
        <v>#DIV/0!</v>
      </c>
      <c r="BH732" s="2" t="e">
        <f t="shared" si="545"/>
        <v>#DIV/0!</v>
      </c>
      <c r="BI732" s="2" t="e">
        <f t="shared" si="569"/>
        <v>#DIV/0!</v>
      </c>
      <c r="BJ732" s="2" t="e">
        <f t="shared" si="570"/>
        <v>#DIV/0!</v>
      </c>
      <c r="BK732" s="2" t="e">
        <f t="shared" si="582"/>
        <v>#DIV/0!</v>
      </c>
      <c r="BL732" s="2" t="e">
        <f t="shared" si="571"/>
        <v>#DIV/0!</v>
      </c>
      <c r="BM732" s="2" t="e">
        <f t="shared" si="572"/>
        <v>#DIV/0!</v>
      </c>
      <c r="BN732" s="2" t="e">
        <f t="shared" si="583"/>
        <v>#DIV/0!</v>
      </c>
    </row>
    <row r="733" spans="1:66" x14ac:dyDescent="0.25">
      <c r="A733" s="42">
        <v>730</v>
      </c>
      <c r="E733" s="6">
        <f t="shared" si="573"/>
        <v>0</v>
      </c>
      <c r="F733" s="5" t="str">
        <f t="shared" si="584"/>
        <v>Break Even</v>
      </c>
      <c r="G733" s="4">
        <f t="shared" si="585"/>
        <v>0</v>
      </c>
      <c r="N733" s="5">
        <f t="shared" si="586"/>
        <v>0</v>
      </c>
      <c r="O733" s="4" t="e">
        <f t="shared" si="587"/>
        <v>#DIV/0!</v>
      </c>
      <c r="P733" s="5">
        <f t="shared" si="546"/>
        <v>0</v>
      </c>
      <c r="R733" s="2">
        <f t="shared" si="541"/>
        <v>0</v>
      </c>
      <c r="T733" s="2">
        <f t="shared" si="574"/>
        <v>0</v>
      </c>
      <c r="V733" s="5">
        <f t="shared" si="588"/>
        <v>0</v>
      </c>
      <c r="W733" s="4" t="e">
        <f t="shared" si="589"/>
        <v>#DIV/0!</v>
      </c>
      <c r="X733" s="14">
        <f t="shared" si="547"/>
        <v>0</v>
      </c>
      <c r="Y733" s="5">
        <f t="shared" si="548"/>
        <v>0</v>
      </c>
      <c r="Z733" s="2">
        <f t="shared" si="549"/>
        <v>0</v>
      </c>
      <c r="AA733" s="4">
        <f t="shared" si="550"/>
        <v>0</v>
      </c>
      <c r="AB733" s="13">
        <f t="shared" si="551"/>
        <v>0</v>
      </c>
      <c r="AC733" s="10">
        <f>SUM($E$4:E733)</f>
        <v>-22024.091160220025</v>
      </c>
      <c r="AD733" s="20">
        <f>SUM($AB$4:AB733)</f>
        <v>13539.766460219998</v>
      </c>
      <c r="AF733" s="28" t="e">
        <f t="shared" si="552"/>
        <v>#DIV/0!</v>
      </c>
      <c r="AG733" s="2" t="e">
        <f t="shared" si="553"/>
        <v>#DIV/0!</v>
      </c>
      <c r="AH733" s="2" t="e">
        <f t="shared" si="554"/>
        <v>#DIV/0!</v>
      </c>
      <c r="AI733" s="2" t="e">
        <f t="shared" si="575"/>
        <v>#DIV/0!</v>
      </c>
      <c r="AJ733" s="2" t="e">
        <f t="shared" si="542"/>
        <v>#DIV/0!</v>
      </c>
      <c r="AK733" s="2" t="e">
        <f t="shared" si="555"/>
        <v>#DIV/0!</v>
      </c>
      <c r="AL733" s="2" t="e">
        <f t="shared" si="556"/>
        <v>#DIV/0!</v>
      </c>
      <c r="AM733" s="2" t="e">
        <f t="shared" si="576"/>
        <v>#DIV/0!</v>
      </c>
      <c r="AN733" s="2">
        <f t="shared" si="557"/>
        <v>0</v>
      </c>
      <c r="AO733" s="2" t="e">
        <f t="shared" si="558"/>
        <v>#DIV/0!</v>
      </c>
      <c r="AP733" s="2" t="e">
        <f t="shared" si="559"/>
        <v>#DIV/0!</v>
      </c>
      <c r="AQ733" s="2" t="e">
        <f t="shared" si="577"/>
        <v>#DIV/0!</v>
      </c>
      <c r="AR733" s="2" t="e">
        <f t="shared" si="543"/>
        <v>#DIV/0!</v>
      </c>
      <c r="AS733" s="2" t="e">
        <f t="shared" si="560"/>
        <v>#DIV/0!</v>
      </c>
      <c r="AT733" s="2" t="e">
        <f t="shared" si="561"/>
        <v>#DIV/0!</v>
      </c>
      <c r="AU733" s="2" t="e">
        <f t="shared" si="578"/>
        <v>#DIV/0!</v>
      </c>
      <c r="AV733" s="2" t="e">
        <f t="shared" si="562"/>
        <v>#DIV/0!</v>
      </c>
      <c r="AW733" s="2" t="e">
        <f t="shared" si="563"/>
        <v>#DIV/0!</v>
      </c>
      <c r="AX733" s="2" t="e">
        <f t="shared" si="564"/>
        <v>#DIV/0!</v>
      </c>
      <c r="AY733" s="2" t="e">
        <f t="shared" si="579"/>
        <v>#DIV/0!</v>
      </c>
      <c r="AZ733" s="2" t="e">
        <f t="shared" si="544"/>
        <v>#DIV/0!</v>
      </c>
      <c r="BA733" s="2" t="e">
        <f t="shared" si="565"/>
        <v>#DIV/0!</v>
      </c>
      <c r="BB733" s="2" t="e">
        <f t="shared" si="566"/>
        <v>#DIV/0!</v>
      </c>
      <c r="BC733" s="2" t="e">
        <f t="shared" si="580"/>
        <v>#DIV/0!</v>
      </c>
      <c r="BD733" s="2">
        <v>0</v>
      </c>
      <c r="BE733" s="2" t="e">
        <f t="shared" si="567"/>
        <v>#DIV/0!</v>
      </c>
      <c r="BF733" s="2" t="e">
        <f t="shared" si="568"/>
        <v>#DIV/0!</v>
      </c>
      <c r="BG733" s="2" t="e">
        <f t="shared" si="581"/>
        <v>#DIV/0!</v>
      </c>
      <c r="BH733" s="2" t="e">
        <f t="shared" si="545"/>
        <v>#DIV/0!</v>
      </c>
      <c r="BI733" s="2" t="e">
        <f t="shared" si="569"/>
        <v>#DIV/0!</v>
      </c>
      <c r="BJ733" s="2" t="e">
        <f t="shared" si="570"/>
        <v>#DIV/0!</v>
      </c>
      <c r="BK733" s="2" t="e">
        <f t="shared" si="582"/>
        <v>#DIV/0!</v>
      </c>
      <c r="BL733" s="2" t="e">
        <f t="shared" si="571"/>
        <v>#DIV/0!</v>
      </c>
      <c r="BM733" s="2" t="e">
        <f t="shared" si="572"/>
        <v>#DIV/0!</v>
      </c>
      <c r="BN733" s="2" t="e">
        <f t="shared" si="583"/>
        <v>#DIV/0!</v>
      </c>
    </row>
    <row r="734" spans="1:66" x14ac:dyDescent="0.25">
      <c r="A734" s="42">
        <v>731</v>
      </c>
      <c r="E734" s="6">
        <f t="shared" si="573"/>
        <v>0</v>
      </c>
      <c r="F734" s="5" t="str">
        <f t="shared" si="584"/>
        <v>Break Even</v>
      </c>
      <c r="G734" s="4">
        <f t="shared" si="585"/>
        <v>0</v>
      </c>
      <c r="N734" s="5">
        <f t="shared" si="586"/>
        <v>0</v>
      </c>
      <c r="O734" s="4" t="e">
        <f t="shared" si="587"/>
        <v>#DIV/0!</v>
      </c>
      <c r="P734" s="5">
        <f t="shared" si="546"/>
        <v>0</v>
      </c>
      <c r="R734" s="2">
        <f t="shared" si="541"/>
        <v>0</v>
      </c>
      <c r="T734" s="2">
        <f t="shared" si="574"/>
        <v>0</v>
      </c>
      <c r="V734" s="5">
        <f t="shared" si="588"/>
        <v>0</v>
      </c>
      <c r="W734" s="4" t="e">
        <f t="shared" si="589"/>
        <v>#DIV/0!</v>
      </c>
      <c r="X734" s="14">
        <f t="shared" si="547"/>
        <v>0</v>
      </c>
      <c r="Y734" s="5">
        <f t="shared" si="548"/>
        <v>0</v>
      </c>
      <c r="Z734" s="2">
        <f t="shared" si="549"/>
        <v>0</v>
      </c>
      <c r="AA734" s="4">
        <f t="shared" si="550"/>
        <v>0</v>
      </c>
      <c r="AB734" s="13">
        <f t="shared" si="551"/>
        <v>0</v>
      </c>
      <c r="AC734" s="10">
        <f>SUM($E$4:E734)</f>
        <v>-22024.091160220025</v>
      </c>
      <c r="AD734" s="20">
        <f>SUM($AB$4:AB734)</f>
        <v>13539.766460219998</v>
      </c>
      <c r="AF734" s="28" t="e">
        <f t="shared" si="552"/>
        <v>#DIV/0!</v>
      </c>
      <c r="AG734" s="2" t="e">
        <f t="shared" si="553"/>
        <v>#DIV/0!</v>
      </c>
      <c r="AH734" s="2" t="e">
        <f t="shared" si="554"/>
        <v>#DIV/0!</v>
      </c>
      <c r="AI734" s="2" t="e">
        <f t="shared" si="575"/>
        <v>#DIV/0!</v>
      </c>
      <c r="AJ734" s="2" t="e">
        <f t="shared" si="542"/>
        <v>#DIV/0!</v>
      </c>
      <c r="AK734" s="2" t="e">
        <f t="shared" si="555"/>
        <v>#DIV/0!</v>
      </c>
      <c r="AL734" s="2" t="e">
        <f t="shared" si="556"/>
        <v>#DIV/0!</v>
      </c>
      <c r="AM734" s="2" t="e">
        <f t="shared" si="576"/>
        <v>#DIV/0!</v>
      </c>
      <c r="AN734" s="2">
        <f t="shared" si="557"/>
        <v>0</v>
      </c>
      <c r="AO734" s="2" t="e">
        <f t="shared" si="558"/>
        <v>#DIV/0!</v>
      </c>
      <c r="AP734" s="2" t="e">
        <f t="shared" si="559"/>
        <v>#DIV/0!</v>
      </c>
      <c r="AQ734" s="2" t="e">
        <f t="shared" si="577"/>
        <v>#DIV/0!</v>
      </c>
      <c r="AR734" s="2" t="e">
        <f t="shared" si="543"/>
        <v>#DIV/0!</v>
      </c>
      <c r="AS734" s="2" t="e">
        <f t="shared" si="560"/>
        <v>#DIV/0!</v>
      </c>
      <c r="AT734" s="2" t="e">
        <f t="shared" si="561"/>
        <v>#DIV/0!</v>
      </c>
      <c r="AU734" s="2" t="e">
        <f t="shared" si="578"/>
        <v>#DIV/0!</v>
      </c>
      <c r="AV734" s="2" t="e">
        <f t="shared" si="562"/>
        <v>#DIV/0!</v>
      </c>
      <c r="AW734" s="2" t="e">
        <f t="shared" si="563"/>
        <v>#DIV/0!</v>
      </c>
      <c r="AX734" s="2" t="e">
        <f t="shared" si="564"/>
        <v>#DIV/0!</v>
      </c>
      <c r="AY734" s="2" t="e">
        <f t="shared" si="579"/>
        <v>#DIV/0!</v>
      </c>
      <c r="AZ734" s="2" t="e">
        <f t="shared" si="544"/>
        <v>#DIV/0!</v>
      </c>
      <c r="BA734" s="2" t="e">
        <f t="shared" si="565"/>
        <v>#DIV/0!</v>
      </c>
      <c r="BB734" s="2" t="e">
        <f t="shared" si="566"/>
        <v>#DIV/0!</v>
      </c>
      <c r="BC734" s="2" t="e">
        <f t="shared" si="580"/>
        <v>#DIV/0!</v>
      </c>
      <c r="BD734" s="2">
        <v>0</v>
      </c>
      <c r="BE734" s="2" t="e">
        <f t="shared" si="567"/>
        <v>#DIV/0!</v>
      </c>
      <c r="BF734" s="2" t="e">
        <f t="shared" si="568"/>
        <v>#DIV/0!</v>
      </c>
      <c r="BG734" s="2" t="e">
        <f t="shared" si="581"/>
        <v>#DIV/0!</v>
      </c>
      <c r="BH734" s="2" t="e">
        <f t="shared" si="545"/>
        <v>#DIV/0!</v>
      </c>
      <c r="BI734" s="2" t="e">
        <f t="shared" si="569"/>
        <v>#DIV/0!</v>
      </c>
      <c r="BJ734" s="2" t="e">
        <f t="shared" si="570"/>
        <v>#DIV/0!</v>
      </c>
      <c r="BK734" s="2" t="e">
        <f t="shared" si="582"/>
        <v>#DIV/0!</v>
      </c>
      <c r="BL734" s="2" t="e">
        <f t="shared" si="571"/>
        <v>#DIV/0!</v>
      </c>
      <c r="BM734" s="2" t="e">
        <f t="shared" si="572"/>
        <v>#DIV/0!</v>
      </c>
      <c r="BN734" s="2" t="e">
        <f t="shared" si="583"/>
        <v>#DIV/0!</v>
      </c>
    </row>
    <row r="735" spans="1:66" x14ac:dyDescent="0.25">
      <c r="A735" s="42">
        <v>732</v>
      </c>
      <c r="E735" s="6">
        <f t="shared" si="573"/>
        <v>0</v>
      </c>
      <c r="F735" s="5" t="str">
        <f t="shared" si="584"/>
        <v>Break Even</v>
      </c>
      <c r="G735" s="4">
        <f t="shared" si="585"/>
        <v>0</v>
      </c>
      <c r="N735" s="5">
        <f t="shared" si="586"/>
        <v>0</v>
      </c>
      <c r="O735" s="4" t="e">
        <f t="shared" si="587"/>
        <v>#DIV/0!</v>
      </c>
      <c r="P735" s="5">
        <f t="shared" si="546"/>
        <v>0</v>
      </c>
      <c r="R735" s="2">
        <f t="shared" si="541"/>
        <v>0</v>
      </c>
      <c r="T735" s="2">
        <f t="shared" si="574"/>
        <v>0</v>
      </c>
      <c r="V735" s="5">
        <f t="shared" si="588"/>
        <v>0</v>
      </c>
      <c r="W735" s="4" t="e">
        <f t="shared" si="589"/>
        <v>#DIV/0!</v>
      </c>
      <c r="X735" s="14">
        <f t="shared" si="547"/>
        <v>0</v>
      </c>
      <c r="Y735" s="5">
        <f t="shared" si="548"/>
        <v>0</v>
      </c>
      <c r="Z735" s="2">
        <f t="shared" si="549"/>
        <v>0</v>
      </c>
      <c r="AA735" s="4">
        <f t="shared" si="550"/>
        <v>0</v>
      </c>
      <c r="AB735" s="13">
        <f t="shared" si="551"/>
        <v>0</v>
      </c>
      <c r="AC735" s="10">
        <f>SUM($E$4:E735)</f>
        <v>-22024.091160220025</v>
      </c>
      <c r="AD735" s="20">
        <f>SUM($AB$4:AB735)</f>
        <v>13539.766460219998</v>
      </c>
      <c r="AF735" s="28" t="e">
        <f t="shared" si="552"/>
        <v>#DIV/0!</v>
      </c>
      <c r="AG735" s="2" t="e">
        <f t="shared" si="553"/>
        <v>#DIV/0!</v>
      </c>
      <c r="AH735" s="2" t="e">
        <f t="shared" si="554"/>
        <v>#DIV/0!</v>
      </c>
      <c r="AI735" s="2" t="e">
        <f t="shared" si="575"/>
        <v>#DIV/0!</v>
      </c>
      <c r="AJ735" s="2" t="e">
        <f t="shared" si="542"/>
        <v>#DIV/0!</v>
      </c>
      <c r="AK735" s="2" t="e">
        <f t="shared" si="555"/>
        <v>#DIV/0!</v>
      </c>
      <c r="AL735" s="2" t="e">
        <f t="shared" si="556"/>
        <v>#DIV/0!</v>
      </c>
      <c r="AM735" s="2" t="e">
        <f t="shared" si="576"/>
        <v>#DIV/0!</v>
      </c>
      <c r="AN735" s="2">
        <f t="shared" si="557"/>
        <v>0</v>
      </c>
      <c r="AO735" s="2" t="e">
        <f t="shared" si="558"/>
        <v>#DIV/0!</v>
      </c>
      <c r="AP735" s="2" t="e">
        <f t="shared" si="559"/>
        <v>#DIV/0!</v>
      </c>
      <c r="AQ735" s="2" t="e">
        <f t="shared" si="577"/>
        <v>#DIV/0!</v>
      </c>
      <c r="AR735" s="2" t="e">
        <f t="shared" si="543"/>
        <v>#DIV/0!</v>
      </c>
      <c r="AS735" s="2" t="e">
        <f t="shared" si="560"/>
        <v>#DIV/0!</v>
      </c>
      <c r="AT735" s="2" t="e">
        <f t="shared" si="561"/>
        <v>#DIV/0!</v>
      </c>
      <c r="AU735" s="2" t="e">
        <f t="shared" si="578"/>
        <v>#DIV/0!</v>
      </c>
      <c r="AV735" s="2" t="e">
        <f t="shared" si="562"/>
        <v>#DIV/0!</v>
      </c>
      <c r="AW735" s="2" t="e">
        <f t="shared" si="563"/>
        <v>#DIV/0!</v>
      </c>
      <c r="AX735" s="2" t="e">
        <f t="shared" si="564"/>
        <v>#DIV/0!</v>
      </c>
      <c r="AY735" s="2" t="e">
        <f t="shared" si="579"/>
        <v>#DIV/0!</v>
      </c>
      <c r="AZ735" s="2" t="e">
        <f t="shared" si="544"/>
        <v>#DIV/0!</v>
      </c>
      <c r="BA735" s="2" t="e">
        <f t="shared" si="565"/>
        <v>#DIV/0!</v>
      </c>
      <c r="BB735" s="2" t="e">
        <f t="shared" si="566"/>
        <v>#DIV/0!</v>
      </c>
      <c r="BC735" s="2" t="e">
        <f t="shared" si="580"/>
        <v>#DIV/0!</v>
      </c>
      <c r="BD735" s="2">
        <v>0</v>
      </c>
      <c r="BE735" s="2" t="e">
        <f t="shared" si="567"/>
        <v>#DIV/0!</v>
      </c>
      <c r="BF735" s="2" t="e">
        <f t="shared" si="568"/>
        <v>#DIV/0!</v>
      </c>
      <c r="BG735" s="2" t="e">
        <f t="shared" si="581"/>
        <v>#DIV/0!</v>
      </c>
      <c r="BH735" s="2" t="e">
        <f t="shared" si="545"/>
        <v>#DIV/0!</v>
      </c>
      <c r="BI735" s="2" t="e">
        <f t="shared" si="569"/>
        <v>#DIV/0!</v>
      </c>
      <c r="BJ735" s="2" t="e">
        <f t="shared" si="570"/>
        <v>#DIV/0!</v>
      </c>
      <c r="BK735" s="2" t="e">
        <f t="shared" si="582"/>
        <v>#DIV/0!</v>
      </c>
      <c r="BL735" s="2" t="e">
        <f t="shared" si="571"/>
        <v>#DIV/0!</v>
      </c>
      <c r="BM735" s="2" t="e">
        <f t="shared" si="572"/>
        <v>#DIV/0!</v>
      </c>
      <c r="BN735" s="2" t="e">
        <f t="shared" si="583"/>
        <v>#DIV/0!</v>
      </c>
    </row>
    <row r="736" spans="1:66" x14ac:dyDescent="0.25">
      <c r="A736" s="42">
        <v>733</v>
      </c>
      <c r="E736" s="6">
        <f t="shared" si="573"/>
        <v>0</v>
      </c>
      <c r="F736" s="5" t="str">
        <f t="shared" si="584"/>
        <v>Break Even</v>
      </c>
      <c r="G736" s="4">
        <f t="shared" si="585"/>
        <v>0</v>
      </c>
      <c r="N736" s="5">
        <f t="shared" si="586"/>
        <v>0</v>
      </c>
      <c r="O736" s="4" t="e">
        <f t="shared" si="587"/>
        <v>#DIV/0!</v>
      </c>
      <c r="P736" s="5">
        <f t="shared" si="546"/>
        <v>0</v>
      </c>
      <c r="R736" s="2">
        <f t="shared" si="541"/>
        <v>0</v>
      </c>
      <c r="T736" s="2">
        <f t="shared" si="574"/>
        <v>0</v>
      </c>
      <c r="V736" s="5">
        <f t="shared" si="588"/>
        <v>0</v>
      </c>
      <c r="W736" s="4" t="e">
        <f t="shared" si="589"/>
        <v>#DIV/0!</v>
      </c>
      <c r="X736" s="14">
        <f t="shared" si="547"/>
        <v>0</v>
      </c>
      <c r="Y736" s="5">
        <f t="shared" si="548"/>
        <v>0</v>
      </c>
      <c r="Z736" s="2">
        <f t="shared" si="549"/>
        <v>0</v>
      </c>
      <c r="AA736" s="4">
        <f t="shared" si="550"/>
        <v>0</v>
      </c>
      <c r="AB736" s="13">
        <f t="shared" si="551"/>
        <v>0</v>
      </c>
      <c r="AC736" s="10">
        <f>SUM($E$4:E736)</f>
        <v>-22024.091160220025</v>
      </c>
      <c r="AD736" s="20">
        <f>SUM($AB$4:AB736)</f>
        <v>13539.766460219998</v>
      </c>
      <c r="AF736" s="28" t="e">
        <f t="shared" si="552"/>
        <v>#DIV/0!</v>
      </c>
      <c r="AG736" s="2" t="e">
        <f t="shared" si="553"/>
        <v>#DIV/0!</v>
      </c>
      <c r="AH736" s="2" t="e">
        <f t="shared" si="554"/>
        <v>#DIV/0!</v>
      </c>
      <c r="AI736" s="2" t="e">
        <f t="shared" si="575"/>
        <v>#DIV/0!</v>
      </c>
      <c r="AJ736" s="2" t="e">
        <f t="shared" si="542"/>
        <v>#DIV/0!</v>
      </c>
      <c r="AK736" s="2" t="e">
        <f t="shared" si="555"/>
        <v>#DIV/0!</v>
      </c>
      <c r="AL736" s="2" t="e">
        <f t="shared" si="556"/>
        <v>#DIV/0!</v>
      </c>
      <c r="AM736" s="2" t="e">
        <f t="shared" si="576"/>
        <v>#DIV/0!</v>
      </c>
      <c r="AN736" s="2">
        <f t="shared" si="557"/>
        <v>0</v>
      </c>
      <c r="AO736" s="2" t="e">
        <f t="shared" si="558"/>
        <v>#DIV/0!</v>
      </c>
      <c r="AP736" s="2" t="e">
        <f t="shared" si="559"/>
        <v>#DIV/0!</v>
      </c>
      <c r="AQ736" s="2" t="e">
        <f t="shared" si="577"/>
        <v>#DIV/0!</v>
      </c>
      <c r="AR736" s="2" t="e">
        <f t="shared" si="543"/>
        <v>#DIV/0!</v>
      </c>
      <c r="AS736" s="2" t="e">
        <f t="shared" si="560"/>
        <v>#DIV/0!</v>
      </c>
      <c r="AT736" s="2" t="e">
        <f t="shared" si="561"/>
        <v>#DIV/0!</v>
      </c>
      <c r="AU736" s="2" t="e">
        <f t="shared" si="578"/>
        <v>#DIV/0!</v>
      </c>
      <c r="AV736" s="2" t="e">
        <f t="shared" si="562"/>
        <v>#DIV/0!</v>
      </c>
      <c r="AW736" s="2" t="e">
        <f t="shared" si="563"/>
        <v>#DIV/0!</v>
      </c>
      <c r="AX736" s="2" t="e">
        <f t="shared" si="564"/>
        <v>#DIV/0!</v>
      </c>
      <c r="AY736" s="2" t="e">
        <f t="shared" si="579"/>
        <v>#DIV/0!</v>
      </c>
      <c r="AZ736" s="2" t="e">
        <f t="shared" si="544"/>
        <v>#DIV/0!</v>
      </c>
      <c r="BA736" s="2" t="e">
        <f t="shared" si="565"/>
        <v>#DIV/0!</v>
      </c>
      <c r="BB736" s="2" t="e">
        <f t="shared" si="566"/>
        <v>#DIV/0!</v>
      </c>
      <c r="BC736" s="2" t="e">
        <f t="shared" si="580"/>
        <v>#DIV/0!</v>
      </c>
      <c r="BD736" s="2">
        <v>0</v>
      </c>
      <c r="BE736" s="2" t="e">
        <f t="shared" si="567"/>
        <v>#DIV/0!</v>
      </c>
      <c r="BF736" s="2" t="e">
        <f t="shared" si="568"/>
        <v>#DIV/0!</v>
      </c>
      <c r="BG736" s="2" t="e">
        <f t="shared" si="581"/>
        <v>#DIV/0!</v>
      </c>
      <c r="BH736" s="2" t="e">
        <f t="shared" si="545"/>
        <v>#DIV/0!</v>
      </c>
      <c r="BI736" s="2" t="e">
        <f t="shared" si="569"/>
        <v>#DIV/0!</v>
      </c>
      <c r="BJ736" s="2" t="e">
        <f t="shared" si="570"/>
        <v>#DIV/0!</v>
      </c>
      <c r="BK736" s="2" t="e">
        <f t="shared" si="582"/>
        <v>#DIV/0!</v>
      </c>
      <c r="BL736" s="2" t="e">
        <f t="shared" si="571"/>
        <v>#DIV/0!</v>
      </c>
      <c r="BM736" s="2" t="e">
        <f t="shared" si="572"/>
        <v>#DIV/0!</v>
      </c>
      <c r="BN736" s="2" t="e">
        <f t="shared" si="583"/>
        <v>#DIV/0!</v>
      </c>
    </row>
    <row r="737" spans="1:66" x14ac:dyDescent="0.25">
      <c r="A737" s="42">
        <v>734</v>
      </c>
      <c r="E737" s="6">
        <f t="shared" si="573"/>
        <v>0</v>
      </c>
      <c r="F737" s="5" t="str">
        <f t="shared" si="584"/>
        <v>Break Even</v>
      </c>
      <c r="G737" s="4">
        <f t="shared" si="585"/>
        <v>0</v>
      </c>
      <c r="N737" s="5">
        <f t="shared" si="586"/>
        <v>0</v>
      </c>
      <c r="O737" s="4" t="e">
        <f t="shared" si="587"/>
        <v>#DIV/0!</v>
      </c>
      <c r="P737" s="5">
        <f t="shared" si="546"/>
        <v>0</v>
      </c>
      <c r="R737" s="2">
        <f t="shared" si="541"/>
        <v>0</v>
      </c>
      <c r="T737" s="2">
        <f t="shared" si="574"/>
        <v>0</v>
      </c>
      <c r="V737" s="5">
        <f t="shared" si="588"/>
        <v>0</v>
      </c>
      <c r="W737" s="4" t="e">
        <f t="shared" si="589"/>
        <v>#DIV/0!</v>
      </c>
      <c r="X737" s="14">
        <f t="shared" si="547"/>
        <v>0</v>
      </c>
      <c r="Y737" s="5">
        <f t="shared" si="548"/>
        <v>0</v>
      </c>
      <c r="Z737" s="2">
        <f t="shared" si="549"/>
        <v>0</v>
      </c>
      <c r="AA737" s="4">
        <f t="shared" si="550"/>
        <v>0</v>
      </c>
      <c r="AB737" s="13">
        <f t="shared" si="551"/>
        <v>0</v>
      </c>
      <c r="AC737" s="10">
        <f>SUM($E$4:E737)</f>
        <v>-22024.091160220025</v>
      </c>
      <c r="AD737" s="20">
        <f>SUM($AB$4:AB737)</f>
        <v>13539.766460219998</v>
      </c>
      <c r="AF737" s="28" t="e">
        <f t="shared" si="552"/>
        <v>#DIV/0!</v>
      </c>
      <c r="AG737" s="2" t="e">
        <f t="shared" si="553"/>
        <v>#DIV/0!</v>
      </c>
      <c r="AH737" s="2" t="e">
        <f t="shared" si="554"/>
        <v>#DIV/0!</v>
      </c>
      <c r="AI737" s="2" t="e">
        <f t="shared" si="575"/>
        <v>#DIV/0!</v>
      </c>
      <c r="AJ737" s="2" t="e">
        <f t="shared" si="542"/>
        <v>#DIV/0!</v>
      </c>
      <c r="AK737" s="2" t="e">
        <f t="shared" si="555"/>
        <v>#DIV/0!</v>
      </c>
      <c r="AL737" s="2" t="e">
        <f t="shared" si="556"/>
        <v>#DIV/0!</v>
      </c>
      <c r="AM737" s="2" t="e">
        <f t="shared" si="576"/>
        <v>#DIV/0!</v>
      </c>
      <c r="AN737" s="2">
        <f t="shared" si="557"/>
        <v>0</v>
      </c>
      <c r="AO737" s="2" t="e">
        <f t="shared" si="558"/>
        <v>#DIV/0!</v>
      </c>
      <c r="AP737" s="2" t="e">
        <f t="shared" si="559"/>
        <v>#DIV/0!</v>
      </c>
      <c r="AQ737" s="2" t="e">
        <f t="shared" si="577"/>
        <v>#DIV/0!</v>
      </c>
      <c r="AR737" s="2" t="e">
        <f t="shared" si="543"/>
        <v>#DIV/0!</v>
      </c>
      <c r="AS737" s="2" t="e">
        <f t="shared" si="560"/>
        <v>#DIV/0!</v>
      </c>
      <c r="AT737" s="2" t="e">
        <f t="shared" si="561"/>
        <v>#DIV/0!</v>
      </c>
      <c r="AU737" s="2" t="e">
        <f t="shared" si="578"/>
        <v>#DIV/0!</v>
      </c>
      <c r="AV737" s="2" t="e">
        <f t="shared" si="562"/>
        <v>#DIV/0!</v>
      </c>
      <c r="AW737" s="2" t="e">
        <f t="shared" si="563"/>
        <v>#DIV/0!</v>
      </c>
      <c r="AX737" s="2" t="e">
        <f t="shared" si="564"/>
        <v>#DIV/0!</v>
      </c>
      <c r="AY737" s="2" t="e">
        <f t="shared" si="579"/>
        <v>#DIV/0!</v>
      </c>
      <c r="AZ737" s="2" t="e">
        <f t="shared" si="544"/>
        <v>#DIV/0!</v>
      </c>
      <c r="BA737" s="2" t="e">
        <f t="shared" si="565"/>
        <v>#DIV/0!</v>
      </c>
      <c r="BB737" s="2" t="e">
        <f t="shared" si="566"/>
        <v>#DIV/0!</v>
      </c>
      <c r="BC737" s="2" t="e">
        <f t="shared" si="580"/>
        <v>#DIV/0!</v>
      </c>
      <c r="BD737" s="2">
        <v>0</v>
      </c>
      <c r="BE737" s="2" t="e">
        <f t="shared" si="567"/>
        <v>#DIV/0!</v>
      </c>
      <c r="BF737" s="2" t="e">
        <f t="shared" si="568"/>
        <v>#DIV/0!</v>
      </c>
      <c r="BG737" s="2" t="e">
        <f t="shared" si="581"/>
        <v>#DIV/0!</v>
      </c>
      <c r="BH737" s="2" t="e">
        <f t="shared" si="545"/>
        <v>#DIV/0!</v>
      </c>
      <c r="BI737" s="2" t="e">
        <f t="shared" si="569"/>
        <v>#DIV/0!</v>
      </c>
      <c r="BJ737" s="2" t="e">
        <f t="shared" si="570"/>
        <v>#DIV/0!</v>
      </c>
      <c r="BK737" s="2" t="e">
        <f t="shared" si="582"/>
        <v>#DIV/0!</v>
      </c>
      <c r="BL737" s="2" t="e">
        <f t="shared" si="571"/>
        <v>#DIV/0!</v>
      </c>
      <c r="BM737" s="2" t="e">
        <f t="shared" si="572"/>
        <v>#DIV/0!</v>
      </c>
      <c r="BN737" s="2" t="e">
        <f t="shared" si="583"/>
        <v>#DIV/0!</v>
      </c>
    </row>
    <row r="738" spans="1:66" x14ac:dyDescent="0.25">
      <c r="A738" s="42">
        <v>735</v>
      </c>
      <c r="E738" s="6">
        <f t="shared" si="573"/>
        <v>0</v>
      </c>
      <c r="F738" s="5" t="str">
        <f t="shared" si="584"/>
        <v>Break Even</v>
      </c>
      <c r="G738" s="4">
        <f t="shared" si="585"/>
        <v>0</v>
      </c>
      <c r="N738" s="5">
        <f t="shared" si="586"/>
        <v>0</v>
      </c>
      <c r="O738" s="4" t="e">
        <f t="shared" si="587"/>
        <v>#DIV/0!</v>
      </c>
      <c r="P738" s="5">
        <f t="shared" si="546"/>
        <v>0</v>
      </c>
      <c r="R738" s="2">
        <f t="shared" si="541"/>
        <v>0</v>
      </c>
      <c r="T738" s="2">
        <f t="shared" si="574"/>
        <v>0</v>
      </c>
      <c r="V738" s="5">
        <f t="shared" si="588"/>
        <v>0</v>
      </c>
      <c r="W738" s="4" t="e">
        <f t="shared" si="589"/>
        <v>#DIV/0!</v>
      </c>
      <c r="X738" s="14">
        <f t="shared" si="547"/>
        <v>0</v>
      </c>
      <c r="Y738" s="5">
        <f t="shared" si="548"/>
        <v>0</v>
      </c>
      <c r="Z738" s="2">
        <f t="shared" si="549"/>
        <v>0</v>
      </c>
      <c r="AA738" s="4">
        <f t="shared" si="550"/>
        <v>0</v>
      </c>
      <c r="AB738" s="13">
        <f t="shared" si="551"/>
        <v>0</v>
      </c>
      <c r="AC738" s="10">
        <f>SUM($E$4:E738)</f>
        <v>-22024.091160220025</v>
      </c>
      <c r="AD738" s="20">
        <f>SUM($AB$4:AB738)</f>
        <v>13539.766460219998</v>
      </c>
      <c r="AF738" s="28" t="e">
        <f t="shared" si="552"/>
        <v>#DIV/0!</v>
      </c>
      <c r="AG738" s="2" t="e">
        <f t="shared" si="553"/>
        <v>#DIV/0!</v>
      </c>
      <c r="AH738" s="2" t="e">
        <f t="shared" si="554"/>
        <v>#DIV/0!</v>
      </c>
      <c r="AI738" s="2" t="e">
        <f t="shared" si="575"/>
        <v>#DIV/0!</v>
      </c>
      <c r="AJ738" s="2" t="e">
        <f t="shared" si="542"/>
        <v>#DIV/0!</v>
      </c>
      <c r="AK738" s="2" t="e">
        <f t="shared" si="555"/>
        <v>#DIV/0!</v>
      </c>
      <c r="AL738" s="2" t="e">
        <f t="shared" si="556"/>
        <v>#DIV/0!</v>
      </c>
      <c r="AM738" s="2" t="e">
        <f t="shared" si="576"/>
        <v>#DIV/0!</v>
      </c>
      <c r="AN738" s="2">
        <f t="shared" si="557"/>
        <v>0</v>
      </c>
      <c r="AO738" s="2" t="e">
        <f t="shared" si="558"/>
        <v>#DIV/0!</v>
      </c>
      <c r="AP738" s="2" t="e">
        <f t="shared" si="559"/>
        <v>#DIV/0!</v>
      </c>
      <c r="AQ738" s="2" t="e">
        <f t="shared" si="577"/>
        <v>#DIV/0!</v>
      </c>
      <c r="AR738" s="2" t="e">
        <f t="shared" si="543"/>
        <v>#DIV/0!</v>
      </c>
      <c r="AS738" s="2" t="e">
        <f t="shared" si="560"/>
        <v>#DIV/0!</v>
      </c>
      <c r="AT738" s="2" t="e">
        <f t="shared" si="561"/>
        <v>#DIV/0!</v>
      </c>
      <c r="AU738" s="2" t="e">
        <f t="shared" si="578"/>
        <v>#DIV/0!</v>
      </c>
      <c r="AV738" s="2" t="e">
        <f t="shared" si="562"/>
        <v>#DIV/0!</v>
      </c>
      <c r="AW738" s="2" t="e">
        <f t="shared" si="563"/>
        <v>#DIV/0!</v>
      </c>
      <c r="AX738" s="2" t="e">
        <f t="shared" si="564"/>
        <v>#DIV/0!</v>
      </c>
      <c r="AY738" s="2" t="e">
        <f t="shared" si="579"/>
        <v>#DIV/0!</v>
      </c>
      <c r="AZ738" s="2" t="e">
        <f t="shared" si="544"/>
        <v>#DIV/0!</v>
      </c>
      <c r="BA738" s="2" t="e">
        <f t="shared" si="565"/>
        <v>#DIV/0!</v>
      </c>
      <c r="BB738" s="2" t="e">
        <f t="shared" si="566"/>
        <v>#DIV/0!</v>
      </c>
      <c r="BC738" s="2" t="e">
        <f t="shared" si="580"/>
        <v>#DIV/0!</v>
      </c>
      <c r="BD738" s="2">
        <v>0</v>
      </c>
      <c r="BE738" s="2" t="e">
        <f t="shared" si="567"/>
        <v>#DIV/0!</v>
      </c>
      <c r="BF738" s="2" t="e">
        <f t="shared" si="568"/>
        <v>#DIV/0!</v>
      </c>
      <c r="BG738" s="2" t="e">
        <f t="shared" si="581"/>
        <v>#DIV/0!</v>
      </c>
      <c r="BH738" s="2" t="e">
        <f t="shared" si="545"/>
        <v>#DIV/0!</v>
      </c>
      <c r="BI738" s="2" t="e">
        <f t="shared" si="569"/>
        <v>#DIV/0!</v>
      </c>
      <c r="BJ738" s="2" t="e">
        <f t="shared" si="570"/>
        <v>#DIV/0!</v>
      </c>
      <c r="BK738" s="2" t="e">
        <f t="shared" si="582"/>
        <v>#DIV/0!</v>
      </c>
      <c r="BL738" s="2" t="e">
        <f t="shared" si="571"/>
        <v>#DIV/0!</v>
      </c>
      <c r="BM738" s="2" t="e">
        <f t="shared" si="572"/>
        <v>#DIV/0!</v>
      </c>
      <c r="BN738" s="2" t="e">
        <f t="shared" si="583"/>
        <v>#DIV/0!</v>
      </c>
    </row>
    <row r="739" spans="1:66" x14ac:dyDescent="0.25">
      <c r="A739" s="42">
        <v>736</v>
      </c>
      <c r="E739" s="6">
        <f t="shared" si="573"/>
        <v>0</v>
      </c>
      <c r="F739" s="5" t="str">
        <f t="shared" si="584"/>
        <v>Break Even</v>
      </c>
      <c r="G739" s="4">
        <f t="shared" si="585"/>
        <v>0</v>
      </c>
      <c r="N739" s="5">
        <f t="shared" si="586"/>
        <v>0</v>
      </c>
      <c r="O739" s="4" t="e">
        <f t="shared" si="587"/>
        <v>#DIV/0!</v>
      </c>
      <c r="P739" s="5">
        <f t="shared" si="546"/>
        <v>0</v>
      </c>
      <c r="R739" s="2">
        <f t="shared" si="541"/>
        <v>0</v>
      </c>
      <c r="T739" s="2">
        <f t="shared" si="574"/>
        <v>0</v>
      </c>
      <c r="V739" s="5">
        <f t="shared" si="588"/>
        <v>0</v>
      </c>
      <c r="W739" s="4" t="e">
        <f t="shared" si="589"/>
        <v>#DIV/0!</v>
      </c>
      <c r="X739" s="14">
        <f t="shared" si="547"/>
        <v>0</v>
      </c>
      <c r="Y739" s="5">
        <f t="shared" si="548"/>
        <v>0</v>
      </c>
      <c r="Z739" s="2">
        <f t="shared" si="549"/>
        <v>0</v>
      </c>
      <c r="AA739" s="4">
        <f t="shared" si="550"/>
        <v>0</v>
      </c>
      <c r="AB739" s="13">
        <f t="shared" si="551"/>
        <v>0</v>
      </c>
      <c r="AC739" s="10">
        <f>SUM($E$4:E739)</f>
        <v>-22024.091160220025</v>
      </c>
      <c r="AD739" s="20">
        <f>SUM($AB$4:AB739)</f>
        <v>13539.766460219998</v>
      </c>
      <c r="AF739" s="28" t="e">
        <f t="shared" si="552"/>
        <v>#DIV/0!</v>
      </c>
      <c r="AG739" s="2" t="e">
        <f t="shared" si="553"/>
        <v>#DIV/0!</v>
      </c>
      <c r="AH739" s="2" t="e">
        <f t="shared" si="554"/>
        <v>#DIV/0!</v>
      </c>
      <c r="AI739" s="2" t="e">
        <f t="shared" si="575"/>
        <v>#DIV/0!</v>
      </c>
      <c r="AJ739" s="2" t="e">
        <f t="shared" si="542"/>
        <v>#DIV/0!</v>
      </c>
      <c r="AK739" s="2" t="e">
        <f t="shared" si="555"/>
        <v>#DIV/0!</v>
      </c>
      <c r="AL739" s="2" t="e">
        <f t="shared" si="556"/>
        <v>#DIV/0!</v>
      </c>
      <c r="AM739" s="2" t="e">
        <f t="shared" si="576"/>
        <v>#DIV/0!</v>
      </c>
      <c r="AN739" s="2">
        <f t="shared" si="557"/>
        <v>0</v>
      </c>
      <c r="AO739" s="2" t="e">
        <f t="shared" si="558"/>
        <v>#DIV/0!</v>
      </c>
      <c r="AP739" s="2" t="e">
        <f t="shared" si="559"/>
        <v>#DIV/0!</v>
      </c>
      <c r="AQ739" s="2" t="e">
        <f t="shared" si="577"/>
        <v>#DIV/0!</v>
      </c>
      <c r="AR739" s="2" t="e">
        <f t="shared" si="543"/>
        <v>#DIV/0!</v>
      </c>
      <c r="AS739" s="2" t="e">
        <f t="shared" si="560"/>
        <v>#DIV/0!</v>
      </c>
      <c r="AT739" s="2" t="e">
        <f t="shared" si="561"/>
        <v>#DIV/0!</v>
      </c>
      <c r="AU739" s="2" t="e">
        <f t="shared" si="578"/>
        <v>#DIV/0!</v>
      </c>
      <c r="AV739" s="2" t="e">
        <f t="shared" si="562"/>
        <v>#DIV/0!</v>
      </c>
      <c r="AW739" s="2" t="e">
        <f t="shared" si="563"/>
        <v>#DIV/0!</v>
      </c>
      <c r="AX739" s="2" t="e">
        <f t="shared" si="564"/>
        <v>#DIV/0!</v>
      </c>
      <c r="AY739" s="2" t="e">
        <f t="shared" si="579"/>
        <v>#DIV/0!</v>
      </c>
      <c r="AZ739" s="2" t="e">
        <f t="shared" si="544"/>
        <v>#DIV/0!</v>
      </c>
      <c r="BA739" s="2" t="e">
        <f t="shared" si="565"/>
        <v>#DIV/0!</v>
      </c>
      <c r="BB739" s="2" t="e">
        <f t="shared" si="566"/>
        <v>#DIV/0!</v>
      </c>
      <c r="BC739" s="2" t="e">
        <f t="shared" si="580"/>
        <v>#DIV/0!</v>
      </c>
      <c r="BD739" s="2">
        <v>0</v>
      </c>
      <c r="BE739" s="2" t="e">
        <f t="shared" si="567"/>
        <v>#DIV/0!</v>
      </c>
      <c r="BF739" s="2" t="e">
        <f t="shared" si="568"/>
        <v>#DIV/0!</v>
      </c>
      <c r="BG739" s="2" t="e">
        <f t="shared" si="581"/>
        <v>#DIV/0!</v>
      </c>
      <c r="BH739" s="2" t="e">
        <f t="shared" si="545"/>
        <v>#DIV/0!</v>
      </c>
      <c r="BI739" s="2" t="e">
        <f t="shared" si="569"/>
        <v>#DIV/0!</v>
      </c>
      <c r="BJ739" s="2" t="e">
        <f t="shared" si="570"/>
        <v>#DIV/0!</v>
      </c>
      <c r="BK739" s="2" t="e">
        <f t="shared" si="582"/>
        <v>#DIV/0!</v>
      </c>
      <c r="BL739" s="2" t="e">
        <f t="shared" si="571"/>
        <v>#DIV/0!</v>
      </c>
      <c r="BM739" s="2" t="e">
        <f t="shared" si="572"/>
        <v>#DIV/0!</v>
      </c>
      <c r="BN739" s="2" t="e">
        <f t="shared" si="583"/>
        <v>#DIV/0!</v>
      </c>
    </row>
    <row r="740" spans="1:66" x14ac:dyDescent="0.25">
      <c r="A740" s="42">
        <v>737</v>
      </c>
      <c r="E740" s="6">
        <f t="shared" si="573"/>
        <v>0</v>
      </c>
      <c r="F740" s="5" t="str">
        <f t="shared" si="584"/>
        <v>Break Even</v>
      </c>
      <c r="G740" s="4">
        <f t="shared" si="585"/>
        <v>0</v>
      </c>
      <c r="N740" s="5">
        <f t="shared" si="586"/>
        <v>0</v>
      </c>
      <c r="O740" s="4" t="e">
        <f t="shared" si="587"/>
        <v>#DIV/0!</v>
      </c>
      <c r="P740" s="5">
        <f t="shared" si="546"/>
        <v>0</v>
      </c>
      <c r="R740" s="2">
        <f t="shared" si="541"/>
        <v>0</v>
      </c>
      <c r="T740" s="2">
        <f t="shared" si="574"/>
        <v>0</v>
      </c>
      <c r="V740" s="5">
        <f t="shared" si="588"/>
        <v>0</v>
      </c>
      <c r="W740" s="4" t="e">
        <f t="shared" si="589"/>
        <v>#DIV/0!</v>
      </c>
      <c r="X740" s="14">
        <f t="shared" si="547"/>
        <v>0</v>
      </c>
      <c r="Y740" s="5">
        <f t="shared" si="548"/>
        <v>0</v>
      </c>
      <c r="Z740" s="2">
        <f t="shared" si="549"/>
        <v>0</v>
      </c>
      <c r="AA740" s="4">
        <f t="shared" si="550"/>
        <v>0</v>
      </c>
      <c r="AB740" s="13">
        <f t="shared" si="551"/>
        <v>0</v>
      </c>
      <c r="AC740" s="10">
        <f>SUM($E$4:E740)</f>
        <v>-22024.091160220025</v>
      </c>
      <c r="AD740" s="20">
        <f>SUM($AB$4:AB740)</f>
        <v>13539.766460219998</v>
      </c>
      <c r="AF740" s="28" t="e">
        <f t="shared" si="552"/>
        <v>#DIV/0!</v>
      </c>
      <c r="AG740" s="2" t="e">
        <f t="shared" si="553"/>
        <v>#DIV/0!</v>
      </c>
      <c r="AH740" s="2" t="e">
        <f t="shared" si="554"/>
        <v>#DIV/0!</v>
      </c>
      <c r="AI740" s="2" t="e">
        <f t="shared" si="575"/>
        <v>#DIV/0!</v>
      </c>
      <c r="AJ740" s="2" t="e">
        <f t="shared" si="542"/>
        <v>#DIV/0!</v>
      </c>
      <c r="AK740" s="2" t="e">
        <f t="shared" si="555"/>
        <v>#DIV/0!</v>
      </c>
      <c r="AL740" s="2" t="e">
        <f t="shared" si="556"/>
        <v>#DIV/0!</v>
      </c>
      <c r="AM740" s="2" t="e">
        <f t="shared" si="576"/>
        <v>#DIV/0!</v>
      </c>
      <c r="AN740" s="2">
        <f t="shared" si="557"/>
        <v>0</v>
      </c>
      <c r="AO740" s="2" t="e">
        <f t="shared" si="558"/>
        <v>#DIV/0!</v>
      </c>
      <c r="AP740" s="2" t="e">
        <f t="shared" si="559"/>
        <v>#DIV/0!</v>
      </c>
      <c r="AQ740" s="2" t="e">
        <f t="shared" si="577"/>
        <v>#DIV/0!</v>
      </c>
      <c r="AR740" s="2" t="e">
        <f t="shared" si="543"/>
        <v>#DIV/0!</v>
      </c>
      <c r="AS740" s="2" t="e">
        <f t="shared" si="560"/>
        <v>#DIV/0!</v>
      </c>
      <c r="AT740" s="2" t="e">
        <f t="shared" si="561"/>
        <v>#DIV/0!</v>
      </c>
      <c r="AU740" s="2" t="e">
        <f t="shared" si="578"/>
        <v>#DIV/0!</v>
      </c>
      <c r="AV740" s="2" t="e">
        <f t="shared" si="562"/>
        <v>#DIV/0!</v>
      </c>
      <c r="AW740" s="2" t="e">
        <f t="shared" si="563"/>
        <v>#DIV/0!</v>
      </c>
      <c r="AX740" s="2" t="e">
        <f t="shared" si="564"/>
        <v>#DIV/0!</v>
      </c>
      <c r="AY740" s="2" t="e">
        <f t="shared" si="579"/>
        <v>#DIV/0!</v>
      </c>
      <c r="AZ740" s="2" t="e">
        <f t="shared" si="544"/>
        <v>#DIV/0!</v>
      </c>
      <c r="BA740" s="2" t="e">
        <f t="shared" si="565"/>
        <v>#DIV/0!</v>
      </c>
      <c r="BB740" s="2" t="e">
        <f t="shared" si="566"/>
        <v>#DIV/0!</v>
      </c>
      <c r="BC740" s="2" t="e">
        <f t="shared" si="580"/>
        <v>#DIV/0!</v>
      </c>
      <c r="BD740" s="2">
        <v>0</v>
      </c>
      <c r="BE740" s="2" t="e">
        <f t="shared" si="567"/>
        <v>#DIV/0!</v>
      </c>
      <c r="BF740" s="2" t="e">
        <f t="shared" si="568"/>
        <v>#DIV/0!</v>
      </c>
      <c r="BG740" s="2" t="e">
        <f t="shared" si="581"/>
        <v>#DIV/0!</v>
      </c>
      <c r="BH740" s="2" t="e">
        <f t="shared" si="545"/>
        <v>#DIV/0!</v>
      </c>
      <c r="BI740" s="2" t="e">
        <f t="shared" si="569"/>
        <v>#DIV/0!</v>
      </c>
      <c r="BJ740" s="2" t="e">
        <f t="shared" si="570"/>
        <v>#DIV/0!</v>
      </c>
      <c r="BK740" s="2" t="e">
        <f t="shared" si="582"/>
        <v>#DIV/0!</v>
      </c>
      <c r="BL740" s="2" t="e">
        <f t="shared" si="571"/>
        <v>#DIV/0!</v>
      </c>
      <c r="BM740" s="2" t="e">
        <f t="shared" si="572"/>
        <v>#DIV/0!</v>
      </c>
      <c r="BN740" s="2" t="e">
        <f t="shared" si="583"/>
        <v>#DIV/0!</v>
      </c>
    </row>
    <row r="741" spans="1:66" x14ac:dyDescent="0.25">
      <c r="A741" s="42">
        <v>738</v>
      </c>
      <c r="E741" s="6">
        <f t="shared" si="573"/>
        <v>0</v>
      </c>
      <c r="F741" s="5" t="str">
        <f t="shared" si="584"/>
        <v>Break Even</v>
      </c>
      <c r="G741" s="4">
        <f t="shared" si="585"/>
        <v>0</v>
      </c>
      <c r="N741" s="5">
        <f t="shared" si="586"/>
        <v>0</v>
      </c>
      <c r="O741" s="4" t="e">
        <f t="shared" si="587"/>
        <v>#DIV/0!</v>
      </c>
      <c r="P741" s="5">
        <f t="shared" si="546"/>
        <v>0</v>
      </c>
      <c r="R741" s="2">
        <f t="shared" si="541"/>
        <v>0</v>
      </c>
      <c r="T741" s="2">
        <f t="shared" si="574"/>
        <v>0</v>
      </c>
      <c r="V741" s="5">
        <f t="shared" si="588"/>
        <v>0</v>
      </c>
      <c r="W741" s="4" t="e">
        <f t="shared" si="589"/>
        <v>#DIV/0!</v>
      </c>
      <c r="X741" s="14">
        <f t="shared" si="547"/>
        <v>0</v>
      </c>
      <c r="Y741" s="5">
        <f t="shared" si="548"/>
        <v>0</v>
      </c>
      <c r="Z741" s="2">
        <f t="shared" si="549"/>
        <v>0</v>
      </c>
      <c r="AA741" s="4">
        <f t="shared" si="550"/>
        <v>0</v>
      </c>
      <c r="AB741" s="13">
        <f t="shared" si="551"/>
        <v>0</v>
      </c>
      <c r="AC741" s="10">
        <f>SUM($E$4:E741)</f>
        <v>-22024.091160220025</v>
      </c>
      <c r="AD741" s="20">
        <f>SUM($AB$4:AB741)</f>
        <v>13539.766460219998</v>
      </c>
      <c r="AF741" s="28" t="e">
        <f t="shared" si="552"/>
        <v>#DIV/0!</v>
      </c>
      <c r="AG741" s="2" t="e">
        <f t="shared" si="553"/>
        <v>#DIV/0!</v>
      </c>
      <c r="AH741" s="2" t="e">
        <f t="shared" si="554"/>
        <v>#DIV/0!</v>
      </c>
      <c r="AI741" s="2" t="e">
        <f t="shared" si="575"/>
        <v>#DIV/0!</v>
      </c>
      <c r="AJ741" s="2" t="e">
        <f t="shared" si="542"/>
        <v>#DIV/0!</v>
      </c>
      <c r="AK741" s="2" t="e">
        <f t="shared" si="555"/>
        <v>#DIV/0!</v>
      </c>
      <c r="AL741" s="2" t="e">
        <f t="shared" si="556"/>
        <v>#DIV/0!</v>
      </c>
      <c r="AM741" s="2" t="e">
        <f t="shared" si="576"/>
        <v>#DIV/0!</v>
      </c>
      <c r="AN741" s="2">
        <f t="shared" si="557"/>
        <v>0</v>
      </c>
      <c r="AO741" s="2" t="e">
        <f t="shared" si="558"/>
        <v>#DIV/0!</v>
      </c>
      <c r="AP741" s="2" t="e">
        <f t="shared" si="559"/>
        <v>#DIV/0!</v>
      </c>
      <c r="AQ741" s="2" t="e">
        <f t="shared" si="577"/>
        <v>#DIV/0!</v>
      </c>
      <c r="AR741" s="2" t="e">
        <f t="shared" si="543"/>
        <v>#DIV/0!</v>
      </c>
      <c r="AS741" s="2" t="e">
        <f t="shared" si="560"/>
        <v>#DIV/0!</v>
      </c>
      <c r="AT741" s="2" t="e">
        <f t="shared" si="561"/>
        <v>#DIV/0!</v>
      </c>
      <c r="AU741" s="2" t="e">
        <f t="shared" si="578"/>
        <v>#DIV/0!</v>
      </c>
      <c r="AV741" s="2" t="e">
        <f t="shared" si="562"/>
        <v>#DIV/0!</v>
      </c>
      <c r="AW741" s="2" t="e">
        <f t="shared" si="563"/>
        <v>#DIV/0!</v>
      </c>
      <c r="AX741" s="2" t="e">
        <f t="shared" si="564"/>
        <v>#DIV/0!</v>
      </c>
      <c r="AY741" s="2" t="e">
        <f t="shared" si="579"/>
        <v>#DIV/0!</v>
      </c>
      <c r="AZ741" s="2" t="e">
        <f t="shared" si="544"/>
        <v>#DIV/0!</v>
      </c>
      <c r="BA741" s="2" t="e">
        <f t="shared" si="565"/>
        <v>#DIV/0!</v>
      </c>
      <c r="BB741" s="2" t="e">
        <f t="shared" si="566"/>
        <v>#DIV/0!</v>
      </c>
      <c r="BC741" s="2" t="e">
        <f t="shared" si="580"/>
        <v>#DIV/0!</v>
      </c>
      <c r="BD741" s="2">
        <v>0</v>
      </c>
      <c r="BE741" s="2" t="e">
        <f t="shared" si="567"/>
        <v>#DIV/0!</v>
      </c>
      <c r="BF741" s="2" t="e">
        <f t="shared" si="568"/>
        <v>#DIV/0!</v>
      </c>
      <c r="BG741" s="2" t="e">
        <f t="shared" si="581"/>
        <v>#DIV/0!</v>
      </c>
      <c r="BH741" s="2" t="e">
        <f t="shared" si="545"/>
        <v>#DIV/0!</v>
      </c>
      <c r="BI741" s="2" t="e">
        <f t="shared" si="569"/>
        <v>#DIV/0!</v>
      </c>
      <c r="BJ741" s="2" t="e">
        <f t="shared" si="570"/>
        <v>#DIV/0!</v>
      </c>
      <c r="BK741" s="2" t="e">
        <f t="shared" si="582"/>
        <v>#DIV/0!</v>
      </c>
      <c r="BL741" s="2" t="e">
        <f t="shared" si="571"/>
        <v>#DIV/0!</v>
      </c>
      <c r="BM741" s="2" t="e">
        <f t="shared" si="572"/>
        <v>#DIV/0!</v>
      </c>
      <c r="BN741" s="2" t="e">
        <f t="shared" si="583"/>
        <v>#DIV/0!</v>
      </c>
    </row>
    <row r="742" spans="1:66" x14ac:dyDescent="0.25">
      <c r="A742" s="42">
        <v>739</v>
      </c>
      <c r="E742" s="6">
        <f t="shared" si="573"/>
        <v>0</v>
      </c>
      <c r="F742" s="5" t="str">
        <f t="shared" si="584"/>
        <v>Break Even</v>
      </c>
      <c r="G742" s="4">
        <f t="shared" si="585"/>
        <v>0</v>
      </c>
      <c r="N742" s="5">
        <f t="shared" si="586"/>
        <v>0</v>
      </c>
      <c r="O742" s="4" t="e">
        <f t="shared" si="587"/>
        <v>#DIV/0!</v>
      </c>
      <c r="P742" s="5">
        <f t="shared" si="546"/>
        <v>0</v>
      </c>
      <c r="R742" s="2">
        <f t="shared" si="541"/>
        <v>0</v>
      </c>
      <c r="T742" s="2">
        <f t="shared" si="574"/>
        <v>0</v>
      </c>
      <c r="V742" s="5">
        <f t="shared" si="588"/>
        <v>0</v>
      </c>
      <c r="W742" s="4" t="e">
        <f t="shared" si="589"/>
        <v>#DIV/0!</v>
      </c>
      <c r="X742" s="14">
        <f t="shared" si="547"/>
        <v>0</v>
      </c>
      <c r="Y742" s="5">
        <f t="shared" si="548"/>
        <v>0</v>
      </c>
      <c r="Z742" s="2">
        <f t="shared" si="549"/>
        <v>0</v>
      </c>
      <c r="AA742" s="4">
        <f t="shared" si="550"/>
        <v>0</v>
      </c>
      <c r="AB742" s="13">
        <f t="shared" si="551"/>
        <v>0</v>
      </c>
      <c r="AC742" s="10">
        <f>SUM($E$4:E742)</f>
        <v>-22024.091160220025</v>
      </c>
      <c r="AD742" s="20">
        <f>SUM($AB$4:AB742)</f>
        <v>13539.766460219998</v>
      </c>
      <c r="AF742" s="28" t="e">
        <f t="shared" si="552"/>
        <v>#DIV/0!</v>
      </c>
      <c r="AG742" s="2" t="e">
        <f t="shared" si="553"/>
        <v>#DIV/0!</v>
      </c>
      <c r="AH742" s="2" t="e">
        <f t="shared" si="554"/>
        <v>#DIV/0!</v>
      </c>
      <c r="AI742" s="2" t="e">
        <f t="shared" si="575"/>
        <v>#DIV/0!</v>
      </c>
      <c r="AJ742" s="2" t="e">
        <f t="shared" si="542"/>
        <v>#DIV/0!</v>
      </c>
      <c r="AK742" s="2" t="e">
        <f t="shared" si="555"/>
        <v>#DIV/0!</v>
      </c>
      <c r="AL742" s="2" t="e">
        <f t="shared" si="556"/>
        <v>#DIV/0!</v>
      </c>
      <c r="AM742" s="2" t="e">
        <f t="shared" si="576"/>
        <v>#DIV/0!</v>
      </c>
      <c r="AN742" s="2">
        <f t="shared" si="557"/>
        <v>0</v>
      </c>
      <c r="AO742" s="2" t="e">
        <f t="shared" si="558"/>
        <v>#DIV/0!</v>
      </c>
      <c r="AP742" s="2" t="e">
        <f t="shared" si="559"/>
        <v>#DIV/0!</v>
      </c>
      <c r="AQ742" s="2" t="e">
        <f t="shared" si="577"/>
        <v>#DIV/0!</v>
      </c>
      <c r="AR742" s="2" t="e">
        <f t="shared" si="543"/>
        <v>#DIV/0!</v>
      </c>
      <c r="AS742" s="2" t="e">
        <f t="shared" si="560"/>
        <v>#DIV/0!</v>
      </c>
      <c r="AT742" s="2" t="e">
        <f t="shared" si="561"/>
        <v>#DIV/0!</v>
      </c>
      <c r="AU742" s="2" t="e">
        <f t="shared" si="578"/>
        <v>#DIV/0!</v>
      </c>
      <c r="AV742" s="2" t="e">
        <f t="shared" si="562"/>
        <v>#DIV/0!</v>
      </c>
      <c r="AW742" s="2" t="e">
        <f t="shared" si="563"/>
        <v>#DIV/0!</v>
      </c>
      <c r="AX742" s="2" t="e">
        <f t="shared" si="564"/>
        <v>#DIV/0!</v>
      </c>
      <c r="AY742" s="2" t="e">
        <f t="shared" si="579"/>
        <v>#DIV/0!</v>
      </c>
      <c r="AZ742" s="2" t="e">
        <f t="shared" si="544"/>
        <v>#DIV/0!</v>
      </c>
      <c r="BA742" s="2" t="e">
        <f t="shared" si="565"/>
        <v>#DIV/0!</v>
      </c>
      <c r="BB742" s="2" t="e">
        <f t="shared" si="566"/>
        <v>#DIV/0!</v>
      </c>
      <c r="BC742" s="2" t="e">
        <f t="shared" si="580"/>
        <v>#DIV/0!</v>
      </c>
      <c r="BD742" s="2">
        <v>0</v>
      </c>
      <c r="BE742" s="2" t="e">
        <f t="shared" si="567"/>
        <v>#DIV/0!</v>
      </c>
      <c r="BF742" s="2" t="e">
        <f t="shared" si="568"/>
        <v>#DIV/0!</v>
      </c>
      <c r="BG742" s="2" t="e">
        <f t="shared" si="581"/>
        <v>#DIV/0!</v>
      </c>
      <c r="BH742" s="2" t="e">
        <f t="shared" si="545"/>
        <v>#DIV/0!</v>
      </c>
      <c r="BI742" s="2" t="e">
        <f t="shared" si="569"/>
        <v>#DIV/0!</v>
      </c>
      <c r="BJ742" s="2" t="e">
        <f t="shared" si="570"/>
        <v>#DIV/0!</v>
      </c>
      <c r="BK742" s="2" t="e">
        <f t="shared" si="582"/>
        <v>#DIV/0!</v>
      </c>
      <c r="BL742" s="2" t="e">
        <f t="shared" si="571"/>
        <v>#DIV/0!</v>
      </c>
      <c r="BM742" s="2" t="e">
        <f t="shared" si="572"/>
        <v>#DIV/0!</v>
      </c>
      <c r="BN742" s="2" t="e">
        <f t="shared" si="583"/>
        <v>#DIV/0!</v>
      </c>
    </row>
    <row r="743" spans="1:66" x14ac:dyDescent="0.25">
      <c r="A743" s="42">
        <v>740</v>
      </c>
      <c r="E743" s="6">
        <f t="shared" si="573"/>
        <v>0</v>
      </c>
      <c r="F743" s="5" t="str">
        <f t="shared" si="584"/>
        <v>Break Even</v>
      </c>
      <c r="G743" s="4">
        <f t="shared" si="585"/>
        <v>0</v>
      </c>
      <c r="N743" s="5">
        <f t="shared" si="586"/>
        <v>0</v>
      </c>
      <c r="O743" s="4" t="e">
        <f t="shared" si="587"/>
        <v>#DIV/0!</v>
      </c>
      <c r="P743" s="5">
        <f t="shared" si="546"/>
        <v>0</v>
      </c>
      <c r="R743" s="2">
        <f t="shared" si="541"/>
        <v>0</v>
      </c>
      <c r="T743" s="2">
        <f t="shared" si="574"/>
        <v>0</v>
      </c>
      <c r="V743" s="5">
        <f t="shared" si="588"/>
        <v>0</v>
      </c>
      <c r="W743" s="4" t="e">
        <f t="shared" si="589"/>
        <v>#DIV/0!</v>
      </c>
      <c r="X743" s="14">
        <f t="shared" si="547"/>
        <v>0</v>
      </c>
      <c r="Y743" s="5">
        <f t="shared" si="548"/>
        <v>0</v>
      </c>
      <c r="Z743" s="2">
        <f t="shared" si="549"/>
        <v>0</v>
      </c>
      <c r="AA743" s="4">
        <f t="shared" si="550"/>
        <v>0</v>
      </c>
      <c r="AB743" s="13">
        <f t="shared" si="551"/>
        <v>0</v>
      </c>
      <c r="AC743" s="10">
        <f>SUM($E$4:E743)</f>
        <v>-22024.091160220025</v>
      </c>
      <c r="AD743" s="20">
        <f>SUM($AB$4:AB743)</f>
        <v>13539.766460219998</v>
      </c>
      <c r="AF743" s="28" t="e">
        <f t="shared" si="552"/>
        <v>#DIV/0!</v>
      </c>
      <c r="AG743" s="2" t="e">
        <f t="shared" si="553"/>
        <v>#DIV/0!</v>
      </c>
      <c r="AH743" s="2" t="e">
        <f t="shared" si="554"/>
        <v>#DIV/0!</v>
      </c>
      <c r="AI743" s="2" t="e">
        <f t="shared" si="575"/>
        <v>#DIV/0!</v>
      </c>
      <c r="AJ743" s="2" t="e">
        <f t="shared" si="542"/>
        <v>#DIV/0!</v>
      </c>
      <c r="AK743" s="2" t="e">
        <f t="shared" si="555"/>
        <v>#DIV/0!</v>
      </c>
      <c r="AL743" s="2" t="e">
        <f t="shared" si="556"/>
        <v>#DIV/0!</v>
      </c>
      <c r="AM743" s="2" t="e">
        <f t="shared" si="576"/>
        <v>#DIV/0!</v>
      </c>
      <c r="AN743" s="2">
        <f t="shared" si="557"/>
        <v>0</v>
      </c>
      <c r="AO743" s="2" t="e">
        <f t="shared" si="558"/>
        <v>#DIV/0!</v>
      </c>
      <c r="AP743" s="2" t="e">
        <f t="shared" si="559"/>
        <v>#DIV/0!</v>
      </c>
      <c r="AQ743" s="2" t="e">
        <f t="shared" si="577"/>
        <v>#DIV/0!</v>
      </c>
      <c r="AR743" s="2" t="e">
        <f t="shared" si="543"/>
        <v>#DIV/0!</v>
      </c>
      <c r="AS743" s="2" t="e">
        <f t="shared" si="560"/>
        <v>#DIV/0!</v>
      </c>
      <c r="AT743" s="2" t="e">
        <f t="shared" si="561"/>
        <v>#DIV/0!</v>
      </c>
      <c r="AU743" s="2" t="e">
        <f t="shared" si="578"/>
        <v>#DIV/0!</v>
      </c>
      <c r="AV743" s="2" t="e">
        <f t="shared" si="562"/>
        <v>#DIV/0!</v>
      </c>
      <c r="AW743" s="2" t="e">
        <f t="shared" si="563"/>
        <v>#DIV/0!</v>
      </c>
      <c r="AX743" s="2" t="e">
        <f t="shared" si="564"/>
        <v>#DIV/0!</v>
      </c>
      <c r="AY743" s="2" t="e">
        <f t="shared" si="579"/>
        <v>#DIV/0!</v>
      </c>
      <c r="AZ743" s="2" t="e">
        <f t="shared" si="544"/>
        <v>#DIV/0!</v>
      </c>
      <c r="BA743" s="2" t="e">
        <f t="shared" si="565"/>
        <v>#DIV/0!</v>
      </c>
      <c r="BB743" s="2" t="e">
        <f t="shared" si="566"/>
        <v>#DIV/0!</v>
      </c>
      <c r="BC743" s="2" t="e">
        <f t="shared" si="580"/>
        <v>#DIV/0!</v>
      </c>
      <c r="BD743" s="2">
        <v>0</v>
      </c>
      <c r="BE743" s="2" t="e">
        <f t="shared" si="567"/>
        <v>#DIV/0!</v>
      </c>
      <c r="BF743" s="2" t="e">
        <f t="shared" si="568"/>
        <v>#DIV/0!</v>
      </c>
      <c r="BG743" s="2" t="e">
        <f t="shared" si="581"/>
        <v>#DIV/0!</v>
      </c>
      <c r="BH743" s="2" t="e">
        <f t="shared" si="545"/>
        <v>#DIV/0!</v>
      </c>
      <c r="BI743" s="2" t="e">
        <f t="shared" si="569"/>
        <v>#DIV/0!</v>
      </c>
      <c r="BJ743" s="2" t="e">
        <f t="shared" si="570"/>
        <v>#DIV/0!</v>
      </c>
      <c r="BK743" s="2" t="e">
        <f t="shared" si="582"/>
        <v>#DIV/0!</v>
      </c>
      <c r="BL743" s="2" t="e">
        <f t="shared" si="571"/>
        <v>#DIV/0!</v>
      </c>
      <c r="BM743" s="2" t="e">
        <f t="shared" si="572"/>
        <v>#DIV/0!</v>
      </c>
      <c r="BN743" s="2" t="e">
        <f t="shared" si="583"/>
        <v>#DIV/0!</v>
      </c>
    </row>
    <row r="744" spans="1:66" x14ac:dyDescent="0.25">
      <c r="A744" s="42">
        <v>741</v>
      </c>
      <c r="E744" s="6">
        <f t="shared" si="573"/>
        <v>0</v>
      </c>
      <c r="F744" s="5" t="str">
        <f t="shared" si="584"/>
        <v>Break Even</v>
      </c>
      <c r="G744" s="4">
        <f t="shared" si="585"/>
        <v>0</v>
      </c>
      <c r="N744" s="5">
        <f t="shared" si="586"/>
        <v>0</v>
      </c>
      <c r="O744" s="4" t="e">
        <f t="shared" si="587"/>
        <v>#DIV/0!</v>
      </c>
      <c r="P744" s="5">
        <f t="shared" si="546"/>
        <v>0</v>
      </c>
      <c r="R744" s="2">
        <f t="shared" ref="R744:R807" si="590">J744</f>
        <v>0</v>
      </c>
      <c r="T744" s="2">
        <f t="shared" si="574"/>
        <v>0</v>
      </c>
      <c r="V744" s="5">
        <f t="shared" si="588"/>
        <v>0</v>
      </c>
      <c r="W744" s="4" t="e">
        <f t="shared" si="589"/>
        <v>#DIV/0!</v>
      </c>
      <c r="X744" s="14">
        <f t="shared" si="547"/>
        <v>0</v>
      </c>
      <c r="Y744" s="5">
        <f t="shared" si="548"/>
        <v>0</v>
      </c>
      <c r="Z744" s="2">
        <f t="shared" si="549"/>
        <v>0</v>
      </c>
      <c r="AA744" s="4">
        <f t="shared" si="550"/>
        <v>0</v>
      </c>
      <c r="AB744" s="13">
        <f t="shared" si="551"/>
        <v>0</v>
      </c>
      <c r="AC744" s="10">
        <f>SUM($E$4:E744)</f>
        <v>-22024.091160220025</v>
      </c>
      <c r="AD744" s="20">
        <f>SUM($AB$4:AB744)</f>
        <v>13539.766460219998</v>
      </c>
      <c r="AF744" s="28" t="e">
        <f t="shared" si="552"/>
        <v>#DIV/0!</v>
      </c>
      <c r="AG744" s="2" t="e">
        <f t="shared" si="553"/>
        <v>#DIV/0!</v>
      </c>
      <c r="AH744" s="2" t="e">
        <f t="shared" si="554"/>
        <v>#DIV/0!</v>
      </c>
      <c r="AI744" s="2" t="e">
        <f t="shared" si="575"/>
        <v>#DIV/0!</v>
      </c>
      <c r="AJ744" s="2" t="e">
        <f t="shared" si="542"/>
        <v>#DIV/0!</v>
      </c>
      <c r="AK744" s="2" t="e">
        <f t="shared" si="555"/>
        <v>#DIV/0!</v>
      </c>
      <c r="AL744" s="2" t="e">
        <f t="shared" si="556"/>
        <v>#DIV/0!</v>
      </c>
      <c r="AM744" s="2" t="e">
        <f t="shared" si="576"/>
        <v>#DIV/0!</v>
      </c>
      <c r="AN744" s="2">
        <f t="shared" si="557"/>
        <v>0</v>
      </c>
      <c r="AO744" s="2" t="e">
        <f t="shared" si="558"/>
        <v>#DIV/0!</v>
      </c>
      <c r="AP744" s="2" t="e">
        <f t="shared" si="559"/>
        <v>#DIV/0!</v>
      </c>
      <c r="AQ744" s="2" t="e">
        <f t="shared" si="577"/>
        <v>#DIV/0!</v>
      </c>
      <c r="AR744" s="2" t="e">
        <f t="shared" si="543"/>
        <v>#DIV/0!</v>
      </c>
      <c r="AS744" s="2" t="e">
        <f t="shared" si="560"/>
        <v>#DIV/0!</v>
      </c>
      <c r="AT744" s="2" t="e">
        <f t="shared" si="561"/>
        <v>#DIV/0!</v>
      </c>
      <c r="AU744" s="2" t="e">
        <f t="shared" si="578"/>
        <v>#DIV/0!</v>
      </c>
      <c r="AV744" s="2" t="e">
        <f t="shared" si="562"/>
        <v>#DIV/0!</v>
      </c>
      <c r="AW744" s="2" t="e">
        <f t="shared" si="563"/>
        <v>#DIV/0!</v>
      </c>
      <c r="AX744" s="2" t="e">
        <f t="shared" si="564"/>
        <v>#DIV/0!</v>
      </c>
      <c r="AY744" s="2" t="e">
        <f t="shared" si="579"/>
        <v>#DIV/0!</v>
      </c>
      <c r="AZ744" s="2" t="e">
        <f t="shared" si="544"/>
        <v>#DIV/0!</v>
      </c>
      <c r="BA744" s="2" t="e">
        <f t="shared" si="565"/>
        <v>#DIV/0!</v>
      </c>
      <c r="BB744" s="2" t="e">
        <f t="shared" si="566"/>
        <v>#DIV/0!</v>
      </c>
      <c r="BC744" s="2" t="e">
        <f t="shared" si="580"/>
        <v>#DIV/0!</v>
      </c>
      <c r="BD744" s="2">
        <v>0</v>
      </c>
      <c r="BE744" s="2" t="e">
        <f t="shared" si="567"/>
        <v>#DIV/0!</v>
      </c>
      <c r="BF744" s="2" t="e">
        <f t="shared" si="568"/>
        <v>#DIV/0!</v>
      </c>
      <c r="BG744" s="2" t="e">
        <f t="shared" si="581"/>
        <v>#DIV/0!</v>
      </c>
      <c r="BH744" s="2" t="e">
        <f t="shared" si="545"/>
        <v>#DIV/0!</v>
      </c>
      <c r="BI744" s="2" t="e">
        <f t="shared" si="569"/>
        <v>#DIV/0!</v>
      </c>
      <c r="BJ744" s="2" t="e">
        <f t="shared" si="570"/>
        <v>#DIV/0!</v>
      </c>
      <c r="BK744" s="2" t="e">
        <f t="shared" si="582"/>
        <v>#DIV/0!</v>
      </c>
      <c r="BL744" s="2" t="e">
        <f t="shared" si="571"/>
        <v>#DIV/0!</v>
      </c>
      <c r="BM744" s="2" t="e">
        <f t="shared" si="572"/>
        <v>#DIV/0!</v>
      </c>
      <c r="BN744" s="2" t="e">
        <f t="shared" si="583"/>
        <v>#DIV/0!</v>
      </c>
    </row>
    <row r="745" spans="1:66" x14ac:dyDescent="0.25">
      <c r="A745" s="42">
        <v>742</v>
      </c>
      <c r="E745" s="6">
        <f t="shared" si="573"/>
        <v>0</v>
      </c>
      <c r="F745" s="5" t="str">
        <f t="shared" si="584"/>
        <v>Break Even</v>
      </c>
      <c r="G745" s="4">
        <f t="shared" si="585"/>
        <v>0</v>
      </c>
      <c r="N745" s="5">
        <f t="shared" si="586"/>
        <v>0</v>
      </c>
      <c r="O745" s="4" t="e">
        <f t="shared" si="587"/>
        <v>#DIV/0!</v>
      </c>
      <c r="P745" s="5">
        <f t="shared" si="546"/>
        <v>0</v>
      </c>
      <c r="R745" s="2">
        <f t="shared" si="590"/>
        <v>0</v>
      </c>
      <c r="T745" s="2">
        <f t="shared" si="574"/>
        <v>0</v>
      </c>
      <c r="V745" s="5">
        <f t="shared" si="588"/>
        <v>0</v>
      </c>
      <c r="W745" s="4" t="e">
        <f t="shared" si="589"/>
        <v>#DIV/0!</v>
      </c>
      <c r="X745" s="14">
        <f t="shared" si="547"/>
        <v>0</v>
      </c>
      <c r="Y745" s="5">
        <f t="shared" si="548"/>
        <v>0</v>
      </c>
      <c r="Z745" s="2">
        <f t="shared" si="549"/>
        <v>0</v>
      </c>
      <c r="AA745" s="4">
        <f t="shared" si="550"/>
        <v>0</v>
      </c>
      <c r="AB745" s="13">
        <f t="shared" si="551"/>
        <v>0</v>
      </c>
      <c r="AC745" s="10">
        <f>SUM($E$4:E745)</f>
        <v>-22024.091160220025</v>
      </c>
      <c r="AD745" s="20">
        <f>SUM($AB$4:AB745)</f>
        <v>13539.766460219998</v>
      </c>
      <c r="AF745" s="28" t="e">
        <f t="shared" si="552"/>
        <v>#DIV/0!</v>
      </c>
      <c r="AG745" s="2" t="e">
        <f t="shared" si="553"/>
        <v>#DIV/0!</v>
      </c>
      <c r="AH745" s="2" t="e">
        <f t="shared" si="554"/>
        <v>#DIV/0!</v>
      </c>
      <c r="AI745" s="2" t="e">
        <f t="shared" si="575"/>
        <v>#DIV/0!</v>
      </c>
      <c r="AJ745" s="2" t="e">
        <f t="shared" si="542"/>
        <v>#DIV/0!</v>
      </c>
      <c r="AK745" s="2" t="e">
        <f t="shared" si="555"/>
        <v>#DIV/0!</v>
      </c>
      <c r="AL745" s="2" t="e">
        <f t="shared" si="556"/>
        <v>#DIV/0!</v>
      </c>
      <c r="AM745" s="2" t="e">
        <f t="shared" si="576"/>
        <v>#DIV/0!</v>
      </c>
      <c r="AN745" s="2">
        <f t="shared" si="557"/>
        <v>0</v>
      </c>
      <c r="AO745" s="2" t="e">
        <f t="shared" si="558"/>
        <v>#DIV/0!</v>
      </c>
      <c r="AP745" s="2" t="e">
        <f t="shared" si="559"/>
        <v>#DIV/0!</v>
      </c>
      <c r="AQ745" s="2" t="e">
        <f t="shared" si="577"/>
        <v>#DIV/0!</v>
      </c>
      <c r="AR745" s="2" t="e">
        <f t="shared" si="543"/>
        <v>#DIV/0!</v>
      </c>
      <c r="AS745" s="2" t="e">
        <f t="shared" si="560"/>
        <v>#DIV/0!</v>
      </c>
      <c r="AT745" s="2" t="e">
        <f t="shared" si="561"/>
        <v>#DIV/0!</v>
      </c>
      <c r="AU745" s="2" t="e">
        <f t="shared" si="578"/>
        <v>#DIV/0!</v>
      </c>
      <c r="AV745" s="2" t="e">
        <f t="shared" si="562"/>
        <v>#DIV/0!</v>
      </c>
      <c r="AW745" s="2" t="e">
        <f t="shared" si="563"/>
        <v>#DIV/0!</v>
      </c>
      <c r="AX745" s="2" t="e">
        <f t="shared" si="564"/>
        <v>#DIV/0!</v>
      </c>
      <c r="AY745" s="2" t="e">
        <f t="shared" si="579"/>
        <v>#DIV/0!</v>
      </c>
      <c r="AZ745" s="2" t="e">
        <f t="shared" si="544"/>
        <v>#DIV/0!</v>
      </c>
      <c r="BA745" s="2" t="e">
        <f t="shared" si="565"/>
        <v>#DIV/0!</v>
      </c>
      <c r="BB745" s="2" t="e">
        <f t="shared" si="566"/>
        <v>#DIV/0!</v>
      </c>
      <c r="BC745" s="2" t="e">
        <f t="shared" si="580"/>
        <v>#DIV/0!</v>
      </c>
      <c r="BD745" s="2">
        <v>0</v>
      </c>
      <c r="BE745" s="2" t="e">
        <f t="shared" si="567"/>
        <v>#DIV/0!</v>
      </c>
      <c r="BF745" s="2" t="e">
        <f t="shared" si="568"/>
        <v>#DIV/0!</v>
      </c>
      <c r="BG745" s="2" t="e">
        <f t="shared" si="581"/>
        <v>#DIV/0!</v>
      </c>
      <c r="BH745" s="2" t="e">
        <f t="shared" si="545"/>
        <v>#DIV/0!</v>
      </c>
      <c r="BI745" s="2" t="e">
        <f t="shared" si="569"/>
        <v>#DIV/0!</v>
      </c>
      <c r="BJ745" s="2" t="e">
        <f t="shared" si="570"/>
        <v>#DIV/0!</v>
      </c>
      <c r="BK745" s="2" t="e">
        <f t="shared" si="582"/>
        <v>#DIV/0!</v>
      </c>
      <c r="BL745" s="2" t="e">
        <f t="shared" si="571"/>
        <v>#DIV/0!</v>
      </c>
      <c r="BM745" s="2" t="e">
        <f t="shared" si="572"/>
        <v>#DIV/0!</v>
      </c>
      <c r="BN745" s="2" t="e">
        <f t="shared" si="583"/>
        <v>#DIV/0!</v>
      </c>
    </row>
    <row r="746" spans="1:66" x14ac:dyDescent="0.25">
      <c r="A746" s="42">
        <v>743</v>
      </c>
      <c r="E746" s="6">
        <f t="shared" si="573"/>
        <v>0</v>
      </c>
      <c r="F746" s="5" t="str">
        <f t="shared" si="584"/>
        <v>Break Even</v>
      </c>
      <c r="G746" s="4">
        <f t="shared" si="585"/>
        <v>0</v>
      </c>
      <c r="N746" s="5">
        <f t="shared" si="586"/>
        <v>0</v>
      </c>
      <c r="O746" s="4" t="e">
        <f t="shared" si="587"/>
        <v>#DIV/0!</v>
      </c>
      <c r="P746" s="5">
        <f t="shared" si="546"/>
        <v>0</v>
      </c>
      <c r="R746" s="2">
        <f t="shared" si="590"/>
        <v>0</v>
      </c>
      <c r="T746" s="2">
        <f t="shared" si="574"/>
        <v>0</v>
      </c>
      <c r="V746" s="5">
        <f t="shared" si="588"/>
        <v>0</v>
      </c>
      <c r="W746" s="4" t="e">
        <f t="shared" si="589"/>
        <v>#DIV/0!</v>
      </c>
      <c r="X746" s="14">
        <f t="shared" si="547"/>
        <v>0</v>
      </c>
      <c r="Y746" s="5">
        <f t="shared" si="548"/>
        <v>0</v>
      </c>
      <c r="Z746" s="2">
        <f t="shared" si="549"/>
        <v>0</v>
      </c>
      <c r="AA746" s="4">
        <f t="shared" si="550"/>
        <v>0</v>
      </c>
      <c r="AB746" s="13">
        <f t="shared" si="551"/>
        <v>0</v>
      </c>
      <c r="AC746" s="10">
        <f>SUM($E$4:E746)</f>
        <v>-22024.091160220025</v>
      </c>
      <c r="AD746" s="20">
        <f>SUM($AB$4:AB746)</f>
        <v>13539.766460219998</v>
      </c>
      <c r="AF746" s="28" t="e">
        <f t="shared" si="552"/>
        <v>#DIV/0!</v>
      </c>
      <c r="AG746" s="2" t="e">
        <f t="shared" si="553"/>
        <v>#DIV/0!</v>
      </c>
      <c r="AH746" s="2" t="e">
        <f t="shared" si="554"/>
        <v>#DIV/0!</v>
      </c>
      <c r="AI746" s="2" t="e">
        <f t="shared" si="575"/>
        <v>#DIV/0!</v>
      </c>
      <c r="AJ746" s="2" t="e">
        <f t="shared" si="542"/>
        <v>#DIV/0!</v>
      </c>
      <c r="AK746" s="2" t="e">
        <f t="shared" si="555"/>
        <v>#DIV/0!</v>
      </c>
      <c r="AL746" s="2" t="e">
        <f t="shared" si="556"/>
        <v>#DIV/0!</v>
      </c>
      <c r="AM746" s="2" t="e">
        <f t="shared" si="576"/>
        <v>#DIV/0!</v>
      </c>
      <c r="AN746" s="2">
        <f t="shared" si="557"/>
        <v>0</v>
      </c>
      <c r="AO746" s="2" t="e">
        <f t="shared" si="558"/>
        <v>#DIV/0!</v>
      </c>
      <c r="AP746" s="2" t="e">
        <f t="shared" si="559"/>
        <v>#DIV/0!</v>
      </c>
      <c r="AQ746" s="2" t="e">
        <f t="shared" si="577"/>
        <v>#DIV/0!</v>
      </c>
      <c r="AR746" s="2" t="e">
        <f t="shared" si="543"/>
        <v>#DIV/0!</v>
      </c>
      <c r="AS746" s="2" t="e">
        <f t="shared" si="560"/>
        <v>#DIV/0!</v>
      </c>
      <c r="AT746" s="2" t="e">
        <f t="shared" si="561"/>
        <v>#DIV/0!</v>
      </c>
      <c r="AU746" s="2" t="e">
        <f t="shared" si="578"/>
        <v>#DIV/0!</v>
      </c>
      <c r="AV746" s="2" t="e">
        <f t="shared" si="562"/>
        <v>#DIV/0!</v>
      </c>
      <c r="AW746" s="2" t="e">
        <f t="shared" si="563"/>
        <v>#DIV/0!</v>
      </c>
      <c r="AX746" s="2" t="e">
        <f t="shared" si="564"/>
        <v>#DIV/0!</v>
      </c>
      <c r="AY746" s="2" t="e">
        <f t="shared" si="579"/>
        <v>#DIV/0!</v>
      </c>
      <c r="AZ746" s="2" t="e">
        <f t="shared" si="544"/>
        <v>#DIV/0!</v>
      </c>
      <c r="BA746" s="2" t="e">
        <f t="shared" si="565"/>
        <v>#DIV/0!</v>
      </c>
      <c r="BB746" s="2" t="e">
        <f t="shared" si="566"/>
        <v>#DIV/0!</v>
      </c>
      <c r="BC746" s="2" t="e">
        <f t="shared" si="580"/>
        <v>#DIV/0!</v>
      </c>
      <c r="BD746" s="2">
        <v>0</v>
      </c>
      <c r="BE746" s="2" t="e">
        <f t="shared" si="567"/>
        <v>#DIV/0!</v>
      </c>
      <c r="BF746" s="2" t="e">
        <f t="shared" si="568"/>
        <v>#DIV/0!</v>
      </c>
      <c r="BG746" s="2" t="e">
        <f t="shared" si="581"/>
        <v>#DIV/0!</v>
      </c>
      <c r="BH746" s="2" t="e">
        <f t="shared" si="545"/>
        <v>#DIV/0!</v>
      </c>
      <c r="BI746" s="2" t="e">
        <f t="shared" si="569"/>
        <v>#DIV/0!</v>
      </c>
      <c r="BJ746" s="2" t="e">
        <f t="shared" si="570"/>
        <v>#DIV/0!</v>
      </c>
      <c r="BK746" s="2" t="e">
        <f t="shared" si="582"/>
        <v>#DIV/0!</v>
      </c>
      <c r="BL746" s="2" t="e">
        <f t="shared" si="571"/>
        <v>#DIV/0!</v>
      </c>
      <c r="BM746" s="2" t="e">
        <f t="shared" si="572"/>
        <v>#DIV/0!</v>
      </c>
      <c r="BN746" s="2" t="e">
        <f t="shared" si="583"/>
        <v>#DIV/0!</v>
      </c>
    </row>
    <row r="747" spans="1:66" x14ac:dyDescent="0.25">
      <c r="A747" s="42">
        <v>744</v>
      </c>
      <c r="E747" s="6">
        <f t="shared" si="573"/>
        <v>0</v>
      </c>
      <c r="F747" s="5" t="str">
        <f t="shared" si="584"/>
        <v>Break Even</v>
      </c>
      <c r="G747" s="4">
        <f t="shared" si="585"/>
        <v>0</v>
      </c>
      <c r="N747" s="5">
        <f t="shared" si="586"/>
        <v>0</v>
      </c>
      <c r="O747" s="4" t="e">
        <f t="shared" si="587"/>
        <v>#DIV/0!</v>
      </c>
      <c r="P747" s="5">
        <f t="shared" si="546"/>
        <v>0</v>
      </c>
      <c r="R747" s="2">
        <f t="shared" si="590"/>
        <v>0</v>
      </c>
      <c r="T747" s="2">
        <f t="shared" si="574"/>
        <v>0</v>
      </c>
      <c r="V747" s="5">
        <f t="shared" si="588"/>
        <v>0</v>
      </c>
      <c r="W747" s="4" t="e">
        <f t="shared" si="589"/>
        <v>#DIV/0!</v>
      </c>
      <c r="X747" s="14">
        <f t="shared" si="547"/>
        <v>0</v>
      </c>
      <c r="Y747" s="5">
        <f t="shared" si="548"/>
        <v>0</v>
      </c>
      <c r="Z747" s="2">
        <f t="shared" si="549"/>
        <v>0</v>
      </c>
      <c r="AA747" s="4">
        <f t="shared" si="550"/>
        <v>0</v>
      </c>
      <c r="AB747" s="13">
        <f t="shared" si="551"/>
        <v>0</v>
      </c>
      <c r="AC747" s="10">
        <f>SUM($E$4:E747)</f>
        <v>-22024.091160220025</v>
      </c>
      <c r="AD747" s="20">
        <f>SUM($AB$4:AB747)</f>
        <v>13539.766460219998</v>
      </c>
      <c r="AF747" s="28" t="e">
        <f t="shared" si="552"/>
        <v>#DIV/0!</v>
      </c>
      <c r="AG747" s="2" t="e">
        <f t="shared" si="553"/>
        <v>#DIV/0!</v>
      </c>
      <c r="AH747" s="2" t="e">
        <f t="shared" si="554"/>
        <v>#DIV/0!</v>
      </c>
      <c r="AI747" s="2" t="e">
        <f t="shared" si="575"/>
        <v>#DIV/0!</v>
      </c>
      <c r="AJ747" s="2" t="e">
        <f t="shared" si="542"/>
        <v>#DIV/0!</v>
      </c>
      <c r="AK747" s="2" t="e">
        <f t="shared" si="555"/>
        <v>#DIV/0!</v>
      </c>
      <c r="AL747" s="2" t="e">
        <f t="shared" si="556"/>
        <v>#DIV/0!</v>
      </c>
      <c r="AM747" s="2" t="e">
        <f t="shared" si="576"/>
        <v>#DIV/0!</v>
      </c>
      <c r="AN747" s="2">
        <f t="shared" si="557"/>
        <v>0</v>
      </c>
      <c r="AO747" s="2" t="e">
        <f t="shared" si="558"/>
        <v>#DIV/0!</v>
      </c>
      <c r="AP747" s="2" t="e">
        <f t="shared" si="559"/>
        <v>#DIV/0!</v>
      </c>
      <c r="AQ747" s="2" t="e">
        <f t="shared" si="577"/>
        <v>#DIV/0!</v>
      </c>
      <c r="AR747" s="2" t="e">
        <f t="shared" si="543"/>
        <v>#DIV/0!</v>
      </c>
      <c r="AS747" s="2" t="e">
        <f t="shared" si="560"/>
        <v>#DIV/0!</v>
      </c>
      <c r="AT747" s="2" t="e">
        <f t="shared" si="561"/>
        <v>#DIV/0!</v>
      </c>
      <c r="AU747" s="2" t="e">
        <f t="shared" si="578"/>
        <v>#DIV/0!</v>
      </c>
      <c r="AV747" s="2" t="e">
        <f t="shared" si="562"/>
        <v>#DIV/0!</v>
      </c>
      <c r="AW747" s="2" t="e">
        <f t="shared" si="563"/>
        <v>#DIV/0!</v>
      </c>
      <c r="AX747" s="2" t="e">
        <f t="shared" si="564"/>
        <v>#DIV/0!</v>
      </c>
      <c r="AY747" s="2" t="e">
        <f t="shared" si="579"/>
        <v>#DIV/0!</v>
      </c>
      <c r="AZ747" s="2" t="e">
        <f t="shared" si="544"/>
        <v>#DIV/0!</v>
      </c>
      <c r="BA747" s="2" t="e">
        <f t="shared" si="565"/>
        <v>#DIV/0!</v>
      </c>
      <c r="BB747" s="2" t="e">
        <f t="shared" si="566"/>
        <v>#DIV/0!</v>
      </c>
      <c r="BC747" s="2" t="e">
        <f t="shared" si="580"/>
        <v>#DIV/0!</v>
      </c>
      <c r="BD747" s="2">
        <v>0</v>
      </c>
      <c r="BE747" s="2" t="e">
        <f t="shared" si="567"/>
        <v>#DIV/0!</v>
      </c>
      <c r="BF747" s="2" t="e">
        <f t="shared" si="568"/>
        <v>#DIV/0!</v>
      </c>
      <c r="BG747" s="2" t="e">
        <f t="shared" si="581"/>
        <v>#DIV/0!</v>
      </c>
      <c r="BH747" s="2" t="e">
        <f t="shared" si="545"/>
        <v>#DIV/0!</v>
      </c>
      <c r="BI747" s="2" t="e">
        <f t="shared" si="569"/>
        <v>#DIV/0!</v>
      </c>
      <c r="BJ747" s="2" t="e">
        <f t="shared" si="570"/>
        <v>#DIV/0!</v>
      </c>
      <c r="BK747" s="2" t="e">
        <f t="shared" si="582"/>
        <v>#DIV/0!</v>
      </c>
      <c r="BL747" s="2" t="e">
        <f t="shared" si="571"/>
        <v>#DIV/0!</v>
      </c>
      <c r="BM747" s="2" t="e">
        <f t="shared" si="572"/>
        <v>#DIV/0!</v>
      </c>
      <c r="BN747" s="2" t="e">
        <f t="shared" si="583"/>
        <v>#DIV/0!</v>
      </c>
    </row>
    <row r="748" spans="1:66" x14ac:dyDescent="0.25">
      <c r="A748" s="42">
        <v>745</v>
      </c>
      <c r="E748" s="6">
        <f t="shared" si="573"/>
        <v>0</v>
      </c>
      <c r="F748" s="5" t="str">
        <f t="shared" si="584"/>
        <v>Break Even</v>
      </c>
      <c r="G748" s="4">
        <f t="shared" si="585"/>
        <v>0</v>
      </c>
      <c r="N748" s="5">
        <f t="shared" si="586"/>
        <v>0</v>
      </c>
      <c r="O748" s="4" t="e">
        <f t="shared" si="587"/>
        <v>#DIV/0!</v>
      </c>
      <c r="P748" s="5">
        <f t="shared" si="546"/>
        <v>0</v>
      </c>
      <c r="R748" s="2">
        <f t="shared" si="590"/>
        <v>0</v>
      </c>
      <c r="T748" s="2">
        <f t="shared" si="574"/>
        <v>0</v>
      </c>
      <c r="V748" s="5">
        <f t="shared" si="588"/>
        <v>0</v>
      </c>
      <c r="W748" s="4" t="e">
        <f t="shared" si="589"/>
        <v>#DIV/0!</v>
      </c>
      <c r="X748" s="14">
        <f t="shared" si="547"/>
        <v>0</v>
      </c>
      <c r="Y748" s="5">
        <f t="shared" si="548"/>
        <v>0</v>
      </c>
      <c r="Z748" s="2">
        <f t="shared" si="549"/>
        <v>0</v>
      </c>
      <c r="AA748" s="4">
        <f t="shared" si="550"/>
        <v>0</v>
      </c>
      <c r="AB748" s="13">
        <f t="shared" si="551"/>
        <v>0</v>
      </c>
      <c r="AC748" s="10">
        <f>SUM($E$4:E748)</f>
        <v>-22024.091160220025</v>
      </c>
      <c r="AD748" s="20">
        <f>SUM($AB$4:AB748)</f>
        <v>13539.766460219998</v>
      </c>
      <c r="AF748" s="28" t="e">
        <f t="shared" si="552"/>
        <v>#DIV/0!</v>
      </c>
      <c r="AG748" s="2" t="e">
        <f t="shared" si="553"/>
        <v>#DIV/0!</v>
      </c>
      <c r="AH748" s="2" t="e">
        <f t="shared" si="554"/>
        <v>#DIV/0!</v>
      </c>
      <c r="AI748" s="2" t="e">
        <f t="shared" si="575"/>
        <v>#DIV/0!</v>
      </c>
      <c r="AJ748" s="2" t="e">
        <f t="shared" si="542"/>
        <v>#DIV/0!</v>
      </c>
      <c r="AK748" s="2" t="e">
        <f t="shared" si="555"/>
        <v>#DIV/0!</v>
      </c>
      <c r="AL748" s="2" t="e">
        <f t="shared" si="556"/>
        <v>#DIV/0!</v>
      </c>
      <c r="AM748" s="2" t="e">
        <f t="shared" si="576"/>
        <v>#DIV/0!</v>
      </c>
      <c r="AN748" s="2">
        <f t="shared" si="557"/>
        <v>0</v>
      </c>
      <c r="AO748" s="2" t="e">
        <f t="shared" si="558"/>
        <v>#DIV/0!</v>
      </c>
      <c r="AP748" s="2" t="e">
        <f t="shared" si="559"/>
        <v>#DIV/0!</v>
      </c>
      <c r="AQ748" s="2" t="e">
        <f t="shared" si="577"/>
        <v>#DIV/0!</v>
      </c>
      <c r="AR748" s="2" t="e">
        <f t="shared" si="543"/>
        <v>#DIV/0!</v>
      </c>
      <c r="AS748" s="2" t="e">
        <f t="shared" si="560"/>
        <v>#DIV/0!</v>
      </c>
      <c r="AT748" s="2" t="e">
        <f t="shared" si="561"/>
        <v>#DIV/0!</v>
      </c>
      <c r="AU748" s="2" t="e">
        <f t="shared" si="578"/>
        <v>#DIV/0!</v>
      </c>
      <c r="AV748" s="2" t="e">
        <f t="shared" si="562"/>
        <v>#DIV/0!</v>
      </c>
      <c r="AW748" s="2" t="e">
        <f t="shared" si="563"/>
        <v>#DIV/0!</v>
      </c>
      <c r="AX748" s="2" t="e">
        <f t="shared" si="564"/>
        <v>#DIV/0!</v>
      </c>
      <c r="AY748" s="2" t="e">
        <f t="shared" si="579"/>
        <v>#DIV/0!</v>
      </c>
      <c r="AZ748" s="2" t="e">
        <f t="shared" si="544"/>
        <v>#DIV/0!</v>
      </c>
      <c r="BA748" s="2" t="e">
        <f t="shared" si="565"/>
        <v>#DIV/0!</v>
      </c>
      <c r="BB748" s="2" t="e">
        <f t="shared" si="566"/>
        <v>#DIV/0!</v>
      </c>
      <c r="BC748" s="2" t="e">
        <f t="shared" si="580"/>
        <v>#DIV/0!</v>
      </c>
      <c r="BD748" s="2">
        <v>0</v>
      </c>
      <c r="BE748" s="2" t="e">
        <f t="shared" si="567"/>
        <v>#DIV/0!</v>
      </c>
      <c r="BF748" s="2" t="e">
        <f t="shared" si="568"/>
        <v>#DIV/0!</v>
      </c>
      <c r="BG748" s="2" t="e">
        <f t="shared" si="581"/>
        <v>#DIV/0!</v>
      </c>
      <c r="BH748" s="2" t="e">
        <f t="shared" si="545"/>
        <v>#DIV/0!</v>
      </c>
      <c r="BI748" s="2" t="e">
        <f t="shared" si="569"/>
        <v>#DIV/0!</v>
      </c>
      <c r="BJ748" s="2" t="e">
        <f t="shared" si="570"/>
        <v>#DIV/0!</v>
      </c>
      <c r="BK748" s="2" t="e">
        <f t="shared" si="582"/>
        <v>#DIV/0!</v>
      </c>
      <c r="BL748" s="2" t="e">
        <f t="shared" si="571"/>
        <v>#DIV/0!</v>
      </c>
      <c r="BM748" s="2" t="e">
        <f t="shared" si="572"/>
        <v>#DIV/0!</v>
      </c>
      <c r="BN748" s="2" t="e">
        <f t="shared" si="583"/>
        <v>#DIV/0!</v>
      </c>
    </row>
    <row r="749" spans="1:66" x14ac:dyDescent="0.25">
      <c r="A749" s="42">
        <v>746</v>
      </c>
      <c r="E749" s="6">
        <f t="shared" si="573"/>
        <v>0</v>
      </c>
      <c r="F749" s="5" t="str">
        <f t="shared" si="584"/>
        <v>Break Even</v>
      </c>
      <c r="G749" s="4">
        <f t="shared" si="585"/>
        <v>0</v>
      </c>
      <c r="N749" s="5">
        <f t="shared" si="586"/>
        <v>0</v>
      </c>
      <c r="O749" s="4" t="e">
        <f t="shared" si="587"/>
        <v>#DIV/0!</v>
      </c>
      <c r="P749" s="5">
        <f t="shared" si="546"/>
        <v>0</v>
      </c>
      <c r="R749" s="2">
        <f t="shared" si="590"/>
        <v>0</v>
      </c>
      <c r="T749" s="2">
        <f t="shared" si="574"/>
        <v>0</v>
      </c>
      <c r="V749" s="5">
        <f t="shared" si="588"/>
        <v>0</v>
      </c>
      <c r="W749" s="4" t="e">
        <f t="shared" si="589"/>
        <v>#DIV/0!</v>
      </c>
      <c r="X749" s="14">
        <f t="shared" si="547"/>
        <v>0</v>
      </c>
      <c r="Y749" s="5">
        <f t="shared" si="548"/>
        <v>0</v>
      </c>
      <c r="Z749" s="2">
        <f t="shared" si="549"/>
        <v>0</v>
      </c>
      <c r="AA749" s="4">
        <f t="shared" si="550"/>
        <v>0</v>
      </c>
      <c r="AB749" s="13">
        <f t="shared" si="551"/>
        <v>0</v>
      </c>
      <c r="AC749" s="10">
        <f>SUM($E$4:E749)</f>
        <v>-22024.091160220025</v>
      </c>
      <c r="AD749" s="20">
        <f>SUM($AB$4:AB749)</f>
        <v>13539.766460219998</v>
      </c>
      <c r="AF749" s="28" t="e">
        <f t="shared" si="552"/>
        <v>#DIV/0!</v>
      </c>
      <c r="AG749" s="2" t="e">
        <f t="shared" si="553"/>
        <v>#DIV/0!</v>
      </c>
      <c r="AH749" s="2" t="e">
        <f t="shared" si="554"/>
        <v>#DIV/0!</v>
      </c>
      <c r="AI749" s="2" t="e">
        <f t="shared" si="575"/>
        <v>#DIV/0!</v>
      </c>
      <c r="AJ749" s="2" t="e">
        <f t="shared" si="542"/>
        <v>#DIV/0!</v>
      </c>
      <c r="AK749" s="2" t="e">
        <f t="shared" si="555"/>
        <v>#DIV/0!</v>
      </c>
      <c r="AL749" s="2" t="e">
        <f t="shared" si="556"/>
        <v>#DIV/0!</v>
      </c>
      <c r="AM749" s="2" t="e">
        <f t="shared" si="576"/>
        <v>#DIV/0!</v>
      </c>
      <c r="AN749" s="2">
        <f t="shared" si="557"/>
        <v>0</v>
      </c>
      <c r="AO749" s="2" t="e">
        <f t="shared" si="558"/>
        <v>#DIV/0!</v>
      </c>
      <c r="AP749" s="2" t="e">
        <f t="shared" si="559"/>
        <v>#DIV/0!</v>
      </c>
      <c r="AQ749" s="2" t="e">
        <f t="shared" si="577"/>
        <v>#DIV/0!</v>
      </c>
      <c r="AR749" s="2" t="e">
        <f t="shared" si="543"/>
        <v>#DIV/0!</v>
      </c>
      <c r="AS749" s="2" t="e">
        <f t="shared" si="560"/>
        <v>#DIV/0!</v>
      </c>
      <c r="AT749" s="2" t="e">
        <f t="shared" si="561"/>
        <v>#DIV/0!</v>
      </c>
      <c r="AU749" s="2" t="e">
        <f t="shared" si="578"/>
        <v>#DIV/0!</v>
      </c>
      <c r="AV749" s="2" t="e">
        <f t="shared" si="562"/>
        <v>#DIV/0!</v>
      </c>
      <c r="AW749" s="2" t="e">
        <f t="shared" si="563"/>
        <v>#DIV/0!</v>
      </c>
      <c r="AX749" s="2" t="e">
        <f t="shared" si="564"/>
        <v>#DIV/0!</v>
      </c>
      <c r="AY749" s="2" t="e">
        <f t="shared" si="579"/>
        <v>#DIV/0!</v>
      </c>
      <c r="AZ749" s="2" t="e">
        <f t="shared" si="544"/>
        <v>#DIV/0!</v>
      </c>
      <c r="BA749" s="2" t="e">
        <f t="shared" si="565"/>
        <v>#DIV/0!</v>
      </c>
      <c r="BB749" s="2" t="e">
        <f t="shared" si="566"/>
        <v>#DIV/0!</v>
      </c>
      <c r="BC749" s="2" t="e">
        <f t="shared" si="580"/>
        <v>#DIV/0!</v>
      </c>
      <c r="BD749" s="2">
        <v>0</v>
      </c>
      <c r="BE749" s="2" t="e">
        <f t="shared" si="567"/>
        <v>#DIV/0!</v>
      </c>
      <c r="BF749" s="2" t="e">
        <f t="shared" si="568"/>
        <v>#DIV/0!</v>
      </c>
      <c r="BG749" s="2" t="e">
        <f t="shared" si="581"/>
        <v>#DIV/0!</v>
      </c>
      <c r="BH749" s="2" t="e">
        <f t="shared" si="545"/>
        <v>#DIV/0!</v>
      </c>
      <c r="BI749" s="2" t="e">
        <f t="shared" si="569"/>
        <v>#DIV/0!</v>
      </c>
      <c r="BJ749" s="2" t="e">
        <f t="shared" si="570"/>
        <v>#DIV/0!</v>
      </c>
      <c r="BK749" s="2" t="e">
        <f t="shared" si="582"/>
        <v>#DIV/0!</v>
      </c>
      <c r="BL749" s="2" t="e">
        <f t="shared" si="571"/>
        <v>#DIV/0!</v>
      </c>
      <c r="BM749" s="2" t="e">
        <f t="shared" si="572"/>
        <v>#DIV/0!</v>
      </c>
      <c r="BN749" s="2" t="e">
        <f t="shared" si="583"/>
        <v>#DIV/0!</v>
      </c>
    </row>
    <row r="750" spans="1:66" x14ac:dyDescent="0.25">
      <c r="A750" s="42">
        <v>747</v>
      </c>
      <c r="E750" s="6">
        <f t="shared" si="573"/>
        <v>0</v>
      </c>
      <c r="F750" s="5" t="str">
        <f t="shared" si="584"/>
        <v>Break Even</v>
      </c>
      <c r="G750" s="4">
        <f t="shared" si="585"/>
        <v>0</v>
      </c>
      <c r="N750" s="5">
        <f t="shared" si="586"/>
        <v>0</v>
      </c>
      <c r="O750" s="4" t="e">
        <f t="shared" si="587"/>
        <v>#DIV/0!</v>
      </c>
      <c r="P750" s="5">
        <f t="shared" si="546"/>
        <v>0</v>
      </c>
      <c r="R750" s="2">
        <f t="shared" si="590"/>
        <v>0</v>
      </c>
      <c r="T750" s="2">
        <f t="shared" si="574"/>
        <v>0</v>
      </c>
      <c r="V750" s="5">
        <f t="shared" si="588"/>
        <v>0</v>
      </c>
      <c r="W750" s="4" t="e">
        <f t="shared" si="589"/>
        <v>#DIV/0!</v>
      </c>
      <c r="X750" s="14">
        <f t="shared" si="547"/>
        <v>0</v>
      </c>
      <c r="Y750" s="5">
        <f t="shared" si="548"/>
        <v>0</v>
      </c>
      <c r="Z750" s="2">
        <f t="shared" si="549"/>
        <v>0</v>
      </c>
      <c r="AA750" s="4">
        <f t="shared" si="550"/>
        <v>0</v>
      </c>
      <c r="AB750" s="13">
        <f t="shared" si="551"/>
        <v>0</v>
      </c>
      <c r="AC750" s="10">
        <f>SUM($E$4:E750)</f>
        <v>-22024.091160220025</v>
      </c>
      <c r="AD750" s="20">
        <f>SUM($AB$4:AB750)</f>
        <v>13539.766460219998</v>
      </c>
      <c r="AF750" s="28" t="e">
        <f t="shared" si="552"/>
        <v>#DIV/0!</v>
      </c>
      <c r="AG750" s="2" t="e">
        <f t="shared" si="553"/>
        <v>#DIV/0!</v>
      </c>
      <c r="AH750" s="2" t="e">
        <f t="shared" si="554"/>
        <v>#DIV/0!</v>
      </c>
      <c r="AI750" s="2" t="e">
        <f t="shared" si="575"/>
        <v>#DIV/0!</v>
      </c>
      <c r="AJ750" s="2" t="e">
        <f t="shared" ref="AJ750:AJ813" si="591">0.18*AI750</f>
        <v>#DIV/0!</v>
      </c>
      <c r="AK750" s="2" t="e">
        <f t="shared" si="555"/>
        <v>#DIV/0!</v>
      </c>
      <c r="AL750" s="2" t="e">
        <f t="shared" si="556"/>
        <v>#DIV/0!</v>
      </c>
      <c r="AM750" s="2" t="e">
        <f t="shared" si="576"/>
        <v>#DIV/0!</v>
      </c>
      <c r="AN750" s="2">
        <f t="shared" si="557"/>
        <v>0</v>
      </c>
      <c r="AO750" s="2" t="e">
        <f t="shared" si="558"/>
        <v>#DIV/0!</v>
      </c>
      <c r="AP750" s="2" t="e">
        <f t="shared" si="559"/>
        <v>#DIV/0!</v>
      </c>
      <c r="AQ750" s="2" t="e">
        <f t="shared" si="577"/>
        <v>#DIV/0!</v>
      </c>
      <c r="AR750" s="2" t="e">
        <f t="shared" ref="AR750:AR813" si="592">0.18*AQ750</f>
        <v>#DIV/0!</v>
      </c>
      <c r="AS750" s="2" t="e">
        <f t="shared" si="560"/>
        <v>#DIV/0!</v>
      </c>
      <c r="AT750" s="2" t="e">
        <f t="shared" si="561"/>
        <v>#DIV/0!</v>
      </c>
      <c r="AU750" s="2" t="e">
        <f t="shared" si="578"/>
        <v>#DIV/0!</v>
      </c>
      <c r="AV750" s="2" t="e">
        <f t="shared" si="562"/>
        <v>#DIV/0!</v>
      </c>
      <c r="AW750" s="2" t="e">
        <f t="shared" si="563"/>
        <v>#DIV/0!</v>
      </c>
      <c r="AX750" s="2" t="e">
        <f t="shared" si="564"/>
        <v>#DIV/0!</v>
      </c>
      <c r="AY750" s="2" t="e">
        <f t="shared" si="579"/>
        <v>#DIV/0!</v>
      </c>
      <c r="AZ750" s="2" t="e">
        <f t="shared" ref="AZ750:AZ813" si="593">0.18*AY750</f>
        <v>#DIV/0!</v>
      </c>
      <c r="BA750" s="2" t="e">
        <f t="shared" si="565"/>
        <v>#DIV/0!</v>
      </c>
      <c r="BB750" s="2" t="e">
        <f t="shared" si="566"/>
        <v>#DIV/0!</v>
      </c>
      <c r="BC750" s="2" t="e">
        <f t="shared" si="580"/>
        <v>#DIV/0!</v>
      </c>
      <c r="BD750" s="2">
        <v>0</v>
      </c>
      <c r="BE750" s="2" t="e">
        <f t="shared" si="567"/>
        <v>#DIV/0!</v>
      </c>
      <c r="BF750" s="2" t="e">
        <f t="shared" si="568"/>
        <v>#DIV/0!</v>
      </c>
      <c r="BG750" s="2" t="e">
        <f t="shared" si="581"/>
        <v>#DIV/0!</v>
      </c>
      <c r="BH750" s="2" t="e">
        <f t="shared" ref="BH750:BH813" si="594">0.18*BG750</f>
        <v>#DIV/0!</v>
      </c>
      <c r="BI750" s="2" t="e">
        <f t="shared" si="569"/>
        <v>#DIV/0!</v>
      </c>
      <c r="BJ750" s="2" t="e">
        <f t="shared" si="570"/>
        <v>#DIV/0!</v>
      </c>
      <c r="BK750" s="2" t="e">
        <f t="shared" si="582"/>
        <v>#DIV/0!</v>
      </c>
      <c r="BL750" s="2" t="e">
        <f t="shared" si="571"/>
        <v>#DIV/0!</v>
      </c>
      <c r="BM750" s="2" t="e">
        <f t="shared" si="572"/>
        <v>#DIV/0!</v>
      </c>
      <c r="BN750" s="2" t="e">
        <f t="shared" si="583"/>
        <v>#DIV/0!</v>
      </c>
    </row>
    <row r="751" spans="1:66" x14ac:dyDescent="0.25">
      <c r="A751" s="42">
        <v>748</v>
      </c>
      <c r="E751" s="6">
        <f t="shared" si="573"/>
        <v>0</v>
      </c>
      <c r="F751" s="5" t="str">
        <f t="shared" si="584"/>
        <v>Break Even</v>
      </c>
      <c r="G751" s="4">
        <f t="shared" si="585"/>
        <v>0</v>
      </c>
      <c r="N751" s="5">
        <f t="shared" si="586"/>
        <v>0</v>
      </c>
      <c r="O751" s="4" t="e">
        <f t="shared" si="587"/>
        <v>#DIV/0!</v>
      </c>
      <c r="P751" s="5">
        <f t="shared" si="546"/>
        <v>0</v>
      </c>
      <c r="R751" s="2">
        <f t="shared" si="590"/>
        <v>0</v>
      </c>
      <c r="T751" s="2">
        <f t="shared" si="574"/>
        <v>0</v>
      </c>
      <c r="V751" s="5">
        <f t="shared" si="588"/>
        <v>0</v>
      </c>
      <c r="W751" s="4" t="e">
        <f t="shared" si="589"/>
        <v>#DIV/0!</v>
      </c>
      <c r="X751" s="14">
        <f t="shared" si="547"/>
        <v>0</v>
      </c>
      <c r="Y751" s="5">
        <f t="shared" si="548"/>
        <v>0</v>
      </c>
      <c r="Z751" s="2">
        <f t="shared" si="549"/>
        <v>0</v>
      </c>
      <c r="AA751" s="4">
        <f t="shared" si="550"/>
        <v>0</v>
      </c>
      <c r="AB751" s="13">
        <f t="shared" si="551"/>
        <v>0</v>
      </c>
      <c r="AC751" s="10">
        <f>SUM($E$4:E751)</f>
        <v>-22024.091160220025</v>
      </c>
      <c r="AD751" s="20">
        <f>SUM($AB$4:AB751)</f>
        <v>13539.766460219998</v>
      </c>
      <c r="AF751" s="28" t="e">
        <f t="shared" si="552"/>
        <v>#DIV/0!</v>
      </c>
      <c r="AG751" s="2" t="e">
        <f t="shared" si="553"/>
        <v>#DIV/0!</v>
      </c>
      <c r="AH751" s="2" t="e">
        <f t="shared" si="554"/>
        <v>#DIV/0!</v>
      </c>
      <c r="AI751" s="2" t="e">
        <f t="shared" si="575"/>
        <v>#DIV/0!</v>
      </c>
      <c r="AJ751" s="2" t="e">
        <f t="shared" si="591"/>
        <v>#DIV/0!</v>
      </c>
      <c r="AK751" s="2" t="e">
        <f t="shared" si="555"/>
        <v>#DIV/0!</v>
      </c>
      <c r="AL751" s="2" t="e">
        <f t="shared" si="556"/>
        <v>#DIV/0!</v>
      </c>
      <c r="AM751" s="2" t="e">
        <f t="shared" si="576"/>
        <v>#DIV/0!</v>
      </c>
      <c r="AN751" s="2">
        <f t="shared" si="557"/>
        <v>0</v>
      </c>
      <c r="AO751" s="2" t="e">
        <f t="shared" si="558"/>
        <v>#DIV/0!</v>
      </c>
      <c r="AP751" s="2" t="e">
        <f t="shared" si="559"/>
        <v>#DIV/0!</v>
      </c>
      <c r="AQ751" s="2" t="e">
        <f t="shared" si="577"/>
        <v>#DIV/0!</v>
      </c>
      <c r="AR751" s="2" t="e">
        <f t="shared" si="592"/>
        <v>#DIV/0!</v>
      </c>
      <c r="AS751" s="2" t="e">
        <f t="shared" si="560"/>
        <v>#DIV/0!</v>
      </c>
      <c r="AT751" s="2" t="e">
        <f t="shared" si="561"/>
        <v>#DIV/0!</v>
      </c>
      <c r="AU751" s="2" t="e">
        <f t="shared" si="578"/>
        <v>#DIV/0!</v>
      </c>
      <c r="AV751" s="2" t="e">
        <f t="shared" si="562"/>
        <v>#DIV/0!</v>
      </c>
      <c r="AW751" s="2" t="e">
        <f t="shared" si="563"/>
        <v>#DIV/0!</v>
      </c>
      <c r="AX751" s="2" t="e">
        <f t="shared" si="564"/>
        <v>#DIV/0!</v>
      </c>
      <c r="AY751" s="2" t="e">
        <f t="shared" si="579"/>
        <v>#DIV/0!</v>
      </c>
      <c r="AZ751" s="2" t="e">
        <f t="shared" si="593"/>
        <v>#DIV/0!</v>
      </c>
      <c r="BA751" s="2" t="e">
        <f t="shared" si="565"/>
        <v>#DIV/0!</v>
      </c>
      <c r="BB751" s="2" t="e">
        <f t="shared" si="566"/>
        <v>#DIV/0!</v>
      </c>
      <c r="BC751" s="2" t="e">
        <f t="shared" si="580"/>
        <v>#DIV/0!</v>
      </c>
      <c r="BD751" s="2">
        <v>0</v>
      </c>
      <c r="BE751" s="2" t="e">
        <f t="shared" si="567"/>
        <v>#DIV/0!</v>
      </c>
      <c r="BF751" s="2" t="e">
        <f t="shared" si="568"/>
        <v>#DIV/0!</v>
      </c>
      <c r="BG751" s="2" t="e">
        <f t="shared" si="581"/>
        <v>#DIV/0!</v>
      </c>
      <c r="BH751" s="2" t="e">
        <f t="shared" si="594"/>
        <v>#DIV/0!</v>
      </c>
      <c r="BI751" s="2" t="e">
        <f t="shared" si="569"/>
        <v>#DIV/0!</v>
      </c>
      <c r="BJ751" s="2" t="e">
        <f t="shared" si="570"/>
        <v>#DIV/0!</v>
      </c>
      <c r="BK751" s="2" t="e">
        <f t="shared" si="582"/>
        <v>#DIV/0!</v>
      </c>
      <c r="BL751" s="2" t="e">
        <f t="shared" si="571"/>
        <v>#DIV/0!</v>
      </c>
      <c r="BM751" s="2" t="e">
        <f t="shared" si="572"/>
        <v>#DIV/0!</v>
      </c>
      <c r="BN751" s="2" t="e">
        <f t="shared" si="583"/>
        <v>#DIV/0!</v>
      </c>
    </row>
    <row r="752" spans="1:66" x14ac:dyDescent="0.25">
      <c r="A752" s="42">
        <v>749</v>
      </c>
      <c r="E752" s="6">
        <f t="shared" si="573"/>
        <v>0</v>
      </c>
      <c r="F752" s="5" t="str">
        <f t="shared" si="584"/>
        <v>Break Even</v>
      </c>
      <c r="G752" s="4">
        <f t="shared" si="585"/>
        <v>0</v>
      </c>
      <c r="N752" s="5">
        <f t="shared" si="586"/>
        <v>0</v>
      </c>
      <c r="O752" s="4" t="e">
        <f t="shared" si="587"/>
        <v>#DIV/0!</v>
      </c>
      <c r="P752" s="5">
        <f t="shared" si="546"/>
        <v>0</v>
      </c>
      <c r="R752" s="2">
        <f t="shared" si="590"/>
        <v>0</v>
      </c>
      <c r="T752" s="2">
        <f t="shared" si="574"/>
        <v>0</v>
      </c>
      <c r="V752" s="5">
        <f t="shared" si="588"/>
        <v>0</v>
      </c>
      <c r="W752" s="4" t="e">
        <f t="shared" si="589"/>
        <v>#DIV/0!</v>
      </c>
      <c r="X752" s="14">
        <f t="shared" si="547"/>
        <v>0</v>
      </c>
      <c r="Y752" s="5">
        <f t="shared" si="548"/>
        <v>0</v>
      </c>
      <c r="Z752" s="2">
        <f t="shared" si="549"/>
        <v>0</v>
      </c>
      <c r="AA752" s="4">
        <f t="shared" si="550"/>
        <v>0</v>
      </c>
      <c r="AB752" s="13">
        <f t="shared" si="551"/>
        <v>0</v>
      </c>
      <c r="AC752" s="10">
        <f>SUM($E$4:E752)</f>
        <v>-22024.091160220025</v>
      </c>
      <c r="AD752" s="20">
        <f>SUM($AB$4:AB752)</f>
        <v>13539.766460219998</v>
      </c>
      <c r="AF752" s="28" t="e">
        <f t="shared" si="552"/>
        <v>#DIV/0!</v>
      </c>
      <c r="AG752" s="2" t="e">
        <f t="shared" si="553"/>
        <v>#DIV/0!</v>
      </c>
      <c r="AH752" s="2" t="e">
        <f t="shared" si="554"/>
        <v>#DIV/0!</v>
      </c>
      <c r="AI752" s="2" t="e">
        <f t="shared" si="575"/>
        <v>#DIV/0!</v>
      </c>
      <c r="AJ752" s="2" t="e">
        <f t="shared" si="591"/>
        <v>#DIV/0!</v>
      </c>
      <c r="AK752" s="2" t="e">
        <f t="shared" si="555"/>
        <v>#DIV/0!</v>
      </c>
      <c r="AL752" s="2" t="e">
        <f t="shared" si="556"/>
        <v>#DIV/0!</v>
      </c>
      <c r="AM752" s="2" t="e">
        <f t="shared" si="576"/>
        <v>#DIV/0!</v>
      </c>
      <c r="AN752" s="2">
        <f t="shared" si="557"/>
        <v>0</v>
      </c>
      <c r="AO752" s="2" t="e">
        <f t="shared" si="558"/>
        <v>#DIV/0!</v>
      </c>
      <c r="AP752" s="2" t="e">
        <f t="shared" si="559"/>
        <v>#DIV/0!</v>
      </c>
      <c r="AQ752" s="2" t="e">
        <f t="shared" si="577"/>
        <v>#DIV/0!</v>
      </c>
      <c r="AR752" s="2" t="e">
        <f t="shared" si="592"/>
        <v>#DIV/0!</v>
      </c>
      <c r="AS752" s="2" t="e">
        <f t="shared" si="560"/>
        <v>#DIV/0!</v>
      </c>
      <c r="AT752" s="2" t="e">
        <f t="shared" si="561"/>
        <v>#DIV/0!</v>
      </c>
      <c r="AU752" s="2" t="e">
        <f t="shared" si="578"/>
        <v>#DIV/0!</v>
      </c>
      <c r="AV752" s="2" t="e">
        <f t="shared" si="562"/>
        <v>#DIV/0!</v>
      </c>
      <c r="AW752" s="2" t="e">
        <f t="shared" si="563"/>
        <v>#DIV/0!</v>
      </c>
      <c r="AX752" s="2" t="e">
        <f t="shared" si="564"/>
        <v>#DIV/0!</v>
      </c>
      <c r="AY752" s="2" t="e">
        <f t="shared" si="579"/>
        <v>#DIV/0!</v>
      </c>
      <c r="AZ752" s="2" t="e">
        <f t="shared" si="593"/>
        <v>#DIV/0!</v>
      </c>
      <c r="BA752" s="2" t="e">
        <f t="shared" si="565"/>
        <v>#DIV/0!</v>
      </c>
      <c r="BB752" s="2" t="e">
        <f t="shared" si="566"/>
        <v>#DIV/0!</v>
      </c>
      <c r="BC752" s="2" t="e">
        <f t="shared" si="580"/>
        <v>#DIV/0!</v>
      </c>
      <c r="BD752" s="2">
        <v>0</v>
      </c>
      <c r="BE752" s="2" t="e">
        <f t="shared" si="567"/>
        <v>#DIV/0!</v>
      </c>
      <c r="BF752" s="2" t="e">
        <f t="shared" si="568"/>
        <v>#DIV/0!</v>
      </c>
      <c r="BG752" s="2" t="e">
        <f t="shared" si="581"/>
        <v>#DIV/0!</v>
      </c>
      <c r="BH752" s="2" t="e">
        <f t="shared" si="594"/>
        <v>#DIV/0!</v>
      </c>
      <c r="BI752" s="2" t="e">
        <f t="shared" si="569"/>
        <v>#DIV/0!</v>
      </c>
      <c r="BJ752" s="2" t="e">
        <f t="shared" si="570"/>
        <v>#DIV/0!</v>
      </c>
      <c r="BK752" s="2" t="e">
        <f t="shared" si="582"/>
        <v>#DIV/0!</v>
      </c>
      <c r="BL752" s="2" t="e">
        <f t="shared" si="571"/>
        <v>#DIV/0!</v>
      </c>
      <c r="BM752" s="2" t="e">
        <f t="shared" si="572"/>
        <v>#DIV/0!</v>
      </c>
      <c r="BN752" s="2" t="e">
        <f t="shared" si="583"/>
        <v>#DIV/0!</v>
      </c>
    </row>
    <row r="753" spans="1:66" x14ac:dyDescent="0.25">
      <c r="A753" s="42">
        <v>750</v>
      </c>
      <c r="E753" s="6">
        <f t="shared" si="573"/>
        <v>0</v>
      </c>
      <c r="F753" s="5" t="str">
        <f t="shared" si="584"/>
        <v>Break Even</v>
      </c>
      <c r="G753" s="4">
        <f t="shared" si="585"/>
        <v>0</v>
      </c>
      <c r="N753" s="5">
        <f t="shared" si="586"/>
        <v>0</v>
      </c>
      <c r="O753" s="4" t="e">
        <f t="shared" si="587"/>
        <v>#DIV/0!</v>
      </c>
      <c r="P753" s="5">
        <f t="shared" si="546"/>
        <v>0</v>
      </c>
      <c r="R753" s="2">
        <f t="shared" si="590"/>
        <v>0</v>
      </c>
      <c r="T753" s="2">
        <f t="shared" si="574"/>
        <v>0</v>
      </c>
      <c r="V753" s="5">
        <f t="shared" si="588"/>
        <v>0</v>
      </c>
      <c r="W753" s="4" t="e">
        <f t="shared" si="589"/>
        <v>#DIV/0!</v>
      </c>
      <c r="X753" s="14">
        <f t="shared" si="547"/>
        <v>0</v>
      </c>
      <c r="Y753" s="5">
        <f t="shared" si="548"/>
        <v>0</v>
      </c>
      <c r="Z753" s="2">
        <f t="shared" si="549"/>
        <v>0</v>
      </c>
      <c r="AA753" s="4">
        <f t="shared" si="550"/>
        <v>0</v>
      </c>
      <c r="AB753" s="13">
        <f t="shared" si="551"/>
        <v>0</v>
      </c>
      <c r="AC753" s="10">
        <f>SUM($E$4:E753)</f>
        <v>-22024.091160220025</v>
      </c>
      <c r="AD753" s="20">
        <f>SUM($AB$4:AB753)</f>
        <v>13539.766460219998</v>
      </c>
      <c r="AF753" s="28" t="e">
        <f t="shared" si="552"/>
        <v>#DIV/0!</v>
      </c>
      <c r="AG753" s="2" t="e">
        <f t="shared" si="553"/>
        <v>#DIV/0!</v>
      </c>
      <c r="AH753" s="2" t="e">
        <f t="shared" si="554"/>
        <v>#DIV/0!</v>
      </c>
      <c r="AI753" s="2" t="e">
        <f t="shared" si="575"/>
        <v>#DIV/0!</v>
      </c>
      <c r="AJ753" s="2" t="e">
        <f t="shared" si="591"/>
        <v>#DIV/0!</v>
      </c>
      <c r="AK753" s="2" t="e">
        <f t="shared" si="555"/>
        <v>#DIV/0!</v>
      </c>
      <c r="AL753" s="2" t="e">
        <f t="shared" si="556"/>
        <v>#DIV/0!</v>
      </c>
      <c r="AM753" s="2" t="e">
        <f t="shared" si="576"/>
        <v>#DIV/0!</v>
      </c>
      <c r="AN753" s="2">
        <f t="shared" si="557"/>
        <v>0</v>
      </c>
      <c r="AO753" s="2" t="e">
        <f t="shared" si="558"/>
        <v>#DIV/0!</v>
      </c>
      <c r="AP753" s="2" t="e">
        <f t="shared" si="559"/>
        <v>#DIV/0!</v>
      </c>
      <c r="AQ753" s="2" t="e">
        <f t="shared" si="577"/>
        <v>#DIV/0!</v>
      </c>
      <c r="AR753" s="2" t="e">
        <f t="shared" si="592"/>
        <v>#DIV/0!</v>
      </c>
      <c r="AS753" s="2" t="e">
        <f t="shared" si="560"/>
        <v>#DIV/0!</v>
      </c>
      <c r="AT753" s="2" t="e">
        <f t="shared" si="561"/>
        <v>#DIV/0!</v>
      </c>
      <c r="AU753" s="2" t="e">
        <f t="shared" si="578"/>
        <v>#DIV/0!</v>
      </c>
      <c r="AV753" s="2" t="e">
        <f t="shared" si="562"/>
        <v>#DIV/0!</v>
      </c>
      <c r="AW753" s="2" t="e">
        <f t="shared" si="563"/>
        <v>#DIV/0!</v>
      </c>
      <c r="AX753" s="2" t="e">
        <f t="shared" si="564"/>
        <v>#DIV/0!</v>
      </c>
      <c r="AY753" s="2" t="e">
        <f t="shared" si="579"/>
        <v>#DIV/0!</v>
      </c>
      <c r="AZ753" s="2" t="e">
        <f t="shared" si="593"/>
        <v>#DIV/0!</v>
      </c>
      <c r="BA753" s="2" t="e">
        <f t="shared" si="565"/>
        <v>#DIV/0!</v>
      </c>
      <c r="BB753" s="2" t="e">
        <f t="shared" si="566"/>
        <v>#DIV/0!</v>
      </c>
      <c r="BC753" s="2" t="e">
        <f t="shared" si="580"/>
        <v>#DIV/0!</v>
      </c>
      <c r="BD753" s="2">
        <v>0</v>
      </c>
      <c r="BE753" s="2" t="e">
        <f t="shared" si="567"/>
        <v>#DIV/0!</v>
      </c>
      <c r="BF753" s="2" t="e">
        <f t="shared" si="568"/>
        <v>#DIV/0!</v>
      </c>
      <c r="BG753" s="2" t="e">
        <f t="shared" si="581"/>
        <v>#DIV/0!</v>
      </c>
      <c r="BH753" s="2" t="e">
        <f t="shared" si="594"/>
        <v>#DIV/0!</v>
      </c>
      <c r="BI753" s="2" t="e">
        <f t="shared" si="569"/>
        <v>#DIV/0!</v>
      </c>
      <c r="BJ753" s="2" t="e">
        <f t="shared" si="570"/>
        <v>#DIV/0!</v>
      </c>
      <c r="BK753" s="2" t="e">
        <f t="shared" si="582"/>
        <v>#DIV/0!</v>
      </c>
      <c r="BL753" s="2" t="e">
        <f t="shared" si="571"/>
        <v>#DIV/0!</v>
      </c>
      <c r="BM753" s="2" t="e">
        <f t="shared" si="572"/>
        <v>#DIV/0!</v>
      </c>
      <c r="BN753" s="2" t="e">
        <f t="shared" si="583"/>
        <v>#DIV/0!</v>
      </c>
    </row>
    <row r="754" spans="1:66" x14ac:dyDescent="0.25">
      <c r="A754" s="42">
        <v>751</v>
      </c>
      <c r="E754" s="6">
        <f t="shared" si="573"/>
        <v>0</v>
      </c>
      <c r="F754" s="5" t="str">
        <f t="shared" si="584"/>
        <v>Break Even</v>
      </c>
      <c r="G754" s="4">
        <f t="shared" si="585"/>
        <v>0</v>
      </c>
      <c r="N754" s="5">
        <f t="shared" si="586"/>
        <v>0</v>
      </c>
      <c r="O754" s="4" t="e">
        <f t="shared" si="587"/>
        <v>#DIV/0!</v>
      </c>
      <c r="P754" s="5">
        <f t="shared" si="546"/>
        <v>0</v>
      </c>
      <c r="R754" s="2">
        <f t="shared" si="590"/>
        <v>0</v>
      </c>
      <c r="T754" s="2">
        <f t="shared" si="574"/>
        <v>0</v>
      </c>
      <c r="V754" s="5">
        <f t="shared" si="588"/>
        <v>0</v>
      </c>
      <c r="W754" s="4" t="e">
        <f t="shared" si="589"/>
        <v>#DIV/0!</v>
      </c>
      <c r="X754" s="14">
        <f t="shared" si="547"/>
        <v>0</v>
      </c>
      <c r="Y754" s="5">
        <f t="shared" si="548"/>
        <v>0</v>
      </c>
      <c r="Z754" s="2">
        <f t="shared" si="549"/>
        <v>0</v>
      </c>
      <c r="AA754" s="4">
        <f t="shared" si="550"/>
        <v>0</v>
      </c>
      <c r="AB754" s="13">
        <f t="shared" si="551"/>
        <v>0</v>
      </c>
      <c r="AC754" s="10">
        <f>SUM($E$4:E754)</f>
        <v>-22024.091160220025</v>
      </c>
      <c r="AD754" s="20">
        <f>SUM($AB$4:AB754)</f>
        <v>13539.766460219998</v>
      </c>
      <c r="AF754" s="28" t="e">
        <f t="shared" si="552"/>
        <v>#DIV/0!</v>
      </c>
      <c r="AG754" s="2" t="e">
        <f t="shared" si="553"/>
        <v>#DIV/0!</v>
      </c>
      <c r="AH754" s="2" t="e">
        <f t="shared" si="554"/>
        <v>#DIV/0!</v>
      </c>
      <c r="AI754" s="2" t="e">
        <f t="shared" si="575"/>
        <v>#DIV/0!</v>
      </c>
      <c r="AJ754" s="2" t="e">
        <f t="shared" si="591"/>
        <v>#DIV/0!</v>
      </c>
      <c r="AK754" s="2" t="e">
        <f t="shared" si="555"/>
        <v>#DIV/0!</v>
      </c>
      <c r="AL754" s="2" t="e">
        <f t="shared" si="556"/>
        <v>#DIV/0!</v>
      </c>
      <c r="AM754" s="2" t="e">
        <f t="shared" si="576"/>
        <v>#DIV/0!</v>
      </c>
      <c r="AN754" s="2">
        <f t="shared" si="557"/>
        <v>0</v>
      </c>
      <c r="AO754" s="2" t="e">
        <f t="shared" si="558"/>
        <v>#DIV/0!</v>
      </c>
      <c r="AP754" s="2" t="e">
        <f t="shared" si="559"/>
        <v>#DIV/0!</v>
      </c>
      <c r="AQ754" s="2" t="e">
        <f t="shared" si="577"/>
        <v>#DIV/0!</v>
      </c>
      <c r="AR754" s="2" t="e">
        <f t="shared" si="592"/>
        <v>#DIV/0!</v>
      </c>
      <c r="AS754" s="2" t="e">
        <f t="shared" si="560"/>
        <v>#DIV/0!</v>
      </c>
      <c r="AT754" s="2" t="e">
        <f t="shared" si="561"/>
        <v>#DIV/0!</v>
      </c>
      <c r="AU754" s="2" t="e">
        <f t="shared" si="578"/>
        <v>#DIV/0!</v>
      </c>
      <c r="AV754" s="2" t="e">
        <f t="shared" si="562"/>
        <v>#DIV/0!</v>
      </c>
      <c r="AW754" s="2" t="e">
        <f t="shared" si="563"/>
        <v>#DIV/0!</v>
      </c>
      <c r="AX754" s="2" t="e">
        <f t="shared" si="564"/>
        <v>#DIV/0!</v>
      </c>
      <c r="AY754" s="2" t="e">
        <f t="shared" si="579"/>
        <v>#DIV/0!</v>
      </c>
      <c r="AZ754" s="2" t="e">
        <f t="shared" si="593"/>
        <v>#DIV/0!</v>
      </c>
      <c r="BA754" s="2" t="e">
        <f t="shared" si="565"/>
        <v>#DIV/0!</v>
      </c>
      <c r="BB754" s="2" t="e">
        <f t="shared" si="566"/>
        <v>#DIV/0!</v>
      </c>
      <c r="BC754" s="2" t="e">
        <f t="shared" si="580"/>
        <v>#DIV/0!</v>
      </c>
      <c r="BD754" s="2">
        <v>0</v>
      </c>
      <c r="BE754" s="2" t="e">
        <f t="shared" si="567"/>
        <v>#DIV/0!</v>
      </c>
      <c r="BF754" s="2" t="e">
        <f t="shared" si="568"/>
        <v>#DIV/0!</v>
      </c>
      <c r="BG754" s="2" t="e">
        <f t="shared" si="581"/>
        <v>#DIV/0!</v>
      </c>
      <c r="BH754" s="2" t="e">
        <f t="shared" si="594"/>
        <v>#DIV/0!</v>
      </c>
      <c r="BI754" s="2" t="e">
        <f t="shared" si="569"/>
        <v>#DIV/0!</v>
      </c>
      <c r="BJ754" s="2" t="e">
        <f t="shared" si="570"/>
        <v>#DIV/0!</v>
      </c>
      <c r="BK754" s="2" t="e">
        <f t="shared" si="582"/>
        <v>#DIV/0!</v>
      </c>
      <c r="BL754" s="2" t="e">
        <f t="shared" si="571"/>
        <v>#DIV/0!</v>
      </c>
      <c r="BM754" s="2" t="e">
        <f t="shared" si="572"/>
        <v>#DIV/0!</v>
      </c>
      <c r="BN754" s="2" t="e">
        <f t="shared" si="583"/>
        <v>#DIV/0!</v>
      </c>
    </row>
    <row r="755" spans="1:66" x14ac:dyDescent="0.25">
      <c r="A755" s="42">
        <v>752</v>
      </c>
      <c r="E755" s="6">
        <f t="shared" si="573"/>
        <v>0</v>
      </c>
      <c r="F755" s="5" t="str">
        <f t="shared" si="584"/>
        <v>Break Even</v>
      </c>
      <c r="G755" s="4">
        <f t="shared" si="585"/>
        <v>0</v>
      </c>
      <c r="N755" s="5">
        <f t="shared" si="586"/>
        <v>0</v>
      </c>
      <c r="O755" s="4" t="e">
        <f t="shared" si="587"/>
        <v>#DIV/0!</v>
      </c>
      <c r="P755" s="5">
        <f t="shared" si="546"/>
        <v>0</v>
      </c>
      <c r="R755" s="2">
        <f t="shared" si="590"/>
        <v>0</v>
      </c>
      <c r="T755" s="2">
        <f t="shared" si="574"/>
        <v>0</v>
      </c>
      <c r="V755" s="5">
        <f t="shared" si="588"/>
        <v>0</v>
      </c>
      <c r="W755" s="4" t="e">
        <f t="shared" si="589"/>
        <v>#DIV/0!</v>
      </c>
      <c r="X755" s="14">
        <f t="shared" si="547"/>
        <v>0</v>
      </c>
      <c r="Y755" s="5">
        <f t="shared" si="548"/>
        <v>0</v>
      </c>
      <c r="Z755" s="2">
        <f t="shared" si="549"/>
        <v>0</v>
      </c>
      <c r="AA755" s="4">
        <f t="shared" si="550"/>
        <v>0</v>
      </c>
      <c r="AB755" s="13">
        <f t="shared" si="551"/>
        <v>0</v>
      </c>
      <c r="AC755" s="10">
        <f>SUM($E$4:E755)</f>
        <v>-22024.091160220025</v>
      </c>
      <c r="AD755" s="20">
        <f>SUM($AB$4:AB755)</f>
        <v>13539.766460219998</v>
      </c>
      <c r="AF755" s="28" t="e">
        <f t="shared" si="552"/>
        <v>#DIV/0!</v>
      </c>
      <c r="AG755" s="2" t="e">
        <f t="shared" si="553"/>
        <v>#DIV/0!</v>
      </c>
      <c r="AH755" s="2" t="e">
        <f t="shared" si="554"/>
        <v>#DIV/0!</v>
      </c>
      <c r="AI755" s="2" t="e">
        <f t="shared" si="575"/>
        <v>#DIV/0!</v>
      </c>
      <c r="AJ755" s="2" t="e">
        <f t="shared" si="591"/>
        <v>#DIV/0!</v>
      </c>
      <c r="AK755" s="2" t="e">
        <f t="shared" si="555"/>
        <v>#DIV/0!</v>
      </c>
      <c r="AL755" s="2" t="e">
        <f t="shared" si="556"/>
        <v>#DIV/0!</v>
      </c>
      <c r="AM755" s="2" t="e">
        <f t="shared" si="576"/>
        <v>#DIV/0!</v>
      </c>
      <c r="AN755" s="2">
        <f t="shared" si="557"/>
        <v>0</v>
      </c>
      <c r="AO755" s="2" t="e">
        <f t="shared" si="558"/>
        <v>#DIV/0!</v>
      </c>
      <c r="AP755" s="2" t="e">
        <f t="shared" si="559"/>
        <v>#DIV/0!</v>
      </c>
      <c r="AQ755" s="2" t="e">
        <f t="shared" si="577"/>
        <v>#DIV/0!</v>
      </c>
      <c r="AR755" s="2" t="e">
        <f t="shared" si="592"/>
        <v>#DIV/0!</v>
      </c>
      <c r="AS755" s="2" t="e">
        <f t="shared" si="560"/>
        <v>#DIV/0!</v>
      </c>
      <c r="AT755" s="2" t="e">
        <f t="shared" si="561"/>
        <v>#DIV/0!</v>
      </c>
      <c r="AU755" s="2" t="e">
        <f t="shared" si="578"/>
        <v>#DIV/0!</v>
      </c>
      <c r="AV755" s="2" t="e">
        <f t="shared" si="562"/>
        <v>#DIV/0!</v>
      </c>
      <c r="AW755" s="2" t="e">
        <f t="shared" si="563"/>
        <v>#DIV/0!</v>
      </c>
      <c r="AX755" s="2" t="e">
        <f t="shared" si="564"/>
        <v>#DIV/0!</v>
      </c>
      <c r="AY755" s="2" t="e">
        <f t="shared" si="579"/>
        <v>#DIV/0!</v>
      </c>
      <c r="AZ755" s="2" t="e">
        <f t="shared" si="593"/>
        <v>#DIV/0!</v>
      </c>
      <c r="BA755" s="2" t="e">
        <f t="shared" si="565"/>
        <v>#DIV/0!</v>
      </c>
      <c r="BB755" s="2" t="e">
        <f t="shared" si="566"/>
        <v>#DIV/0!</v>
      </c>
      <c r="BC755" s="2" t="e">
        <f t="shared" si="580"/>
        <v>#DIV/0!</v>
      </c>
      <c r="BD755" s="2">
        <v>0</v>
      </c>
      <c r="BE755" s="2" t="e">
        <f t="shared" si="567"/>
        <v>#DIV/0!</v>
      </c>
      <c r="BF755" s="2" t="e">
        <f t="shared" si="568"/>
        <v>#DIV/0!</v>
      </c>
      <c r="BG755" s="2" t="e">
        <f t="shared" si="581"/>
        <v>#DIV/0!</v>
      </c>
      <c r="BH755" s="2" t="e">
        <f t="shared" si="594"/>
        <v>#DIV/0!</v>
      </c>
      <c r="BI755" s="2" t="e">
        <f t="shared" si="569"/>
        <v>#DIV/0!</v>
      </c>
      <c r="BJ755" s="2" t="e">
        <f t="shared" si="570"/>
        <v>#DIV/0!</v>
      </c>
      <c r="BK755" s="2" t="e">
        <f t="shared" si="582"/>
        <v>#DIV/0!</v>
      </c>
      <c r="BL755" s="2" t="e">
        <f t="shared" si="571"/>
        <v>#DIV/0!</v>
      </c>
      <c r="BM755" s="2" t="e">
        <f t="shared" si="572"/>
        <v>#DIV/0!</v>
      </c>
      <c r="BN755" s="2" t="e">
        <f t="shared" si="583"/>
        <v>#DIV/0!</v>
      </c>
    </row>
    <row r="756" spans="1:66" x14ac:dyDescent="0.25">
      <c r="A756" s="42">
        <v>753</v>
      </c>
      <c r="E756" s="6">
        <f t="shared" si="573"/>
        <v>0</v>
      </c>
      <c r="F756" s="5" t="str">
        <f t="shared" si="584"/>
        <v>Break Even</v>
      </c>
      <c r="G756" s="4">
        <f t="shared" si="585"/>
        <v>0</v>
      </c>
      <c r="N756" s="5">
        <f t="shared" si="586"/>
        <v>0</v>
      </c>
      <c r="O756" s="4" t="e">
        <f t="shared" si="587"/>
        <v>#DIV/0!</v>
      </c>
      <c r="P756" s="5">
        <f t="shared" si="546"/>
        <v>0</v>
      </c>
      <c r="R756" s="2">
        <f t="shared" si="590"/>
        <v>0</v>
      </c>
      <c r="T756" s="2">
        <f t="shared" si="574"/>
        <v>0</v>
      </c>
      <c r="V756" s="5">
        <f t="shared" si="588"/>
        <v>0</v>
      </c>
      <c r="W756" s="4" t="e">
        <f t="shared" si="589"/>
        <v>#DIV/0!</v>
      </c>
      <c r="X756" s="14">
        <f t="shared" si="547"/>
        <v>0</v>
      </c>
      <c r="Y756" s="5">
        <f t="shared" si="548"/>
        <v>0</v>
      </c>
      <c r="Z756" s="2">
        <f t="shared" si="549"/>
        <v>0</v>
      </c>
      <c r="AA756" s="4">
        <f t="shared" si="550"/>
        <v>0</v>
      </c>
      <c r="AB756" s="13">
        <f t="shared" si="551"/>
        <v>0</v>
      </c>
      <c r="AC756" s="10">
        <f>SUM($E$4:E756)</f>
        <v>-22024.091160220025</v>
      </c>
      <c r="AD756" s="20">
        <f>SUM($AB$4:AB756)</f>
        <v>13539.766460219998</v>
      </c>
      <c r="AF756" s="28" t="e">
        <f t="shared" si="552"/>
        <v>#DIV/0!</v>
      </c>
      <c r="AG756" s="2" t="e">
        <f t="shared" si="553"/>
        <v>#DIV/0!</v>
      </c>
      <c r="AH756" s="2" t="e">
        <f t="shared" si="554"/>
        <v>#DIV/0!</v>
      </c>
      <c r="AI756" s="2" t="e">
        <f t="shared" si="575"/>
        <v>#DIV/0!</v>
      </c>
      <c r="AJ756" s="2" t="e">
        <f t="shared" si="591"/>
        <v>#DIV/0!</v>
      </c>
      <c r="AK756" s="2" t="e">
        <f t="shared" si="555"/>
        <v>#DIV/0!</v>
      </c>
      <c r="AL756" s="2" t="e">
        <f t="shared" si="556"/>
        <v>#DIV/0!</v>
      </c>
      <c r="AM756" s="2" t="e">
        <f t="shared" si="576"/>
        <v>#DIV/0!</v>
      </c>
      <c r="AN756" s="2">
        <f t="shared" si="557"/>
        <v>0</v>
      </c>
      <c r="AO756" s="2" t="e">
        <f t="shared" si="558"/>
        <v>#DIV/0!</v>
      </c>
      <c r="AP756" s="2" t="e">
        <f t="shared" si="559"/>
        <v>#DIV/0!</v>
      </c>
      <c r="AQ756" s="2" t="e">
        <f t="shared" si="577"/>
        <v>#DIV/0!</v>
      </c>
      <c r="AR756" s="2" t="e">
        <f t="shared" si="592"/>
        <v>#DIV/0!</v>
      </c>
      <c r="AS756" s="2" t="e">
        <f t="shared" si="560"/>
        <v>#DIV/0!</v>
      </c>
      <c r="AT756" s="2" t="e">
        <f t="shared" si="561"/>
        <v>#DIV/0!</v>
      </c>
      <c r="AU756" s="2" t="e">
        <f t="shared" si="578"/>
        <v>#DIV/0!</v>
      </c>
      <c r="AV756" s="2" t="e">
        <f t="shared" si="562"/>
        <v>#DIV/0!</v>
      </c>
      <c r="AW756" s="2" t="e">
        <f t="shared" si="563"/>
        <v>#DIV/0!</v>
      </c>
      <c r="AX756" s="2" t="e">
        <f t="shared" si="564"/>
        <v>#DIV/0!</v>
      </c>
      <c r="AY756" s="2" t="e">
        <f t="shared" si="579"/>
        <v>#DIV/0!</v>
      </c>
      <c r="AZ756" s="2" t="e">
        <f t="shared" si="593"/>
        <v>#DIV/0!</v>
      </c>
      <c r="BA756" s="2" t="e">
        <f t="shared" si="565"/>
        <v>#DIV/0!</v>
      </c>
      <c r="BB756" s="2" t="e">
        <f t="shared" si="566"/>
        <v>#DIV/0!</v>
      </c>
      <c r="BC756" s="2" t="e">
        <f t="shared" si="580"/>
        <v>#DIV/0!</v>
      </c>
      <c r="BD756" s="2">
        <v>0</v>
      </c>
      <c r="BE756" s="2" t="e">
        <f t="shared" si="567"/>
        <v>#DIV/0!</v>
      </c>
      <c r="BF756" s="2" t="e">
        <f t="shared" si="568"/>
        <v>#DIV/0!</v>
      </c>
      <c r="BG756" s="2" t="e">
        <f t="shared" si="581"/>
        <v>#DIV/0!</v>
      </c>
      <c r="BH756" s="2" t="e">
        <f t="shared" si="594"/>
        <v>#DIV/0!</v>
      </c>
      <c r="BI756" s="2" t="e">
        <f t="shared" si="569"/>
        <v>#DIV/0!</v>
      </c>
      <c r="BJ756" s="2" t="e">
        <f t="shared" si="570"/>
        <v>#DIV/0!</v>
      </c>
      <c r="BK756" s="2" t="e">
        <f t="shared" si="582"/>
        <v>#DIV/0!</v>
      </c>
      <c r="BL756" s="2" t="e">
        <f t="shared" si="571"/>
        <v>#DIV/0!</v>
      </c>
      <c r="BM756" s="2" t="e">
        <f t="shared" si="572"/>
        <v>#DIV/0!</v>
      </c>
      <c r="BN756" s="2" t="e">
        <f t="shared" si="583"/>
        <v>#DIV/0!</v>
      </c>
    </row>
    <row r="757" spans="1:66" x14ac:dyDescent="0.25">
      <c r="A757" s="42">
        <v>754</v>
      </c>
      <c r="E757" s="6">
        <f t="shared" si="573"/>
        <v>0</v>
      </c>
      <c r="F757" s="5" t="str">
        <f t="shared" si="584"/>
        <v>Break Even</v>
      </c>
      <c r="G757" s="4">
        <f t="shared" si="585"/>
        <v>0</v>
      </c>
      <c r="N757" s="5">
        <f t="shared" si="586"/>
        <v>0</v>
      </c>
      <c r="O757" s="4" t="e">
        <f t="shared" si="587"/>
        <v>#DIV/0!</v>
      </c>
      <c r="P757" s="5">
        <f t="shared" si="546"/>
        <v>0</v>
      </c>
      <c r="R757" s="2">
        <f t="shared" si="590"/>
        <v>0</v>
      </c>
      <c r="T757" s="2">
        <f t="shared" si="574"/>
        <v>0</v>
      </c>
      <c r="V757" s="5">
        <f t="shared" si="588"/>
        <v>0</v>
      </c>
      <c r="W757" s="4" t="e">
        <f t="shared" si="589"/>
        <v>#DIV/0!</v>
      </c>
      <c r="X757" s="14">
        <f t="shared" si="547"/>
        <v>0</v>
      </c>
      <c r="Y757" s="5">
        <f t="shared" si="548"/>
        <v>0</v>
      </c>
      <c r="Z757" s="2">
        <f t="shared" si="549"/>
        <v>0</v>
      </c>
      <c r="AA757" s="4">
        <f t="shared" si="550"/>
        <v>0</v>
      </c>
      <c r="AB757" s="13">
        <f t="shared" si="551"/>
        <v>0</v>
      </c>
      <c r="AC757" s="10">
        <f>SUM($E$4:E757)</f>
        <v>-22024.091160220025</v>
      </c>
      <c r="AD757" s="20">
        <f>SUM($AB$4:AB757)</f>
        <v>13539.766460219998</v>
      </c>
      <c r="AF757" s="28" t="e">
        <f t="shared" si="552"/>
        <v>#DIV/0!</v>
      </c>
      <c r="AG757" s="2" t="e">
        <f t="shared" si="553"/>
        <v>#DIV/0!</v>
      </c>
      <c r="AH757" s="2" t="e">
        <f t="shared" si="554"/>
        <v>#DIV/0!</v>
      </c>
      <c r="AI757" s="2" t="e">
        <f t="shared" si="575"/>
        <v>#DIV/0!</v>
      </c>
      <c r="AJ757" s="2" t="e">
        <f t="shared" si="591"/>
        <v>#DIV/0!</v>
      </c>
      <c r="AK757" s="2" t="e">
        <f t="shared" si="555"/>
        <v>#DIV/0!</v>
      </c>
      <c r="AL757" s="2" t="e">
        <f t="shared" si="556"/>
        <v>#DIV/0!</v>
      </c>
      <c r="AM757" s="2" t="e">
        <f t="shared" si="576"/>
        <v>#DIV/0!</v>
      </c>
      <c r="AN757" s="2">
        <f t="shared" si="557"/>
        <v>0</v>
      </c>
      <c r="AO757" s="2" t="e">
        <f t="shared" si="558"/>
        <v>#DIV/0!</v>
      </c>
      <c r="AP757" s="2" t="e">
        <f t="shared" si="559"/>
        <v>#DIV/0!</v>
      </c>
      <c r="AQ757" s="2" t="e">
        <f t="shared" si="577"/>
        <v>#DIV/0!</v>
      </c>
      <c r="AR757" s="2" t="e">
        <f t="shared" si="592"/>
        <v>#DIV/0!</v>
      </c>
      <c r="AS757" s="2" t="e">
        <f t="shared" si="560"/>
        <v>#DIV/0!</v>
      </c>
      <c r="AT757" s="2" t="e">
        <f t="shared" si="561"/>
        <v>#DIV/0!</v>
      </c>
      <c r="AU757" s="2" t="e">
        <f t="shared" si="578"/>
        <v>#DIV/0!</v>
      </c>
      <c r="AV757" s="2" t="e">
        <f t="shared" si="562"/>
        <v>#DIV/0!</v>
      </c>
      <c r="AW757" s="2" t="e">
        <f t="shared" si="563"/>
        <v>#DIV/0!</v>
      </c>
      <c r="AX757" s="2" t="e">
        <f t="shared" si="564"/>
        <v>#DIV/0!</v>
      </c>
      <c r="AY757" s="2" t="e">
        <f t="shared" si="579"/>
        <v>#DIV/0!</v>
      </c>
      <c r="AZ757" s="2" t="e">
        <f t="shared" si="593"/>
        <v>#DIV/0!</v>
      </c>
      <c r="BA757" s="2" t="e">
        <f t="shared" si="565"/>
        <v>#DIV/0!</v>
      </c>
      <c r="BB757" s="2" t="e">
        <f t="shared" si="566"/>
        <v>#DIV/0!</v>
      </c>
      <c r="BC757" s="2" t="e">
        <f t="shared" si="580"/>
        <v>#DIV/0!</v>
      </c>
      <c r="BD757" s="2">
        <v>0</v>
      </c>
      <c r="BE757" s="2" t="e">
        <f t="shared" si="567"/>
        <v>#DIV/0!</v>
      </c>
      <c r="BF757" s="2" t="e">
        <f t="shared" si="568"/>
        <v>#DIV/0!</v>
      </c>
      <c r="BG757" s="2" t="e">
        <f t="shared" si="581"/>
        <v>#DIV/0!</v>
      </c>
      <c r="BH757" s="2" t="e">
        <f t="shared" si="594"/>
        <v>#DIV/0!</v>
      </c>
      <c r="BI757" s="2" t="e">
        <f t="shared" si="569"/>
        <v>#DIV/0!</v>
      </c>
      <c r="BJ757" s="2" t="e">
        <f t="shared" si="570"/>
        <v>#DIV/0!</v>
      </c>
      <c r="BK757" s="2" t="e">
        <f t="shared" si="582"/>
        <v>#DIV/0!</v>
      </c>
      <c r="BL757" s="2" t="e">
        <f t="shared" si="571"/>
        <v>#DIV/0!</v>
      </c>
      <c r="BM757" s="2" t="e">
        <f t="shared" si="572"/>
        <v>#DIV/0!</v>
      </c>
      <c r="BN757" s="2" t="e">
        <f t="shared" si="583"/>
        <v>#DIV/0!</v>
      </c>
    </row>
    <row r="758" spans="1:66" x14ac:dyDescent="0.25">
      <c r="A758" s="42">
        <v>755</v>
      </c>
      <c r="E758" s="6">
        <f t="shared" si="573"/>
        <v>0</v>
      </c>
      <c r="F758" s="5" t="str">
        <f t="shared" si="584"/>
        <v>Break Even</v>
      </c>
      <c r="G758" s="4">
        <f t="shared" si="585"/>
        <v>0</v>
      </c>
      <c r="N758" s="5">
        <f t="shared" si="586"/>
        <v>0</v>
      </c>
      <c r="O758" s="4" t="e">
        <f t="shared" si="587"/>
        <v>#DIV/0!</v>
      </c>
      <c r="P758" s="5">
        <f t="shared" si="546"/>
        <v>0</v>
      </c>
      <c r="R758" s="2">
        <f t="shared" si="590"/>
        <v>0</v>
      </c>
      <c r="T758" s="2">
        <f t="shared" si="574"/>
        <v>0</v>
      </c>
      <c r="V758" s="5">
        <f t="shared" si="588"/>
        <v>0</v>
      </c>
      <c r="W758" s="4" t="e">
        <f t="shared" si="589"/>
        <v>#DIV/0!</v>
      </c>
      <c r="X758" s="14">
        <f t="shared" si="547"/>
        <v>0</v>
      </c>
      <c r="Y758" s="5">
        <f t="shared" si="548"/>
        <v>0</v>
      </c>
      <c r="Z758" s="2">
        <f t="shared" si="549"/>
        <v>0</v>
      </c>
      <c r="AA758" s="4">
        <f t="shared" si="550"/>
        <v>0</v>
      </c>
      <c r="AB758" s="13">
        <f t="shared" si="551"/>
        <v>0</v>
      </c>
      <c r="AC758" s="10">
        <f>SUM($E$4:E758)</f>
        <v>-22024.091160220025</v>
      </c>
      <c r="AD758" s="20">
        <f>SUM($AB$4:AB758)</f>
        <v>13539.766460219998</v>
      </c>
      <c r="AF758" s="28" t="e">
        <f t="shared" si="552"/>
        <v>#DIV/0!</v>
      </c>
      <c r="AG758" s="2" t="e">
        <f t="shared" si="553"/>
        <v>#DIV/0!</v>
      </c>
      <c r="AH758" s="2" t="e">
        <f t="shared" si="554"/>
        <v>#DIV/0!</v>
      </c>
      <c r="AI758" s="2" t="e">
        <f t="shared" si="575"/>
        <v>#DIV/0!</v>
      </c>
      <c r="AJ758" s="2" t="e">
        <f t="shared" si="591"/>
        <v>#DIV/0!</v>
      </c>
      <c r="AK758" s="2" t="e">
        <f t="shared" si="555"/>
        <v>#DIV/0!</v>
      </c>
      <c r="AL758" s="2" t="e">
        <f t="shared" si="556"/>
        <v>#DIV/0!</v>
      </c>
      <c r="AM758" s="2" t="e">
        <f t="shared" si="576"/>
        <v>#DIV/0!</v>
      </c>
      <c r="AN758" s="2">
        <f t="shared" si="557"/>
        <v>0</v>
      </c>
      <c r="AO758" s="2" t="e">
        <f t="shared" si="558"/>
        <v>#DIV/0!</v>
      </c>
      <c r="AP758" s="2" t="e">
        <f t="shared" si="559"/>
        <v>#DIV/0!</v>
      </c>
      <c r="AQ758" s="2" t="e">
        <f t="shared" si="577"/>
        <v>#DIV/0!</v>
      </c>
      <c r="AR758" s="2" t="e">
        <f t="shared" si="592"/>
        <v>#DIV/0!</v>
      </c>
      <c r="AS758" s="2" t="e">
        <f t="shared" si="560"/>
        <v>#DIV/0!</v>
      </c>
      <c r="AT758" s="2" t="e">
        <f t="shared" si="561"/>
        <v>#DIV/0!</v>
      </c>
      <c r="AU758" s="2" t="e">
        <f t="shared" si="578"/>
        <v>#DIV/0!</v>
      </c>
      <c r="AV758" s="2" t="e">
        <f t="shared" si="562"/>
        <v>#DIV/0!</v>
      </c>
      <c r="AW758" s="2" t="e">
        <f t="shared" si="563"/>
        <v>#DIV/0!</v>
      </c>
      <c r="AX758" s="2" t="e">
        <f t="shared" si="564"/>
        <v>#DIV/0!</v>
      </c>
      <c r="AY758" s="2" t="e">
        <f t="shared" si="579"/>
        <v>#DIV/0!</v>
      </c>
      <c r="AZ758" s="2" t="e">
        <f t="shared" si="593"/>
        <v>#DIV/0!</v>
      </c>
      <c r="BA758" s="2" t="e">
        <f t="shared" si="565"/>
        <v>#DIV/0!</v>
      </c>
      <c r="BB758" s="2" t="e">
        <f t="shared" si="566"/>
        <v>#DIV/0!</v>
      </c>
      <c r="BC758" s="2" t="e">
        <f t="shared" si="580"/>
        <v>#DIV/0!</v>
      </c>
      <c r="BD758" s="2">
        <v>0</v>
      </c>
      <c r="BE758" s="2" t="e">
        <f t="shared" si="567"/>
        <v>#DIV/0!</v>
      </c>
      <c r="BF758" s="2" t="e">
        <f t="shared" si="568"/>
        <v>#DIV/0!</v>
      </c>
      <c r="BG758" s="2" t="e">
        <f t="shared" si="581"/>
        <v>#DIV/0!</v>
      </c>
      <c r="BH758" s="2" t="e">
        <f t="shared" si="594"/>
        <v>#DIV/0!</v>
      </c>
      <c r="BI758" s="2" t="e">
        <f t="shared" si="569"/>
        <v>#DIV/0!</v>
      </c>
      <c r="BJ758" s="2" t="e">
        <f t="shared" si="570"/>
        <v>#DIV/0!</v>
      </c>
      <c r="BK758" s="2" t="e">
        <f t="shared" si="582"/>
        <v>#DIV/0!</v>
      </c>
      <c r="BL758" s="2" t="e">
        <f t="shared" si="571"/>
        <v>#DIV/0!</v>
      </c>
      <c r="BM758" s="2" t="e">
        <f t="shared" si="572"/>
        <v>#DIV/0!</v>
      </c>
      <c r="BN758" s="2" t="e">
        <f t="shared" si="583"/>
        <v>#DIV/0!</v>
      </c>
    </row>
    <row r="759" spans="1:66" x14ac:dyDescent="0.25">
      <c r="A759" s="42">
        <v>756</v>
      </c>
      <c r="E759" s="6">
        <f t="shared" si="573"/>
        <v>0</v>
      </c>
      <c r="F759" s="5" t="str">
        <f t="shared" si="584"/>
        <v>Break Even</v>
      </c>
      <c r="G759" s="4">
        <f t="shared" si="585"/>
        <v>0</v>
      </c>
      <c r="N759" s="5">
        <f t="shared" si="586"/>
        <v>0</v>
      </c>
      <c r="O759" s="4" t="e">
        <f t="shared" si="587"/>
        <v>#DIV/0!</v>
      </c>
      <c r="P759" s="5">
        <f t="shared" si="546"/>
        <v>0</v>
      </c>
      <c r="R759" s="2">
        <f t="shared" si="590"/>
        <v>0</v>
      </c>
      <c r="T759" s="2">
        <f t="shared" si="574"/>
        <v>0</v>
      </c>
      <c r="V759" s="5">
        <f t="shared" si="588"/>
        <v>0</v>
      </c>
      <c r="W759" s="4" t="e">
        <f t="shared" si="589"/>
        <v>#DIV/0!</v>
      </c>
      <c r="X759" s="14">
        <f t="shared" si="547"/>
        <v>0</v>
      </c>
      <c r="Y759" s="5">
        <f t="shared" si="548"/>
        <v>0</v>
      </c>
      <c r="Z759" s="2">
        <f t="shared" si="549"/>
        <v>0</v>
      </c>
      <c r="AA759" s="4">
        <f t="shared" si="550"/>
        <v>0</v>
      </c>
      <c r="AB759" s="13">
        <f t="shared" si="551"/>
        <v>0</v>
      </c>
      <c r="AC759" s="10">
        <f>SUM($E$4:E759)</f>
        <v>-22024.091160220025</v>
      </c>
      <c r="AD759" s="20">
        <f>SUM($AB$4:AB759)</f>
        <v>13539.766460219998</v>
      </c>
      <c r="AF759" s="28" t="e">
        <f t="shared" si="552"/>
        <v>#DIV/0!</v>
      </c>
      <c r="AG759" s="2" t="e">
        <f t="shared" si="553"/>
        <v>#DIV/0!</v>
      </c>
      <c r="AH759" s="2" t="e">
        <f t="shared" si="554"/>
        <v>#DIV/0!</v>
      </c>
      <c r="AI759" s="2" t="e">
        <f t="shared" si="575"/>
        <v>#DIV/0!</v>
      </c>
      <c r="AJ759" s="2" t="e">
        <f t="shared" si="591"/>
        <v>#DIV/0!</v>
      </c>
      <c r="AK759" s="2" t="e">
        <f t="shared" si="555"/>
        <v>#DIV/0!</v>
      </c>
      <c r="AL759" s="2" t="e">
        <f t="shared" si="556"/>
        <v>#DIV/0!</v>
      </c>
      <c r="AM759" s="2" t="e">
        <f t="shared" si="576"/>
        <v>#DIV/0!</v>
      </c>
      <c r="AN759" s="2">
        <f t="shared" si="557"/>
        <v>0</v>
      </c>
      <c r="AO759" s="2" t="e">
        <f t="shared" si="558"/>
        <v>#DIV/0!</v>
      </c>
      <c r="AP759" s="2" t="e">
        <f t="shared" si="559"/>
        <v>#DIV/0!</v>
      </c>
      <c r="AQ759" s="2" t="e">
        <f t="shared" si="577"/>
        <v>#DIV/0!</v>
      </c>
      <c r="AR759" s="2" t="e">
        <f t="shared" si="592"/>
        <v>#DIV/0!</v>
      </c>
      <c r="AS759" s="2" t="e">
        <f t="shared" si="560"/>
        <v>#DIV/0!</v>
      </c>
      <c r="AT759" s="2" t="e">
        <f t="shared" si="561"/>
        <v>#DIV/0!</v>
      </c>
      <c r="AU759" s="2" t="e">
        <f t="shared" si="578"/>
        <v>#DIV/0!</v>
      </c>
      <c r="AV759" s="2" t="e">
        <f t="shared" si="562"/>
        <v>#DIV/0!</v>
      </c>
      <c r="AW759" s="2" t="e">
        <f t="shared" si="563"/>
        <v>#DIV/0!</v>
      </c>
      <c r="AX759" s="2" t="e">
        <f t="shared" si="564"/>
        <v>#DIV/0!</v>
      </c>
      <c r="AY759" s="2" t="e">
        <f t="shared" si="579"/>
        <v>#DIV/0!</v>
      </c>
      <c r="AZ759" s="2" t="e">
        <f t="shared" si="593"/>
        <v>#DIV/0!</v>
      </c>
      <c r="BA759" s="2" t="e">
        <f t="shared" si="565"/>
        <v>#DIV/0!</v>
      </c>
      <c r="BB759" s="2" t="e">
        <f t="shared" si="566"/>
        <v>#DIV/0!</v>
      </c>
      <c r="BC759" s="2" t="e">
        <f t="shared" si="580"/>
        <v>#DIV/0!</v>
      </c>
      <c r="BD759" s="2">
        <v>0</v>
      </c>
      <c r="BE759" s="2" t="e">
        <f t="shared" si="567"/>
        <v>#DIV/0!</v>
      </c>
      <c r="BF759" s="2" t="e">
        <f t="shared" si="568"/>
        <v>#DIV/0!</v>
      </c>
      <c r="BG759" s="2" t="e">
        <f t="shared" si="581"/>
        <v>#DIV/0!</v>
      </c>
      <c r="BH759" s="2" t="e">
        <f t="shared" si="594"/>
        <v>#DIV/0!</v>
      </c>
      <c r="BI759" s="2" t="e">
        <f t="shared" si="569"/>
        <v>#DIV/0!</v>
      </c>
      <c r="BJ759" s="2" t="e">
        <f t="shared" si="570"/>
        <v>#DIV/0!</v>
      </c>
      <c r="BK759" s="2" t="e">
        <f t="shared" si="582"/>
        <v>#DIV/0!</v>
      </c>
      <c r="BL759" s="2" t="e">
        <f t="shared" si="571"/>
        <v>#DIV/0!</v>
      </c>
      <c r="BM759" s="2" t="e">
        <f t="shared" si="572"/>
        <v>#DIV/0!</v>
      </c>
      <c r="BN759" s="2" t="e">
        <f t="shared" si="583"/>
        <v>#DIV/0!</v>
      </c>
    </row>
    <row r="760" spans="1:66" x14ac:dyDescent="0.25">
      <c r="A760" s="42">
        <v>757</v>
      </c>
      <c r="E760" s="6">
        <f t="shared" si="573"/>
        <v>0</v>
      </c>
      <c r="F760" s="5" t="str">
        <f t="shared" si="584"/>
        <v>Break Even</v>
      </c>
      <c r="G760" s="4">
        <f t="shared" si="585"/>
        <v>0</v>
      </c>
      <c r="N760" s="5">
        <f t="shared" si="586"/>
        <v>0</v>
      </c>
      <c r="O760" s="4" t="e">
        <f t="shared" si="587"/>
        <v>#DIV/0!</v>
      </c>
      <c r="P760" s="5">
        <f t="shared" si="546"/>
        <v>0</v>
      </c>
      <c r="R760" s="2">
        <f t="shared" si="590"/>
        <v>0</v>
      </c>
      <c r="T760" s="2">
        <f t="shared" si="574"/>
        <v>0</v>
      </c>
      <c r="V760" s="5">
        <f t="shared" si="588"/>
        <v>0</v>
      </c>
      <c r="W760" s="4" t="e">
        <f t="shared" si="589"/>
        <v>#DIV/0!</v>
      </c>
      <c r="X760" s="14">
        <f t="shared" si="547"/>
        <v>0</v>
      </c>
      <c r="Y760" s="5">
        <f t="shared" si="548"/>
        <v>0</v>
      </c>
      <c r="Z760" s="2">
        <f t="shared" si="549"/>
        <v>0</v>
      </c>
      <c r="AA760" s="4">
        <f t="shared" si="550"/>
        <v>0</v>
      </c>
      <c r="AB760" s="13">
        <f t="shared" si="551"/>
        <v>0</v>
      </c>
      <c r="AC760" s="10">
        <f>SUM($E$4:E760)</f>
        <v>-22024.091160220025</v>
      </c>
      <c r="AD760" s="20">
        <f>SUM($AB$4:AB760)</f>
        <v>13539.766460219998</v>
      </c>
      <c r="AF760" s="28" t="e">
        <f t="shared" si="552"/>
        <v>#DIV/0!</v>
      </c>
      <c r="AG760" s="2" t="e">
        <f t="shared" si="553"/>
        <v>#DIV/0!</v>
      </c>
      <c r="AH760" s="2" t="e">
        <f t="shared" si="554"/>
        <v>#DIV/0!</v>
      </c>
      <c r="AI760" s="2" t="e">
        <f t="shared" si="575"/>
        <v>#DIV/0!</v>
      </c>
      <c r="AJ760" s="2" t="e">
        <f t="shared" si="591"/>
        <v>#DIV/0!</v>
      </c>
      <c r="AK760" s="2" t="e">
        <f t="shared" si="555"/>
        <v>#DIV/0!</v>
      </c>
      <c r="AL760" s="2" t="e">
        <f t="shared" si="556"/>
        <v>#DIV/0!</v>
      </c>
      <c r="AM760" s="2" t="e">
        <f t="shared" si="576"/>
        <v>#DIV/0!</v>
      </c>
      <c r="AN760" s="2">
        <f t="shared" si="557"/>
        <v>0</v>
      </c>
      <c r="AO760" s="2" t="e">
        <f t="shared" si="558"/>
        <v>#DIV/0!</v>
      </c>
      <c r="AP760" s="2" t="e">
        <f t="shared" si="559"/>
        <v>#DIV/0!</v>
      </c>
      <c r="AQ760" s="2" t="e">
        <f t="shared" si="577"/>
        <v>#DIV/0!</v>
      </c>
      <c r="AR760" s="2" t="e">
        <f t="shared" si="592"/>
        <v>#DIV/0!</v>
      </c>
      <c r="AS760" s="2" t="e">
        <f t="shared" si="560"/>
        <v>#DIV/0!</v>
      </c>
      <c r="AT760" s="2" t="e">
        <f t="shared" si="561"/>
        <v>#DIV/0!</v>
      </c>
      <c r="AU760" s="2" t="e">
        <f t="shared" si="578"/>
        <v>#DIV/0!</v>
      </c>
      <c r="AV760" s="2" t="e">
        <f t="shared" si="562"/>
        <v>#DIV/0!</v>
      </c>
      <c r="AW760" s="2" t="e">
        <f t="shared" si="563"/>
        <v>#DIV/0!</v>
      </c>
      <c r="AX760" s="2" t="e">
        <f t="shared" si="564"/>
        <v>#DIV/0!</v>
      </c>
      <c r="AY760" s="2" t="e">
        <f t="shared" si="579"/>
        <v>#DIV/0!</v>
      </c>
      <c r="AZ760" s="2" t="e">
        <f t="shared" si="593"/>
        <v>#DIV/0!</v>
      </c>
      <c r="BA760" s="2" t="e">
        <f t="shared" si="565"/>
        <v>#DIV/0!</v>
      </c>
      <c r="BB760" s="2" t="e">
        <f t="shared" si="566"/>
        <v>#DIV/0!</v>
      </c>
      <c r="BC760" s="2" t="e">
        <f t="shared" si="580"/>
        <v>#DIV/0!</v>
      </c>
      <c r="BD760" s="2">
        <v>0</v>
      </c>
      <c r="BE760" s="2" t="e">
        <f t="shared" si="567"/>
        <v>#DIV/0!</v>
      </c>
      <c r="BF760" s="2" t="e">
        <f t="shared" si="568"/>
        <v>#DIV/0!</v>
      </c>
      <c r="BG760" s="2" t="e">
        <f t="shared" si="581"/>
        <v>#DIV/0!</v>
      </c>
      <c r="BH760" s="2" t="e">
        <f t="shared" si="594"/>
        <v>#DIV/0!</v>
      </c>
      <c r="BI760" s="2" t="e">
        <f t="shared" si="569"/>
        <v>#DIV/0!</v>
      </c>
      <c r="BJ760" s="2" t="e">
        <f t="shared" si="570"/>
        <v>#DIV/0!</v>
      </c>
      <c r="BK760" s="2" t="e">
        <f t="shared" si="582"/>
        <v>#DIV/0!</v>
      </c>
      <c r="BL760" s="2" t="e">
        <f t="shared" si="571"/>
        <v>#DIV/0!</v>
      </c>
      <c r="BM760" s="2" t="e">
        <f t="shared" si="572"/>
        <v>#DIV/0!</v>
      </c>
      <c r="BN760" s="2" t="e">
        <f t="shared" si="583"/>
        <v>#DIV/0!</v>
      </c>
    </row>
    <row r="761" spans="1:66" x14ac:dyDescent="0.25">
      <c r="A761" s="42">
        <v>758</v>
      </c>
      <c r="E761" s="6">
        <f t="shared" si="573"/>
        <v>0</v>
      </c>
      <c r="F761" s="5" t="str">
        <f t="shared" si="584"/>
        <v>Break Even</v>
      </c>
      <c r="G761" s="4">
        <f t="shared" si="585"/>
        <v>0</v>
      </c>
      <c r="N761" s="5">
        <f t="shared" si="586"/>
        <v>0</v>
      </c>
      <c r="O761" s="4" t="e">
        <f t="shared" si="587"/>
        <v>#DIV/0!</v>
      </c>
      <c r="P761" s="5">
        <f t="shared" si="546"/>
        <v>0</v>
      </c>
      <c r="R761" s="2">
        <f t="shared" si="590"/>
        <v>0</v>
      </c>
      <c r="T761" s="2">
        <f t="shared" si="574"/>
        <v>0</v>
      </c>
      <c r="V761" s="5">
        <f t="shared" si="588"/>
        <v>0</v>
      </c>
      <c r="W761" s="4" t="e">
        <f t="shared" si="589"/>
        <v>#DIV/0!</v>
      </c>
      <c r="X761" s="14">
        <f t="shared" si="547"/>
        <v>0</v>
      </c>
      <c r="Y761" s="5">
        <f t="shared" si="548"/>
        <v>0</v>
      </c>
      <c r="Z761" s="2">
        <f t="shared" si="549"/>
        <v>0</v>
      </c>
      <c r="AA761" s="4">
        <f t="shared" si="550"/>
        <v>0</v>
      </c>
      <c r="AB761" s="13">
        <f t="shared" si="551"/>
        <v>0</v>
      </c>
      <c r="AC761" s="10">
        <f>SUM($E$4:E761)</f>
        <v>-22024.091160220025</v>
      </c>
      <c r="AD761" s="20">
        <f>SUM($AB$4:AB761)</f>
        <v>13539.766460219998</v>
      </c>
      <c r="AF761" s="28" t="e">
        <f t="shared" si="552"/>
        <v>#DIV/0!</v>
      </c>
      <c r="AG761" s="2" t="e">
        <f t="shared" si="553"/>
        <v>#DIV/0!</v>
      </c>
      <c r="AH761" s="2" t="e">
        <f t="shared" si="554"/>
        <v>#DIV/0!</v>
      </c>
      <c r="AI761" s="2" t="e">
        <f t="shared" si="575"/>
        <v>#DIV/0!</v>
      </c>
      <c r="AJ761" s="2" t="e">
        <f t="shared" si="591"/>
        <v>#DIV/0!</v>
      </c>
      <c r="AK761" s="2" t="e">
        <f t="shared" si="555"/>
        <v>#DIV/0!</v>
      </c>
      <c r="AL761" s="2" t="e">
        <f t="shared" si="556"/>
        <v>#DIV/0!</v>
      </c>
      <c r="AM761" s="2" t="e">
        <f t="shared" si="576"/>
        <v>#DIV/0!</v>
      </c>
      <c r="AN761" s="2">
        <f t="shared" si="557"/>
        <v>0</v>
      </c>
      <c r="AO761" s="2" t="e">
        <f t="shared" si="558"/>
        <v>#DIV/0!</v>
      </c>
      <c r="AP761" s="2" t="e">
        <f t="shared" si="559"/>
        <v>#DIV/0!</v>
      </c>
      <c r="AQ761" s="2" t="e">
        <f t="shared" si="577"/>
        <v>#DIV/0!</v>
      </c>
      <c r="AR761" s="2" t="e">
        <f t="shared" si="592"/>
        <v>#DIV/0!</v>
      </c>
      <c r="AS761" s="2" t="e">
        <f t="shared" si="560"/>
        <v>#DIV/0!</v>
      </c>
      <c r="AT761" s="2" t="e">
        <f t="shared" si="561"/>
        <v>#DIV/0!</v>
      </c>
      <c r="AU761" s="2" t="e">
        <f t="shared" si="578"/>
        <v>#DIV/0!</v>
      </c>
      <c r="AV761" s="2" t="e">
        <f t="shared" si="562"/>
        <v>#DIV/0!</v>
      </c>
      <c r="AW761" s="2" t="e">
        <f t="shared" si="563"/>
        <v>#DIV/0!</v>
      </c>
      <c r="AX761" s="2" t="e">
        <f t="shared" si="564"/>
        <v>#DIV/0!</v>
      </c>
      <c r="AY761" s="2" t="e">
        <f t="shared" si="579"/>
        <v>#DIV/0!</v>
      </c>
      <c r="AZ761" s="2" t="e">
        <f t="shared" si="593"/>
        <v>#DIV/0!</v>
      </c>
      <c r="BA761" s="2" t="e">
        <f t="shared" si="565"/>
        <v>#DIV/0!</v>
      </c>
      <c r="BB761" s="2" t="e">
        <f t="shared" si="566"/>
        <v>#DIV/0!</v>
      </c>
      <c r="BC761" s="2" t="e">
        <f t="shared" si="580"/>
        <v>#DIV/0!</v>
      </c>
      <c r="BD761" s="2">
        <v>0</v>
      </c>
      <c r="BE761" s="2" t="e">
        <f t="shared" si="567"/>
        <v>#DIV/0!</v>
      </c>
      <c r="BF761" s="2" t="e">
        <f t="shared" si="568"/>
        <v>#DIV/0!</v>
      </c>
      <c r="BG761" s="2" t="e">
        <f t="shared" si="581"/>
        <v>#DIV/0!</v>
      </c>
      <c r="BH761" s="2" t="e">
        <f t="shared" si="594"/>
        <v>#DIV/0!</v>
      </c>
      <c r="BI761" s="2" t="e">
        <f t="shared" si="569"/>
        <v>#DIV/0!</v>
      </c>
      <c r="BJ761" s="2" t="e">
        <f t="shared" si="570"/>
        <v>#DIV/0!</v>
      </c>
      <c r="BK761" s="2" t="e">
        <f t="shared" si="582"/>
        <v>#DIV/0!</v>
      </c>
      <c r="BL761" s="2" t="e">
        <f t="shared" si="571"/>
        <v>#DIV/0!</v>
      </c>
      <c r="BM761" s="2" t="e">
        <f t="shared" si="572"/>
        <v>#DIV/0!</v>
      </c>
      <c r="BN761" s="2" t="e">
        <f t="shared" si="583"/>
        <v>#DIV/0!</v>
      </c>
    </row>
    <row r="762" spans="1:66" x14ac:dyDescent="0.25">
      <c r="A762" s="42">
        <v>759</v>
      </c>
      <c r="E762" s="6">
        <f t="shared" si="573"/>
        <v>0</v>
      </c>
      <c r="F762" s="5" t="str">
        <f t="shared" si="584"/>
        <v>Break Even</v>
      </c>
      <c r="G762" s="4">
        <f t="shared" si="585"/>
        <v>0</v>
      </c>
      <c r="N762" s="5">
        <f t="shared" si="586"/>
        <v>0</v>
      </c>
      <c r="O762" s="4" t="e">
        <f t="shared" si="587"/>
        <v>#DIV/0!</v>
      </c>
      <c r="P762" s="5">
        <f t="shared" si="546"/>
        <v>0</v>
      </c>
      <c r="R762" s="2">
        <f t="shared" si="590"/>
        <v>0</v>
      </c>
      <c r="T762" s="2">
        <f t="shared" si="574"/>
        <v>0</v>
      </c>
      <c r="V762" s="5">
        <f t="shared" si="588"/>
        <v>0</v>
      </c>
      <c r="W762" s="4" t="e">
        <f t="shared" si="589"/>
        <v>#DIV/0!</v>
      </c>
      <c r="X762" s="14">
        <f t="shared" si="547"/>
        <v>0</v>
      </c>
      <c r="Y762" s="5">
        <f t="shared" si="548"/>
        <v>0</v>
      </c>
      <c r="Z762" s="2">
        <f t="shared" si="549"/>
        <v>0</v>
      </c>
      <c r="AA762" s="4">
        <f t="shared" si="550"/>
        <v>0</v>
      </c>
      <c r="AB762" s="13">
        <f t="shared" si="551"/>
        <v>0</v>
      </c>
      <c r="AC762" s="10">
        <f>SUM($E$4:E762)</f>
        <v>-22024.091160220025</v>
      </c>
      <c r="AD762" s="20">
        <f>SUM($AB$4:AB762)</f>
        <v>13539.766460219998</v>
      </c>
      <c r="AF762" s="28" t="e">
        <f t="shared" si="552"/>
        <v>#DIV/0!</v>
      </c>
      <c r="AG762" s="2" t="e">
        <f t="shared" si="553"/>
        <v>#DIV/0!</v>
      </c>
      <c r="AH762" s="2" t="e">
        <f t="shared" si="554"/>
        <v>#DIV/0!</v>
      </c>
      <c r="AI762" s="2" t="e">
        <f t="shared" si="575"/>
        <v>#DIV/0!</v>
      </c>
      <c r="AJ762" s="2" t="e">
        <f t="shared" si="591"/>
        <v>#DIV/0!</v>
      </c>
      <c r="AK762" s="2" t="e">
        <f t="shared" si="555"/>
        <v>#DIV/0!</v>
      </c>
      <c r="AL762" s="2" t="e">
        <f t="shared" si="556"/>
        <v>#DIV/0!</v>
      </c>
      <c r="AM762" s="2" t="e">
        <f t="shared" si="576"/>
        <v>#DIV/0!</v>
      </c>
      <c r="AN762" s="2">
        <f t="shared" si="557"/>
        <v>0</v>
      </c>
      <c r="AO762" s="2" t="e">
        <f t="shared" si="558"/>
        <v>#DIV/0!</v>
      </c>
      <c r="AP762" s="2" t="e">
        <f t="shared" si="559"/>
        <v>#DIV/0!</v>
      </c>
      <c r="AQ762" s="2" t="e">
        <f t="shared" si="577"/>
        <v>#DIV/0!</v>
      </c>
      <c r="AR762" s="2" t="e">
        <f t="shared" si="592"/>
        <v>#DIV/0!</v>
      </c>
      <c r="AS762" s="2" t="e">
        <f t="shared" si="560"/>
        <v>#DIV/0!</v>
      </c>
      <c r="AT762" s="2" t="e">
        <f t="shared" si="561"/>
        <v>#DIV/0!</v>
      </c>
      <c r="AU762" s="2" t="e">
        <f t="shared" si="578"/>
        <v>#DIV/0!</v>
      </c>
      <c r="AV762" s="2" t="e">
        <f t="shared" si="562"/>
        <v>#DIV/0!</v>
      </c>
      <c r="AW762" s="2" t="e">
        <f t="shared" si="563"/>
        <v>#DIV/0!</v>
      </c>
      <c r="AX762" s="2" t="e">
        <f t="shared" si="564"/>
        <v>#DIV/0!</v>
      </c>
      <c r="AY762" s="2" t="e">
        <f t="shared" si="579"/>
        <v>#DIV/0!</v>
      </c>
      <c r="AZ762" s="2" t="e">
        <f t="shared" si="593"/>
        <v>#DIV/0!</v>
      </c>
      <c r="BA762" s="2" t="e">
        <f t="shared" si="565"/>
        <v>#DIV/0!</v>
      </c>
      <c r="BB762" s="2" t="e">
        <f t="shared" si="566"/>
        <v>#DIV/0!</v>
      </c>
      <c r="BC762" s="2" t="e">
        <f t="shared" si="580"/>
        <v>#DIV/0!</v>
      </c>
      <c r="BD762" s="2">
        <v>0</v>
      </c>
      <c r="BE762" s="2" t="e">
        <f t="shared" si="567"/>
        <v>#DIV/0!</v>
      </c>
      <c r="BF762" s="2" t="e">
        <f t="shared" si="568"/>
        <v>#DIV/0!</v>
      </c>
      <c r="BG762" s="2" t="e">
        <f t="shared" si="581"/>
        <v>#DIV/0!</v>
      </c>
      <c r="BH762" s="2" t="e">
        <f t="shared" si="594"/>
        <v>#DIV/0!</v>
      </c>
      <c r="BI762" s="2" t="e">
        <f t="shared" si="569"/>
        <v>#DIV/0!</v>
      </c>
      <c r="BJ762" s="2" t="e">
        <f t="shared" si="570"/>
        <v>#DIV/0!</v>
      </c>
      <c r="BK762" s="2" t="e">
        <f t="shared" si="582"/>
        <v>#DIV/0!</v>
      </c>
      <c r="BL762" s="2" t="e">
        <f t="shared" si="571"/>
        <v>#DIV/0!</v>
      </c>
      <c r="BM762" s="2" t="e">
        <f t="shared" si="572"/>
        <v>#DIV/0!</v>
      </c>
      <c r="BN762" s="2" t="e">
        <f t="shared" si="583"/>
        <v>#DIV/0!</v>
      </c>
    </row>
    <row r="763" spans="1:66" x14ac:dyDescent="0.25">
      <c r="A763" s="42">
        <v>760</v>
      </c>
      <c r="E763" s="6">
        <f t="shared" si="573"/>
        <v>0</v>
      </c>
      <c r="F763" s="5" t="str">
        <f t="shared" si="584"/>
        <v>Break Even</v>
      </c>
      <c r="G763" s="4">
        <f t="shared" si="585"/>
        <v>0</v>
      </c>
      <c r="N763" s="5">
        <f t="shared" si="586"/>
        <v>0</v>
      </c>
      <c r="O763" s="4" t="e">
        <f t="shared" si="587"/>
        <v>#DIV/0!</v>
      </c>
      <c r="P763" s="5">
        <f t="shared" si="546"/>
        <v>0</v>
      </c>
      <c r="R763" s="2">
        <f t="shared" si="590"/>
        <v>0</v>
      </c>
      <c r="T763" s="2">
        <f t="shared" si="574"/>
        <v>0</v>
      </c>
      <c r="V763" s="5">
        <f t="shared" si="588"/>
        <v>0</v>
      </c>
      <c r="W763" s="4" t="e">
        <f t="shared" si="589"/>
        <v>#DIV/0!</v>
      </c>
      <c r="X763" s="14">
        <f t="shared" si="547"/>
        <v>0</v>
      </c>
      <c r="Y763" s="5">
        <f t="shared" si="548"/>
        <v>0</v>
      </c>
      <c r="Z763" s="2">
        <f t="shared" si="549"/>
        <v>0</v>
      </c>
      <c r="AA763" s="4">
        <f t="shared" si="550"/>
        <v>0</v>
      </c>
      <c r="AB763" s="13">
        <f t="shared" si="551"/>
        <v>0</v>
      </c>
      <c r="AC763" s="10">
        <f>SUM($E$4:E763)</f>
        <v>-22024.091160220025</v>
      </c>
      <c r="AD763" s="20">
        <f>SUM($AB$4:AB763)</f>
        <v>13539.766460219998</v>
      </c>
      <c r="AF763" s="28" t="e">
        <f t="shared" si="552"/>
        <v>#DIV/0!</v>
      </c>
      <c r="AG763" s="2" t="e">
        <f t="shared" si="553"/>
        <v>#DIV/0!</v>
      </c>
      <c r="AH763" s="2" t="e">
        <f t="shared" si="554"/>
        <v>#DIV/0!</v>
      </c>
      <c r="AI763" s="2" t="e">
        <f t="shared" si="575"/>
        <v>#DIV/0!</v>
      </c>
      <c r="AJ763" s="2" t="e">
        <f t="shared" si="591"/>
        <v>#DIV/0!</v>
      </c>
      <c r="AK763" s="2" t="e">
        <f t="shared" si="555"/>
        <v>#DIV/0!</v>
      </c>
      <c r="AL763" s="2" t="e">
        <f t="shared" si="556"/>
        <v>#DIV/0!</v>
      </c>
      <c r="AM763" s="2" t="e">
        <f t="shared" si="576"/>
        <v>#DIV/0!</v>
      </c>
      <c r="AN763" s="2">
        <f t="shared" si="557"/>
        <v>0</v>
      </c>
      <c r="AO763" s="2" t="e">
        <f t="shared" si="558"/>
        <v>#DIV/0!</v>
      </c>
      <c r="AP763" s="2" t="e">
        <f t="shared" si="559"/>
        <v>#DIV/0!</v>
      </c>
      <c r="AQ763" s="2" t="e">
        <f t="shared" si="577"/>
        <v>#DIV/0!</v>
      </c>
      <c r="AR763" s="2" t="e">
        <f t="shared" si="592"/>
        <v>#DIV/0!</v>
      </c>
      <c r="AS763" s="2" t="e">
        <f t="shared" si="560"/>
        <v>#DIV/0!</v>
      </c>
      <c r="AT763" s="2" t="e">
        <f t="shared" si="561"/>
        <v>#DIV/0!</v>
      </c>
      <c r="AU763" s="2" t="e">
        <f t="shared" si="578"/>
        <v>#DIV/0!</v>
      </c>
      <c r="AV763" s="2" t="e">
        <f t="shared" si="562"/>
        <v>#DIV/0!</v>
      </c>
      <c r="AW763" s="2" t="e">
        <f t="shared" si="563"/>
        <v>#DIV/0!</v>
      </c>
      <c r="AX763" s="2" t="e">
        <f t="shared" si="564"/>
        <v>#DIV/0!</v>
      </c>
      <c r="AY763" s="2" t="e">
        <f t="shared" si="579"/>
        <v>#DIV/0!</v>
      </c>
      <c r="AZ763" s="2" t="e">
        <f t="shared" si="593"/>
        <v>#DIV/0!</v>
      </c>
      <c r="BA763" s="2" t="e">
        <f t="shared" si="565"/>
        <v>#DIV/0!</v>
      </c>
      <c r="BB763" s="2" t="e">
        <f t="shared" si="566"/>
        <v>#DIV/0!</v>
      </c>
      <c r="BC763" s="2" t="e">
        <f t="shared" si="580"/>
        <v>#DIV/0!</v>
      </c>
      <c r="BD763" s="2">
        <v>0</v>
      </c>
      <c r="BE763" s="2" t="e">
        <f t="shared" si="567"/>
        <v>#DIV/0!</v>
      </c>
      <c r="BF763" s="2" t="e">
        <f t="shared" si="568"/>
        <v>#DIV/0!</v>
      </c>
      <c r="BG763" s="2" t="e">
        <f t="shared" si="581"/>
        <v>#DIV/0!</v>
      </c>
      <c r="BH763" s="2" t="e">
        <f t="shared" si="594"/>
        <v>#DIV/0!</v>
      </c>
      <c r="BI763" s="2" t="e">
        <f t="shared" si="569"/>
        <v>#DIV/0!</v>
      </c>
      <c r="BJ763" s="2" t="e">
        <f t="shared" si="570"/>
        <v>#DIV/0!</v>
      </c>
      <c r="BK763" s="2" t="e">
        <f t="shared" si="582"/>
        <v>#DIV/0!</v>
      </c>
      <c r="BL763" s="2" t="e">
        <f t="shared" si="571"/>
        <v>#DIV/0!</v>
      </c>
      <c r="BM763" s="2" t="e">
        <f t="shared" si="572"/>
        <v>#DIV/0!</v>
      </c>
      <c r="BN763" s="2" t="e">
        <f t="shared" si="583"/>
        <v>#DIV/0!</v>
      </c>
    </row>
    <row r="764" spans="1:66" x14ac:dyDescent="0.25">
      <c r="A764" s="42">
        <v>761</v>
      </c>
      <c r="E764" s="6">
        <f t="shared" si="573"/>
        <v>0</v>
      </c>
      <c r="F764" s="5" t="str">
        <f t="shared" si="584"/>
        <v>Break Even</v>
      </c>
      <c r="G764" s="4">
        <f t="shared" si="585"/>
        <v>0</v>
      </c>
      <c r="N764" s="5">
        <f t="shared" si="586"/>
        <v>0</v>
      </c>
      <c r="O764" s="4" t="e">
        <f t="shared" si="587"/>
        <v>#DIV/0!</v>
      </c>
      <c r="P764" s="5">
        <f t="shared" si="546"/>
        <v>0</v>
      </c>
      <c r="R764" s="2">
        <f t="shared" si="590"/>
        <v>0</v>
      </c>
      <c r="T764" s="2">
        <f t="shared" si="574"/>
        <v>0</v>
      </c>
      <c r="V764" s="5">
        <f t="shared" si="588"/>
        <v>0</v>
      </c>
      <c r="W764" s="4" t="e">
        <f t="shared" si="589"/>
        <v>#DIV/0!</v>
      </c>
      <c r="X764" s="14">
        <f t="shared" si="547"/>
        <v>0</v>
      </c>
      <c r="Y764" s="5">
        <f t="shared" si="548"/>
        <v>0</v>
      </c>
      <c r="Z764" s="2">
        <f t="shared" si="549"/>
        <v>0</v>
      </c>
      <c r="AA764" s="4">
        <f t="shared" si="550"/>
        <v>0</v>
      </c>
      <c r="AB764" s="13">
        <f t="shared" si="551"/>
        <v>0</v>
      </c>
      <c r="AC764" s="10">
        <f>SUM($E$4:E764)</f>
        <v>-22024.091160220025</v>
      </c>
      <c r="AD764" s="20">
        <f>SUM($AB$4:AB764)</f>
        <v>13539.766460219998</v>
      </c>
      <c r="AF764" s="28" t="e">
        <f t="shared" si="552"/>
        <v>#DIV/0!</v>
      </c>
      <c r="AG764" s="2" t="e">
        <f t="shared" si="553"/>
        <v>#DIV/0!</v>
      </c>
      <c r="AH764" s="2" t="e">
        <f t="shared" si="554"/>
        <v>#DIV/0!</v>
      </c>
      <c r="AI764" s="2" t="e">
        <f t="shared" si="575"/>
        <v>#DIV/0!</v>
      </c>
      <c r="AJ764" s="2" t="e">
        <f t="shared" si="591"/>
        <v>#DIV/0!</v>
      </c>
      <c r="AK764" s="2" t="e">
        <f t="shared" si="555"/>
        <v>#DIV/0!</v>
      </c>
      <c r="AL764" s="2" t="e">
        <f t="shared" si="556"/>
        <v>#DIV/0!</v>
      </c>
      <c r="AM764" s="2" t="e">
        <f t="shared" si="576"/>
        <v>#DIV/0!</v>
      </c>
      <c r="AN764" s="2">
        <f t="shared" si="557"/>
        <v>0</v>
      </c>
      <c r="AO764" s="2" t="e">
        <f t="shared" si="558"/>
        <v>#DIV/0!</v>
      </c>
      <c r="AP764" s="2" t="e">
        <f t="shared" si="559"/>
        <v>#DIV/0!</v>
      </c>
      <c r="AQ764" s="2" t="e">
        <f t="shared" si="577"/>
        <v>#DIV/0!</v>
      </c>
      <c r="AR764" s="2" t="e">
        <f t="shared" si="592"/>
        <v>#DIV/0!</v>
      </c>
      <c r="AS764" s="2" t="e">
        <f t="shared" si="560"/>
        <v>#DIV/0!</v>
      </c>
      <c r="AT764" s="2" t="e">
        <f t="shared" si="561"/>
        <v>#DIV/0!</v>
      </c>
      <c r="AU764" s="2" t="e">
        <f t="shared" si="578"/>
        <v>#DIV/0!</v>
      </c>
      <c r="AV764" s="2" t="e">
        <f t="shared" si="562"/>
        <v>#DIV/0!</v>
      </c>
      <c r="AW764" s="2" t="e">
        <f t="shared" si="563"/>
        <v>#DIV/0!</v>
      </c>
      <c r="AX764" s="2" t="e">
        <f t="shared" si="564"/>
        <v>#DIV/0!</v>
      </c>
      <c r="AY764" s="2" t="e">
        <f t="shared" si="579"/>
        <v>#DIV/0!</v>
      </c>
      <c r="AZ764" s="2" t="e">
        <f t="shared" si="593"/>
        <v>#DIV/0!</v>
      </c>
      <c r="BA764" s="2" t="e">
        <f t="shared" si="565"/>
        <v>#DIV/0!</v>
      </c>
      <c r="BB764" s="2" t="e">
        <f t="shared" si="566"/>
        <v>#DIV/0!</v>
      </c>
      <c r="BC764" s="2" t="e">
        <f t="shared" si="580"/>
        <v>#DIV/0!</v>
      </c>
      <c r="BD764" s="2">
        <v>0</v>
      </c>
      <c r="BE764" s="2" t="e">
        <f t="shared" si="567"/>
        <v>#DIV/0!</v>
      </c>
      <c r="BF764" s="2" t="e">
        <f t="shared" si="568"/>
        <v>#DIV/0!</v>
      </c>
      <c r="BG764" s="2" t="e">
        <f t="shared" si="581"/>
        <v>#DIV/0!</v>
      </c>
      <c r="BH764" s="2" t="e">
        <f t="shared" si="594"/>
        <v>#DIV/0!</v>
      </c>
      <c r="BI764" s="2" t="e">
        <f t="shared" si="569"/>
        <v>#DIV/0!</v>
      </c>
      <c r="BJ764" s="2" t="e">
        <f t="shared" si="570"/>
        <v>#DIV/0!</v>
      </c>
      <c r="BK764" s="2" t="e">
        <f t="shared" si="582"/>
        <v>#DIV/0!</v>
      </c>
      <c r="BL764" s="2" t="e">
        <f t="shared" si="571"/>
        <v>#DIV/0!</v>
      </c>
      <c r="BM764" s="2" t="e">
        <f t="shared" si="572"/>
        <v>#DIV/0!</v>
      </c>
      <c r="BN764" s="2" t="e">
        <f t="shared" si="583"/>
        <v>#DIV/0!</v>
      </c>
    </row>
    <row r="765" spans="1:66" x14ac:dyDescent="0.25">
      <c r="A765" s="42">
        <v>762</v>
      </c>
      <c r="E765" s="6">
        <f t="shared" si="573"/>
        <v>0</v>
      </c>
      <c r="F765" s="5" t="str">
        <f t="shared" si="584"/>
        <v>Break Even</v>
      </c>
      <c r="G765" s="4">
        <f t="shared" si="585"/>
        <v>0</v>
      </c>
      <c r="N765" s="5">
        <f t="shared" si="586"/>
        <v>0</v>
      </c>
      <c r="O765" s="4" t="e">
        <f t="shared" si="587"/>
        <v>#DIV/0!</v>
      </c>
      <c r="P765" s="5">
        <f t="shared" si="546"/>
        <v>0</v>
      </c>
      <c r="R765" s="2">
        <f t="shared" si="590"/>
        <v>0</v>
      </c>
      <c r="T765" s="2">
        <f t="shared" si="574"/>
        <v>0</v>
      </c>
      <c r="V765" s="5">
        <f t="shared" si="588"/>
        <v>0</v>
      </c>
      <c r="W765" s="4" t="e">
        <f t="shared" si="589"/>
        <v>#DIV/0!</v>
      </c>
      <c r="X765" s="14">
        <f t="shared" si="547"/>
        <v>0</v>
      </c>
      <c r="Y765" s="5">
        <f t="shared" si="548"/>
        <v>0</v>
      </c>
      <c r="Z765" s="2">
        <f t="shared" si="549"/>
        <v>0</v>
      </c>
      <c r="AA765" s="4">
        <f t="shared" si="550"/>
        <v>0</v>
      </c>
      <c r="AB765" s="13">
        <f t="shared" si="551"/>
        <v>0</v>
      </c>
      <c r="AC765" s="10">
        <f>SUM($E$4:E765)</f>
        <v>-22024.091160220025</v>
      </c>
      <c r="AD765" s="20">
        <f>SUM($AB$4:AB765)</f>
        <v>13539.766460219998</v>
      </c>
      <c r="AF765" s="28" t="e">
        <f t="shared" si="552"/>
        <v>#DIV/0!</v>
      </c>
      <c r="AG765" s="2" t="e">
        <f t="shared" si="553"/>
        <v>#DIV/0!</v>
      </c>
      <c r="AH765" s="2" t="e">
        <f t="shared" si="554"/>
        <v>#DIV/0!</v>
      </c>
      <c r="AI765" s="2" t="e">
        <f t="shared" si="575"/>
        <v>#DIV/0!</v>
      </c>
      <c r="AJ765" s="2" t="e">
        <f t="shared" si="591"/>
        <v>#DIV/0!</v>
      </c>
      <c r="AK765" s="2" t="e">
        <f t="shared" si="555"/>
        <v>#DIV/0!</v>
      </c>
      <c r="AL765" s="2" t="e">
        <f t="shared" si="556"/>
        <v>#DIV/0!</v>
      </c>
      <c r="AM765" s="2" t="e">
        <f t="shared" si="576"/>
        <v>#DIV/0!</v>
      </c>
      <c r="AN765" s="2">
        <f t="shared" si="557"/>
        <v>0</v>
      </c>
      <c r="AO765" s="2" t="e">
        <f t="shared" si="558"/>
        <v>#DIV/0!</v>
      </c>
      <c r="AP765" s="2" t="e">
        <f t="shared" si="559"/>
        <v>#DIV/0!</v>
      </c>
      <c r="AQ765" s="2" t="e">
        <f t="shared" si="577"/>
        <v>#DIV/0!</v>
      </c>
      <c r="AR765" s="2" t="e">
        <f t="shared" si="592"/>
        <v>#DIV/0!</v>
      </c>
      <c r="AS765" s="2" t="e">
        <f t="shared" si="560"/>
        <v>#DIV/0!</v>
      </c>
      <c r="AT765" s="2" t="e">
        <f t="shared" si="561"/>
        <v>#DIV/0!</v>
      </c>
      <c r="AU765" s="2" t="e">
        <f t="shared" si="578"/>
        <v>#DIV/0!</v>
      </c>
      <c r="AV765" s="2" t="e">
        <f t="shared" si="562"/>
        <v>#DIV/0!</v>
      </c>
      <c r="AW765" s="2" t="e">
        <f t="shared" si="563"/>
        <v>#DIV/0!</v>
      </c>
      <c r="AX765" s="2" t="e">
        <f t="shared" si="564"/>
        <v>#DIV/0!</v>
      </c>
      <c r="AY765" s="2" t="e">
        <f t="shared" si="579"/>
        <v>#DIV/0!</v>
      </c>
      <c r="AZ765" s="2" t="e">
        <f t="shared" si="593"/>
        <v>#DIV/0!</v>
      </c>
      <c r="BA765" s="2" t="e">
        <f t="shared" si="565"/>
        <v>#DIV/0!</v>
      </c>
      <c r="BB765" s="2" t="e">
        <f t="shared" si="566"/>
        <v>#DIV/0!</v>
      </c>
      <c r="BC765" s="2" t="e">
        <f t="shared" si="580"/>
        <v>#DIV/0!</v>
      </c>
      <c r="BD765" s="2">
        <v>0</v>
      </c>
      <c r="BE765" s="2" t="e">
        <f t="shared" si="567"/>
        <v>#DIV/0!</v>
      </c>
      <c r="BF765" s="2" t="e">
        <f t="shared" si="568"/>
        <v>#DIV/0!</v>
      </c>
      <c r="BG765" s="2" t="e">
        <f t="shared" si="581"/>
        <v>#DIV/0!</v>
      </c>
      <c r="BH765" s="2" t="e">
        <f t="shared" si="594"/>
        <v>#DIV/0!</v>
      </c>
      <c r="BI765" s="2" t="e">
        <f t="shared" si="569"/>
        <v>#DIV/0!</v>
      </c>
      <c r="BJ765" s="2" t="e">
        <f t="shared" si="570"/>
        <v>#DIV/0!</v>
      </c>
      <c r="BK765" s="2" t="e">
        <f t="shared" si="582"/>
        <v>#DIV/0!</v>
      </c>
      <c r="BL765" s="2" t="e">
        <f t="shared" si="571"/>
        <v>#DIV/0!</v>
      </c>
      <c r="BM765" s="2" t="e">
        <f t="shared" si="572"/>
        <v>#DIV/0!</v>
      </c>
      <c r="BN765" s="2" t="e">
        <f t="shared" si="583"/>
        <v>#DIV/0!</v>
      </c>
    </row>
    <row r="766" spans="1:66" x14ac:dyDescent="0.25">
      <c r="A766" s="42">
        <v>763</v>
      </c>
      <c r="E766" s="6">
        <f t="shared" si="573"/>
        <v>0</v>
      </c>
      <c r="F766" s="5" t="str">
        <f t="shared" si="584"/>
        <v>Break Even</v>
      </c>
      <c r="G766" s="4">
        <f t="shared" si="585"/>
        <v>0</v>
      </c>
      <c r="N766" s="5">
        <f t="shared" si="586"/>
        <v>0</v>
      </c>
      <c r="O766" s="4" t="e">
        <f t="shared" si="587"/>
        <v>#DIV/0!</v>
      </c>
      <c r="P766" s="5">
        <f t="shared" si="546"/>
        <v>0</v>
      </c>
      <c r="R766" s="2">
        <f t="shared" si="590"/>
        <v>0</v>
      </c>
      <c r="T766" s="2">
        <f t="shared" si="574"/>
        <v>0</v>
      </c>
      <c r="V766" s="5">
        <f t="shared" si="588"/>
        <v>0</v>
      </c>
      <c r="W766" s="4" t="e">
        <f t="shared" si="589"/>
        <v>#DIV/0!</v>
      </c>
      <c r="X766" s="14">
        <f t="shared" si="547"/>
        <v>0</v>
      </c>
      <c r="Y766" s="5">
        <f t="shared" si="548"/>
        <v>0</v>
      </c>
      <c r="Z766" s="2">
        <f t="shared" si="549"/>
        <v>0</v>
      </c>
      <c r="AA766" s="4">
        <f t="shared" si="550"/>
        <v>0</v>
      </c>
      <c r="AB766" s="13">
        <f t="shared" si="551"/>
        <v>0</v>
      </c>
      <c r="AC766" s="10">
        <f>SUM($E$4:E766)</f>
        <v>-22024.091160220025</v>
      </c>
      <c r="AD766" s="20">
        <f>SUM($AB$4:AB766)</f>
        <v>13539.766460219998</v>
      </c>
      <c r="AF766" s="28" t="e">
        <f t="shared" si="552"/>
        <v>#DIV/0!</v>
      </c>
      <c r="AG766" s="2" t="e">
        <f t="shared" si="553"/>
        <v>#DIV/0!</v>
      </c>
      <c r="AH766" s="2" t="e">
        <f t="shared" si="554"/>
        <v>#DIV/0!</v>
      </c>
      <c r="AI766" s="2" t="e">
        <f t="shared" si="575"/>
        <v>#DIV/0!</v>
      </c>
      <c r="AJ766" s="2" t="e">
        <f t="shared" si="591"/>
        <v>#DIV/0!</v>
      </c>
      <c r="AK766" s="2" t="e">
        <f t="shared" si="555"/>
        <v>#DIV/0!</v>
      </c>
      <c r="AL766" s="2" t="e">
        <f t="shared" si="556"/>
        <v>#DIV/0!</v>
      </c>
      <c r="AM766" s="2" t="e">
        <f t="shared" si="576"/>
        <v>#DIV/0!</v>
      </c>
      <c r="AN766" s="2">
        <f t="shared" si="557"/>
        <v>0</v>
      </c>
      <c r="AO766" s="2" t="e">
        <f t="shared" si="558"/>
        <v>#DIV/0!</v>
      </c>
      <c r="AP766" s="2" t="e">
        <f t="shared" si="559"/>
        <v>#DIV/0!</v>
      </c>
      <c r="AQ766" s="2" t="e">
        <f t="shared" si="577"/>
        <v>#DIV/0!</v>
      </c>
      <c r="AR766" s="2" t="e">
        <f t="shared" si="592"/>
        <v>#DIV/0!</v>
      </c>
      <c r="AS766" s="2" t="e">
        <f t="shared" si="560"/>
        <v>#DIV/0!</v>
      </c>
      <c r="AT766" s="2" t="e">
        <f t="shared" si="561"/>
        <v>#DIV/0!</v>
      </c>
      <c r="AU766" s="2" t="e">
        <f t="shared" si="578"/>
        <v>#DIV/0!</v>
      </c>
      <c r="AV766" s="2" t="e">
        <f t="shared" si="562"/>
        <v>#DIV/0!</v>
      </c>
      <c r="AW766" s="2" t="e">
        <f t="shared" si="563"/>
        <v>#DIV/0!</v>
      </c>
      <c r="AX766" s="2" t="e">
        <f t="shared" si="564"/>
        <v>#DIV/0!</v>
      </c>
      <c r="AY766" s="2" t="e">
        <f t="shared" si="579"/>
        <v>#DIV/0!</v>
      </c>
      <c r="AZ766" s="2" t="e">
        <f t="shared" si="593"/>
        <v>#DIV/0!</v>
      </c>
      <c r="BA766" s="2" t="e">
        <f t="shared" si="565"/>
        <v>#DIV/0!</v>
      </c>
      <c r="BB766" s="2" t="e">
        <f t="shared" si="566"/>
        <v>#DIV/0!</v>
      </c>
      <c r="BC766" s="2" t="e">
        <f t="shared" si="580"/>
        <v>#DIV/0!</v>
      </c>
      <c r="BD766" s="2">
        <v>0</v>
      </c>
      <c r="BE766" s="2" t="e">
        <f t="shared" si="567"/>
        <v>#DIV/0!</v>
      </c>
      <c r="BF766" s="2" t="e">
        <f t="shared" si="568"/>
        <v>#DIV/0!</v>
      </c>
      <c r="BG766" s="2" t="e">
        <f t="shared" si="581"/>
        <v>#DIV/0!</v>
      </c>
      <c r="BH766" s="2" t="e">
        <f t="shared" si="594"/>
        <v>#DIV/0!</v>
      </c>
      <c r="BI766" s="2" t="e">
        <f t="shared" si="569"/>
        <v>#DIV/0!</v>
      </c>
      <c r="BJ766" s="2" t="e">
        <f t="shared" si="570"/>
        <v>#DIV/0!</v>
      </c>
      <c r="BK766" s="2" t="e">
        <f t="shared" si="582"/>
        <v>#DIV/0!</v>
      </c>
      <c r="BL766" s="2" t="e">
        <f t="shared" si="571"/>
        <v>#DIV/0!</v>
      </c>
      <c r="BM766" s="2" t="e">
        <f t="shared" si="572"/>
        <v>#DIV/0!</v>
      </c>
      <c r="BN766" s="2" t="e">
        <f t="shared" si="583"/>
        <v>#DIV/0!</v>
      </c>
    </row>
    <row r="767" spans="1:66" x14ac:dyDescent="0.25">
      <c r="A767" s="42">
        <v>764</v>
      </c>
      <c r="E767" s="6">
        <f t="shared" si="573"/>
        <v>0</v>
      </c>
      <c r="F767" s="5" t="str">
        <f t="shared" si="584"/>
        <v>Break Even</v>
      </c>
      <c r="G767" s="4">
        <f t="shared" si="585"/>
        <v>0</v>
      </c>
      <c r="N767" s="5">
        <f t="shared" si="586"/>
        <v>0</v>
      </c>
      <c r="O767" s="4" t="e">
        <f t="shared" si="587"/>
        <v>#DIV/0!</v>
      </c>
      <c r="P767" s="5">
        <f t="shared" si="546"/>
        <v>0</v>
      </c>
      <c r="R767" s="2">
        <f t="shared" si="590"/>
        <v>0</v>
      </c>
      <c r="T767" s="2">
        <f t="shared" si="574"/>
        <v>0</v>
      </c>
      <c r="V767" s="5">
        <f t="shared" si="588"/>
        <v>0</v>
      </c>
      <c r="W767" s="4" t="e">
        <f t="shared" si="589"/>
        <v>#DIV/0!</v>
      </c>
      <c r="X767" s="14">
        <f t="shared" si="547"/>
        <v>0</v>
      </c>
      <c r="Y767" s="5">
        <f t="shared" si="548"/>
        <v>0</v>
      </c>
      <c r="Z767" s="2">
        <f t="shared" si="549"/>
        <v>0</v>
      </c>
      <c r="AA767" s="4">
        <f t="shared" si="550"/>
        <v>0</v>
      </c>
      <c r="AB767" s="13">
        <f t="shared" si="551"/>
        <v>0</v>
      </c>
      <c r="AC767" s="10">
        <f>SUM($E$4:E767)</f>
        <v>-22024.091160220025</v>
      </c>
      <c r="AD767" s="20">
        <f>SUM($AB$4:AB767)</f>
        <v>13539.766460219998</v>
      </c>
      <c r="AF767" s="28" t="e">
        <f t="shared" si="552"/>
        <v>#DIV/0!</v>
      </c>
      <c r="AG767" s="2" t="e">
        <f t="shared" si="553"/>
        <v>#DIV/0!</v>
      </c>
      <c r="AH767" s="2" t="e">
        <f t="shared" si="554"/>
        <v>#DIV/0!</v>
      </c>
      <c r="AI767" s="2" t="e">
        <f t="shared" si="575"/>
        <v>#DIV/0!</v>
      </c>
      <c r="AJ767" s="2" t="e">
        <f t="shared" si="591"/>
        <v>#DIV/0!</v>
      </c>
      <c r="AK767" s="2" t="e">
        <f t="shared" si="555"/>
        <v>#DIV/0!</v>
      </c>
      <c r="AL767" s="2" t="e">
        <f t="shared" si="556"/>
        <v>#DIV/0!</v>
      </c>
      <c r="AM767" s="2" t="e">
        <f t="shared" si="576"/>
        <v>#DIV/0!</v>
      </c>
      <c r="AN767" s="2">
        <f t="shared" si="557"/>
        <v>0</v>
      </c>
      <c r="AO767" s="2" t="e">
        <f t="shared" si="558"/>
        <v>#DIV/0!</v>
      </c>
      <c r="AP767" s="2" t="e">
        <f t="shared" si="559"/>
        <v>#DIV/0!</v>
      </c>
      <c r="AQ767" s="2" t="e">
        <f t="shared" si="577"/>
        <v>#DIV/0!</v>
      </c>
      <c r="AR767" s="2" t="e">
        <f t="shared" si="592"/>
        <v>#DIV/0!</v>
      </c>
      <c r="AS767" s="2" t="e">
        <f t="shared" si="560"/>
        <v>#DIV/0!</v>
      </c>
      <c r="AT767" s="2" t="e">
        <f t="shared" si="561"/>
        <v>#DIV/0!</v>
      </c>
      <c r="AU767" s="2" t="e">
        <f t="shared" si="578"/>
        <v>#DIV/0!</v>
      </c>
      <c r="AV767" s="2" t="e">
        <f t="shared" si="562"/>
        <v>#DIV/0!</v>
      </c>
      <c r="AW767" s="2" t="e">
        <f t="shared" si="563"/>
        <v>#DIV/0!</v>
      </c>
      <c r="AX767" s="2" t="e">
        <f t="shared" si="564"/>
        <v>#DIV/0!</v>
      </c>
      <c r="AY767" s="2" t="e">
        <f t="shared" si="579"/>
        <v>#DIV/0!</v>
      </c>
      <c r="AZ767" s="2" t="e">
        <f t="shared" si="593"/>
        <v>#DIV/0!</v>
      </c>
      <c r="BA767" s="2" t="e">
        <f t="shared" si="565"/>
        <v>#DIV/0!</v>
      </c>
      <c r="BB767" s="2" t="e">
        <f t="shared" si="566"/>
        <v>#DIV/0!</v>
      </c>
      <c r="BC767" s="2" t="e">
        <f t="shared" si="580"/>
        <v>#DIV/0!</v>
      </c>
      <c r="BD767" s="2">
        <v>0</v>
      </c>
      <c r="BE767" s="2" t="e">
        <f t="shared" si="567"/>
        <v>#DIV/0!</v>
      </c>
      <c r="BF767" s="2" t="e">
        <f t="shared" si="568"/>
        <v>#DIV/0!</v>
      </c>
      <c r="BG767" s="2" t="e">
        <f t="shared" si="581"/>
        <v>#DIV/0!</v>
      </c>
      <c r="BH767" s="2" t="e">
        <f t="shared" si="594"/>
        <v>#DIV/0!</v>
      </c>
      <c r="BI767" s="2" t="e">
        <f t="shared" si="569"/>
        <v>#DIV/0!</v>
      </c>
      <c r="BJ767" s="2" t="e">
        <f t="shared" si="570"/>
        <v>#DIV/0!</v>
      </c>
      <c r="BK767" s="2" t="e">
        <f t="shared" si="582"/>
        <v>#DIV/0!</v>
      </c>
      <c r="BL767" s="2" t="e">
        <f t="shared" si="571"/>
        <v>#DIV/0!</v>
      </c>
      <c r="BM767" s="2" t="e">
        <f t="shared" si="572"/>
        <v>#DIV/0!</v>
      </c>
      <c r="BN767" s="2" t="e">
        <f t="shared" si="583"/>
        <v>#DIV/0!</v>
      </c>
    </row>
    <row r="768" spans="1:66" x14ac:dyDescent="0.25">
      <c r="A768" s="42">
        <v>765</v>
      </c>
      <c r="E768" s="6">
        <f t="shared" si="573"/>
        <v>0</v>
      </c>
      <c r="F768" s="5" t="str">
        <f t="shared" si="584"/>
        <v>Break Even</v>
      </c>
      <c r="G768" s="4">
        <f t="shared" si="585"/>
        <v>0</v>
      </c>
      <c r="N768" s="5">
        <f t="shared" si="586"/>
        <v>0</v>
      </c>
      <c r="O768" s="4" t="e">
        <f t="shared" si="587"/>
        <v>#DIV/0!</v>
      </c>
      <c r="P768" s="5">
        <f t="shared" si="546"/>
        <v>0</v>
      </c>
      <c r="R768" s="2">
        <f t="shared" si="590"/>
        <v>0</v>
      </c>
      <c r="T768" s="2">
        <f t="shared" si="574"/>
        <v>0</v>
      </c>
      <c r="V768" s="5">
        <f t="shared" si="588"/>
        <v>0</v>
      </c>
      <c r="W768" s="4" t="e">
        <f t="shared" si="589"/>
        <v>#DIV/0!</v>
      </c>
      <c r="X768" s="14">
        <f t="shared" si="547"/>
        <v>0</v>
      </c>
      <c r="Y768" s="5">
        <f t="shared" si="548"/>
        <v>0</v>
      </c>
      <c r="Z768" s="2">
        <f t="shared" si="549"/>
        <v>0</v>
      </c>
      <c r="AA768" s="4">
        <f t="shared" si="550"/>
        <v>0</v>
      </c>
      <c r="AB768" s="13">
        <f t="shared" si="551"/>
        <v>0</v>
      </c>
      <c r="AC768" s="10">
        <f>SUM($E$4:E768)</f>
        <v>-22024.091160220025</v>
      </c>
      <c r="AD768" s="20">
        <f>SUM($AB$4:AB768)</f>
        <v>13539.766460219998</v>
      </c>
      <c r="AF768" s="28" t="e">
        <f t="shared" si="552"/>
        <v>#DIV/0!</v>
      </c>
      <c r="AG768" s="2" t="e">
        <f t="shared" si="553"/>
        <v>#DIV/0!</v>
      </c>
      <c r="AH768" s="2" t="e">
        <f t="shared" si="554"/>
        <v>#DIV/0!</v>
      </c>
      <c r="AI768" s="2" t="e">
        <f t="shared" si="575"/>
        <v>#DIV/0!</v>
      </c>
      <c r="AJ768" s="2" t="e">
        <f t="shared" si="591"/>
        <v>#DIV/0!</v>
      </c>
      <c r="AK768" s="2" t="e">
        <f t="shared" si="555"/>
        <v>#DIV/0!</v>
      </c>
      <c r="AL768" s="2" t="e">
        <f t="shared" si="556"/>
        <v>#DIV/0!</v>
      </c>
      <c r="AM768" s="2" t="e">
        <f t="shared" si="576"/>
        <v>#DIV/0!</v>
      </c>
      <c r="AN768" s="2">
        <f t="shared" si="557"/>
        <v>0</v>
      </c>
      <c r="AO768" s="2" t="e">
        <f t="shared" si="558"/>
        <v>#DIV/0!</v>
      </c>
      <c r="AP768" s="2" t="e">
        <f t="shared" si="559"/>
        <v>#DIV/0!</v>
      </c>
      <c r="AQ768" s="2" t="e">
        <f t="shared" si="577"/>
        <v>#DIV/0!</v>
      </c>
      <c r="AR768" s="2" t="e">
        <f t="shared" si="592"/>
        <v>#DIV/0!</v>
      </c>
      <c r="AS768" s="2" t="e">
        <f t="shared" si="560"/>
        <v>#DIV/0!</v>
      </c>
      <c r="AT768" s="2" t="e">
        <f t="shared" si="561"/>
        <v>#DIV/0!</v>
      </c>
      <c r="AU768" s="2" t="e">
        <f t="shared" si="578"/>
        <v>#DIV/0!</v>
      </c>
      <c r="AV768" s="2" t="e">
        <f t="shared" si="562"/>
        <v>#DIV/0!</v>
      </c>
      <c r="AW768" s="2" t="e">
        <f t="shared" si="563"/>
        <v>#DIV/0!</v>
      </c>
      <c r="AX768" s="2" t="e">
        <f t="shared" si="564"/>
        <v>#DIV/0!</v>
      </c>
      <c r="AY768" s="2" t="e">
        <f t="shared" si="579"/>
        <v>#DIV/0!</v>
      </c>
      <c r="AZ768" s="2" t="e">
        <f t="shared" si="593"/>
        <v>#DIV/0!</v>
      </c>
      <c r="BA768" s="2" t="e">
        <f t="shared" si="565"/>
        <v>#DIV/0!</v>
      </c>
      <c r="BB768" s="2" t="e">
        <f t="shared" si="566"/>
        <v>#DIV/0!</v>
      </c>
      <c r="BC768" s="2" t="e">
        <f t="shared" si="580"/>
        <v>#DIV/0!</v>
      </c>
      <c r="BD768" s="2">
        <v>0</v>
      </c>
      <c r="BE768" s="2" t="e">
        <f t="shared" si="567"/>
        <v>#DIV/0!</v>
      </c>
      <c r="BF768" s="2" t="e">
        <f t="shared" si="568"/>
        <v>#DIV/0!</v>
      </c>
      <c r="BG768" s="2" t="e">
        <f t="shared" si="581"/>
        <v>#DIV/0!</v>
      </c>
      <c r="BH768" s="2" t="e">
        <f t="shared" si="594"/>
        <v>#DIV/0!</v>
      </c>
      <c r="BI768" s="2" t="e">
        <f t="shared" si="569"/>
        <v>#DIV/0!</v>
      </c>
      <c r="BJ768" s="2" t="e">
        <f t="shared" si="570"/>
        <v>#DIV/0!</v>
      </c>
      <c r="BK768" s="2" t="e">
        <f t="shared" si="582"/>
        <v>#DIV/0!</v>
      </c>
      <c r="BL768" s="2" t="e">
        <f t="shared" si="571"/>
        <v>#DIV/0!</v>
      </c>
      <c r="BM768" s="2" t="e">
        <f t="shared" si="572"/>
        <v>#DIV/0!</v>
      </c>
      <c r="BN768" s="2" t="e">
        <f t="shared" si="583"/>
        <v>#DIV/0!</v>
      </c>
    </row>
    <row r="769" spans="1:66" x14ac:dyDescent="0.25">
      <c r="A769" s="42">
        <v>766</v>
      </c>
      <c r="E769" s="6">
        <f t="shared" si="573"/>
        <v>0</v>
      </c>
      <c r="F769" s="5" t="str">
        <f t="shared" si="584"/>
        <v>Break Even</v>
      </c>
      <c r="G769" s="4">
        <f t="shared" si="585"/>
        <v>0</v>
      </c>
      <c r="N769" s="5">
        <f t="shared" si="586"/>
        <v>0</v>
      </c>
      <c r="O769" s="4" t="e">
        <f t="shared" si="587"/>
        <v>#DIV/0!</v>
      </c>
      <c r="P769" s="5">
        <f t="shared" si="546"/>
        <v>0</v>
      </c>
      <c r="R769" s="2">
        <f t="shared" si="590"/>
        <v>0</v>
      </c>
      <c r="T769" s="2">
        <f t="shared" si="574"/>
        <v>0</v>
      </c>
      <c r="V769" s="5">
        <f t="shared" si="588"/>
        <v>0</v>
      </c>
      <c r="W769" s="4" t="e">
        <f t="shared" si="589"/>
        <v>#DIV/0!</v>
      </c>
      <c r="X769" s="14">
        <f t="shared" si="547"/>
        <v>0</v>
      </c>
      <c r="Y769" s="5">
        <f t="shared" si="548"/>
        <v>0</v>
      </c>
      <c r="Z769" s="2">
        <f t="shared" si="549"/>
        <v>0</v>
      </c>
      <c r="AA769" s="4">
        <f t="shared" si="550"/>
        <v>0</v>
      </c>
      <c r="AB769" s="13">
        <f t="shared" si="551"/>
        <v>0</v>
      </c>
      <c r="AC769" s="10">
        <f>SUM($E$4:E769)</f>
        <v>-22024.091160220025</v>
      </c>
      <c r="AD769" s="20">
        <f>SUM($AB$4:AB769)</f>
        <v>13539.766460219998</v>
      </c>
      <c r="AF769" s="28" t="e">
        <f t="shared" si="552"/>
        <v>#DIV/0!</v>
      </c>
      <c r="AG769" s="2" t="e">
        <f t="shared" si="553"/>
        <v>#DIV/0!</v>
      </c>
      <c r="AH769" s="2" t="e">
        <f t="shared" si="554"/>
        <v>#DIV/0!</v>
      </c>
      <c r="AI769" s="2" t="e">
        <f t="shared" si="575"/>
        <v>#DIV/0!</v>
      </c>
      <c r="AJ769" s="2" t="e">
        <f t="shared" si="591"/>
        <v>#DIV/0!</v>
      </c>
      <c r="AK769" s="2" t="e">
        <f t="shared" si="555"/>
        <v>#DIV/0!</v>
      </c>
      <c r="AL769" s="2" t="e">
        <f t="shared" si="556"/>
        <v>#DIV/0!</v>
      </c>
      <c r="AM769" s="2" t="e">
        <f t="shared" si="576"/>
        <v>#DIV/0!</v>
      </c>
      <c r="AN769" s="2">
        <f t="shared" si="557"/>
        <v>0</v>
      </c>
      <c r="AO769" s="2" t="e">
        <f t="shared" si="558"/>
        <v>#DIV/0!</v>
      </c>
      <c r="AP769" s="2" t="e">
        <f t="shared" si="559"/>
        <v>#DIV/0!</v>
      </c>
      <c r="AQ769" s="2" t="e">
        <f t="shared" si="577"/>
        <v>#DIV/0!</v>
      </c>
      <c r="AR769" s="2" t="e">
        <f t="shared" si="592"/>
        <v>#DIV/0!</v>
      </c>
      <c r="AS769" s="2" t="e">
        <f t="shared" si="560"/>
        <v>#DIV/0!</v>
      </c>
      <c r="AT769" s="2" t="e">
        <f t="shared" si="561"/>
        <v>#DIV/0!</v>
      </c>
      <c r="AU769" s="2" t="e">
        <f t="shared" si="578"/>
        <v>#DIV/0!</v>
      </c>
      <c r="AV769" s="2" t="e">
        <f t="shared" si="562"/>
        <v>#DIV/0!</v>
      </c>
      <c r="AW769" s="2" t="e">
        <f t="shared" si="563"/>
        <v>#DIV/0!</v>
      </c>
      <c r="AX769" s="2" t="e">
        <f t="shared" si="564"/>
        <v>#DIV/0!</v>
      </c>
      <c r="AY769" s="2" t="e">
        <f t="shared" si="579"/>
        <v>#DIV/0!</v>
      </c>
      <c r="AZ769" s="2" t="e">
        <f t="shared" si="593"/>
        <v>#DIV/0!</v>
      </c>
      <c r="BA769" s="2" t="e">
        <f t="shared" si="565"/>
        <v>#DIV/0!</v>
      </c>
      <c r="BB769" s="2" t="e">
        <f t="shared" si="566"/>
        <v>#DIV/0!</v>
      </c>
      <c r="BC769" s="2" t="e">
        <f t="shared" si="580"/>
        <v>#DIV/0!</v>
      </c>
      <c r="BD769" s="2">
        <v>0</v>
      </c>
      <c r="BE769" s="2" t="e">
        <f t="shared" si="567"/>
        <v>#DIV/0!</v>
      </c>
      <c r="BF769" s="2" t="e">
        <f t="shared" si="568"/>
        <v>#DIV/0!</v>
      </c>
      <c r="BG769" s="2" t="e">
        <f t="shared" si="581"/>
        <v>#DIV/0!</v>
      </c>
      <c r="BH769" s="2" t="e">
        <f t="shared" si="594"/>
        <v>#DIV/0!</v>
      </c>
      <c r="BI769" s="2" t="e">
        <f t="shared" si="569"/>
        <v>#DIV/0!</v>
      </c>
      <c r="BJ769" s="2" t="e">
        <f t="shared" si="570"/>
        <v>#DIV/0!</v>
      </c>
      <c r="BK769" s="2" t="e">
        <f t="shared" si="582"/>
        <v>#DIV/0!</v>
      </c>
      <c r="BL769" s="2" t="e">
        <f t="shared" si="571"/>
        <v>#DIV/0!</v>
      </c>
      <c r="BM769" s="2" t="e">
        <f t="shared" si="572"/>
        <v>#DIV/0!</v>
      </c>
      <c r="BN769" s="2" t="e">
        <f t="shared" si="583"/>
        <v>#DIV/0!</v>
      </c>
    </row>
    <row r="770" spans="1:66" x14ac:dyDescent="0.25">
      <c r="A770" s="42">
        <v>767</v>
      </c>
      <c r="E770" s="6">
        <f t="shared" si="573"/>
        <v>0</v>
      </c>
      <c r="F770" s="5" t="str">
        <f t="shared" si="584"/>
        <v>Break Even</v>
      </c>
      <c r="G770" s="4">
        <f t="shared" si="585"/>
        <v>0</v>
      </c>
      <c r="N770" s="5">
        <f t="shared" si="586"/>
        <v>0</v>
      </c>
      <c r="O770" s="4" t="e">
        <f t="shared" si="587"/>
        <v>#DIV/0!</v>
      </c>
      <c r="P770" s="5">
        <f t="shared" si="546"/>
        <v>0</v>
      </c>
      <c r="R770" s="2">
        <f t="shared" si="590"/>
        <v>0</v>
      </c>
      <c r="T770" s="2">
        <f t="shared" si="574"/>
        <v>0</v>
      </c>
      <c r="V770" s="5">
        <f t="shared" si="588"/>
        <v>0</v>
      </c>
      <c r="W770" s="4" t="e">
        <f t="shared" si="589"/>
        <v>#DIV/0!</v>
      </c>
      <c r="X770" s="14">
        <f t="shared" si="547"/>
        <v>0</v>
      </c>
      <c r="Y770" s="5">
        <f t="shared" si="548"/>
        <v>0</v>
      </c>
      <c r="Z770" s="2">
        <f t="shared" si="549"/>
        <v>0</v>
      </c>
      <c r="AA770" s="4">
        <f t="shared" si="550"/>
        <v>0</v>
      </c>
      <c r="AB770" s="13">
        <f t="shared" si="551"/>
        <v>0</v>
      </c>
      <c r="AC770" s="10">
        <f>SUM($E$4:E770)</f>
        <v>-22024.091160220025</v>
      </c>
      <c r="AD770" s="20">
        <f>SUM($AB$4:AB770)</f>
        <v>13539.766460219998</v>
      </c>
      <c r="AF770" s="28" t="e">
        <f t="shared" si="552"/>
        <v>#DIV/0!</v>
      </c>
      <c r="AG770" s="2" t="e">
        <f t="shared" si="553"/>
        <v>#DIV/0!</v>
      </c>
      <c r="AH770" s="2" t="e">
        <f t="shared" si="554"/>
        <v>#DIV/0!</v>
      </c>
      <c r="AI770" s="2" t="e">
        <f t="shared" si="575"/>
        <v>#DIV/0!</v>
      </c>
      <c r="AJ770" s="2" t="e">
        <f t="shared" si="591"/>
        <v>#DIV/0!</v>
      </c>
      <c r="AK770" s="2" t="e">
        <f t="shared" si="555"/>
        <v>#DIV/0!</v>
      </c>
      <c r="AL770" s="2" t="e">
        <f t="shared" si="556"/>
        <v>#DIV/0!</v>
      </c>
      <c r="AM770" s="2" t="e">
        <f t="shared" si="576"/>
        <v>#DIV/0!</v>
      </c>
      <c r="AN770" s="2">
        <f t="shared" si="557"/>
        <v>0</v>
      </c>
      <c r="AO770" s="2" t="e">
        <f t="shared" si="558"/>
        <v>#DIV/0!</v>
      </c>
      <c r="AP770" s="2" t="e">
        <f t="shared" si="559"/>
        <v>#DIV/0!</v>
      </c>
      <c r="AQ770" s="2" t="e">
        <f t="shared" si="577"/>
        <v>#DIV/0!</v>
      </c>
      <c r="AR770" s="2" t="e">
        <f t="shared" si="592"/>
        <v>#DIV/0!</v>
      </c>
      <c r="AS770" s="2" t="e">
        <f t="shared" si="560"/>
        <v>#DIV/0!</v>
      </c>
      <c r="AT770" s="2" t="e">
        <f t="shared" si="561"/>
        <v>#DIV/0!</v>
      </c>
      <c r="AU770" s="2" t="e">
        <f t="shared" si="578"/>
        <v>#DIV/0!</v>
      </c>
      <c r="AV770" s="2" t="e">
        <f t="shared" si="562"/>
        <v>#DIV/0!</v>
      </c>
      <c r="AW770" s="2" t="e">
        <f t="shared" si="563"/>
        <v>#DIV/0!</v>
      </c>
      <c r="AX770" s="2" t="e">
        <f t="shared" si="564"/>
        <v>#DIV/0!</v>
      </c>
      <c r="AY770" s="2" t="e">
        <f t="shared" si="579"/>
        <v>#DIV/0!</v>
      </c>
      <c r="AZ770" s="2" t="e">
        <f t="shared" si="593"/>
        <v>#DIV/0!</v>
      </c>
      <c r="BA770" s="2" t="e">
        <f t="shared" si="565"/>
        <v>#DIV/0!</v>
      </c>
      <c r="BB770" s="2" t="e">
        <f t="shared" si="566"/>
        <v>#DIV/0!</v>
      </c>
      <c r="BC770" s="2" t="e">
        <f t="shared" si="580"/>
        <v>#DIV/0!</v>
      </c>
      <c r="BD770" s="2">
        <v>0</v>
      </c>
      <c r="BE770" s="2" t="e">
        <f t="shared" si="567"/>
        <v>#DIV/0!</v>
      </c>
      <c r="BF770" s="2" t="e">
        <f t="shared" si="568"/>
        <v>#DIV/0!</v>
      </c>
      <c r="BG770" s="2" t="e">
        <f t="shared" si="581"/>
        <v>#DIV/0!</v>
      </c>
      <c r="BH770" s="2" t="e">
        <f t="shared" si="594"/>
        <v>#DIV/0!</v>
      </c>
      <c r="BI770" s="2" t="e">
        <f t="shared" si="569"/>
        <v>#DIV/0!</v>
      </c>
      <c r="BJ770" s="2" t="e">
        <f t="shared" si="570"/>
        <v>#DIV/0!</v>
      </c>
      <c r="BK770" s="2" t="e">
        <f t="shared" si="582"/>
        <v>#DIV/0!</v>
      </c>
      <c r="BL770" s="2" t="e">
        <f t="shared" si="571"/>
        <v>#DIV/0!</v>
      </c>
      <c r="BM770" s="2" t="e">
        <f t="shared" si="572"/>
        <v>#DIV/0!</v>
      </c>
      <c r="BN770" s="2" t="e">
        <f t="shared" si="583"/>
        <v>#DIV/0!</v>
      </c>
    </row>
    <row r="771" spans="1:66" x14ac:dyDescent="0.25">
      <c r="A771" s="42">
        <v>768</v>
      </c>
      <c r="E771" s="6">
        <f t="shared" si="573"/>
        <v>0</v>
      </c>
      <c r="F771" s="5" t="str">
        <f t="shared" si="584"/>
        <v>Break Even</v>
      </c>
      <c r="G771" s="4">
        <f t="shared" si="585"/>
        <v>0</v>
      </c>
      <c r="N771" s="5">
        <f t="shared" si="586"/>
        <v>0</v>
      </c>
      <c r="O771" s="4" t="e">
        <f t="shared" si="587"/>
        <v>#DIV/0!</v>
      </c>
      <c r="P771" s="5">
        <f t="shared" si="546"/>
        <v>0</v>
      </c>
      <c r="R771" s="2">
        <f t="shared" si="590"/>
        <v>0</v>
      </c>
      <c r="T771" s="2">
        <f t="shared" si="574"/>
        <v>0</v>
      </c>
      <c r="V771" s="5">
        <f t="shared" si="588"/>
        <v>0</v>
      </c>
      <c r="W771" s="4" t="e">
        <f t="shared" si="589"/>
        <v>#DIV/0!</v>
      </c>
      <c r="X771" s="14">
        <f t="shared" si="547"/>
        <v>0</v>
      </c>
      <c r="Y771" s="5">
        <f t="shared" si="548"/>
        <v>0</v>
      </c>
      <c r="Z771" s="2">
        <f t="shared" si="549"/>
        <v>0</v>
      </c>
      <c r="AA771" s="4">
        <f t="shared" si="550"/>
        <v>0</v>
      </c>
      <c r="AB771" s="13">
        <f t="shared" si="551"/>
        <v>0</v>
      </c>
      <c r="AC771" s="10">
        <f>SUM($E$4:E771)</f>
        <v>-22024.091160220025</v>
      </c>
      <c r="AD771" s="20">
        <f>SUM($AB$4:AB771)</f>
        <v>13539.766460219998</v>
      </c>
      <c r="AF771" s="28" t="e">
        <f t="shared" si="552"/>
        <v>#DIV/0!</v>
      </c>
      <c r="AG771" s="2" t="e">
        <f t="shared" si="553"/>
        <v>#DIV/0!</v>
      </c>
      <c r="AH771" s="2" t="e">
        <f t="shared" si="554"/>
        <v>#DIV/0!</v>
      </c>
      <c r="AI771" s="2" t="e">
        <f t="shared" si="575"/>
        <v>#DIV/0!</v>
      </c>
      <c r="AJ771" s="2" t="e">
        <f t="shared" si="591"/>
        <v>#DIV/0!</v>
      </c>
      <c r="AK771" s="2" t="e">
        <f t="shared" si="555"/>
        <v>#DIV/0!</v>
      </c>
      <c r="AL771" s="2" t="e">
        <f t="shared" si="556"/>
        <v>#DIV/0!</v>
      </c>
      <c r="AM771" s="2" t="e">
        <f t="shared" si="576"/>
        <v>#DIV/0!</v>
      </c>
      <c r="AN771" s="2">
        <f t="shared" si="557"/>
        <v>0</v>
      </c>
      <c r="AO771" s="2" t="e">
        <f t="shared" si="558"/>
        <v>#DIV/0!</v>
      </c>
      <c r="AP771" s="2" t="e">
        <f t="shared" si="559"/>
        <v>#DIV/0!</v>
      </c>
      <c r="AQ771" s="2" t="e">
        <f t="shared" si="577"/>
        <v>#DIV/0!</v>
      </c>
      <c r="AR771" s="2" t="e">
        <f t="shared" si="592"/>
        <v>#DIV/0!</v>
      </c>
      <c r="AS771" s="2" t="e">
        <f t="shared" si="560"/>
        <v>#DIV/0!</v>
      </c>
      <c r="AT771" s="2" t="e">
        <f t="shared" si="561"/>
        <v>#DIV/0!</v>
      </c>
      <c r="AU771" s="2" t="e">
        <f t="shared" si="578"/>
        <v>#DIV/0!</v>
      </c>
      <c r="AV771" s="2" t="e">
        <f t="shared" si="562"/>
        <v>#DIV/0!</v>
      </c>
      <c r="AW771" s="2" t="e">
        <f t="shared" si="563"/>
        <v>#DIV/0!</v>
      </c>
      <c r="AX771" s="2" t="e">
        <f t="shared" si="564"/>
        <v>#DIV/0!</v>
      </c>
      <c r="AY771" s="2" t="e">
        <f t="shared" si="579"/>
        <v>#DIV/0!</v>
      </c>
      <c r="AZ771" s="2" t="e">
        <f t="shared" si="593"/>
        <v>#DIV/0!</v>
      </c>
      <c r="BA771" s="2" t="e">
        <f t="shared" si="565"/>
        <v>#DIV/0!</v>
      </c>
      <c r="BB771" s="2" t="e">
        <f t="shared" si="566"/>
        <v>#DIV/0!</v>
      </c>
      <c r="BC771" s="2" t="e">
        <f t="shared" si="580"/>
        <v>#DIV/0!</v>
      </c>
      <c r="BD771" s="2">
        <v>0</v>
      </c>
      <c r="BE771" s="2" t="e">
        <f t="shared" si="567"/>
        <v>#DIV/0!</v>
      </c>
      <c r="BF771" s="2" t="e">
        <f t="shared" si="568"/>
        <v>#DIV/0!</v>
      </c>
      <c r="BG771" s="2" t="e">
        <f t="shared" si="581"/>
        <v>#DIV/0!</v>
      </c>
      <c r="BH771" s="2" t="e">
        <f t="shared" si="594"/>
        <v>#DIV/0!</v>
      </c>
      <c r="BI771" s="2" t="e">
        <f t="shared" si="569"/>
        <v>#DIV/0!</v>
      </c>
      <c r="BJ771" s="2" t="e">
        <f t="shared" si="570"/>
        <v>#DIV/0!</v>
      </c>
      <c r="BK771" s="2" t="e">
        <f t="shared" si="582"/>
        <v>#DIV/0!</v>
      </c>
      <c r="BL771" s="2" t="e">
        <f t="shared" si="571"/>
        <v>#DIV/0!</v>
      </c>
      <c r="BM771" s="2" t="e">
        <f t="shared" si="572"/>
        <v>#DIV/0!</v>
      </c>
      <c r="BN771" s="2" t="e">
        <f t="shared" si="583"/>
        <v>#DIV/0!</v>
      </c>
    </row>
    <row r="772" spans="1:66" x14ac:dyDescent="0.25">
      <c r="A772" s="42">
        <v>769</v>
      </c>
      <c r="E772" s="6">
        <f t="shared" si="573"/>
        <v>0</v>
      </c>
      <c r="F772" s="5" t="str">
        <f t="shared" si="584"/>
        <v>Break Even</v>
      </c>
      <c r="G772" s="4">
        <f t="shared" si="585"/>
        <v>0</v>
      </c>
      <c r="N772" s="5">
        <f t="shared" si="586"/>
        <v>0</v>
      </c>
      <c r="O772" s="4" t="e">
        <f t="shared" si="587"/>
        <v>#DIV/0!</v>
      </c>
      <c r="P772" s="5">
        <f t="shared" ref="P772:P835" si="595">H772</f>
        <v>0</v>
      </c>
      <c r="R772" s="2">
        <f t="shared" si="590"/>
        <v>0</v>
      </c>
      <c r="T772" s="2">
        <f t="shared" si="574"/>
        <v>0</v>
      </c>
      <c r="V772" s="5">
        <f t="shared" si="588"/>
        <v>0</v>
      </c>
      <c r="W772" s="4" t="e">
        <f t="shared" si="589"/>
        <v>#DIV/0!</v>
      </c>
      <c r="X772" s="14">
        <f t="shared" ref="X772:X835" si="596">MAX(Q772,S772,U772)-MIN(I772,K772,M772)</f>
        <v>0</v>
      </c>
      <c r="Y772" s="5">
        <f t="shared" ref="Y772:Y835" si="597">P772*(Q772-I772)</f>
        <v>0</v>
      </c>
      <c r="Z772" s="2">
        <f t="shared" ref="Z772:Z835" si="598">R772*(S772-K772)</f>
        <v>0</v>
      </c>
      <c r="AA772" s="4">
        <f t="shared" ref="AA772:AA835" si="599">T772*(U772-M772)</f>
        <v>0</v>
      </c>
      <c r="AB772" s="13">
        <f t="shared" ref="AB772:AB835" si="600">IF(C772="EQ Intraday",AM772,IF(C772="Index Option",AU772,IF(C772="Index Future",BC772,IF(C772="EQ Delivery",BK772,IF(C772="Stock Option",AU772,IF(C772="Stock Future",BC772,IF(C772="",0,"Error")))))))</f>
        <v>0</v>
      </c>
      <c r="AC772" s="10">
        <f>SUM($E$4:E772)</f>
        <v>-22024.091160220025</v>
      </c>
      <c r="AD772" s="20">
        <f>SUM($AB$4:AB772)</f>
        <v>13539.766460219998</v>
      </c>
      <c r="AF772" s="28" t="e">
        <f t="shared" ref="AF772:AF835" si="601">MIN(IF(ISBLANK(U772)=FALSE,120,IF(ISBLANK(S772)=FALSE,80,40)),(((V772*W772)+(N772*O772))*0.0001))</f>
        <v>#DIV/0!</v>
      </c>
      <c r="AG772" s="2" t="e">
        <f t="shared" ref="AG772:AG835" si="602">(0.00025*V772*W772)</f>
        <v>#DIV/0!</v>
      </c>
      <c r="AH772" s="2" t="e">
        <f t="shared" ref="AH772:AH835" si="603">(0.0000325*((V772*W772)+(N772*O772)))</f>
        <v>#DIV/0!</v>
      </c>
      <c r="AI772" s="2" t="e">
        <f t="shared" si="575"/>
        <v>#DIV/0!</v>
      </c>
      <c r="AJ772" s="2" t="e">
        <f t="shared" si="591"/>
        <v>#DIV/0!</v>
      </c>
      <c r="AK772" s="2" t="e">
        <f t="shared" ref="AK772:AK835" si="604">(((V772*W772)+(N772*O772))/10000000)*20</f>
        <v>#DIV/0!</v>
      </c>
      <c r="AL772" s="2" t="e">
        <f t="shared" ref="AL772:AL835" si="605">0.00006*((V772*W772)+(N772*O772))</f>
        <v>#DIV/0!</v>
      </c>
      <c r="AM772" s="2" t="e">
        <f t="shared" si="576"/>
        <v>#DIV/0!</v>
      </c>
      <c r="AN772" s="2">
        <f t="shared" ref="AN772:AN835" si="606">COUNT(H772,J772,L772)*40</f>
        <v>0</v>
      </c>
      <c r="AO772" s="2" t="e">
        <f t="shared" ref="AO772:AO835" si="607">0.0005*V772*W772</f>
        <v>#DIV/0!</v>
      </c>
      <c r="AP772" s="2" t="e">
        <f t="shared" ref="AP772:AP835" si="608">0.00053*((N772*O772)+(V772*W772))</f>
        <v>#DIV/0!</v>
      </c>
      <c r="AQ772" s="2" t="e">
        <f t="shared" si="577"/>
        <v>#DIV/0!</v>
      </c>
      <c r="AR772" s="2" t="e">
        <f t="shared" si="592"/>
        <v>#DIV/0!</v>
      </c>
      <c r="AS772" s="2" t="e">
        <f t="shared" ref="AS772:AS835" si="609">(((V772*W772)+(N772*O772))/10000000)*20</f>
        <v>#DIV/0!</v>
      </c>
      <c r="AT772" s="2" t="e">
        <f t="shared" ref="AT772:AT835" si="610">0.00006*((V772*W772)+(N772*O772))</f>
        <v>#DIV/0!</v>
      </c>
      <c r="AU772" s="2" t="e">
        <f t="shared" si="578"/>
        <v>#DIV/0!</v>
      </c>
      <c r="AV772" s="2" t="e">
        <f t="shared" ref="AV772:AV835" si="611">MIN(IF(ISBLANK(U772)=FALSE,120,IF(ISBLANK(S772)=FALSE,80,40)),(((V772*W772)+(N772*O772))*0.0001))</f>
        <v>#DIV/0!</v>
      </c>
      <c r="AW772" s="2" t="e">
        <f t="shared" ref="AW772:AW835" si="612">0.0001*V772*W772</f>
        <v>#DIV/0!</v>
      </c>
      <c r="AX772" s="2" t="e">
        <f t="shared" ref="AX772:AX835" si="613">0.000021*((N772*O772)+(V772*W772))</f>
        <v>#DIV/0!</v>
      </c>
      <c r="AY772" s="2" t="e">
        <f t="shared" si="579"/>
        <v>#DIV/0!</v>
      </c>
      <c r="AZ772" s="2" t="e">
        <f t="shared" si="593"/>
        <v>#DIV/0!</v>
      </c>
      <c r="BA772" s="2" t="e">
        <f t="shared" ref="BA772:BA835" si="614">(((V772*W772)+(N772*O772))/10000000)*20</f>
        <v>#DIV/0!</v>
      </c>
      <c r="BB772" s="2" t="e">
        <f t="shared" ref="BB772:BB835" si="615">0.00006*((V772*W772)+(N772*O772))</f>
        <v>#DIV/0!</v>
      </c>
      <c r="BC772" s="2" t="e">
        <f t="shared" si="580"/>
        <v>#DIV/0!</v>
      </c>
      <c r="BD772" s="2">
        <v>0</v>
      </c>
      <c r="BE772" s="2" t="e">
        <f t="shared" ref="BE772:BE835" si="616">0.001*((N772*O772)+(V772*W772))</f>
        <v>#DIV/0!</v>
      </c>
      <c r="BF772" s="2" t="e">
        <f t="shared" ref="BF772:BF835" si="617">(0.0000325*((V772*W772)+(N772*O772)))</f>
        <v>#DIV/0!</v>
      </c>
      <c r="BG772" s="2" t="e">
        <f t="shared" si="581"/>
        <v>#DIV/0!</v>
      </c>
      <c r="BH772" s="2" t="e">
        <f t="shared" si="594"/>
        <v>#DIV/0!</v>
      </c>
      <c r="BI772" s="2" t="e">
        <f t="shared" ref="BI772:BI835" si="618">(((V772*W772)+(N772*O772))/10000000)*20</f>
        <v>#DIV/0!</v>
      </c>
      <c r="BJ772" s="2" t="e">
        <f t="shared" ref="BJ772:BJ835" si="619">0.00006*((V772*W772)+(N772*O772))</f>
        <v>#DIV/0!</v>
      </c>
      <c r="BK772" s="2" t="e">
        <f t="shared" si="582"/>
        <v>#DIV/0!</v>
      </c>
      <c r="BL772" s="2" t="e">
        <f t="shared" ref="BL772:BL835" si="620">N772*O772</f>
        <v>#DIV/0!</v>
      </c>
      <c r="BM772" s="2" t="e">
        <f t="shared" ref="BM772:BM835" si="621">V772*W772</f>
        <v>#DIV/0!</v>
      </c>
      <c r="BN772" s="2" t="e">
        <f t="shared" si="583"/>
        <v>#DIV/0!</v>
      </c>
    </row>
    <row r="773" spans="1:66" x14ac:dyDescent="0.25">
      <c r="A773" s="42">
        <v>770</v>
      </c>
      <c r="E773" s="6">
        <f t="shared" ref="E773:E836" si="622">G773-AB773</f>
        <v>0</v>
      </c>
      <c r="F773" s="5" t="str">
        <f t="shared" si="584"/>
        <v>Break Even</v>
      </c>
      <c r="G773" s="4">
        <f t="shared" si="585"/>
        <v>0</v>
      </c>
      <c r="N773" s="5">
        <f t="shared" si="586"/>
        <v>0</v>
      </c>
      <c r="O773" s="4" t="e">
        <f t="shared" si="587"/>
        <v>#DIV/0!</v>
      </c>
      <c r="P773" s="5">
        <f t="shared" si="595"/>
        <v>0</v>
      </c>
      <c r="R773" s="2">
        <f t="shared" si="590"/>
        <v>0</v>
      </c>
      <c r="T773" s="2">
        <f t="shared" ref="T773:T836" si="623">L773</f>
        <v>0</v>
      </c>
      <c r="V773" s="5">
        <f t="shared" si="588"/>
        <v>0</v>
      </c>
      <c r="W773" s="4" t="e">
        <f t="shared" si="589"/>
        <v>#DIV/0!</v>
      </c>
      <c r="X773" s="14">
        <f t="shared" si="596"/>
        <v>0</v>
      </c>
      <c r="Y773" s="5">
        <f t="shared" si="597"/>
        <v>0</v>
      </c>
      <c r="Z773" s="2">
        <f t="shared" si="598"/>
        <v>0</v>
      </c>
      <c r="AA773" s="4">
        <f t="shared" si="599"/>
        <v>0</v>
      </c>
      <c r="AB773" s="13">
        <f t="shared" si="600"/>
        <v>0</v>
      </c>
      <c r="AC773" s="10">
        <f>SUM($E$4:E773)</f>
        <v>-22024.091160220025</v>
      </c>
      <c r="AD773" s="20">
        <f>SUM($AB$4:AB773)</f>
        <v>13539.766460219998</v>
      </c>
      <c r="AF773" s="28" t="e">
        <f t="shared" si="601"/>
        <v>#DIV/0!</v>
      </c>
      <c r="AG773" s="2" t="e">
        <f t="shared" si="602"/>
        <v>#DIV/0!</v>
      </c>
      <c r="AH773" s="2" t="e">
        <f t="shared" si="603"/>
        <v>#DIV/0!</v>
      </c>
      <c r="AI773" s="2" t="e">
        <f t="shared" ref="AI773:AI836" si="624">AH773+AF773</f>
        <v>#DIV/0!</v>
      </c>
      <c r="AJ773" s="2" t="e">
        <f t="shared" si="591"/>
        <v>#DIV/0!</v>
      </c>
      <c r="AK773" s="2" t="e">
        <f t="shared" si="604"/>
        <v>#DIV/0!</v>
      </c>
      <c r="AL773" s="2" t="e">
        <f t="shared" si="605"/>
        <v>#DIV/0!</v>
      </c>
      <c r="AM773" s="2" t="e">
        <f t="shared" ref="AM773:AM836" si="625">SUM(AF773:AH773,AJ773:AL773)</f>
        <v>#DIV/0!</v>
      </c>
      <c r="AN773" s="2">
        <f t="shared" si="606"/>
        <v>0</v>
      </c>
      <c r="AO773" s="2" t="e">
        <f t="shared" si="607"/>
        <v>#DIV/0!</v>
      </c>
      <c r="AP773" s="2" t="e">
        <f t="shared" si="608"/>
        <v>#DIV/0!</v>
      </c>
      <c r="AQ773" s="2" t="e">
        <f t="shared" ref="AQ773:AQ836" si="626">AN773+AP773</f>
        <v>#DIV/0!</v>
      </c>
      <c r="AR773" s="2" t="e">
        <f t="shared" si="592"/>
        <v>#DIV/0!</v>
      </c>
      <c r="AS773" s="2" t="e">
        <f t="shared" si="609"/>
        <v>#DIV/0!</v>
      </c>
      <c r="AT773" s="2" t="e">
        <f t="shared" si="610"/>
        <v>#DIV/0!</v>
      </c>
      <c r="AU773" s="2" t="e">
        <f t="shared" ref="AU773:AU836" si="627">SUM(AN773:AP773,AR773:AT773)</f>
        <v>#DIV/0!</v>
      </c>
      <c r="AV773" s="2" t="e">
        <f t="shared" si="611"/>
        <v>#DIV/0!</v>
      </c>
      <c r="AW773" s="2" t="e">
        <f t="shared" si="612"/>
        <v>#DIV/0!</v>
      </c>
      <c r="AX773" s="2" t="e">
        <f t="shared" si="613"/>
        <v>#DIV/0!</v>
      </c>
      <c r="AY773" s="2" t="e">
        <f t="shared" ref="AY773:AY836" si="628">AV773+AX773</f>
        <v>#DIV/0!</v>
      </c>
      <c r="AZ773" s="2" t="e">
        <f t="shared" si="593"/>
        <v>#DIV/0!</v>
      </c>
      <c r="BA773" s="2" t="e">
        <f t="shared" si="614"/>
        <v>#DIV/0!</v>
      </c>
      <c r="BB773" s="2" t="e">
        <f t="shared" si="615"/>
        <v>#DIV/0!</v>
      </c>
      <c r="BC773" s="2" t="e">
        <f t="shared" ref="BC773:BC836" si="629">SUM(AV773:AX773,AZ773:BB773)</f>
        <v>#DIV/0!</v>
      </c>
      <c r="BD773" s="2">
        <v>0</v>
      </c>
      <c r="BE773" s="2" t="e">
        <f t="shared" si="616"/>
        <v>#DIV/0!</v>
      </c>
      <c r="BF773" s="2" t="e">
        <f t="shared" si="617"/>
        <v>#DIV/0!</v>
      </c>
      <c r="BG773" s="2" t="e">
        <f t="shared" ref="BG773:BG836" si="630">BD773+BF773</f>
        <v>#DIV/0!</v>
      </c>
      <c r="BH773" s="2" t="e">
        <f t="shared" si="594"/>
        <v>#DIV/0!</v>
      </c>
      <c r="BI773" s="2" t="e">
        <f t="shared" si="618"/>
        <v>#DIV/0!</v>
      </c>
      <c r="BJ773" s="2" t="e">
        <f t="shared" si="619"/>
        <v>#DIV/0!</v>
      </c>
      <c r="BK773" s="2" t="e">
        <f t="shared" ref="BK773:BK836" si="631">SUM(BD773:BF773,BH773:BJ773)</f>
        <v>#DIV/0!</v>
      </c>
      <c r="BL773" s="2" t="e">
        <f t="shared" si="620"/>
        <v>#DIV/0!</v>
      </c>
      <c r="BM773" s="2" t="e">
        <f t="shared" si="621"/>
        <v>#DIV/0!</v>
      </c>
      <c r="BN773" s="2" t="e">
        <f t="shared" ref="BN773:BN836" si="632">BM773+BL773</f>
        <v>#DIV/0!</v>
      </c>
    </row>
    <row r="774" spans="1:66" x14ac:dyDescent="0.25">
      <c r="A774" s="42">
        <v>771</v>
      </c>
      <c r="E774" s="6">
        <f t="shared" si="622"/>
        <v>0</v>
      </c>
      <c r="F774" s="5" t="str">
        <f t="shared" ref="F774:F837" si="633">IF(G774&gt;0,"Win",IF(G774=0,"Break Even","Loss"))</f>
        <v>Break Even</v>
      </c>
      <c r="G774" s="4">
        <f t="shared" ref="G774:G837" si="634">SUM(Y774,Z774,AA774)</f>
        <v>0</v>
      </c>
      <c r="N774" s="5">
        <f t="shared" ref="N774:N837" si="635">SUM(H774,J774,L774)</f>
        <v>0</v>
      </c>
      <c r="O774" s="4" t="e">
        <f t="shared" ref="O774:O837" si="636">AVERAGE(M774,K774,I774)</f>
        <v>#DIV/0!</v>
      </c>
      <c r="P774" s="5">
        <f t="shared" si="595"/>
        <v>0</v>
      </c>
      <c r="R774" s="2">
        <f t="shared" si="590"/>
        <v>0</v>
      </c>
      <c r="T774" s="2">
        <f t="shared" si="623"/>
        <v>0</v>
      </c>
      <c r="V774" s="5">
        <f t="shared" ref="V774:V837" si="637">SUM(P774,R774,T774)</f>
        <v>0</v>
      </c>
      <c r="W774" s="4" t="e">
        <f t="shared" ref="W774:W837" si="638">AVERAGE(Q774,S774,U774)</f>
        <v>#DIV/0!</v>
      </c>
      <c r="X774" s="14">
        <f t="shared" si="596"/>
        <v>0</v>
      </c>
      <c r="Y774" s="5">
        <f t="shared" si="597"/>
        <v>0</v>
      </c>
      <c r="Z774" s="2">
        <f t="shared" si="598"/>
        <v>0</v>
      </c>
      <c r="AA774" s="4">
        <f t="shared" si="599"/>
        <v>0</v>
      </c>
      <c r="AB774" s="13">
        <f t="shared" si="600"/>
        <v>0</v>
      </c>
      <c r="AC774" s="10">
        <f>SUM($E$4:E774)</f>
        <v>-22024.091160220025</v>
      </c>
      <c r="AD774" s="20">
        <f>SUM($AB$4:AB774)</f>
        <v>13539.766460219998</v>
      </c>
      <c r="AF774" s="28" t="e">
        <f t="shared" si="601"/>
        <v>#DIV/0!</v>
      </c>
      <c r="AG774" s="2" t="e">
        <f t="shared" si="602"/>
        <v>#DIV/0!</v>
      </c>
      <c r="AH774" s="2" t="e">
        <f t="shared" si="603"/>
        <v>#DIV/0!</v>
      </c>
      <c r="AI774" s="2" t="e">
        <f t="shared" si="624"/>
        <v>#DIV/0!</v>
      </c>
      <c r="AJ774" s="2" t="e">
        <f t="shared" si="591"/>
        <v>#DIV/0!</v>
      </c>
      <c r="AK774" s="2" t="e">
        <f t="shared" si="604"/>
        <v>#DIV/0!</v>
      </c>
      <c r="AL774" s="2" t="e">
        <f t="shared" si="605"/>
        <v>#DIV/0!</v>
      </c>
      <c r="AM774" s="2" t="e">
        <f t="shared" si="625"/>
        <v>#DIV/0!</v>
      </c>
      <c r="AN774" s="2">
        <f t="shared" si="606"/>
        <v>0</v>
      </c>
      <c r="AO774" s="2" t="e">
        <f t="shared" si="607"/>
        <v>#DIV/0!</v>
      </c>
      <c r="AP774" s="2" t="e">
        <f t="shared" si="608"/>
        <v>#DIV/0!</v>
      </c>
      <c r="AQ774" s="2" t="e">
        <f t="shared" si="626"/>
        <v>#DIV/0!</v>
      </c>
      <c r="AR774" s="2" t="e">
        <f t="shared" si="592"/>
        <v>#DIV/0!</v>
      </c>
      <c r="AS774" s="2" t="e">
        <f t="shared" si="609"/>
        <v>#DIV/0!</v>
      </c>
      <c r="AT774" s="2" t="e">
        <f t="shared" si="610"/>
        <v>#DIV/0!</v>
      </c>
      <c r="AU774" s="2" t="e">
        <f t="shared" si="627"/>
        <v>#DIV/0!</v>
      </c>
      <c r="AV774" s="2" t="e">
        <f t="shared" si="611"/>
        <v>#DIV/0!</v>
      </c>
      <c r="AW774" s="2" t="e">
        <f t="shared" si="612"/>
        <v>#DIV/0!</v>
      </c>
      <c r="AX774" s="2" t="e">
        <f t="shared" si="613"/>
        <v>#DIV/0!</v>
      </c>
      <c r="AY774" s="2" t="e">
        <f t="shared" si="628"/>
        <v>#DIV/0!</v>
      </c>
      <c r="AZ774" s="2" t="e">
        <f t="shared" si="593"/>
        <v>#DIV/0!</v>
      </c>
      <c r="BA774" s="2" t="e">
        <f t="shared" si="614"/>
        <v>#DIV/0!</v>
      </c>
      <c r="BB774" s="2" t="e">
        <f t="shared" si="615"/>
        <v>#DIV/0!</v>
      </c>
      <c r="BC774" s="2" t="e">
        <f t="shared" si="629"/>
        <v>#DIV/0!</v>
      </c>
      <c r="BD774" s="2">
        <v>0</v>
      </c>
      <c r="BE774" s="2" t="e">
        <f t="shared" si="616"/>
        <v>#DIV/0!</v>
      </c>
      <c r="BF774" s="2" t="e">
        <f t="shared" si="617"/>
        <v>#DIV/0!</v>
      </c>
      <c r="BG774" s="2" t="e">
        <f t="shared" si="630"/>
        <v>#DIV/0!</v>
      </c>
      <c r="BH774" s="2" t="e">
        <f t="shared" si="594"/>
        <v>#DIV/0!</v>
      </c>
      <c r="BI774" s="2" t="e">
        <f t="shared" si="618"/>
        <v>#DIV/0!</v>
      </c>
      <c r="BJ774" s="2" t="e">
        <f t="shared" si="619"/>
        <v>#DIV/0!</v>
      </c>
      <c r="BK774" s="2" t="e">
        <f t="shared" si="631"/>
        <v>#DIV/0!</v>
      </c>
      <c r="BL774" s="2" t="e">
        <f t="shared" si="620"/>
        <v>#DIV/0!</v>
      </c>
      <c r="BM774" s="2" t="e">
        <f t="shared" si="621"/>
        <v>#DIV/0!</v>
      </c>
      <c r="BN774" s="2" t="e">
        <f t="shared" si="632"/>
        <v>#DIV/0!</v>
      </c>
    </row>
    <row r="775" spans="1:66" x14ac:dyDescent="0.25">
      <c r="A775" s="42">
        <v>772</v>
      </c>
      <c r="E775" s="6">
        <f t="shared" si="622"/>
        <v>0</v>
      </c>
      <c r="F775" s="5" t="str">
        <f t="shared" si="633"/>
        <v>Break Even</v>
      </c>
      <c r="G775" s="4">
        <f t="shared" si="634"/>
        <v>0</v>
      </c>
      <c r="N775" s="5">
        <f t="shared" si="635"/>
        <v>0</v>
      </c>
      <c r="O775" s="4" t="e">
        <f t="shared" si="636"/>
        <v>#DIV/0!</v>
      </c>
      <c r="P775" s="5">
        <f t="shared" si="595"/>
        <v>0</v>
      </c>
      <c r="R775" s="2">
        <f t="shared" si="590"/>
        <v>0</v>
      </c>
      <c r="T775" s="2">
        <f t="shared" si="623"/>
        <v>0</v>
      </c>
      <c r="V775" s="5">
        <f t="shared" si="637"/>
        <v>0</v>
      </c>
      <c r="W775" s="4" t="e">
        <f t="shared" si="638"/>
        <v>#DIV/0!</v>
      </c>
      <c r="X775" s="14">
        <f t="shared" si="596"/>
        <v>0</v>
      </c>
      <c r="Y775" s="5">
        <f t="shared" si="597"/>
        <v>0</v>
      </c>
      <c r="Z775" s="2">
        <f t="shared" si="598"/>
        <v>0</v>
      </c>
      <c r="AA775" s="4">
        <f t="shared" si="599"/>
        <v>0</v>
      </c>
      <c r="AB775" s="13">
        <f t="shared" si="600"/>
        <v>0</v>
      </c>
      <c r="AC775" s="10">
        <f>SUM($E$4:E775)</f>
        <v>-22024.091160220025</v>
      </c>
      <c r="AD775" s="20">
        <f>SUM($AB$4:AB775)</f>
        <v>13539.766460219998</v>
      </c>
      <c r="AF775" s="28" t="e">
        <f t="shared" si="601"/>
        <v>#DIV/0!</v>
      </c>
      <c r="AG775" s="2" t="e">
        <f t="shared" si="602"/>
        <v>#DIV/0!</v>
      </c>
      <c r="AH775" s="2" t="e">
        <f t="shared" si="603"/>
        <v>#DIV/0!</v>
      </c>
      <c r="AI775" s="2" t="e">
        <f t="shared" si="624"/>
        <v>#DIV/0!</v>
      </c>
      <c r="AJ775" s="2" t="e">
        <f t="shared" si="591"/>
        <v>#DIV/0!</v>
      </c>
      <c r="AK775" s="2" t="e">
        <f t="shared" si="604"/>
        <v>#DIV/0!</v>
      </c>
      <c r="AL775" s="2" t="e">
        <f t="shared" si="605"/>
        <v>#DIV/0!</v>
      </c>
      <c r="AM775" s="2" t="e">
        <f t="shared" si="625"/>
        <v>#DIV/0!</v>
      </c>
      <c r="AN775" s="2">
        <f t="shared" si="606"/>
        <v>0</v>
      </c>
      <c r="AO775" s="2" t="e">
        <f t="shared" si="607"/>
        <v>#DIV/0!</v>
      </c>
      <c r="AP775" s="2" t="e">
        <f t="shared" si="608"/>
        <v>#DIV/0!</v>
      </c>
      <c r="AQ775" s="2" t="e">
        <f t="shared" si="626"/>
        <v>#DIV/0!</v>
      </c>
      <c r="AR775" s="2" t="e">
        <f t="shared" si="592"/>
        <v>#DIV/0!</v>
      </c>
      <c r="AS775" s="2" t="e">
        <f t="shared" si="609"/>
        <v>#DIV/0!</v>
      </c>
      <c r="AT775" s="2" t="e">
        <f t="shared" si="610"/>
        <v>#DIV/0!</v>
      </c>
      <c r="AU775" s="2" t="e">
        <f t="shared" si="627"/>
        <v>#DIV/0!</v>
      </c>
      <c r="AV775" s="2" t="e">
        <f t="shared" si="611"/>
        <v>#DIV/0!</v>
      </c>
      <c r="AW775" s="2" t="e">
        <f t="shared" si="612"/>
        <v>#DIV/0!</v>
      </c>
      <c r="AX775" s="2" t="e">
        <f t="shared" si="613"/>
        <v>#DIV/0!</v>
      </c>
      <c r="AY775" s="2" t="e">
        <f t="shared" si="628"/>
        <v>#DIV/0!</v>
      </c>
      <c r="AZ775" s="2" t="e">
        <f t="shared" si="593"/>
        <v>#DIV/0!</v>
      </c>
      <c r="BA775" s="2" t="e">
        <f t="shared" si="614"/>
        <v>#DIV/0!</v>
      </c>
      <c r="BB775" s="2" t="e">
        <f t="shared" si="615"/>
        <v>#DIV/0!</v>
      </c>
      <c r="BC775" s="2" t="e">
        <f t="shared" si="629"/>
        <v>#DIV/0!</v>
      </c>
      <c r="BD775" s="2">
        <v>0</v>
      </c>
      <c r="BE775" s="2" t="e">
        <f t="shared" si="616"/>
        <v>#DIV/0!</v>
      </c>
      <c r="BF775" s="2" t="e">
        <f t="shared" si="617"/>
        <v>#DIV/0!</v>
      </c>
      <c r="BG775" s="2" t="e">
        <f t="shared" si="630"/>
        <v>#DIV/0!</v>
      </c>
      <c r="BH775" s="2" t="e">
        <f t="shared" si="594"/>
        <v>#DIV/0!</v>
      </c>
      <c r="BI775" s="2" t="e">
        <f t="shared" si="618"/>
        <v>#DIV/0!</v>
      </c>
      <c r="BJ775" s="2" t="e">
        <f t="shared" si="619"/>
        <v>#DIV/0!</v>
      </c>
      <c r="BK775" s="2" t="e">
        <f t="shared" si="631"/>
        <v>#DIV/0!</v>
      </c>
      <c r="BL775" s="2" t="e">
        <f t="shared" si="620"/>
        <v>#DIV/0!</v>
      </c>
      <c r="BM775" s="2" t="e">
        <f t="shared" si="621"/>
        <v>#DIV/0!</v>
      </c>
      <c r="BN775" s="2" t="e">
        <f t="shared" si="632"/>
        <v>#DIV/0!</v>
      </c>
    </row>
    <row r="776" spans="1:66" x14ac:dyDescent="0.25">
      <c r="A776" s="42">
        <v>773</v>
      </c>
      <c r="E776" s="6">
        <f t="shared" si="622"/>
        <v>0</v>
      </c>
      <c r="F776" s="5" t="str">
        <f t="shared" si="633"/>
        <v>Break Even</v>
      </c>
      <c r="G776" s="4">
        <f t="shared" si="634"/>
        <v>0</v>
      </c>
      <c r="N776" s="5">
        <f t="shared" si="635"/>
        <v>0</v>
      </c>
      <c r="O776" s="4" t="e">
        <f t="shared" si="636"/>
        <v>#DIV/0!</v>
      </c>
      <c r="P776" s="5">
        <f t="shared" si="595"/>
        <v>0</v>
      </c>
      <c r="R776" s="2">
        <f t="shared" si="590"/>
        <v>0</v>
      </c>
      <c r="T776" s="2">
        <f t="shared" si="623"/>
        <v>0</v>
      </c>
      <c r="V776" s="5">
        <f t="shared" si="637"/>
        <v>0</v>
      </c>
      <c r="W776" s="4" t="e">
        <f t="shared" si="638"/>
        <v>#DIV/0!</v>
      </c>
      <c r="X776" s="14">
        <f t="shared" si="596"/>
        <v>0</v>
      </c>
      <c r="Y776" s="5">
        <f t="shared" si="597"/>
        <v>0</v>
      </c>
      <c r="Z776" s="2">
        <f t="shared" si="598"/>
        <v>0</v>
      </c>
      <c r="AA776" s="4">
        <f t="shared" si="599"/>
        <v>0</v>
      </c>
      <c r="AB776" s="13">
        <f t="shared" si="600"/>
        <v>0</v>
      </c>
      <c r="AC776" s="10">
        <f>SUM($E$4:E776)</f>
        <v>-22024.091160220025</v>
      </c>
      <c r="AD776" s="20">
        <f>SUM($AB$4:AB776)</f>
        <v>13539.766460219998</v>
      </c>
      <c r="AF776" s="28" t="e">
        <f t="shared" si="601"/>
        <v>#DIV/0!</v>
      </c>
      <c r="AG776" s="2" t="e">
        <f t="shared" si="602"/>
        <v>#DIV/0!</v>
      </c>
      <c r="AH776" s="2" t="e">
        <f t="shared" si="603"/>
        <v>#DIV/0!</v>
      </c>
      <c r="AI776" s="2" t="e">
        <f t="shared" si="624"/>
        <v>#DIV/0!</v>
      </c>
      <c r="AJ776" s="2" t="e">
        <f t="shared" si="591"/>
        <v>#DIV/0!</v>
      </c>
      <c r="AK776" s="2" t="e">
        <f t="shared" si="604"/>
        <v>#DIV/0!</v>
      </c>
      <c r="AL776" s="2" t="e">
        <f t="shared" si="605"/>
        <v>#DIV/0!</v>
      </c>
      <c r="AM776" s="2" t="e">
        <f t="shared" si="625"/>
        <v>#DIV/0!</v>
      </c>
      <c r="AN776" s="2">
        <f t="shared" si="606"/>
        <v>0</v>
      </c>
      <c r="AO776" s="2" t="e">
        <f t="shared" si="607"/>
        <v>#DIV/0!</v>
      </c>
      <c r="AP776" s="2" t="e">
        <f t="shared" si="608"/>
        <v>#DIV/0!</v>
      </c>
      <c r="AQ776" s="2" t="e">
        <f t="shared" si="626"/>
        <v>#DIV/0!</v>
      </c>
      <c r="AR776" s="2" t="e">
        <f t="shared" si="592"/>
        <v>#DIV/0!</v>
      </c>
      <c r="AS776" s="2" t="e">
        <f t="shared" si="609"/>
        <v>#DIV/0!</v>
      </c>
      <c r="AT776" s="2" t="e">
        <f t="shared" si="610"/>
        <v>#DIV/0!</v>
      </c>
      <c r="AU776" s="2" t="e">
        <f t="shared" si="627"/>
        <v>#DIV/0!</v>
      </c>
      <c r="AV776" s="2" t="e">
        <f t="shared" si="611"/>
        <v>#DIV/0!</v>
      </c>
      <c r="AW776" s="2" t="e">
        <f t="shared" si="612"/>
        <v>#DIV/0!</v>
      </c>
      <c r="AX776" s="2" t="e">
        <f t="shared" si="613"/>
        <v>#DIV/0!</v>
      </c>
      <c r="AY776" s="2" t="e">
        <f t="shared" si="628"/>
        <v>#DIV/0!</v>
      </c>
      <c r="AZ776" s="2" t="e">
        <f t="shared" si="593"/>
        <v>#DIV/0!</v>
      </c>
      <c r="BA776" s="2" t="e">
        <f t="shared" si="614"/>
        <v>#DIV/0!</v>
      </c>
      <c r="BB776" s="2" t="e">
        <f t="shared" si="615"/>
        <v>#DIV/0!</v>
      </c>
      <c r="BC776" s="2" t="e">
        <f t="shared" si="629"/>
        <v>#DIV/0!</v>
      </c>
      <c r="BD776" s="2">
        <v>0</v>
      </c>
      <c r="BE776" s="2" t="e">
        <f t="shared" si="616"/>
        <v>#DIV/0!</v>
      </c>
      <c r="BF776" s="2" t="e">
        <f t="shared" si="617"/>
        <v>#DIV/0!</v>
      </c>
      <c r="BG776" s="2" t="e">
        <f t="shared" si="630"/>
        <v>#DIV/0!</v>
      </c>
      <c r="BH776" s="2" t="e">
        <f t="shared" si="594"/>
        <v>#DIV/0!</v>
      </c>
      <c r="BI776" s="2" t="e">
        <f t="shared" si="618"/>
        <v>#DIV/0!</v>
      </c>
      <c r="BJ776" s="2" t="e">
        <f t="shared" si="619"/>
        <v>#DIV/0!</v>
      </c>
      <c r="BK776" s="2" t="e">
        <f t="shared" si="631"/>
        <v>#DIV/0!</v>
      </c>
      <c r="BL776" s="2" t="e">
        <f t="shared" si="620"/>
        <v>#DIV/0!</v>
      </c>
      <c r="BM776" s="2" t="e">
        <f t="shared" si="621"/>
        <v>#DIV/0!</v>
      </c>
      <c r="BN776" s="2" t="e">
        <f t="shared" si="632"/>
        <v>#DIV/0!</v>
      </c>
    </row>
    <row r="777" spans="1:66" x14ac:dyDescent="0.25">
      <c r="A777" s="42">
        <v>774</v>
      </c>
      <c r="E777" s="6">
        <f t="shared" si="622"/>
        <v>0</v>
      </c>
      <c r="F777" s="5" t="str">
        <f t="shared" si="633"/>
        <v>Break Even</v>
      </c>
      <c r="G777" s="4">
        <f t="shared" si="634"/>
        <v>0</v>
      </c>
      <c r="N777" s="5">
        <f t="shared" si="635"/>
        <v>0</v>
      </c>
      <c r="O777" s="4" t="e">
        <f t="shared" si="636"/>
        <v>#DIV/0!</v>
      </c>
      <c r="P777" s="5">
        <f t="shared" si="595"/>
        <v>0</v>
      </c>
      <c r="R777" s="2">
        <f t="shared" si="590"/>
        <v>0</v>
      </c>
      <c r="T777" s="2">
        <f t="shared" si="623"/>
        <v>0</v>
      </c>
      <c r="V777" s="5">
        <f t="shared" si="637"/>
        <v>0</v>
      </c>
      <c r="W777" s="4" t="e">
        <f t="shared" si="638"/>
        <v>#DIV/0!</v>
      </c>
      <c r="X777" s="14">
        <f t="shared" si="596"/>
        <v>0</v>
      </c>
      <c r="Y777" s="5">
        <f t="shared" si="597"/>
        <v>0</v>
      </c>
      <c r="Z777" s="2">
        <f t="shared" si="598"/>
        <v>0</v>
      </c>
      <c r="AA777" s="4">
        <f t="shared" si="599"/>
        <v>0</v>
      </c>
      <c r="AB777" s="13">
        <f t="shared" si="600"/>
        <v>0</v>
      </c>
      <c r="AC777" s="10">
        <f>SUM($E$4:E777)</f>
        <v>-22024.091160220025</v>
      </c>
      <c r="AD777" s="20">
        <f>SUM($AB$4:AB777)</f>
        <v>13539.766460219998</v>
      </c>
      <c r="AF777" s="28" t="e">
        <f t="shared" si="601"/>
        <v>#DIV/0!</v>
      </c>
      <c r="AG777" s="2" t="e">
        <f t="shared" si="602"/>
        <v>#DIV/0!</v>
      </c>
      <c r="AH777" s="2" t="e">
        <f t="shared" si="603"/>
        <v>#DIV/0!</v>
      </c>
      <c r="AI777" s="2" t="e">
        <f t="shared" si="624"/>
        <v>#DIV/0!</v>
      </c>
      <c r="AJ777" s="2" t="e">
        <f t="shared" si="591"/>
        <v>#DIV/0!</v>
      </c>
      <c r="AK777" s="2" t="e">
        <f t="shared" si="604"/>
        <v>#DIV/0!</v>
      </c>
      <c r="AL777" s="2" t="e">
        <f t="shared" si="605"/>
        <v>#DIV/0!</v>
      </c>
      <c r="AM777" s="2" t="e">
        <f t="shared" si="625"/>
        <v>#DIV/0!</v>
      </c>
      <c r="AN777" s="2">
        <f t="shared" si="606"/>
        <v>0</v>
      </c>
      <c r="AO777" s="2" t="e">
        <f t="shared" si="607"/>
        <v>#DIV/0!</v>
      </c>
      <c r="AP777" s="2" t="e">
        <f t="shared" si="608"/>
        <v>#DIV/0!</v>
      </c>
      <c r="AQ777" s="2" t="e">
        <f t="shared" si="626"/>
        <v>#DIV/0!</v>
      </c>
      <c r="AR777" s="2" t="e">
        <f t="shared" si="592"/>
        <v>#DIV/0!</v>
      </c>
      <c r="AS777" s="2" t="e">
        <f t="shared" si="609"/>
        <v>#DIV/0!</v>
      </c>
      <c r="AT777" s="2" t="e">
        <f t="shared" si="610"/>
        <v>#DIV/0!</v>
      </c>
      <c r="AU777" s="2" t="e">
        <f t="shared" si="627"/>
        <v>#DIV/0!</v>
      </c>
      <c r="AV777" s="2" t="e">
        <f t="shared" si="611"/>
        <v>#DIV/0!</v>
      </c>
      <c r="AW777" s="2" t="e">
        <f t="shared" si="612"/>
        <v>#DIV/0!</v>
      </c>
      <c r="AX777" s="2" t="e">
        <f t="shared" si="613"/>
        <v>#DIV/0!</v>
      </c>
      <c r="AY777" s="2" t="e">
        <f t="shared" si="628"/>
        <v>#DIV/0!</v>
      </c>
      <c r="AZ777" s="2" t="e">
        <f t="shared" si="593"/>
        <v>#DIV/0!</v>
      </c>
      <c r="BA777" s="2" t="e">
        <f t="shared" si="614"/>
        <v>#DIV/0!</v>
      </c>
      <c r="BB777" s="2" t="e">
        <f t="shared" si="615"/>
        <v>#DIV/0!</v>
      </c>
      <c r="BC777" s="2" t="e">
        <f t="shared" si="629"/>
        <v>#DIV/0!</v>
      </c>
      <c r="BD777" s="2">
        <v>0</v>
      </c>
      <c r="BE777" s="2" t="e">
        <f t="shared" si="616"/>
        <v>#DIV/0!</v>
      </c>
      <c r="BF777" s="2" t="e">
        <f t="shared" si="617"/>
        <v>#DIV/0!</v>
      </c>
      <c r="BG777" s="2" t="e">
        <f t="shared" si="630"/>
        <v>#DIV/0!</v>
      </c>
      <c r="BH777" s="2" t="e">
        <f t="shared" si="594"/>
        <v>#DIV/0!</v>
      </c>
      <c r="BI777" s="2" t="e">
        <f t="shared" si="618"/>
        <v>#DIV/0!</v>
      </c>
      <c r="BJ777" s="2" t="e">
        <f t="shared" si="619"/>
        <v>#DIV/0!</v>
      </c>
      <c r="BK777" s="2" t="e">
        <f t="shared" si="631"/>
        <v>#DIV/0!</v>
      </c>
      <c r="BL777" s="2" t="e">
        <f t="shared" si="620"/>
        <v>#DIV/0!</v>
      </c>
      <c r="BM777" s="2" t="e">
        <f t="shared" si="621"/>
        <v>#DIV/0!</v>
      </c>
      <c r="BN777" s="2" t="e">
        <f t="shared" si="632"/>
        <v>#DIV/0!</v>
      </c>
    </row>
    <row r="778" spans="1:66" x14ac:dyDescent="0.25">
      <c r="A778" s="42">
        <v>775</v>
      </c>
      <c r="E778" s="6">
        <f t="shared" si="622"/>
        <v>0</v>
      </c>
      <c r="F778" s="5" t="str">
        <f t="shared" si="633"/>
        <v>Break Even</v>
      </c>
      <c r="G778" s="4">
        <f t="shared" si="634"/>
        <v>0</v>
      </c>
      <c r="N778" s="5">
        <f t="shared" si="635"/>
        <v>0</v>
      </c>
      <c r="O778" s="4" t="e">
        <f t="shared" si="636"/>
        <v>#DIV/0!</v>
      </c>
      <c r="P778" s="5">
        <f t="shared" si="595"/>
        <v>0</v>
      </c>
      <c r="R778" s="2">
        <f t="shared" si="590"/>
        <v>0</v>
      </c>
      <c r="T778" s="2">
        <f t="shared" si="623"/>
        <v>0</v>
      </c>
      <c r="V778" s="5">
        <f t="shared" si="637"/>
        <v>0</v>
      </c>
      <c r="W778" s="4" t="e">
        <f t="shared" si="638"/>
        <v>#DIV/0!</v>
      </c>
      <c r="X778" s="14">
        <f t="shared" si="596"/>
        <v>0</v>
      </c>
      <c r="Y778" s="5">
        <f t="shared" si="597"/>
        <v>0</v>
      </c>
      <c r="Z778" s="2">
        <f t="shared" si="598"/>
        <v>0</v>
      </c>
      <c r="AA778" s="4">
        <f t="shared" si="599"/>
        <v>0</v>
      </c>
      <c r="AB778" s="13">
        <f t="shared" si="600"/>
        <v>0</v>
      </c>
      <c r="AC778" s="10">
        <f>SUM($E$4:E778)</f>
        <v>-22024.091160220025</v>
      </c>
      <c r="AD778" s="20">
        <f>SUM($AB$4:AB778)</f>
        <v>13539.766460219998</v>
      </c>
      <c r="AF778" s="28" t="e">
        <f t="shared" si="601"/>
        <v>#DIV/0!</v>
      </c>
      <c r="AG778" s="2" t="e">
        <f t="shared" si="602"/>
        <v>#DIV/0!</v>
      </c>
      <c r="AH778" s="2" t="e">
        <f t="shared" si="603"/>
        <v>#DIV/0!</v>
      </c>
      <c r="AI778" s="2" t="e">
        <f t="shared" si="624"/>
        <v>#DIV/0!</v>
      </c>
      <c r="AJ778" s="2" t="e">
        <f t="shared" si="591"/>
        <v>#DIV/0!</v>
      </c>
      <c r="AK778" s="2" t="e">
        <f t="shared" si="604"/>
        <v>#DIV/0!</v>
      </c>
      <c r="AL778" s="2" t="e">
        <f t="shared" si="605"/>
        <v>#DIV/0!</v>
      </c>
      <c r="AM778" s="2" t="e">
        <f t="shared" si="625"/>
        <v>#DIV/0!</v>
      </c>
      <c r="AN778" s="2">
        <f t="shared" si="606"/>
        <v>0</v>
      </c>
      <c r="AO778" s="2" t="e">
        <f t="shared" si="607"/>
        <v>#DIV/0!</v>
      </c>
      <c r="AP778" s="2" t="e">
        <f t="shared" si="608"/>
        <v>#DIV/0!</v>
      </c>
      <c r="AQ778" s="2" t="e">
        <f t="shared" si="626"/>
        <v>#DIV/0!</v>
      </c>
      <c r="AR778" s="2" t="e">
        <f t="shared" si="592"/>
        <v>#DIV/0!</v>
      </c>
      <c r="AS778" s="2" t="e">
        <f t="shared" si="609"/>
        <v>#DIV/0!</v>
      </c>
      <c r="AT778" s="2" t="e">
        <f t="shared" si="610"/>
        <v>#DIV/0!</v>
      </c>
      <c r="AU778" s="2" t="e">
        <f t="shared" si="627"/>
        <v>#DIV/0!</v>
      </c>
      <c r="AV778" s="2" t="e">
        <f t="shared" si="611"/>
        <v>#DIV/0!</v>
      </c>
      <c r="AW778" s="2" t="e">
        <f t="shared" si="612"/>
        <v>#DIV/0!</v>
      </c>
      <c r="AX778" s="2" t="e">
        <f t="shared" si="613"/>
        <v>#DIV/0!</v>
      </c>
      <c r="AY778" s="2" t="e">
        <f t="shared" si="628"/>
        <v>#DIV/0!</v>
      </c>
      <c r="AZ778" s="2" t="e">
        <f t="shared" si="593"/>
        <v>#DIV/0!</v>
      </c>
      <c r="BA778" s="2" t="e">
        <f t="shared" si="614"/>
        <v>#DIV/0!</v>
      </c>
      <c r="BB778" s="2" t="e">
        <f t="shared" si="615"/>
        <v>#DIV/0!</v>
      </c>
      <c r="BC778" s="2" t="e">
        <f t="shared" si="629"/>
        <v>#DIV/0!</v>
      </c>
      <c r="BD778" s="2">
        <v>0</v>
      </c>
      <c r="BE778" s="2" t="e">
        <f t="shared" si="616"/>
        <v>#DIV/0!</v>
      </c>
      <c r="BF778" s="2" t="e">
        <f t="shared" si="617"/>
        <v>#DIV/0!</v>
      </c>
      <c r="BG778" s="2" t="e">
        <f t="shared" si="630"/>
        <v>#DIV/0!</v>
      </c>
      <c r="BH778" s="2" t="e">
        <f t="shared" si="594"/>
        <v>#DIV/0!</v>
      </c>
      <c r="BI778" s="2" t="e">
        <f t="shared" si="618"/>
        <v>#DIV/0!</v>
      </c>
      <c r="BJ778" s="2" t="e">
        <f t="shared" si="619"/>
        <v>#DIV/0!</v>
      </c>
      <c r="BK778" s="2" t="e">
        <f t="shared" si="631"/>
        <v>#DIV/0!</v>
      </c>
      <c r="BL778" s="2" t="e">
        <f t="shared" si="620"/>
        <v>#DIV/0!</v>
      </c>
      <c r="BM778" s="2" t="e">
        <f t="shared" si="621"/>
        <v>#DIV/0!</v>
      </c>
      <c r="BN778" s="2" t="e">
        <f t="shared" si="632"/>
        <v>#DIV/0!</v>
      </c>
    </row>
    <row r="779" spans="1:66" x14ac:dyDescent="0.25">
      <c r="A779" s="42">
        <v>776</v>
      </c>
      <c r="E779" s="6">
        <f t="shared" si="622"/>
        <v>0</v>
      </c>
      <c r="F779" s="5" t="str">
        <f t="shared" si="633"/>
        <v>Break Even</v>
      </c>
      <c r="G779" s="4">
        <f t="shared" si="634"/>
        <v>0</v>
      </c>
      <c r="N779" s="5">
        <f t="shared" si="635"/>
        <v>0</v>
      </c>
      <c r="O779" s="4" t="e">
        <f t="shared" si="636"/>
        <v>#DIV/0!</v>
      </c>
      <c r="P779" s="5">
        <f t="shared" si="595"/>
        <v>0</v>
      </c>
      <c r="R779" s="2">
        <f t="shared" si="590"/>
        <v>0</v>
      </c>
      <c r="T779" s="2">
        <f t="shared" si="623"/>
        <v>0</v>
      </c>
      <c r="V779" s="5">
        <f t="shared" si="637"/>
        <v>0</v>
      </c>
      <c r="W779" s="4" t="e">
        <f t="shared" si="638"/>
        <v>#DIV/0!</v>
      </c>
      <c r="X779" s="14">
        <f t="shared" si="596"/>
        <v>0</v>
      </c>
      <c r="Y779" s="5">
        <f t="shared" si="597"/>
        <v>0</v>
      </c>
      <c r="Z779" s="2">
        <f t="shared" si="598"/>
        <v>0</v>
      </c>
      <c r="AA779" s="4">
        <f t="shared" si="599"/>
        <v>0</v>
      </c>
      <c r="AB779" s="13">
        <f t="shared" si="600"/>
        <v>0</v>
      </c>
      <c r="AC779" s="10">
        <f>SUM($E$4:E779)</f>
        <v>-22024.091160220025</v>
      </c>
      <c r="AD779" s="20">
        <f>SUM($AB$4:AB779)</f>
        <v>13539.766460219998</v>
      </c>
      <c r="AF779" s="28" t="e">
        <f t="shared" si="601"/>
        <v>#DIV/0!</v>
      </c>
      <c r="AG779" s="2" t="e">
        <f t="shared" si="602"/>
        <v>#DIV/0!</v>
      </c>
      <c r="AH779" s="2" t="e">
        <f t="shared" si="603"/>
        <v>#DIV/0!</v>
      </c>
      <c r="AI779" s="2" t="e">
        <f t="shared" si="624"/>
        <v>#DIV/0!</v>
      </c>
      <c r="AJ779" s="2" t="e">
        <f t="shared" si="591"/>
        <v>#DIV/0!</v>
      </c>
      <c r="AK779" s="2" t="e">
        <f t="shared" si="604"/>
        <v>#DIV/0!</v>
      </c>
      <c r="AL779" s="2" t="e">
        <f t="shared" si="605"/>
        <v>#DIV/0!</v>
      </c>
      <c r="AM779" s="2" t="e">
        <f t="shared" si="625"/>
        <v>#DIV/0!</v>
      </c>
      <c r="AN779" s="2">
        <f t="shared" si="606"/>
        <v>0</v>
      </c>
      <c r="AO779" s="2" t="e">
        <f t="shared" si="607"/>
        <v>#DIV/0!</v>
      </c>
      <c r="AP779" s="2" t="e">
        <f t="shared" si="608"/>
        <v>#DIV/0!</v>
      </c>
      <c r="AQ779" s="2" t="e">
        <f t="shared" si="626"/>
        <v>#DIV/0!</v>
      </c>
      <c r="AR779" s="2" t="e">
        <f t="shared" si="592"/>
        <v>#DIV/0!</v>
      </c>
      <c r="AS779" s="2" t="e">
        <f t="shared" si="609"/>
        <v>#DIV/0!</v>
      </c>
      <c r="AT779" s="2" t="e">
        <f t="shared" si="610"/>
        <v>#DIV/0!</v>
      </c>
      <c r="AU779" s="2" t="e">
        <f t="shared" si="627"/>
        <v>#DIV/0!</v>
      </c>
      <c r="AV779" s="2" t="e">
        <f t="shared" si="611"/>
        <v>#DIV/0!</v>
      </c>
      <c r="AW779" s="2" t="e">
        <f t="shared" si="612"/>
        <v>#DIV/0!</v>
      </c>
      <c r="AX779" s="2" t="e">
        <f t="shared" si="613"/>
        <v>#DIV/0!</v>
      </c>
      <c r="AY779" s="2" t="e">
        <f t="shared" si="628"/>
        <v>#DIV/0!</v>
      </c>
      <c r="AZ779" s="2" t="e">
        <f t="shared" si="593"/>
        <v>#DIV/0!</v>
      </c>
      <c r="BA779" s="2" t="e">
        <f t="shared" si="614"/>
        <v>#DIV/0!</v>
      </c>
      <c r="BB779" s="2" t="e">
        <f t="shared" si="615"/>
        <v>#DIV/0!</v>
      </c>
      <c r="BC779" s="2" t="e">
        <f t="shared" si="629"/>
        <v>#DIV/0!</v>
      </c>
      <c r="BD779" s="2">
        <v>0</v>
      </c>
      <c r="BE779" s="2" t="e">
        <f t="shared" si="616"/>
        <v>#DIV/0!</v>
      </c>
      <c r="BF779" s="2" t="e">
        <f t="shared" si="617"/>
        <v>#DIV/0!</v>
      </c>
      <c r="BG779" s="2" t="e">
        <f t="shared" si="630"/>
        <v>#DIV/0!</v>
      </c>
      <c r="BH779" s="2" t="e">
        <f t="shared" si="594"/>
        <v>#DIV/0!</v>
      </c>
      <c r="BI779" s="2" t="e">
        <f t="shared" si="618"/>
        <v>#DIV/0!</v>
      </c>
      <c r="BJ779" s="2" t="e">
        <f t="shared" si="619"/>
        <v>#DIV/0!</v>
      </c>
      <c r="BK779" s="2" t="e">
        <f t="shared" si="631"/>
        <v>#DIV/0!</v>
      </c>
      <c r="BL779" s="2" t="e">
        <f t="shared" si="620"/>
        <v>#DIV/0!</v>
      </c>
      <c r="BM779" s="2" t="e">
        <f t="shared" si="621"/>
        <v>#DIV/0!</v>
      </c>
      <c r="BN779" s="2" t="e">
        <f t="shared" si="632"/>
        <v>#DIV/0!</v>
      </c>
    </row>
    <row r="780" spans="1:66" x14ac:dyDescent="0.25">
      <c r="A780" s="42">
        <v>777</v>
      </c>
      <c r="E780" s="6">
        <f t="shared" si="622"/>
        <v>0</v>
      </c>
      <c r="F780" s="5" t="str">
        <f t="shared" si="633"/>
        <v>Break Even</v>
      </c>
      <c r="G780" s="4">
        <f t="shared" si="634"/>
        <v>0</v>
      </c>
      <c r="N780" s="5">
        <f t="shared" si="635"/>
        <v>0</v>
      </c>
      <c r="O780" s="4" t="e">
        <f t="shared" si="636"/>
        <v>#DIV/0!</v>
      </c>
      <c r="P780" s="5">
        <f t="shared" si="595"/>
        <v>0</v>
      </c>
      <c r="R780" s="2">
        <f t="shared" si="590"/>
        <v>0</v>
      </c>
      <c r="T780" s="2">
        <f t="shared" si="623"/>
        <v>0</v>
      </c>
      <c r="V780" s="5">
        <f t="shared" si="637"/>
        <v>0</v>
      </c>
      <c r="W780" s="4" t="e">
        <f t="shared" si="638"/>
        <v>#DIV/0!</v>
      </c>
      <c r="X780" s="14">
        <f t="shared" si="596"/>
        <v>0</v>
      </c>
      <c r="Y780" s="5">
        <f t="shared" si="597"/>
        <v>0</v>
      </c>
      <c r="Z780" s="2">
        <f t="shared" si="598"/>
        <v>0</v>
      </c>
      <c r="AA780" s="4">
        <f t="shared" si="599"/>
        <v>0</v>
      </c>
      <c r="AB780" s="13">
        <f t="shared" si="600"/>
        <v>0</v>
      </c>
      <c r="AC780" s="10">
        <f>SUM($E$4:E780)</f>
        <v>-22024.091160220025</v>
      </c>
      <c r="AD780" s="20">
        <f>SUM($AB$4:AB780)</f>
        <v>13539.766460219998</v>
      </c>
      <c r="AF780" s="28" t="e">
        <f t="shared" si="601"/>
        <v>#DIV/0!</v>
      </c>
      <c r="AG780" s="2" t="e">
        <f t="shared" si="602"/>
        <v>#DIV/0!</v>
      </c>
      <c r="AH780" s="2" t="e">
        <f t="shared" si="603"/>
        <v>#DIV/0!</v>
      </c>
      <c r="AI780" s="2" t="e">
        <f t="shared" si="624"/>
        <v>#DIV/0!</v>
      </c>
      <c r="AJ780" s="2" t="e">
        <f t="shared" si="591"/>
        <v>#DIV/0!</v>
      </c>
      <c r="AK780" s="2" t="e">
        <f t="shared" si="604"/>
        <v>#DIV/0!</v>
      </c>
      <c r="AL780" s="2" t="e">
        <f t="shared" si="605"/>
        <v>#DIV/0!</v>
      </c>
      <c r="AM780" s="2" t="e">
        <f t="shared" si="625"/>
        <v>#DIV/0!</v>
      </c>
      <c r="AN780" s="2">
        <f t="shared" si="606"/>
        <v>0</v>
      </c>
      <c r="AO780" s="2" t="e">
        <f t="shared" si="607"/>
        <v>#DIV/0!</v>
      </c>
      <c r="AP780" s="2" t="e">
        <f t="shared" si="608"/>
        <v>#DIV/0!</v>
      </c>
      <c r="AQ780" s="2" t="e">
        <f t="shared" si="626"/>
        <v>#DIV/0!</v>
      </c>
      <c r="AR780" s="2" t="e">
        <f t="shared" si="592"/>
        <v>#DIV/0!</v>
      </c>
      <c r="AS780" s="2" t="e">
        <f t="shared" si="609"/>
        <v>#DIV/0!</v>
      </c>
      <c r="AT780" s="2" t="e">
        <f t="shared" si="610"/>
        <v>#DIV/0!</v>
      </c>
      <c r="AU780" s="2" t="e">
        <f t="shared" si="627"/>
        <v>#DIV/0!</v>
      </c>
      <c r="AV780" s="2" t="e">
        <f t="shared" si="611"/>
        <v>#DIV/0!</v>
      </c>
      <c r="AW780" s="2" t="e">
        <f t="shared" si="612"/>
        <v>#DIV/0!</v>
      </c>
      <c r="AX780" s="2" t="e">
        <f t="shared" si="613"/>
        <v>#DIV/0!</v>
      </c>
      <c r="AY780" s="2" t="e">
        <f t="shared" si="628"/>
        <v>#DIV/0!</v>
      </c>
      <c r="AZ780" s="2" t="e">
        <f t="shared" si="593"/>
        <v>#DIV/0!</v>
      </c>
      <c r="BA780" s="2" t="e">
        <f t="shared" si="614"/>
        <v>#DIV/0!</v>
      </c>
      <c r="BB780" s="2" t="e">
        <f t="shared" si="615"/>
        <v>#DIV/0!</v>
      </c>
      <c r="BC780" s="2" t="e">
        <f t="shared" si="629"/>
        <v>#DIV/0!</v>
      </c>
      <c r="BD780" s="2">
        <v>0</v>
      </c>
      <c r="BE780" s="2" t="e">
        <f t="shared" si="616"/>
        <v>#DIV/0!</v>
      </c>
      <c r="BF780" s="2" t="e">
        <f t="shared" si="617"/>
        <v>#DIV/0!</v>
      </c>
      <c r="BG780" s="2" t="e">
        <f t="shared" si="630"/>
        <v>#DIV/0!</v>
      </c>
      <c r="BH780" s="2" t="e">
        <f t="shared" si="594"/>
        <v>#DIV/0!</v>
      </c>
      <c r="BI780" s="2" t="e">
        <f t="shared" si="618"/>
        <v>#DIV/0!</v>
      </c>
      <c r="BJ780" s="2" t="e">
        <f t="shared" si="619"/>
        <v>#DIV/0!</v>
      </c>
      <c r="BK780" s="2" t="e">
        <f t="shared" si="631"/>
        <v>#DIV/0!</v>
      </c>
      <c r="BL780" s="2" t="e">
        <f t="shared" si="620"/>
        <v>#DIV/0!</v>
      </c>
      <c r="BM780" s="2" t="e">
        <f t="shared" si="621"/>
        <v>#DIV/0!</v>
      </c>
      <c r="BN780" s="2" t="e">
        <f t="shared" si="632"/>
        <v>#DIV/0!</v>
      </c>
    </row>
    <row r="781" spans="1:66" x14ac:dyDescent="0.25">
      <c r="A781" s="42">
        <v>778</v>
      </c>
      <c r="E781" s="6">
        <f t="shared" si="622"/>
        <v>0</v>
      </c>
      <c r="F781" s="5" t="str">
        <f t="shared" si="633"/>
        <v>Break Even</v>
      </c>
      <c r="G781" s="4">
        <f t="shared" si="634"/>
        <v>0</v>
      </c>
      <c r="N781" s="5">
        <f t="shared" si="635"/>
        <v>0</v>
      </c>
      <c r="O781" s="4" t="e">
        <f t="shared" si="636"/>
        <v>#DIV/0!</v>
      </c>
      <c r="P781" s="5">
        <f t="shared" si="595"/>
        <v>0</v>
      </c>
      <c r="R781" s="2">
        <f t="shared" si="590"/>
        <v>0</v>
      </c>
      <c r="T781" s="2">
        <f t="shared" si="623"/>
        <v>0</v>
      </c>
      <c r="V781" s="5">
        <f t="shared" si="637"/>
        <v>0</v>
      </c>
      <c r="W781" s="4" t="e">
        <f t="shared" si="638"/>
        <v>#DIV/0!</v>
      </c>
      <c r="X781" s="14">
        <f t="shared" si="596"/>
        <v>0</v>
      </c>
      <c r="Y781" s="5">
        <f t="shared" si="597"/>
        <v>0</v>
      </c>
      <c r="Z781" s="2">
        <f t="shared" si="598"/>
        <v>0</v>
      </c>
      <c r="AA781" s="4">
        <f t="shared" si="599"/>
        <v>0</v>
      </c>
      <c r="AB781" s="13">
        <f t="shared" si="600"/>
        <v>0</v>
      </c>
      <c r="AC781" s="10">
        <f>SUM($E$4:E781)</f>
        <v>-22024.091160220025</v>
      </c>
      <c r="AD781" s="20">
        <f>SUM($AB$4:AB781)</f>
        <v>13539.766460219998</v>
      </c>
      <c r="AF781" s="28" t="e">
        <f t="shared" si="601"/>
        <v>#DIV/0!</v>
      </c>
      <c r="AG781" s="2" t="e">
        <f t="shared" si="602"/>
        <v>#DIV/0!</v>
      </c>
      <c r="AH781" s="2" t="e">
        <f t="shared" si="603"/>
        <v>#DIV/0!</v>
      </c>
      <c r="AI781" s="2" t="e">
        <f t="shared" si="624"/>
        <v>#DIV/0!</v>
      </c>
      <c r="AJ781" s="2" t="e">
        <f t="shared" si="591"/>
        <v>#DIV/0!</v>
      </c>
      <c r="AK781" s="2" t="e">
        <f t="shared" si="604"/>
        <v>#DIV/0!</v>
      </c>
      <c r="AL781" s="2" t="e">
        <f t="shared" si="605"/>
        <v>#DIV/0!</v>
      </c>
      <c r="AM781" s="2" t="e">
        <f t="shared" si="625"/>
        <v>#DIV/0!</v>
      </c>
      <c r="AN781" s="2">
        <f t="shared" si="606"/>
        <v>0</v>
      </c>
      <c r="AO781" s="2" t="e">
        <f t="shared" si="607"/>
        <v>#DIV/0!</v>
      </c>
      <c r="AP781" s="2" t="e">
        <f t="shared" si="608"/>
        <v>#DIV/0!</v>
      </c>
      <c r="AQ781" s="2" t="e">
        <f t="shared" si="626"/>
        <v>#DIV/0!</v>
      </c>
      <c r="AR781" s="2" t="e">
        <f t="shared" si="592"/>
        <v>#DIV/0!</v>
      </c>
      <c r="AS781" s="2" t="e">
        <f t="shared" si="609"/>
        <v>#DIV/0!</v>
      </c>
      <c r="AT781" s="2" t="e">
        <f t="shared" si="610"/>
        <v>#DIV/0!</v>
      </c>
      <c r="AU781" s="2" t="e">
        <f t="shared" si="627"/>
        <v>#DIV/0!</v>
      </c>
      <c r="AV781" s="2" t="e">
        <f t="shared" si="611"/>
        <v>#DIV/0!</v>
      </c>
      <c r="AW781" s="2" t="e">
        <f t="shared" si="612"/>
        <v>#DIV/0!</v>
      </c>
      <c r="AX781" s="2" t="e">
        <f t="shared" si="613"/>
        <v>#DIV/0!</v>
      </c>
      <c r="AY781" s="2" t="e">
        <f t="shared" si="628"/>
        <v>#DIV/0!</v>
      </c>
      <c r="AZ781" s="2" t="e">
        <f t="shared" si="593"/>
        <v>#DIV/0!</v>
      </c>
      <c r="BA781" s="2" t="e">
        <f t="shared" si="614"/>
        <v>#DIV/0!</v>
      </c>
      <c r="BB781" s="2" t="e">
        <f t="shared" si="615"/>
        <v>#DIV/0!</v>
      </c>
      <c r="BC781" s="2" t="e">
        <f t="shared" si="629"/>
        <v>#DIV/0!</v>
      </c>
      <c r="BD781" s="2">
        <v>0</v>
      </c>
      <c r="BE781" s="2" t="e">
        <f t="shared" si="616"/>
        <v>#DIV/0!</v>
      </c>
      <c r="BF781" s="2" t="e">
        <f t="shared" si="617"/>
        <v>#DIV/0!</v>
      </c>
      <c r="BG781" s="2" t="e">
        <f t="shared" si="630"/>
        <v>#DIV/0!</v>
      </c>
      <c r="BH781" s="2" t="e">
        <f t="shared" si="594"/>
        <v>#DIV/0!</v>
      </c>
      <c r="BI781" s="2" t="e">
        <f t="shared" si="618"/>
        <v>#DIV/0!</v>
      </c>
      <c r="BJ781" s="2" t="e">
        <f t="shared" si="619"/>
        <v>#DIV/0!</v>
      </c>
      <c r="BK781" s="2" t="e">
        <f t="shared" si="631"/>
        <v>#DIV/0!</v>
      </c>
      <c r="BL781" s="2" t="e">
        <f t="shared" si="620"/>
        <v>#DIV/0!</v>
      </c>
      <c r="BM781" s="2" t="e">
        <f t="shared" si="621"/>
        <v>#DIV/0!</v>
      </c>
      <c r="BN781" s="2" t="e">
        <f t="shared" si="632"/>
        <v>#DIV/0!</v>
      </c>
    </row>
    <row r="782" spans="1:66" x14ac:dyDescent="0.25">
      <c r="A782" s="42">
        <v>779</v>
      </c>
      <c r="E782" s="6">
        <f t="shared" si="622"/>
        <v>0</v>
      </c>
      <c r="F782" s="5" t="str">
        <f t="shared" si="633"/>
        <v>Break Even</v>
      </c>
      <c r="G782" s="4">
        <f t="shared" si="634"/>
        <v>0</v>
      </c>
      <c r="N782" s="5">
        <f t="shared" si="635"/>
        <v>0</v>
      </c>
      <c r="O782" s="4" t="e">
        <f t="shared" si="636"/>
        <v>#DIV/0!</v>
      </c>
      <c r="P782" s="5">
        <f t="shared" si="595"/>
        <v>0</v>
      </c>
      <c r="R782" s="2">
        <f t="shared" si="590"/>
        <v>0</v>
      </c>
      <c r="T782" s="2">
        <f t="shared" si="623"/>
        <v>0</v>
      </c>
      <c r="V782" s="5">
        <f t="shared" si="637"/>
        <v>0</v>
      </c>
      <c r="W782" s="4" t="e">
        <f t="shared" si="638"/>
        <v>#DIV/0!</v>
      </c>
      <c r="X782" s="14">
        <f t="shared" si="596"/>
        <v>0</v>
      </c>
      <c r="Y782" s="5">
        <f t="shared" si="597"/>
        <v>0</v>
      </c>
      <c r="Z782" s="2">
        <f t="shared" si="598"/>
        <v>0</v>
      </c>
      <c r="AA782" s="4">
        <f t="shared" si="599"/>
        <v>0</v>
      </c>
      <c r="AB782" s="13">
        <f t="shared" si="600"/>
        <v>0</v>
      </c>
      <c r="AC782" s="10">
        <f>SUM($E$4:E782)</f>
        <v>-22024.091160220025</v>
      </c>
      <c r="AD782" s="20">
        <f>SUM($AB$4:AB782)</f>
        <v>13539.766460219998</v>
      </c>
      <c r="AF782" s="28" t="e">
        <f t="shared" si="601"/>
        <v>#DIV/0!</v>
      </c>
      <c r="AG782" s="2" t="e">
        <f t="shared" si="602"/>
        <v>#DIV/0!</v>
      </c>
      <c r="AH782" s="2" t="e">
        <f t="shared" si="603"/>
        <v>#DIV/0!</v>
      </c>
      <c r="AI782" s="2" t="e">
        <f t="shared" si="624"/>
        <v>#DIV/0!</v>
      </c>
      <c r="AJ782" s="2" t="e">
        <f t="shared" si="591"/>
        <v>#DIV/0!</v>
      </c>
      <c r="AK782" s="2" t="e">
        <f t="shared" si="604"/>
        <v>#DIV/0!</v>
      </c>
      <c r="AL782" s="2" t="e">
        <f t="shared" si="605"/>
        <v>#DIV/0!</v>
      </c>
      <c r="AM782" s="2" t="e">
        <f t="shared" si="625"/>
        <v>#DIV/0!</v>
      </c>
      <c r="AN782" s="2">
        <f t="shared" si="606"/>
        <v>0</v>
      </c>
      <c r="AO782" s="2" t="e">
        <f t="shared" si="607"/>
        <v>#DIV/0!</v>
      </c>
      <c r="AP782" s="2" t="e">
        <f t="shared" si="608"/>
        <v>#DIV/0!</v>
      </c>
      <c r="AQ782" s="2" t="e">
        <f t="shared" si="626"/>
        <v>#DIV/0!</v>
      </c>
      <c r="AR782" s="2" t="e">
        <f t="shared" si="592"/>
        <v>#DIV/0!</v>
      </c>
      <c r="AS782" s="2" t="e">
        <f t="shared" si="609"/>
        <v>#DIV/0!</v>
      </c>
      <c r="AT782" s="2" t="e">
        <f t="shared" si="610"/>
        <v>#DIV/0!</v>
      </c>
      <c r="AU782" s="2" t="e">
        <f t="shared" si="627"/>
        <v>#DIV/0!</v>
      </c>
      <c r="AV782" s="2" t="e">
        <f t="shared" si="611"/>
        <v>#DIV/0!</v>
      </c>
      <c r="AW782" s="2" t="e">
        <f t="shared" si="612"/>
        <v>#DIV/0!</v>
      </c>
      <c r="AX782" s="2" t="e">
        <f t="shared" si="613"/>
        <v>#DIV/0!</v>
      </c>
      <c r="AY782" s="2" t="e">
        <f t="shared" si="628"/>
        <v>#DIV/0!</v>
      </c>
      <c r="AZ782" s="2" t="e">
        <f t="shared" si="593"/>
        <v>#DIV/0!</v>
      </c>
      <c r="BA782" s="2" t="e">
        <f t="shared" si="614"/>
        <v>#DIV/0!</v>
      </c>
      <c r="BB782" s="2" t="e">
        <f t="shared" si="615"/>
        <v>#DIV/0!</v>
      </c>
      <c r="BC782" s="2" t="e">
        <f t="shared" si="629"/>
        <v>#DIV/0!</v>
      </c>
      <c r="BD782" s="2">
        <v>0</v>
      </c>
      <c r="BE782" s="2" t="e">
        <f t="shared" si="616"/>
        <v>#DIV/0!</v>
      </c>
      <c r="BF782" s="2" t="e">
        <f t="shared" si="617"/>
        <v>#DIV/0!</v>
      </c>
      <c r="BG782" s="2" t="e">
        <f t="shared" si="630"/>
        <v>#DIV/0!</v>
      </c>
      <c r="BH782" s="2" t="e">
        <f t="shared" si="594"/>
        <v>#DIV/0!</v>
      </c>
      <c r="BI782" s="2" t="e">
        <f t="shared" si="618"/>
        <v>#DIV/0!</v>
      </c>
      <c r="BJ782" s="2" t="e">
        <f t="shared" si="619"/>
        <v>#DIV/0!</v>
      </c>
      <c r="BK782" s="2" t="e">
        <f t="shared" si="631"/>
        <v>#DIV/0!</v>
      </c>
      <c r="BL782" s="2" t="e">
        <f t="shared" si="620"/>
        <v>#DIV/0!</v>
      </c>
      <c r="BM782" s="2" t="e">
        <f t="shared" si="621"/>
        <v>#DIV/0!</v>
      </c>
      <c r="BN782" s="2" t="e">
        <f t="shared" si="632"/>
        <v>#DIV/0!</v>
      </c>
    </row>
    <row r="783" spans="1:66" x14ac:dyDescent="0.25">
      <c r="A783" s="42">
        <v>780</v>
      </c>
      <c r="E783" s="6">
        <f t="shared" si="622"/>
        <v>0</v>
      </c>
      <c r="F783" s="5" t="str">
        <f t="shared" si="633"/>
        <v>Break Even</v>
      </c>
      <c r="G783" s="4">
        <f t="shared" si="634"/>
        <v>0</v>
      </c>
      <c r="N783" s="5">
        <f t="shared" si="635"/>
        <v>0</v>
      </c>
      <c r="O783" s="4" t="e">
        <f t="shared" si="636"/>
        <v>#DIV/0!</v>
      </c>
      <c r="P783" s="5">
        <f t="shared" si="595"/>
        <v>0</v>
      </c>
      <c r="R783" s="2">
        <f t="shared" si="590"/>
        <v>0</v>
      </c>
      <c r="T783" s="2">
        <f t="shared" si="623"/>
        <v>0</v>
      </c>
      <c r="V783" s="5">
        <f t="shared" si="637"/>
        <v>0</v>
      </c>
      <c r="W783" s="4" t="e">
        <f t="shared" si="638"/>
        <v>#DIV/0!</v>
      </c>
      <c r="X783" s="14">
        <f t="shared" si="596"/>
        <v>0</v>
      </c>
      <c r="Y783" s="5">
        <f t="shared" si="597"/>
        <v>0</v>
      </c>
      <c r="Z783" s="2">
        <f t="shared" si="598"/>
        <v>0</v>
      </c>
      <c r="AA783" s="4">
        <f t="shared" si="599"/>
        <v>0</v>
      </c>
      <c r="AB783" s="13">
        <f t="shared" si="600"/>
        <v>0</v>
      </c>
      <c r="AC783" s="10">
        <f>SUM($E$4:E783)</f>
        <v>-22024.091160220025</v>
      </c>
      <c r="AD783" s="20">
        <f>SUM($AB$4:AB783)</f>
        <v>13539.766460219998</v>
      </c>
      <c r="AF783" s="28" t="e">
        <f t="shared" si="601"/>
        <v>#DIV/0!</v>
      </c>
      <c r="AG783" s="2" t="e">
        <f t="shared" si="602"/>
        <v>#DIV/0!</v>
      </c>
      <c r="AH783" s="2" t="e">
        <f t="shared" si="603"/>
        <v>#DIV/0!</v>
      </c>
      <c r="AI783" s="2" t="e">
        <f t="shared" si="624"/>
        <v>#DIV/0!</v>
      </c>
      <c r="AJ783" s="2" t="e">
        <f t="shared" si="591"/>
        <v>#DIV/0!</v>
      </c>
      <c r="AK783" s="2" t="e">
        <f t="shared" si="604"/>
        <v>#DIV/0!</v>
      </c>
      <c r="AL783" s="2" t="e">
        <f t="shared" si="605"/>
        <v>#DIV/0!</v>
      </c>
      <c r="AM783" s="2" t="e">
        <f t="shared" si="625"/>
        <v>#DIV/0!</v>
      </c>
      <c r="AN783" s="2">
        <f t="shared" si="606"/>
        <v>0</v>
      </c>
      <c r="AO783" s="2" t="e">
        <f t="shared" si="607"/>
        <v>#DIV/0!</v>
      </c>
      <c r="AP783" s="2" t="e">
        <f t="shared" si="608"/>
        <v>#DIV/0!</v>
      </c>
      <c r="AQ783" s="2" t="e">
        <f t="shared" si="626"/>
        <v>#DIV/0!</v>
      </c>
      <c r="AR783" s="2" t="e">
        <f t="shared" si="592"/>
        <v>#DIV/0!</v>
      </c>
      <c r="AS783" s="2" t="e">
        <f t="shared" si="609"/>
        <v>#DIV/0!</v>
      </c>
      <c r="AT783" s="2" t="e">
        <f t="shared" si="610"/>
        <v>#DIV/0!</v>
      </c>
      <c r="AU783" s="2" t="e">
        <f t="shared" si="627"/>
        <v>#DIV/0!</v>
      </c>
      <c r="AV783" s="2" t="e">
        <f t="shared" si="611"/>
        <v>#DIV/0!</v>
      </c>
      <c r="AW783" s="2" t="e">
        <f t="shared" si="612"/>
        <v>#DIV/0!</v>
      </c>
      <c r="AX783" s="2" t="e">
        <f t="shared" si="613"/>
        <v>#DIV/0!</v>
      </c>
      <c r="AY783" s="2" t="e">
        <f t="shared" si="628"/>
        <v>#DIV/0!</v>
      </c>
      <c r="AZ783" s="2" t="e">
        <f t="shared" si="593"/>
        <v>#DIV/0!</v>
      </c>
      <c r="BA783" s="2" t="e">
        <f t="shared" si="614"/>
        <v>#DIV/0!</v>
      </c>
      <c r="BB783" s="2" t="e">
        <f t="shared" si="615"/>
        <v>#DIV/0!</v>
      </c>
      <c r="BC783" s="2" t="e">
        <f t="shared" si="629"/>
        <v>#DIV/0!</v>
      </c>
      <c r="BD783" s="2">
        <v>0</v>
      </c>
      <c r="BE783" s="2" t="e">
        <f t="shared" si="616"/>
        <v>#DIV/0!</v>
      </c>
      <c r="BF783" s="2" t="e">
        <f t="shared" si="617"/>
        <v>#DIV/0!</v>
      </c>
      <c r="BG783" s="2" t="e">
        <f t="shared" si="630"/>
        <v>#DIV/0!</v>
      </c>
      <c r="BH783" s="2" t="e">
        <f t="shared" si="594"/>
        <v>#DIV/0!</v>
      </c>
      <c r="BI783" s="2" t="e">
        <f t="shared" si="618"/>
        <v>#DIV/0!</v>
      </c>
      <c r="BJ783" s="2" t="e">
        <f t="shared" si="619"/>
        <v>#DIV/0!</v>
      </c>
      <c r="BK783" s="2" t="e">
        <f t="shared" si="631"/>
        <v>#DIV/0!</v>
      </c>
      <c r="BL783" s="2" t="e">
        <f t="shared" si="620"/>
        <v>#DIV/0!</v>
      </c>
      <c r="BM783" s="2" t="e">
        <f t="shared" si="621"/>
        <v>#DIV/0!</v>
      </c>
      <c r="BN783" s="2" t="e">
        <f t="shared" si="632"/>
        <v>#DIV/0!</v>
      </c>
    </row>
    <row r="784" spans="1:66" x14ac:dyDescent="0.25">
      <c r="A784" s="42">
        <v>781</v>
      </c>
      <c r="E784" s="6">
        <f t="shared" si="622"/>
        <v>0</v>
      </c>
      <c r="F784" s="5" t="str">
        <f t="shared" si="633"/>
        <v>Break Even</v>
      </c>
      <c r="G784" s="4">
        <f t="shared" si="634"/>
        <v>0</v>
      </c>
      <c r="N784" s="5">
        <f t="shared" si="635"/>
        <v>0</v>
      </c>
      <c r="O784" s="4" t="e">
        <f t="shared" si="636"/>
        <v>#DIV/0!</v>
      </c>
      <c r="P784" s="5">
        <f t="shared" si="595"/>
        <v>0</v>
      </c>
      <c r="R784" s="2">
        <f t="shared" si="590"/>
        <v>0</v>
      </c>
      <c r="T784" s="2">
        <f t="shared" si="623"/>
        <v>0</v>
      </c>
      <c r="V784" s="5">
        <f t="shared" si="637"/>
        <v>0</v>
      </c>
      <c r="W784" s="4" t="e">
        <f t="shared" si="638"/>
        <v>#DIV/0!</v>
      </c>
      <c r="X784" s="14">
        <f t="shared" si="596"/>
        <v>0</v>
      </c>
      <c r="Y784" s="5">
        <f t="shared" si="597"/>
        <v>0</v>
      </c>
      <c r="Z784" s="2">
        <f t="shared" si="598"/>
        <v>0</v>
      </c>
      <c r="AA784" s="4">
        <f t="shared" si="599"/>
        <v>0</v>
      </c>
      <c r="AB784" s="13">
        <f t="shared" si="600"/>
        <v>0</v>
      </c>
      <c r="AC784" s="10">
        <f>SUM($E$4:E784)</f>
        <v>-22024.091160220025</v>
      </c>
      <c r="AD784" s="20">
        <f>SUM($AB$4:AB784)</f>
        <v>13539.766460219998</v>
      </c>
      <c r="AF784" s="28" t="e">
        <f t="shared" si="601"/>
        <v>#DIV/0!</v>
      </c>
      <c r="AG784" s="2" t="e">
        <f t="shared" si="602"/>
        <v>#DIV/0!</v>
      </c>
      <c r="AH784" s="2" t="e">
        <f t="shared" si="603"/>
        <v>#DIV/0!</v>
      </c>
      <c r="AI784" s="2" t="e">
        <f t="shared" si="624"/>
        <v>#DIV/0!</v>
      </c>
      <c r="AJ784" s="2" t="e">
        <f t="shared" si="591"/>
        <v>#DIV/0!</v>
      </c>
      <c r="AK784" s="2" t="e">
        <f t="shared" si="604"/>
        <v>#DIV/0!</v>
      </c>
      <c r="AL784" s="2" t="e">
        <f t="shared" si="605"/>
        <v>#DIV/0!</v>
      </c>
      <c r="AM784" s="2" t="e">
        <f t="shared" si="625"/>
        <v>#DIV/0!</v>
      </c>
      <c r="AN784" s="2">
        <f t="shared" si="606"/>
        <v>0</v>
      </c>
      <c r="AO784" s="2" t="e">
        <f t="shared" si="607"/>
        <v>#DIV/0!</v>
      </c>
      <c r="AP784" s="2" t="e">
        <f t="shared" si="608"/>
        <v>#DIV/0!</v>
      </c>
      <c r="AQ784" s="2" t="e">
        <f t="shared" si="626"/>
        <v>#DIV/0!</v>
      </c>
      <c r="AR784" s="2" t="e">
        <f t="shared" si="592"/>
        <v>#DIV/0!</v>
      </c>
      <c r="AS784" s="2" t="e">
        <f t="shared" si="609"/>
        <v>#DIV/0!</v>
      </c>
      <c r="AT784" s="2" t="e">
        <f t="shared" si="610"/>
        <v>#DIV/0!</v>
      </c>
      <c r="AU784" s="2" t="e">
        <f t="shared" si="627"/>
        <v>#DIV/0!</v>
      </c>
      <c r="AV784" s="2" t="e">
        <f t="shared" si="611"/>
        <v>#DIV/0!</v>
      </c>
      <c r="AW784" s="2" t="e">
        <f t="shared" si="612"/>
        <v>#DIV/0!</v>
      </c>
      <c r="AX784" s="2" t="e">
        <f t="shared" si="613"/>
        <v>#DIV/0!</v>
      </c>
      <c r="AY784" s="2" t="e">
        <f t="shared" si="628"/>
        <v>#DIV/0!</v>
      </c>
      <c r="AZ784" s="2" t="e">
        <f t="shared" si="593"/>
        <v>#DIV/0!</v>
      </c>
      <c r="BA784" s="2" t="e">
        <f t="shared" si="614"/>
        <v>#DIV/0!</v>
      </c>
      <c r="BB784" s="2" t="e">
        <f t="shared" si="615"/>
        <v>#DIV/0!</v>
      </c>
      <c r="BC784" s="2" t="e">
        <f t="shared" si="629"/>
        <v>#DIV/0!</v>
      </c>
      <c r="BD784" s="2">
        <v>0</v>
      </c>
      <c r="BE784" s="2" t="e">
        <f t="shared" si="616"/>
        <v>#DIV/0!</v>
      </c>
      <c r="BF784" s="2" t="e">
        <f t="shared" si="617"/>
        <v>#DIV/0!</v>
      </c>
      <c r="BG784" s="2" t="e">
        <f t="shared" si="630"/>
        <v>#DIV/0!</v>
      </c>
      <c r="BH784" s="2" t="e">
        <f t="shared" si="594"/>
        <v>#DIV/0!</v>
      </c>
      <c r="BI784" s="2" t="e">
        <f t="shared" si="618"/>
        <v>#DIV/0!</v>
      </c>
      <c r="BJ784" s="2" t="e">
        <f t="shared" si="619"/>
        <v>#DIV/0!</v>
      </c>
      <c r="BK784" s="2" t="e">
        <f t="shared" si="631"/>
        <v>#DIV/0!</v>
      </c>
      <c r="BL784" s="2" t="e">
        <f t="shared" si="620"/>
        <v>#DIV/0!</v>
      </c>
      <c r="BM784" s="2" t="e">
        <f t="shared" si="621"/>
        <v>#DIV/0!</v>
      </c>
      <c r="BN784" s="2" t="e">
        <f t="shared" si="632"/>
        <v>#DIV/0!</v>
      </c>
    </row>
    <row r="785" spans="1:66" x14ac:dyDescent="0.25">
      <c r="A785" s="42">
        <v>782</v>
      </c>
      <c r="E785" s="6">
        <f t="shared" si="622"/>
        <v>0</v>
      </c>
      <c r="F785" s="5" t="str">
        <f t="shared" si="633"/>
        <v>Break Even</v>
      </c>
      <c r="G785" s="4">
        <f t="shared" si="634"/>
        <v>0</v>
      </c>
      <c r="N785" s="5">
        <f t="shared" si="635"/>
        <v>0</v>
      </c>
      <c r="O785" s="4" t="e">
        <f t="shared" si="636"/>
        <v>#DIV/0!</v>
      </c>
      <c r="P785" s="5">
        <f t="shared" si="595"/>
        <v>0</v>
      </c>
      <c r="R785" s="2">
        <f t="shared" si="590"/>
        <v>0</v>
      </c>
      <c r="T785" s="2">
        <f t="shared" si="623"/>
        <v>0</v>
      </c>
      <c r="V785" s="5">
        <f t="shared" si="637"/>
        <v>0</v>
      </c>
      <c r="W785" s="4" t="e">
        <f t="shared" si="638"/>
        <v>#DIV/0!</v>
      </c>
      <c r="X785" s="14">
        <f t="shared" si="596"/>
        <v>0</v>
      </c>
      <c r="Y785" s="5">
        <f t="shared" si="597"/>
        <v>0</v>
      </c>
      <c r="Z785" s="2">
        <f t="shared" si="598"/>
        <v>0</v>
      </c>
      <c r="AA785" s="4">
        <f t="shared" si="599"/>
        <v>0</v>
      </c>
      <c r="AB785" s="13">
        <f t="shared" si="600"/>
        <v>0</v>
      </c>
      <c r="AC785" s="10">
        <f>SUM($E$4:E785)</f>
        <v>-22024.091160220025</v>
      </c>
      <c r="AD785" s="20">
        <f>SUM($AB$4:AB785)</f>
        <v>13539.766460219998</v>
      </c>
      <c r="AF785" s="28" t="e">
        <f t="shared" si="601"/>
        <v>#DIV/0!</v>
      </c>
      <c r="AG785" s="2" t="e">
        <f t="shared" si="602"/>
        <v>#DIV/0!</v>
      </c>
      <c r="AH785" s="2" t="e">
        <f t="shared" si="603"/>
        <v>#DIV/0!</v>
      </c>
      <c r="AI785" s="2" t="e">
        <f t="shared" si="624"/>
        <v>#DIV/0!</v>
      </c>
      <c r="AJ785" s="2" t="e">
        <f t="shared" si="591"/>
        <v>#DIV/0!</v>
      </c>
      <c r="AK785" s="2" t="e">
        <f t="shared" si="604"/>
        <v>#DIV/0!</v>
      </c>
      <c r="AL785" s="2" t="e">
        <f t="shared" si="605"/>
        <v>#DIV/0!</v>
      </c>
      <c r="AM785" s="2" t="e">
        <f t="shared" si="625"/>
        <v>#DIV/0!</v>
      </c>
      <c r="AN785" s="2">
        <f t="shared" si="606"/>
        <v>0</v>
      </c>
      <c r="AO785" s="2" t="e">
        <f t="shared" si="607"/>
        <v>#DIV/0!</v>
      </c>
      <c r="AP785" s="2" t="e">
        <f t="shared" si="608"/>
        <v>#DIV/0!</v>
      </c>
      <c r="AQ785" s="2" t="e">
        <f t="shared" si="626"/>
        <v>#DIV/0!</v>
      </c>
      <c r="AR785" s="2" t="e">
        <f t="shared" si="592"/>
        <v>#DIV/0!</v>
      </c>
      <c r="AS785" s="2" t="e">
        <f t="shared" si="609"/>
        <v>#DIV/0!</v>
      </c>
      <c r="AT785" s="2" t="e">
        <f t="shared" si="610"/>
        <v>#DIV/0!</v>
      </c>
      <c r="AU785" s="2" t="e">
        <f t="shared" si="627"/>
        <v>#DIV/0!</v>
      </c>
      <c r="AV785" s="2" t="e">
        <f t="shared" si="611"/>
        <v>#DIV/0!</v>
      </c>
      <c r="AW785" s="2" t="e">
        <f t="shared" si="612"/>
        <v>#DIV/0!</v>
      </c>
      <c r="AX785" s="2" t="e">
        <f t="shared" si="613"/>
        <v>#DIV/0!</v>
      </c>
      <c r="AY785" s="2" t="e">
        <f t="shared" si="628"/>
        <v>#DIV/0!</v>
      </c>
      <c r="AZ785" s="2" t="e">
        <f t="shared" si="593"/>
        <v>#DIV/0!</v>
      </c>
      <c r="BA785" s="2" t="e">
        <f t="shared" si="614"/>
        <v>#DIV/0!</v>
      </c>
      <c r="BB785" s="2" t="e">
        <f t="shared" si="615"/>
        <v>#DIV/0!</v>
      </c>
      <c r="BC785" s="2" t="e">
        <f t="shared" si="629"/>
        <v>#DIV/0!</v>
      </c>
      <c r="BD785" s="2">
        <v>0</v>
      </c>
      <c r="BE785" s="2" t="e">
        <f t="shared" si="616"/>
        <v>#DIV/0!</v>
      </c>
      <c r="BF785" s="2" t="e">
        <f t="shared" si="617"/>
        <v>#DIV/0!</v>
      </c>
      <c r="BG785" s="2" t="e">
        <f t="shared" si="630"/>
        <v>#DIV/0!</v>
      </c>
      <c r="BH785" s="2" t="e">
        <f t="shared" si="594"/>
        <v>#DIV/0!</v>
      </c>
      <c r="BI785" s="2" t="e">
        <f t="shared" si="618"/>
        <v>#DIV/0!</v>
      </c>
      <c r="BJ785" s="2" t="e">
        <f t="shared" si="619"/>
        <v>#DIV/0!</v>
      </c>
      <c r="BK785" s="2" t="e">
        <f t="shared" si="631"/>
        <v>#DIV/0!</v>
      </c>
      <c r="BL785" s="2" t="e">
        <f t="shared" si="620"/>
        <v>#DIV/0!</v>
      </c>
      <c r="BM785" s="2" t="e">
        <f t="shared" si="621"/>
        <v>#DIV/0!</v>
      </c>
      <c r="BN785" s="2" t="e">
        <f t="shared" si="632"/>
        <v>#DIV/0!</v>
      </c>
    </row>
    <row r="786" spans="1:66" x14ac:dyDescent="0.25">
      <c r="A786" s="42">
        <v>783</v>
      </c>
      <c r="E786" s="6">
        <f t="shared" si="622"/>
        <v>0</v>
      </c>
      <c r="F786" s="5" t="str">
        <f t="shared" si="633"/>
        <v>Break Even</v>
      </c>
      <c r="G786" s="4">
        <f t="shared" si="634"/>
        <v>0</v>
      </c>
      <c r="N786" s="5">
        <f t="shared" si="635"/>
        <v>0</v>
      </c>
      <c r="O786" s="4" t="e">
        <f t="shared" si="636"/>
        <v>#DIV/0!</v>
      </c>
      <c r="P786" s="5">
        <f t="shared" si="595"/>
        <v>0</v>
      </c>
      <c r="R786" s="2">
        <f t="shared" si="590"/>
        <v>0</v>
      </c>
      <c r="T786" s="2">
        <f t="shared" si="623"/>
        <v>0</v>
      </c>
      <c r="V786" s="5">
        <f t="shared" si="637"/>
        <v>0</v>
      </c>
      <c r="W786" s="4" t="e">
        <f t="shared" si="638"/>
        <v>#DIV/0!</v>
      </c>
      <c r="X786" s="14">
        <f t="shared" si="596"/>
        <v>0</v>
      </c>
      <c r="Y786" s="5">
        <f t="shared" si="597"/>
        <v>0</v>
      </c>
      <c r="Z786" s="2">
        <f t="shared" si="598"/>
        <v>0</v>
      </c>
      <c r="AA786" s="4">
        <f t="shared" si="599"/>
        <v>0</v>
      </c>
      <c r="AB786" s="13">
        <f t="shared" si="600"/>
        <v>0</v>
      </c>
      <c r="AC786" s="10">
        <f>SUM($E$4:E786)</f>
        <v>-22024.091160220025</v>
      </c>
      <c r="AD786" s="20">
        <f>SUM($AB$4:AB786)</f>
        <v>13539.766460219998</v>
      </c>
      <c r="AF786" s="28" t="e">
        <f t="shared" si="601"/>
        <v>#DIV/0!</v>
      </c>
      <c r="AG786" s="2" t="e">
        <f t="shared" si="602"/>
        <v>#DIV/0!</v>
      </c>
      <c r="AH786" s="2" t="e">
        <f t="shared" si="603"/>
        <v>#DIV/0!</v>
      </c>
      <c r="AI786" s="2" t="e">
        <f t="shared" si="624"/>
        <v>#DIV/0!</v>
      </c>
      <c r="AJ786" s="2" t="e">
        <f t="shared" si="591"/>
        <v>#DIV/0!</v>
      </c>
      <c r="AK786" s="2" t="e">
        <f t="shared" si="604"/>
        <v>#DIV/0!</v>
      </c>
      <c r="AL786" s="2" t="e">
        <f t="shared" si="605"/>
        <v>#DIV/0!</v>
      </c>
      <c r="AM786" s="2" t="e">
        <f t="shared" si="625"/>
        <v>#DIV/0!</v>
      </c>
      <c r="AN786" s="2">
        <f t="shared" si="606"/>
        <v>0</v>
      </c>
      <c r="AO786" s="2" t="e">
        <f t="shared" si="607"/>
        <v>#DIV/0!</v>
      </c>
      <c r="AP786" s="2" t="e">
        <f t="shared" si="608"/>
        <v>#DIV/0!</v>
      </c>
      <c r="AQ786" s="2" t="e">
        <f t="shared" si="626"/>
        <v>#DIV/0!</v>
      </c>
      <c r="AR786" s="2" t="e">
        <f t="shared" si="592"/>
        <v>#DIV/0!</v>
      </c>
      <c r="AS786" s="2" t="e">
        <f t="shared" si="609"/>
        <v>#DIV/0!</v>
      </c>
      <c r="AT786" s="2" t="e">
        <f t="shared" si="610"/>
        <v>#DIV/0!</v>
      </c>
      <c r="AU786" s="2" t="e">
        <f t="shared" si="627"/>
        <v>#DIV/0!</v>
      </c>
      <c r="AV786" s="2" t="e">
        <f t="shared" si="611"/>
        <v>#DIV/0!</v>
      </c>
      <c r="AW786" s="2" t="e">
        <f t="shared" si="612"/>
        <v>#DIV/0!</v>
      </c>
      <c r="AX786" s="2" t="e">
        <f t="shared" si="613"/>
        <v>#DIV/0!</v>
      </c>
      <c r="AY786" s="2" t="e">
        <f t="shared" si="628"/>
        <v>#DIV/0!</v>
      </c>
      <c r="AZ786" s="2" t="e">
        <f t="shared" si="593"/>
        <v>#DIV/0!</v>
      </c>
      <c r="BA786" s="2" t="e">
        <f t="shared" si="614"/>
        <v>#DIV/0!</v>
      </c>
      <c r="BB786" s="2" t="e">
        <f t="shared" si="615"/>
        <v>#DIV/0!</v>
      </c>
      <c r="BC786" s="2" t="e">
        <f t="shared" si="629"/>
        <v>#DIV/0!</v>
      </c>
      <c r="BD786" s="2">
        <v>0</v>
      </c>
      <c r="BE786" s="2" t="e">
        <f t="shared" si="616"/>
        <v>#DIV/0!</v>
      </c>
      <c r="BF786" s="2" t="e">
        <f t="shared" si="617"/>
        <v>#DIV/0!</v>
      </c>
      <c r="BG786" s="2" t="e">
        <f t="shared" si="630"/>
        <v>#DIV/0!</v>
      </c>
      <c r="BH786" s="2" t="e">
        <f t="shared" si="594"/>
        <v>#DIV/0!</v>
      </c>
      <c r="BI786" s="2" t="e">
        <f t="shared" si="618"/>
        <v>#DIV/0!</v>
      </c>
      <c r="BJ786" s="2" t="e">
        <f t="shared" si="619"/>
        <v>#DIV/0!</v>
      </c>
      <c r="BK786" s="2" t="e">
        <f t="shared" si="631"/>
        <v>#DIV/0!</v>
      </c>
      <c r="BL786" s="2" t="e">
        <f t="shared" si="620"/>
        <v>#DIV/0!</v>
      </c>
      <c r="BM786" s="2" t="e">
        <f t="shared" si="621"/>
        <v>#DIV/0!</v>
      </c>
      <c r="BN786" s="2" t="e">
        <f t="shared" si="632"/>
        <v>#DIV/0!</v>
      </c>
    </row>
    <row r="787" spans="1:66" x14ac:dyDescent="0.25">
      <c r="A787" s="42">
        <v>784</v>
      </c>
      <c r="E787" s="6">
        <f t="shared" si="622"/>
        <v>0</v>
      </c>
      <c r="F787" s="5" t="str">
        <f t="shared" si="633"/>
        <v>Break Even</v>
      </c>
      <c r="G787" s="4">
        <f t="shared" si="634"/>
        <v>0</v>
      </c>
      <c r="N787" s="5">
        <f t="shared" si="635"/>
        <v>0</v>
      </c>
      <c r="O787" s="4" t="e">
        <f t="shared" si="636"/>
        <v>#DIV/0!</v>
      </c>
      <c r="P787" s="5">
        <f t="shared" si="595"/>
        <v>0</v>
      </c>
      <c r="R787" s="2">
        <f t="shared" si="590"/>
        <v>0</v>
      </c>
      <c r="T787" s="2">
        <f t="shared" si="623"/>
        <v>0</v>
      </c>
      <c r="V787" s="5">
        <f t="shared" si="637"/>
        <v>0</v>
      </c>
      <c r="W787" s="4" t="e">
        <f t="shared" si="638"/>
        <v>#DIV/0!</v>
      </c>
      <c r="X787" s="14">
        <f t="shared" si="596"/>
        <v>0</v>
      </c>
      <c r="Y787" s="5">
        <f t="shared" si="597"/>
        <v>0</v>
      </c>
      <c r="Z787" s="2">
        <f t="shared" si="598"/>
        <v>0</v>
      </c>
      <c r="AA787" s="4">
        <f t="shared" si="599"/>
        <v>0</v>
      </c>
      <c r="AB787" s="13">
        <f t="shared" si="600"/>
        <v>0</v>
      </c>
      <c r="AC787" s="10">
        <f>SUM($E$4:E787)</f>
        <v>-22024.091160220025</v>
      </c>
      <c r="AD787" s="20">
        <f>SUM($AB$4:AB787)</f>
        <v>13539.766460219998</v>
      </c>
      <c r="AF787" s="28" t="e">
        <f t="shared" si="601"/>
        <v>#DIV/0!</v>
      </c>
      <c r="AG787" s="2" t="e">
        <f t="shared" si="602"/>
        <v>#DIV/0!</v>
      </c>
      <c r="AH787" s="2" t="e">
        <f t="shared" si="603"/>
        <v>#DIV/0!</v>
      </c>
      <c r="AI787" s="2" t="e">
        <f t="shared" si="624"/>
        <v>#DIV/0!</v>
      </c>
      <c r="AJ787" s="2" t="e">
        <f t="shared" si="591"/>
        <v>#DIV/0!</v>
      </c>
      <c r="AK787" s="2" t="e">
        <f t="shared" si="604"/>
        <v>#DIV/0!</v>
      </c>
      <c r="AL787" s="2" t="e">
        <f t="shared" si="605"/>
        <v>#DIV/0!</v>
      </c>
      <c r="AM787" s="2" t="e">
        <f t="shared" si="625"/>
        <v>#DIV/0!</v>
      </c>
      <c r="AN787" s="2">
        <f t="shared" si="606"/>
        <v>0</v>
      </c>
      <c r="AO787" s="2" t="e">
        <f t="shared" si="607"/>
        <v>#DIV/0!</v>
      </c>
      <c r="AP787" s="2" t="e">
        <f t="shared" si="608"/>
        <v>#DIV/0!</v>
      </c>
      <c r="AQ787" s="2" t="e">
        <f t="shared" si="626"/>
        <v>#DIV/0!</v>
      </c>
      <c r="AR787" s="2" t="e">
        <f t="shared" si="592"/>
        <v>#DIV/0!</v>
      </c>
      <c r="AS787" s="2" t="e">
        <f t="shared" si="609"/>
        <v>#DIV/0!</v>
      </c>
      <c r="AT787" s="2" t="e">
        <f t="shared" si="610"/>
        <v>#DIV/0!</v>
      </c>
      <c r="AU787" s="2" t="e">
        <f t="shared" si="627"/>
        <v>#DIV/0!</v>
      </c>
      <c r="AV787" s="2" t="e">
        <f t="shared" si="611"/>
        <v>#DIV/0!</v>
      </c>
      <c r="AW787" s="2" t="e">
        <f t="shared" si="612"/>
        <v>#DIV/0!</v>
      </c>
      <c r="AX787" s="2" t="e">
        <f t="shared" si="613"/>
        <v>#DIV/0!</v>
      </c>
      <c r="AY787" s="2" t="e">
        <f t="shared" si="628"/>
        <v>#DIV/0!</v>
      </c>
      <c r="AZ787" s="2" t="e">
        <f t="shared" si="593"/>
        <v>#DIV/0!</v>
      </c>
      <c r="BA787" s="2" t="e">
        <f t="shared" si="614"/>
        <v>#DIV/0!</v>
      </c>
      <c r="BB787" s="2" t="e">
        <f t="shared" si="615"/>
        <v>#DIV/0!</v>
      </c>
      <c r="BC787" s="2" t="e">
        <f t="shared" si="629"/>
        <v>#DIV/0!</v>
      </c>
      <c r="BD787" s="2">
        <v>0</v>
      </c>
      <c r="BE787" s="2" t="e">
        <f t="shared" si="616"/>
        <v>#DIV/0!</v>
      </c>
      <c r="BF787" s="2" t="e">
        <f t="shared" si="617"/>
        <v>#DIV/0!</v>
      </c>
      <c r="BG787" s="2" t="e">
        <f t="shared" si="630"/>
        <v>#DIV/0!</v>
      </c>
      <c r="BH787" s="2" t="e">
        <f t="shared" si="594"/>
        <v>#DIV/0!</v>
      </c>
      <c r="BI787" s="2" t="e">
        <f t="shared" si="618"/>
        <v>#DIV/0!</v>
      </c>
      <c r="BJ787" s="2" t="e">
        <f t="shared" si="619"/>
        <v>#DIV/0!</v>
      </c>
      <c r="BK787" s="2" t="e">
        <f t="shared" si="631"/>
        <v>#DIV/0!</v>
      </c>
      <c r="BL787" s="2" t="e">
        <f t="shared" si="620"/>
        <v>#DIV/0!</v>
      </c>
      <c r="BM787" s="2" t="e">
        <f t="shared" si="621"/>
        <v>#DIV/0!</v>
      </c>
      <c r="BN787" s="2" t="e">
        <f t="shared" si="632"/>
        <v>#DIV/0!</v>
      </c>
    </row>
    <row r="788" spans="1:66" x14ac:dyDescent="0.25">
      <c r="A788" s="42">
        <v>785</v>
      </c>
      <c r="E788" s="6">
        <f t="shared" si="622"/>
        <v>0</v>
      </c>
      <c r="F788" s="5" t="str">
        <f t="shared" si="633"/>
        <v>Break Even</v>
      </c>
      <c r="G788" s="4">
        <f t="shared" si="634"/>
        <v>0</v>
      </c>
      <c r="N788" s="5">
        <f t="shared" si="635"/>
        <v>0</v>
      </c>
      <c r="O788" s="4" t="e">
        <f t="shared" si="636"/>
        <v>#DIV/0!</v>
      </c>
      <c r="P788" s="5">
        <f t="shared" si="595"/>
        <v>0</v>
      </c>
      <c r="R788" s="2">
        <f t="shared" si="590"/>
        <v>0</v>
      </c>
      <c r="T788" s="2">
        <f t="shared" si="623"/>
        <v>0</v>
      </c>
      <c r="V788" s="5">
        <f t="shared" si="637"/>
        <v>0</v>
      </c>
      <c r="W788" s="4" t="e">
        <f t="shared" si="638"/>
        <v>#DIV/0!</v>
      </c>
      <c r="X788" s="14">
        <f t="shared" si="596"/>
        <v>0</v>
      </c>
      <c r="Y788" s="5">
        <f t="shared" si="597"/>
        <v>0</v>
      </c>
      <c r="Z788" s="2">
        <f t="shared" si="598"/>
        <v>0</v>
      </c>
      <c r="AA788" s="4">
        <f t="shared" si="599"/>
        <v>0</v>
      </c>
      <c r="AB788" s="13">
        <f t="shared" si="600"/>
        <v>0</v>
      </c>
      <c r="AC788" s="10">
        <f>SUM($E$4:E788)</f>
        <v>-22024.091160220025</v>
      </c>
      <c r="AD788" s="20">
        <f>SUM($AB$4:AB788)</f>
        <v>13539.766460219998</v>
      </c>
      <c r="AF788" s="28" t="e">
        <f t="shared" si="601"/>
        <v>#DIV/0!</v>
      </c>
      <c r="AG788" s="2" t="e">
        <f t="shared" si="602"/>
        <v>#DIV/0!</v>
      </c>
      <c r="AH788" s="2" t="e">
        <f t="shared" si="603"/>
        <v>#DIV/0!</v>
      </c>
      <c r="AI788" s="2" t="e">
        <f t="shared" si="624"/>
        <v>#DIV/0!</v>
      </c>
      <c r="AJ788" s="2" t="e">
        <f t="shared" si="591"/>
        <v>#DIV/0!</v>
      </c>
      <c r="AK788" s="2" t="e">
        <f t="shared" si="604"/>
        <v>#DIV/0!</v>
      </c>
      <c r="AL788" s="2" t="e">
        <f t="shared" si="605"/>
        <v>#DIV/0!</v>
      </c>
      <c r="AM788" s="2" t="e">
        <f t="shared" si="625"/>
        <v>#DIV/0!</v>
      </c>
      <c r="AN788" s="2">
        <f t="shared" si="606"/>
        <v>0</v>
      </c>
      <c r="AO788" s="2" t="e">
        <f t="shared" si="607"/>
        <v>#DIV/0!</v>
      </c>
      <c r="AP788" s="2" t="e">
        <f t="shared" si="608"/>
        <v>#DIV/0!</v>
      </c>
      <c r="AQ788" s="2" t="e">
        <f t="shared" si="626"/>
        <v>#DIV/0!</v>
      </c>
      <c r="AR788" s="2" t="e">
        <f t="shared" si="592"/>
        <v>#DIV/0!</v>
      </c>
      <c r="AS788" s="2" t="e">
        <f t="shared" si="609"/>
        <v>#DIV/0!</v>
      </c>
      <c r="AT788" s="2" t="e">
        <f t="shared" si="610"/>
        <v>#DIV/0!</v>
      </c>
      <c r="AU788" s="2" t="e">
        <f t="shared" si="627"/>
        <v>#DIV/0!</v>
      </c>
      <c r="AV788" s="2" t="e">
        <f t="shared" si="611"/>
        <v>#DIV/0!</v>
      </c>
      <c r="AW788" s="2" t="e">
        <f t="shared" si="612"/>
        <v>#DIV/0!</v>
      </c>
      <c r="AX788" s="2" t="e">
        <f t="shared" si="613"/>
        <v>#DIV/0!</v>
      </c>
      <c r="AY788" s="2" t="e">
        <f t="shared" si="628"/>
        <v>#DIV/0!</v>
      </c>
      <c r="AZ788" s="2" t="e">
        <f t="shared" si="593"/>
        <v>#DIV/0!</v>
      </c>
      <c r="BA788" s="2" t="e">
        <f t="shared" si="614"/>
        <v>#DIV/0!</v>
      </c>
      <c r="BB788" s="2" t="e">
        <f t="shared" si="615"/>
        <v>#DIV/0!</v>
      </c>
      <c r="BC788" s="2" t="e">
        <f t="shared" si="629"/>
        <v>#DIV/0!</v>
      </c>
      <c r="BD788" s="2">
        <v>0</v>
      </c>
      <c r="BE788" s="2" t="e">
        <f t="shared" si="616"/>
        <v>#DIV/0!</v>
      </c>
      <c r="BF788" s="2" t="e">
        <f t="shared" si="617"/>
        <v>#DIV/0!</v>
      </c>
      <c r="BG788" s="2" t="e">
        <f t="shared" si="630"/>
        <v>#DIV/0!</v>
      </c>
      <c r="BH788" s="2" t="e">
        <f t="shared" si="594"/>
        <v>#DIV/0!</v>
      </c>
      <c r="BI788" s="2" t="e">
        <f t="shared" si="618"/>
        <v>#DIV/0!</v>
      </c>
      <c r="BJ788" s="2" t="e">
        <f t="shared" si="619"/>
        <v>#DIV/0!</v>
      </c>
      <c r="BK788" s="2" t="e">
        <f t="shared" si="631"/>
        <v>#DIV/0!</v>
      </c>
      <c r="BL788" s="2" t="e">
        <f t="shared" si="620"/>
        <v>#DIV/0!</v>
      </c>
      <c r="BM788" s="2" t="e">
        <f t="shared" si="621"/>
        <v>#DIV/0!</v>
      </c>
      <c r="BN788" s="2" t="e">
        <f t="shared" si="632"/>
        <v>#DIV/0!</v>
      </c>
    </row>
    <row r="789" spans="1:66" x14ac:dyDescent="0.25">
      <c r="A789" s="42">
        <v>786</v>
      </c>
      <c r="E789" s="6">
        <f t="shared" si="622"/>
        <v>0</v>
      </c>
      <c r="F789" s="5" t="str">
        <f t="shared" si="633"/>
        <v>Break Even</v>
      </c>
      <c r="G789" s="4">
        <f t="shared" si="634"/>
        <v>0</v>
      </c>
      <c r="N789" s="5">
        <f t="shared" si="635"/>
        <v>0</v>
      </c>
      <c r="O789" s="4" t="e">
        <f t="shared" si="636"/>
        <v>#DIV/0!</v>
      </c>
      <c r="P789" s="5">
        <f t="shared" si="595"/>
        <v>0</v>
      </c>
      <c r="R789" s="2">
        <f t="shared" si="590"/>
        <v>0</v>
      </c>
      <c r="T789" s="2">
        <f t="shared" si="623"/>
        <v>0</v>
      </c>
      <c r="V789" s="5">
        <f t="shared" si="637"/>
        <v>0</v>
      </c>
      <c r="W789" s="4" t="e">
        <f t="shared" si="638"/>
        <v>#DIV/0!</v>
      </c>
      <c r="X789" s="14">
        <f t="shared" si="596"/>
        <v>0</v>
      </c>
      <c r="Y789" s="5">
        <f t="shared" si="597"/>
        <v>0</v>
      </c>
      <c r="Z789" s="2">
        <f t="shared" si="598"/>
        <v>0</v>
      </c>
      <c r="AA789" s="4">
        <f t="shared" si="599"/>
        <v>0</v>
      </c>
      <c r="AB789" s="13">
        <f t="shared" si="600"/>
        <v>0</v>
      </c>
      <c r="AC789" s="10">
        <f>SUM($E$4:E789)</f>
        <v>-22024.091160220025</v>
      </c>
      <c r="AD789" s="20">
        <f>SUM($AB$4:AB789)</f>
        <v>13539.766460219998</v>
      </c>
      <c r="AF789" s="28" t="e">
        <f t="shared" si="601"/>
        <v>#DIV/0!</v>
      </c>
      <c r="AG789" s="2" t="e">
        <f t="shared" si="602"/>
        <v>#DIV/0!</v>
      </c>
      <c r="AH789" s="2" t="e">
        <f t="shared" si="603"/>
        <v>#DIV/0!</v>
      </c>
      <c r="AI789" s="2" t="e">
        <f t="shared" si="624"/>
        <v>#DIV/0!</v>
      </c>
      <c r="AJ789" s="2" t="e">
        <f t="shared" si="591"/>
        <v>#DIV/0!</v>
      </c>
      <c r="AK789" s="2" t="e">
        <f t="shared" si="604"/>
        <v>#DIV/0!</v>
      </c>
      <c r="AL789" s="2" t="e">
        <f t="shared" si="605"/>
        <v>#DIV/0!</v>
      </c>
      <c r="AM789" s="2" t="e">
        <f t="shared" si="625"/>
        <v>#DIV/0!</v>
      </c>
      <c r="AN789" s="2">
        <f t="shared" si="606"/>
        <v>0</v>
      </c>
      <c r="AO789" s="2" t="e">
        <f t="shared" si="607"/>
        <v>#DIV/0!</v>
      </c>
      <c r="AP789" s="2" t="e">
        <f t="shared" si="608"/>
        <v>#DIV/0!</v>
      </c>
      <c r="AQ789" s="2" t="e">
        <f t="shared" si="626"/>
        <v>#DIV/0!</v>
      </c>
      <c r="AR789" s="2" t="e">
        <f t="shared" si="592"/>
        <v>#DIV/0!</v>
      </c>
      <c r="AS789" s="2" t="e">
        <f t="shared" si="609"/>
        <v>#DIV/0!</v>
      </c>
      <c r="AT789" s="2" t="e">
        <f t="shared" si="610"/>
        <v>#DIV/0!</v>
      </c>
      <c r="AU789" s="2" t="e">
        <f t="shared" si="627"/>
        <v>#DIV/0!</v>
      </c>
      <c r="AV789" s="2" t="e">
        <f t="shared" si="611"/>
        <v>#DIV/0!</v>
      </c>
      <c r="AW789" s="2" t="e">
        <f t="shared" si="612"/>
        <v>#DIV/0!</v>
      </c>
      <c r="AX789" s="2" t="e">
        <f t="shared" si="613"/>
        <v>#DIV/0!</v>
      </c>
      <c r="AY789" s="2" t="e">
        <f t="shared" si="628"/>
        <v>#DIV/0!</v>
      </c>
      <c r="AZ789" s="2" t="e">
        <f t="shared" si="593"/>
        <v>#DIV/0!</v>
      </c>
      <c r="BA789" s="2" t="e">
        <f t="shared" si="614"/>
        <v>#DIV/0!</v>
      </c>
      <c r="BB789" s="2" t="e">
        <f t="shared" si="615"/>
        <v>#DIV/0!</v>
      </c>
      <c r="BC789" s="2" t="e">
        <f t="shared" si="629"/>
        <v>#DIV/0!</v>
      </c>
      <c r="BD789" s="2">
        <v>0</v>
      </c>
      <c r="BE789" s="2" t="e">
        <f t="shared" si="616"/>
        <v>#DIV/0!</v>
      </c>
      <c r="BF789" s="2" t="e">
        <f t="shared" si="617"/>
        <v>#DIV/0!</v>
      </c>
      <c r="BG789" s="2" t="e">
        <f t="shared" si="630"/>
        <v>#DIV/0!</v>
      </c>
      <c r="BH789" s="2" t="e">
        <f t="shared" si="594"/>
        <v>#DIV/0!</v>
      </c>
      <c r="BI789" s="2" t="e">
        <f t="shared" si="618"/>
        <v>#DIV/0!</v>
      </c>
      <c r="BJ789" s="2" t="e">
        <f t="shared" si="619"/>
        <v>#DIV/0!</v>
      </c>
      <c r="BK789" s="2" t="e">
        <f t="shared" si="631"/>
        <v>#DIV/0!</v>
      </c>
      <c r="BL789" s="2" t="e">
        <f t="shared" si="620"/>
        <v>#DIV/0!</v>
      </c>
      <c r="BM789" s="2" t="e">
        <f t="shared" si="621"/>
        <v>#DIV/0!</v>
      </c>
      <c r="BN789" s="2" t="e">
        <f t="shared" si="632"/>
        <v>#DIV/0!</v>
      </c>
    </row>
    <row r="790" spans="1:66" x14ac:dyDescent="0.25">
      <c r="A790" s="42">
        <v>787</v>
      </c>
      <c r="E790" s="6">
        <f t="shared" si="622"/>
        <v>0</v>
      </c>
      <c r="F790" s="5" t="str">
        <f t="shared" si="633"/>
        <v>Break Even</v>
      </c>
      <c r="G790" s="4">
        <f t="shared" si="634"/>
        <v>0</v>
      </c>
      <c r="N790" s="5">
        <f t="shared" si="635"/>
        <v>0</v>
      </c>
      <c r="O790" s="4" t="e">
        <f t="shared" si="636"/>
        <v>#DIV/0!</v>
      </c>
      <c r="P790" s="5">
        <f t="shared" si="595"/>
        <v>0</v>
      </c>
      <c r="R790" s="2">
        <f t="shared" si="590"/>
        <v>0</v>
      </c>
      <c r="T790" s="2">
        <f t="shared" si="623"/>
        <v>0</v>
      </c>
      <c r="V790" s="5">
        <f t="shared" si="637"/>
        <v>0</v>
      </c>
      <c r="W790" s="4" t="e">
        <f t="shared" si="638"/>
        <v>#DIV/0!</v>
      </c>
      <c r="X790" s="14">
        <f t="shared" si="596"/>
        <v>0</v>
      </c>
      <c r="Y790" s="5">
        <f t="shared" si="597"/>
        <v>0</v>
      </c>
      <c r="Z790" s="2">
        <f t="shared" si="598"/>
        <v>0</v>
      </c>
      <c r="AA790" s="4">
        <f t="shared" si="599"/>
        <v>0</v>
      </c>
      <c r="AB790" s="13">
        <f t="shared" si="600"/>
        <v>0</v>
      </c>
      <c r="AC790" s="10">
        <f>SUM($E$4:E790)</f>
        <v>-22024.091160220025</v>
      </c>
      <c r="AD790" s="20">
        <f>SUM($AB$4:AB790)</f>
        <v>13539.766460219998</v>
      </c>
      <c r="AF790" s="28" t="e">
        <f t="shared" si="601"/>
        <v>#DIV/0!</v>
      </c>
      <c r="AG790" s="2" t="e">
        <f t="shared" si="602"/>
        <v>#DIV/0!</v>
      </c>
      <c r="AH790" s="2" t="e">
        <f t="shared" si="603"/>
        <v>#DIV/0!</v>
      </c>
      <c r="AI790" s="2" t="e">
        <f t="shared" si="624"/>
        <v>#DIV/0!</v>
      </c>
      <c r="AJ790" s="2" t="e">
        <f t="shared" si="591"/>
        <v>#DIV/0!</v>
      </c>
      <c r="AK790" s="2" t="e">
        <f t="shared" si="604"/>
        <v>#DIV/0!</v>
      </c>
      <c r="AL790" s="2" t="e">
        <f t="shared" si="605"/>
        <v>#DIV/0!</v>
      </c>
      <c r="AM790" s="2" t="e">
        <f t="shared" si="625"/>
        <v>#DIV/0!</v>
      </c>
      <c r="AN790" s="2">
        <f t="shared" si="606"/>
        <v>0</v>
      </c>
      <c r="AO790" s="2" t="e">
        <f t="shared" si="607"/>
        <v>#DIV/0!</v>
      </c>
      <c r="AP790" s="2" t="e">
        <f t="shared" si="608"/>
        <v>#DIV/0!</v>
      </c>
      <c r="AQ790" s="2" t="e">
        <f t="shared" si="626"/>
        <v>#DIV/0!</v>
      </c>
      <c r="AR790" s="2" t="e">
        <f t="shared" si="592"/>
        <v>#DIV/0!</v>
      </c>
      <c r="AS790" s="2" t="e">
        <f t="shared" si="609"/>
        <v>#DIV/0!</v>
      </c>
      <c r="AT790" s="2" t="e">
        <f t="shared" si="610"/>
        <v>#DIV/0!</v>
      </c>
      <c r="AU790" s="2" t="e">
        <f t="shared" si="627"/>
        <v>#DIV/0!</v>
      </c>
      <c r="AV790" s="2" t="e">
        <f t="shared" si="611"/>
        <v>#DIV/0!</v>
      </c>
      <c r="AW790" s="2" t="e">
        <f t="shared" si="612"/>
        <v>#DIV/0!</v>
      </c>
      <c r="AX790" s="2" t="e">
        <f t="shared" si="613"/>
        <v>#DIV/0!</v>
      </c>
      <c r="AY790" s="2" t="e">
        <f t="shared" si="628"/>
        <v>#DIV/0!</v>
      </c>
      <c r="AZ790" s="2" t="e">
        <f t="shared" si="593"/>
        <v>#DIV/0!</v>
      </c>
      <c r="BA790" s="2" t="e">
        <f t="shared" si="614"/>
        <v>#DIV/0!</v>
      </c>
      <c r="BB790" s="2" t="e">
        <f t="shared" si="615"/>
        <v>#DIV/0!</v>
      </c>
      <c r="BC790" s="2" t="e">
        <f t="shared" si="629"/>
        <v>#DIV/0!</v>
      </c>
      <c r="BD790" s="2">
        <v>0</v>
      </c>
      <c r="BE790" s="2" t="e">
        <f t="shared" si="616"/>
        <v>#DIV/0!</v>
      </c>
      <c r="BF790" s="2" t="e">
        <f t="shared" si="617"/>
        <v>#DIV/0!</v>
      </c>
      <c r="BG790" s="2" t="e">
        <f t="shared" si="630"/>
        <v>#DIV/0!</v>
      </c>
      <c r="BH790" s="2" t="e">
        <f t="shared" si="594"/>
        <v>#DIV/0!</v>
      </c>
      <c r="BI790" s="2" t="e">
        <f t="shared" si="618"/>
        <v>#DIV/0!</v>
      </c>
      <c r="BJ790" s="2" t="e">
        <f t="shared" si="619"/>
        <v>#DIV/0!</v>
      </c>
      <c r="BK790" s="2" t="e">
        <f t="shared" si="631"/>
        <v>#DIV/0!</v>
      </c>
      <c r="BL790" s="2" t="e">
        <f t="shared" si="620"/>
        <v>#DIV/0!</v>
      </c>
      <c r="BM790" s="2" t="e">
        <f t="shared" si="621"/>
        <v>#DIV/0!</v>
      </c>
      <c r="BN790" s="2" t="e">
        <f t="shared" si="632"/>
        <v>#DIV/0!</v>
      </c>
    </row>
    <row r="791" spans="1:66" x14ac:dyDescent="0.25">
      <c r="A791" s="42">
        <v>788</v>
      </c>
      <c r="E791" s="6">
        <f t="shared" si="622"/>
        <v>0</v>
      </c>
      <c r="F791" s="5" t="str">
        <f t="shared" si="633"/>
        <v>Break Even</v>
      </c>
      <c r="G791" s="4">
        <f t="shared" si="634"/>
        <v>0</v>
      </c>
      <c r="N791" s="5">
        <f t="shared" si="635"/>
        <v>0</v>
      </c>
      <c r="O791" s="4" t="e">
        <f t="shared" si="636"/>
        <v>#DIV/0!</v>
      </c>
      <c r="P791" s="5">
        <f t="shared" si="595"/>
        <v>0</v>
      </c>
      <c r="R791" s="2">
        <f t="shared" si="590"/>
        <v>0</v>
      </c>
      <c r="T791" s="2">
        <f t="shared" si="623"/>
        <v>0</v>
      </c>
      <c r="V791" s="5">
        <f t="shared" si="637"/>
        <v>0</v>
      </c>
      <c r="W791" s="4" t="e">
        <f t="shared" si="638"/>
        <v>#DIV/0!</v>
      </c>
      <c r="X791" s="14">
        <f t="shared" si="596"/>
        <v>0</v>
      </c>
      <c r="Y791" s="5">
        <f t="shared" si="597"/>
        <v>0</v>
      </c>
      <c r="Z791" s="2">
        <f t="shared" si="598"/>
        <v>0</v>
      </c>
      <c r="AA791" s="4">
        <f t="shared" si="599"/>
        <v>0</v>
      </c>
      <c r="AB791" s="13">
        <f t="shared" si="600"/>
        <v>0</v>
      </c>
      <c r="AC791" s="10">
        <f>SUM($E$4:E791)</f>
        <v>-22024.091160220025</v>
      </c>
      <c r="AD791" s="20">
        <f>SUM($AB$4:AB791)</f>
        <v>13539.766460219998</v>
      </c>
      <c r="AF791" s="28" t="e">
        <f t="shared" si="601"/>
        <v>#DIV/0!</v>
      </c>
      <c r="AG791" s="2" t="e">
        <f t="shared" si="602"/>
        <v>#DIV/0!</v>
      </c>
      <c r="AH791" s="2" t="e">
        <f t="shared" si="603"/>
        <v>#DIV/0!</v>
      </c>
      <c r="AI791" s="2" t="e">
        <f t="shared" si="624"/>
        <v>#DIV/0!</v>
      </c>
      <c r="AJ791" s="2" t="e">
        <f t="shared" si="591"/>
        <v>#DIV/0!</v>
      </c>
      <c r="AK791" s="2" t="e">
        <f t="shared" si="604"/>
        <v>#DIV/0!</v>
      </c>
      <c r="AL791" s="2" t="e">
        <f t="shared" si="605"/>
        <v>#DIV/0!</v>
      </c>
      <c r="AM791" s="2" t="e">
        <f t="shared" si="625"/>
        <v>#DIV/0!</v>
      </c>
      <c r="AN791" s="2">
        <f t="shared" si="606"/>
        <v>0</v>
      </c>
      <c r="AO791" s="2" t="e">
        <f t="shared" si="607"/>
        <v>#DIV/0!</v>
      </c>
      <c r="AP791" s="2" t="e">
        <f t="shared" si="608"/>
        <v>#DIV/0!</v>
      </c>
      <c r="AQ791" s="2" t="e">
        <f t="shared" si="626"/>
        <v>#DIV/0!</v>
      </c>
      <c r="AR791" s="2" t="e">
        <f t="shared" si="592"/>
        <v>#DIV/0!</v>
      </c>
      <c r="AS791" s="2" t="e">
        <f t="shared" si="609"/>
        <v>#DIV/0!</v>
      </c>
      <c r="AT791" s="2" t="e">
        <f t="shared" si="610"/>
        <v>#DIV/0!</v>
      </c>
      <c r="AU791" s="2" t="e">
        <f t="shared" si="627"/>
        <v>#DIV/0!</v>
      </c>
      <c r="AV791" s="2" t="e">
        <f t="shared" si="611"/>
        <v>#DIV/0!</v>
      </c>
      <c r="AW791" s="2" t="e">
        <f t="shared" si="612"/>
        <v>#DIV/0!</v>
      </c>
      <c r="AX791" s="2" t="e">
        <f t="shared" si="613"/>
        <v>#DIV/0!</v>
      </c>
      <c r="AY791" s="2" t="e">
        <f t="shared" si="628"/>
        <v>#DIV/0!</v>
      </c>
      <c r="AZ791" s="2" t="e">
        <f t="shared" si="593"/>
        <v>#DIV/0!</v>
      </c>
      <c r="BA791" s="2" t="e">
        <f t="shared" si="614"/>
        <v>#DIV/0!</v>
      </c>
      <c r="BB791" s="2" t="e">
        <f t="shared" si="615"/>
        <v>#DIV/0!</v>
      </c>
      <c r="BC791" s="2" t="e">
        <f t="shared" si="629"/>
        <v>#DIV/0!</v>
      </c>
      <c r="BD791" s="2">
        <v>0</v>
      </c>
      <c r="BE791" s="2" t="e">
        <f t="shared" si="616"/>
        <v>#DIV/0!</v>
      </c>
      <c r="BF791" s="2" t="e">
        <f t="shared" si="617"/>
        <v>#DIV/0!</v>
      </c>
      <c r="BG791" s="2" t="e">
        <f t="shared" si="630"/>
        <v>#DIV/0!</v>
      </c>
      <c r="BH791" s="2" t="e">
        <f t="shared" si="594"/>
        <v>#DIV/0!</v>
      </c>
      <c r="BI791" s="2" t="e">
        <f t="shared" si="618"/>
        <v>#DIV/0!</v>
      </c>
      <c r="BJ791" s="2" t="e">
        <f t="shared" si="619"/>
        <v>#DIV/0!</v>
      </c>
      <c r="BK791" s="2" t="e">
        <f t="shared" si="631"/>
        <v>#DIV/0!</v>
      </c>
      <c r="BL791" s="2" t="e">
        <f t="shared" si="620"/>
        <v>#DIV/0!</v>
      </c>
      <c r="BM791" s="2" t="e">
        <f t="shared" si="621"/>
        <v>#DIV/0!</v>
      </c>
      <c r="BN791" s="2" t="e">
        <f t="shared" si="632"/>
        <v>#DIV/0!</v>
      </c>
    </row>
    <row r="792" spans="1:66" x14ac:dyDescent="0.25">
      <c r="A792" s="42">
        <v>789</v>
      </c>
      <c r="E792" s="6">
        <f t="shared" si="622"/>
        <v>0</v>
      </c>
      <c r="F792" s="5" t="str">
        <f t="shared" si="633"/>
        <v>Break Even</v>
      </c>
      <c r="G792" s="4">
        <f t="shared" si="634"/>
        <v>0</v>
      </c>
      <c r="N792" s="5">
        <f t="shared" si="635"/>
        <v>0</v>
      </c>
      <c r="O792" s="4" t="e">
        <f t="shared" si="636"/>
        <v>#DIV/0!</v>
      </c>
      <c r="P792" s="5">
        <f t="shared" si="595"/>
        <v>0</v>
      </c>
      <c r="R792" s="2">
        <f t="shared" si="590"/>
        <v>0</v>
      </c>
      <c r="T792" s="2">
        <f t="shared" si="623"/>
        <v>0</v>
      </c>
      <c r="V792" s="5">
        <f t="shared" si="637"/>
        <v>0</v>
      </c>
      <c r="W792" s="4" t="e">
        <f t="shared" si="638"/>
        <v>#DIV/0!</v>
      </c>
      <c r="X792" s="14">
        <f t="shared" si="596"/>
        <v>0</v>
      </c>
      <c r="Y792" s="5">
        <f t="shared" si="597"/>
        <v>0</v>
      </c>
      <c r="Z792" s="2">
        <f t="shared" si="598"/>
        <v>0</v>
      </c>
      <c r="AA792" s="4">
        <f t="shared" si="599"/>
        <v>0</v>
      </c>
      <c r="AB792" s="13">
        <f t="shared" si="600"/>
        <v>0</v>
      </c>
      <c r="AC792" s="10">
        <f>SUM($E$4:E792)</f>
        <v>-22024.091160220025</v>
      </c>
      <c r="AD792" s="20">
        <f>SUM($AB$4:AB792)</f>
        <v>13539.766460219998</v>
      </c>
      <c r="AF792" s="28" t="e">
        <f t="shared" si="601"/>
        <v>#DIV/0!</v>
      </c>
      <c r="AG792" s="2" t="e">
        <f t="shared" si="602"/>
        <v>#DIV/0!</v>
      </c>
      <c r="AH792" s="2" t="e">
        <f t="shared" si="603"/>
        <v>#DIV/0!</v>
      </c>
      <c r="AI792" s="2" t="e">
        <f t="shared" si="624"/>
        <v>#DIV/0!</v>
      </c>
      <c r="AJ792" s="2" t="e">
        <f t="shared" si="591"/>
        <v>#DIV/0!</v>
      </c>
      <c r="AK792" s="2" t="e">
        <f t="shared" si="604"/>
        <v>#DIV/0!</v>
      </c>
      <c r="AL792" s="2" t="e">
        <f t="shared" si="605"/>
        <v>#DIV/0!</v>
      </c>
      <c r="AM792" s="2" t="e">
        <f t="shared" si="625"/>
        <v>#DIV/0!</v>
      </c>
      <c r="AN792" s="2">
        <f t="shared" si="606"/>
        <v>0</v>
      </c>
      <c r="AO792" s="2" t="e">
        <f t="shared" si="607"/>
        <v>#DIV/0!</v>
      </c>
      <c r="AP792" s="2" t="e">
        <f t="shared" si="608"/>
        <v>#DIV/0!</v>
      </c>
      <c r="AQ792" s="2" t="e">
        <f t="shared" si="626"/>
        <v>#DIV/0!</v>
      </c>
      <c r="AR792" s="2" t="e">
        <f t="shared" si="592"/>
        <v>#DIV/0!</v>
      </c>
      <c r="AS792" s="2" t="e">
        <f t="shared" si="609"/>
        <v>#DIV/0!</v>
      </c>
      <c r="AT792" s="2" t="e">
        <f t="shared" si="610"/>
        <v>#DIV/0!</v>
      </c>
      <c r="AU792" s="2" t="e">
        <f t="shared" si="627"/>
        <v>#DIV/0!</v>
      </c>
      <c r="AV792" s="2" t="e">
        <f t="shared" si="611"/>
        <v>#DIV/0!</v>
      </c>
      <c r="AW792" s="2" t="e">
        <f t="shared" si="612"/>
        <v>#DIV/0!</v>
      </c>
      <c r="AX792" s="2" t="e">
        <f t="shared" si="613"/>
        <v>#DIV/0!</v>
      </c>
      <c r="AY792" s="2" t="e">
        <f t="shared" si="628"/>
        <v>#DIV/0!</v>
      </c>
      <c r="AZ792" s="2" t="e">
        <f t="shared" si="593"/>
        <v>#DIV/0!</v>
      </c>
      <c r="BA792" s="2" t="e">
        <f t="shared" si="614"/>
        <v>#DIV/0!</v>
      </c>
      <c r="BB792" s="2" t="e">
        <f t="shared" si="615"/>
        <v>#DIV/0!</v>
      </c>
      <c r="BC792" s="2" t="e">
        <f t="shared" si="629"/>
        <v>#DIV/0!</v>
      </c>
      <c r="BD792" s="2">
        <v>0</v>
      </c>
      <c r="BE792" s="2" t="e">
        <f t="shared" si="616"/>
        <v>#DIV/0!</v>
      </c>
      <c r="BF792" s="2" t="e">
        <f t="shared" si="617"/>
        <v>#DIV/0!</v>
      </c>
      <c r="BG792" s="2" t="e">
        <f t="shared" si="630"/>
        <v>#DIV/0!</v>
      </c>
      <c r="BH792" s="2" t="e">
        <f t="shared" si="594"/>
        <v>#DIV/0!</v>
      </c>
      <c r="BI792" s="2" t="e">
        <f t="shared" si="618"/>
        <v>#DIV/0!</v>
      </c>
      <c r="BJ792" s="2" t="e">
        <f t="shared" si="619"/>
        <v>#DIV/0!</v>
      </c>
      <c r="BK792" s="2" t="e">
        <f t="shared" si="631"/>
        <v>#DIV/0!</v>
      </c>
      <c r="BL792" s="2" t="e">
        <f t="shared" si="620"/>
        <v>#DIV/0!</v>
      </c>
      <c r="BM792" s="2" t="e">
        <f t="shared" si="621"/>
        <v>#DIV/0!</v>
      </c>
      <c r="BN792" s="2" t="e">
        <f t="shared" si="632"/>
        <v>#DIV/0!</v>
      </c>
    </row>
    <row r="793" spans="1:66" x14ac:dyDescent="0.25">
      <c r="A793" s="42">
        <v>790</v>
      </c>
      <c r="E793" s="6">
        <f t="shared" si="622"/>
        <v>0</v>
      </c>
      <c r="F793" s="5" t="str">
        <f t="shared" si="633"/>
        <v>Break Even</v>
      </c>
      <c r="G793" s="4">
        <f t="shared" si="634"/>
        <v>0</v>
      </c>
      <c r="N793" s="5">
        <f t="shared" si="635"/>
        <v>0</v>
      </c>
      <c r="O793" s="4" t="e">
        <f t="shared" si="636"/>
        <v>#DIV/0!</v>
      </c>
      <c r="P793" s="5">
        <f t="shared" si="595"/>
        <v>0</v>
      </c>
      <c r="R793" s="2">
        <f t="shared" si="590"/>
        <v>0</v>
      </c>
      <c r="T793" s="2">
        <f t="shared" si="623"/>
        <v>0</v>
      </c>
      <c r="V793" s="5">
        <f t="shared" si="637"/>
        <v>0</v>
      </c>
      <c r="W793" s="4" t="e">
        <f t="shared" si="638"/>
        <v>#DIV/0!</v>
      </c>
      <c r="X793" s="14">
        <f t="shared" si="596"/>
        <v>0</v>
      </c>
      <c r="Y793" s="5">
        <f t="shared" si="597"/>
        <v>0</v>
      </c>
      <c r="Z793" s="2">
        <f t="shared" si="598"/>
        <v>0</v>
      </c>
      <c r="AA793" s="4">
        <f t="shared" si="599"/>
        <v>0</v>
      </c>
      <c r="AB793" s="13">
        <f t="shared" si="600"/>
        <v>0</v>
      </c>
      <c r="AC793" s="10">
        <f>SUM($E$4:E793)</f>
        <v>-22024.091160220025</v>
      </c>
      <c r="AD793" s="20">
        <f>SUM($AB$4:AB793)</f>
        <v>13539.766460219998</v>
      </c>
      <c r="AF793" s="28" t="e">
        <f t="shared" si="601"/>
        <v>#DIV/0!</v>
      </c>
      <c r="AG793" s="2" t="e">
        <f t="shared" si="602"/>
        <v>#DIV/0!</v>
      </c>
      <c r="AH793" s="2" t="e">
        <f t="shared" si="603"/>
        <v>#DIV/0!</v>
      </c>
      <c r="AI793" s="2" t="e">
        <f t="shared" si="624"/>
        <v>#DIV/0!</v>
      </c>
      <c r="AJ793" s="2" t="e">
        <f t="shared" si="591"/>
        <v>#DIV/0!</v>
      </c>
      <c r="AK793" s="2" t="e">
        <f t="shared" si="604"/>
        <v>#DIV/0!</v>
      </c>
      <c r="AL793" s="2" t="e">
        <f t="shared" si="605"/>
        <v>#DIV/0!</v>
      </c>
      <c r="AM793" s="2" t="e">
        <f t="shared" si="625"/>
        <v>#DIV/0!</v>
      </c>
      <c r="AN793" s="2">
        <f t="shared" si="606"/>
        <v>0</v>
      </c>
      <c r="AO793" s="2" t="e">
        <f t="shared" si="607"/>
        <v>#DIV/0!</v>
      </c>
      <c r="AP793" s="2" t="e">
        <f t="shared" si="608"/>
        <v>#DIV/0!</v>
      </c>
      <c r="AQ793" s="2" t="e">
        <f t="shared" si="626"/>
        <v>#DIV/0!</v>
      </c>
      <c r="AR793" s="2" t="e">
        <f t="shared" si="592"/>
        <v>#DIV/0!</v>
      </c>
      <c r="AS793" s="2" t="e">
        <f t="shared" si="609"/>
        <v>#DIV/0!</v>
      </c>
      <c r="AT793" s="2" t="e">
        <f t="shared" si="610"/>
        <v>#DIV/0!</v>
      </c>
      <c r="AU793" s="2" t="e">
        <f t="shared" si="627"/>
        <v>#DIV/0!</v>
      </c>
      <c r="AV793" s="2" t="e">
        <f t="shared" si="611"/>
        <v>#DIV/0!</v>
      </c>
      <c r="AW793" s="2" t="e">
        <f t="shared" si="612"/>
        <v>#DIV/0!</v>
      </c>
      <c r="AX793" s="2" t="e">
        <f t="shared" si="613"/>
        <v>#DIV/0!</v>
      </c>
      <c r="AY793" s="2" t="e">
        <f t="shared" si="628"/>
        <v>#DIV/0!</v>
      </c>
      <c r="AZ793" s="2" t="e">
        <f t="shared" si="593"/>
        <v>#DIV/0!</v>
      </c>
      <c r="BA793" s="2" t="e">
        <f t="shared" si="614"/>
        <v>#DIV/0!</v>
      </c>
      <c r="BB793" s="2" t="e">
        <f t="shared" si="615"/>
        <v>#DIV/0!</v>
      </c>
      <c r="BC793" s="2" t="e">
        <f t="shared" si="629"/>
        <v>#DIV/0!</v>
      </c>
      <c r="BD793" s="2">
        <v>0</v>
      </c>
      <c r="BE793" s="2" t="e">
        <f t="shared" si="616"/>
        <v>#DIV/0!</v>
      </c>
      <c r="BF793" s="2" t="e">
        <f t="shared" si="617"/>
        <v>#DIV/0!</v>
      </c>
      <c r="BG793" s="2" t="e">
        <f t="shared" si="630"/>
        <v>#DIV/0!</v>
      </c>
      <c r="BH793" s="2" t="e">
        <f t="shared" si="594"/>
        <v>#DIV/0!</v>
      </c>
      <c r="BI793" s="2" t="e">
        <f t="shared" si="618"/>
        <v>#DIV/0!</v>
      </c>
      <c r="BJ793" s="2" t="e">
        <f t="shared" si="619"/>
        <v>#DIV/0!</v>
      </c>
      <c r="BK793" s="2" t="e">
        <f t="shared" si="631"/>
        <v>#DIV/0!</v>
      </c>
      <c r="BL793" s="2" t="e">
        <f t="shared" si="620"/>
        <v>#DIV/0!</v>
      </c>
      <c r="BM793" s="2" t="e">
        <f t="shared" si="621"/>
        <v>#DIV/0!</v>
      </c>
      <c r="BN793" s="2" t="e">
        <f t="shared" si="632"/>
        <v>#DIV/0!</v>
      </c>
    </row>
    <row r="794" spans="1:66" x14ac:dyDescent="0.25">
      <c r="A794" s="42">
        <v>791</v>
      </c>
      <c r="E794" s="6">
        <f t="shared" si="622"/>
        <v>0</v>
      </c>
      <c r="F794" s="5" t="str">
        <f t="shared" si="633"/>
        <v>Break Even</v>
      </c>
      <c r="G794" s="4">
        <f t="shared" si="634"/>
        <v>0</v>
      </c>
      <c r="N794" s="5">
        <f t="shared" si="635"/>
        <v>0</v>
      </c>
      <c r="O794" s="4" t="e">
        <f t="shared" si="636"/>
        <v>#DIV/0!</v>
      </c>
      <c r="P794" s="5">
        <f t="shared" si="595"/>
        <v>0</v>
      </c>
      <c r="R794" s="2">
        <f t="shared" si="590"/>
        <v>0</v>
      </c>
      <c r="T794" s="2">
        <f t="shared" si="623"/>
        <v>0</v>
      </c>
      <c r="V794" s="5">
        <f t="shared" si="637"/>
        <v>0</v>
      </c>
      <c r="W794" s="4" t="e">
        <f t="shared" si="638"/>
        <v>#DIV/0!</v>
      </c>
      <c r="X794" s="14">
        <f t="shared" si="596"/>
        <v>0</v>
      </c>
      <c r="Y794" s="5">
        <f t="shared" si="597"/>
        <v>0</v>
      </c>
      <c r="Z794" s="2">
        <f t="shared" si="598"/>
        <v>0</v>
      </c>
      <c r="AA794" s="4">
        <f t="shared" si="599"/>
        <v>0</v>
      </c>
      <c r="AB794" s="13">
        <f t="shared" si="600"/>
        <v>0</v>
      </c>
      <c r="AC794" s="10">
        <f>SUM($E$4:E794)</f>
        <v>-22024.091160220025</v>
      </c>
      <c r="AD794" s="20">
        <f>SUM($AB$4:AB794)</f>
        <v>13539.766460219998</v>
      </c>
      <c r="AF794" s="28" t="e">
        <f t="shared" si="601"/>
        <v>#DIV/0!</v>
      </c>
      <c r="AG794" s="2" t="e">
        <f t="shared" si="602"/>
        <v>#DIV/0!</v>
      </c>
      <c r="AH794" s="2" t="e">
        <f t="shared" si="603"/>
        <v>#DIV/0!</v>
      </c>
      <c r="AI794" s="2" t="e">
        <f t="shared" si="624"/>
        <v>#DIV/0!</v>
      </c>
      <c r="AJ794" s="2" t="e">
        <f t="shared" si="591"/>
        <v>#DIV/0!</v>
      </c>
      <c r="AK794" s="2" t="e">
        <f t="shared" si="604"/>
        <v>#DIV/0!</v>
      </c>
      <c r="AL794" s="2" t="e">
        <f t="shared" si="605"/>
        <v>#DIV/0!</v>
      </c>
      <c r="AM794" s="2" t="e">
        <f t="shared" si="625"/>
        <v>#DIV/0!</v>
      </c>
      <c r="AN794" s="2">
        <f t="shared" si="606"/>
        <v>0</v>
      </c>
      <c r="AO794" s="2" t="e">
        <f t="shared" si="607"/>
        <v>#DIV/0!</v>
      </c>
      <c r="AP794" s="2" t="e">
        <f t="shared" si="608"/>
        <v>#DIV/0!</v>
      </c>
      <c r="AQ794" s="2" t="e">
        <f t="shared" si="626"/>
        <v>#DIV/0!</v>
      </c>
      <c r="AR794" s="2" t="e">
        <f t="shared" si="592"/>
        <v>#DIV/0!</v>
      </c>
      <c r="AS794" s="2" t="e">
        <f t="shared" si="609"/>
        <v>#DIV/0!</v>
      </c>
      <c r="AT794" s="2" t="e">
        <f t="shared" si="610"/>
        <v>#DIV/0!</v>
      </c>
      <c r="AU794" s="2" t="e">
        <f t="shared" si="627"/>
        <v>#DIV/0!</v>
      </c>
      <c r="AV794" s="2" t="e">
        <f t="shared" si="611"/>
        <v>#DIV/0!</v>
      </c>
      <c r="AW794" s="2" t="e">
        <f t="shared" si="612"/>
        <v>#DIV/0!</v>
      </c>
      <c r="AX794" s="2" t="e">
        <f t="shared" si="613"/>
        <v>#DIV/0!</v>
      </c>
      <c r="AY794" s="2" t="e">
        <f t="shared" si="628"/>
        <v>#DIV/0!</v>
      </c>
      <c r="AZ794" s="2" t="e">
        <f t="shared" si="593"/>
        <v>#DIV/0!</v>
      </c>
      <c r="BA794" s="2" t="e">
        <f t="shared" si="614"/>
        <v>#DIV/0!</v>
      </c>
      <c r="BB794" s="2" t="e">
        <f t="shared" si="615"/>
        <v>#DIV/0!</v>
      </c>
      <c r="BC794" s="2" t="e">
        <f t="shared" si="629"/>
        <v>#DIV/0!</v>
      </c>
      <c r="BD794" s="2">
        <v>0</v>
      </c>
      <c r="BE794" s="2" t="e">
        <f t="shared" si="616"/>
        <v>#DIV/0!</v>
      </c>
      <c r="BF794" s="2" t="e">
        <f t="shared" si="617"/>
        <v>#DIV/0!</v>
      </c>
      <c r="BG794" s="2" t="e">
        <f t="shared" si="630"/>
        <v>#DIV/0!</v>
      </c>
      <c r="BH794" s="2" t="e">
        <f t="shared" si="594"/>
        <v>#DIV/0!</v>
      </c>
      <c r="BI794" s="2" t="e">
        <f t="shared" si="618"/>
        <v>#DIV/0!</v>
      </c>
      <c r="BJ794" s="2" t="e">
        <f t="shared" si="619"/>
        <v>#DIV/0!</v>
      </c>
      <c r="BK794" s="2" t="e">
        <f t="shared" si="631"/>
        <v>#DIV/0!</v>
      </c>
      <c r="BL794" s="2" t="e">
        <f t="shared" si="620"/>
        <v>#DIV/0!</v>
      </c>
      <c r="BM794" s="2" t="e">
        <f t="shared" si="621"/>
        <v>#DIV/0!</v>
      </c>
      <c r="BN794" s="2" t="e">
        <f t="shared" si="632"/>
        <v>#DIV/0!</v>
      </c>
    </row>
    <row r="795" spans="1:66" x14ac:dyDescent="0.25">
      <c r="A795" s="42">
        <v>792</v>
      </c>
      <c r="E795" s="6">
        <f t="shared" si="622"/>
        <v>0</v>
      </c>
      <c r="F795" s="5" t="str">
        <f t="shared" si="633"/>
        <v>Break Even</v>
      </c>
      <c r="G795" s="4">
        <f t="shared" si="634"/>
        <v>0</v>
      </c>
      <c r="N795" s="5">
        <f t="shared" si="635"/>
        <v>0</v>
      </c>
      <c r="O795" s="4" t="e">
        <f t="shared" si="636"/>
        <v>#DIV/0!</v>
      </c>
      <c r="P795" s="5">
        <f t="shared" si="595"/>
        <v>0</v>
      </c>
      <c r="R795" s="2">
        <f t="shared" si="590"/>
        <v>0</v>
      </c>
      <c r="T795" s="2">
        <f t="shared" si="623"/>
        <v>0</v>
      </c>
      <c r="V795" s="5">
        <f t="shared" si="637"/>
        <v>0</v>
      </c>
      <c r="W795" s="4" t="e">
        <f t="shared" si="638"/>
        <v>#DIV/0!</v>
      </c>
      <c r="X795" s="14">
        <f t="shared" si="596"/>
        <v>0</v>
      </c>
      <c r="Y795" s="5">
        <f t="shared" si="597"/>
        <v>0</v>
      </c>
      <c r="Z795" s="2">
        <f t="shared" si="598"/>
        <v>0</v>
      </c>
      <c r="AA795" s="4">
        <f t="shared" si="599"/>
        <v>0</v>
      </c>
      <c r="AB795" s="13">
        <f t="shared" si="600"/>
        <v>0</v>
      </c>
      <c r="AC795" s="10">
        <f>SUM($E$4:E795)</f>
        <v>-22024.091160220025</v>
      </c>
      <c r="AD795" s="20">
        <f>SUM($AB$4:AB795)</f>
        <v>13539.766460219998</v>
      </c>
      <c r="AF795" s="28" t="e">
        <f t="shared" si="601"/>
        <v>#DIV/0!</v>
      </c>
      <c r="AG795" s="2" t="e">
        <f t="shared" si="602"/>
        <v>#DIV/0!</v>
      </c>
      <c r="AH795" s="2" t="e">
        <f t="shared" si="603"/>
        <v>#DIV/0!</v>
      </c>
      <c r="AI795" s="2" t="e">
        <f t="shared" si="624"/>
        <v>#DIV/0!</v>
      </c>
      <c r="AJ795" s="2" t="e">
        <f t="shared" si="591"/>
        <v>#DIV/0!</v>
      </c>
      <c r="AK795" s="2" t="e">
        <f t="shared" si="604"/>
        <v>#DIV/0!</v>
      </c>
      <c r="AL795" s="2" t="e">
        <f t="shared" si="605"/>
        <v>#DIV/0!</v>
      </c>
      <c r="AM795" s="2" t="e">
        <f t="shared" si="625"/>
        <v>#DIV/0!</v>
      </c>
      <c r="AN795" s="2">
        <f t="shared" si="606"/>
        <v>0</v>
      </c>
      <c r="AO795" s="2" t="e">
        <f t="shared" si="607"/>
        <v>#DIV/0!</v>
      </c>
      <c r="AP795" s="2" t="e">
        <f t="shared" si="608"/>
        <v>#DIV/0!</v>
      </c>
      <c r="AQ795" s="2" t="e">
        <f t="shared" si="626"/>
        <v>#DIV/0!</v>
      </c>
      <c r="AR795" s="2" t="e">
        <f t="shared" si="592"/>
        <v>#DIV/0!</v>
      </c>
      <c r="AS795" s="2" t="e">
        <f t="shared" si="609"/>
        <v>#DIV/0!</v>
      </c>
      <c r="AT795" s="2" t="e">
        <f t="shared" si="610"/>
        <v>#DIV/0!</v>
      </c>
      <c r="AU795" s="2" t="e">
        <f t="shared" si="627"/>
        <v>#DIV/0!</v>
      </c>
      <c r="AV795" s="2" t="e">
        <f t="shared" si="611"/>
        <v>#DIV/0!</v>
      </c>
      <c r="AW795" s="2" t="e">
        <f t="shared" si="612"/>
        <v>#DIV/0!</v>
      </c>
      <c r="AX795" s="2" t="e">
        <f t="shared" si="613"/>
        <v>#DIV/0!</v>
      </c>
      <c r="AY795" s="2" t="e">
        <f t="shared" si="628"/>
        <v>#DIV/0!</v>
      </c>
      <c r="AZ795" s="2" t="e">
        <f t="shared" si="593"/>
        <v>#DIV/0!</v>
      </c>
      <c r="BA795" s="2" t="e">
        <f t="shared" si="614"/>
        <v>#DIV/0!</v>
      </c>
      <c r="BB795" s="2" t="e">
        <f t="shared" si="615"/>
        <v>#DIV/0!</v>
      </c>
      <c r="BC795" s="2" t="e">
        <f t="shared" si="629"/>
        <v>#DIV/0!</v>
      </c>
      <c r="BD795" s="2">
        <v>0</v>
      </c>
      <c r="BE795" s="2" t="e">
        <f t="shared" si="616"/>
        <v>#DIV/0!</v>
      </c>
      <c r="BF795" s="2" t="e">
        <f t="shared" si="617"/>
        <v>#DIV/0!</v>
      </c>
      <c r="BG795" s="2" t="e">
        <f t="shared" si="630"/>
        <v>#DIV/0!</v>
      </c>
      <c r="BH795" s="2" t="e">
        <f t="shared" si="594"/>
        <v>#DIV/0!</v>
      </c>
      <c r="BI795" s="2" t="e">
        <f t="shared" si="618"/>
        <v>#DIV/0!</v>
      </c>
      <c r="BJ795" s="2" t="e">
        <f t="shared" si="619"/>
        <v>#DIV/0!</v>
      </c>
      <c r="BK795" s="2" t="e">
        <f t="shared" si="631"/>
        <v>#DIV/0!</v>
      </c>
      <c r="BL795" s="2" t="e">
        <f t="shared" si="620"/>
        <v>#DIV/0!</v>
      </c>
      <c r="BM795" s="2" t="e">
        <f t="shared" si="621"/>
        <v>#DIV/0!</v>
      </c>
      <c r="BN795" s="2" t="e">
        <f t="shared" si="632"/>
        <v>#DIV/0!</v>
      </c>
    </row>
    <row r="796" spans="1:66" x14ac:dyDescent="0.25">
      <c r="A796" s="42">
        <v>793</v>
      </c>
      <c r="E796" s="6">
        <f t="shared" si="622"/>
        <v>0</v>
      </c>
      <c r="F796" s="5" t="str">
        <f t="shared" si="633"/>
        <v>Break Even</v>
      </c>
      <c r="G796" s="4">
        <f t="shared" si="634"/>
        <v>0</v>
      </c>
      <c r="N796" s="5">
        <f t="shared" si="635"/>
        <v>0</v>
      </c>
      <c r="O796" s="4" t="e">
        <f t="shared" si="636"/>
        <v>#DIV/0!</v>
      </c>
      <c r="P796" s="5">
        <f t="shared" si="595"/>
        <v>0</v>
      </c>
      <c r="R796" s="2">
        <f t="shared" si="590"/>
        <v>0</v>
      </c>
      <c r="T796" s="2">
        <f t="shared" si="623"/>
        <v>0</v>
      </c>
      <c r="V796" s="5">
        <f t="shared" si="637"/>
        <v>0</v>
      </c>
      <c r="W796" s="4" t="e">
        <f t="shared" si="638"/>
        <v>#DIV/0!</v>
      </c>
      <c r="X796" s="14">
        <f t="shared" si="596"/>
        <v>0</v>
      </c>
      <c r="Y796" s="5">
        <f t="shared" si="597"/>
        <v>0</v>
      </c>
      <c r="Z796" s="2">
        <f t="shared" si="598"/>
        <v>0</v>
      </c>
      <c r="AA796" s="4">
        <f t="shared" si="599"/>
        <v>0</v>
      </c>
      <c r="AB796" s="13">
        <f t="shared" si="600"/>
        <v>0</v>
      </c>
      <c r="AC796" s="10">
        <f>SUM($E$4:E796)</f>
        <v>-22024.091160220025</v>
      </c>
      <c r="AD796" s="20">
        <f>SUM($AB$4:AB796)</f>
        <v>13539.766460219998</v>
      </c>
      <c r="AF796" s="28" t="e">
        <f t="shared" si="601"/>
        <v>#DIV/0!</v>
      </c>
      <c r="AG796" s="2" t="e">
        <f t="shared" si="602"/>
        <v>#DIV/0!</v>
      </c>
      <c r="AH796" s="2" t="e">
        <f t="shared" si="603"/>
        <v>#DIV/0!</v>
      </c>
      <c r="AI796" s="2" t="e">
        <f t="shared" si="624"/>
        <v>#DIV/0!</v>
      </c>
      <c r="AJ796" s="2" t="e">
        <f t="shared" si="591"/>
        <v>#DIV/0!</v>
      </c>
      <c r="AK796" s="2" t="e">
        <f t="shared" si="604"/>
        <v>#DIV/0!</v>
      </c>
      <c r="AL796" s="2" t="e">
        <f t="shared" si="605"/>
        <v>#DIV/0!</v>
      </c>
      <c r="AM796" s="2" t="e">
        <f t="shared" si="625"/>
        <v>#DIV/0!</v>
      </c>
      <c r="AN796" s="2">
        <f t="shared" si="606"/>
        <v>0</v>
      </c>
      <c r="AO796" s="2" t="e">
        <f t="shared" si="607"/>
        <v>#DIV/0!</v>
      </c>
      <c r="AP796" s="2" t="e">
        <f t="shared" si="608"/>
        <v>#DIV/0!</v>
      </c>
      <c r="AQ796" s="2" t="e">
        <f t="shared" si="626"/>
        <v>#DIV/0!</v>
      </c>
      <c r="AR796" s="2" t="e">
        <f t="shared" si="592"/>
        <v>#DIV/0!</v>
      </c>
      <c r="AS796" s="2" t="e">
        <f t="shared" si="609"/>
        <v>#DIV/0!</v>
      </c>
      <c r="AT796" s="2" t="e">
        <f t="shared" si="610"/>
        <v>#DIV/0!</v>
      </c>
      <c r="AU796" s="2" t="e">
        <f t="shared" si="627"/>
        <v>#DIV/0!</v>
      </c>
      <c r="AV796" s="2" t="e">
        <f t="shared" si="611"/>
        <v>#DIV/0!</v>
      </c>
      <c r="AW796" s="2" t="e">
        <f t="shared" si="612"/>
        <v>#DIV/0!</v>
      </c>
      <c r="AX796" s="2" t="e">
        <f t="shared" si="613"/>
        <v>#DIV/0!</v>
      </c>
      <c r="AY796" s="2" t="e">
        <f t="shared" si="628"/>
        <v>#DIV/0!</v>
      </c>
      <c r="AZ796" s="2" t="e">
        <f t="shared" si="593"/>
        <v>#DIV/0!</v>
      </c>
      <c r="BA796" s="2" t="e">
        <f t="shared" si="614"/>
        <v>#DIV/0!</v>
      </c>
      <c r="BB796" s="2" t="e">
        <f t="shared" si="615"/>
        <v>#DIV/0!</v>
      </c>
      <c r="BC796" s="2" t="e">
        <f t="shared" si="629"/>
        <v>#DIV/0!</v>
      </c>
      <c r="BD796" s="2">
        <v>0</v>
      </c>
      <c r="BE796" s="2" t="e">
        <f t="shared" si="616"/>
        <v>#DIV/0!</v>
      </c>
      <c r="BF796" s="2" t="e">
        <f t="shared" si="617"/>
        <v>#DIV/0!</v>
      </c>
      <c r="BG796" s="2" t="e">
        <f t="shared" si="630"/>
        <v>#DIV/0!</v>
      </c>
      <c r="BH796" s="2" t="e">
        <f t="shared" si="594"/>
        <v>#DIV/0!</v>
      </c>
      <c r="BI796" s="2" t="e">
        <f t="shared" si="618"/>
        <v>#DIV/0!</v>
      </c>
      <c r="BJ796" s="2" t="e">
        <f t="shared" si="619"/>
        <v>#DIV/0!</v>
      </c>
      <c r="BK796" s="2" t="e">
        <f t="shared" si="631"/>
        <v>#DIV/0!</v>
      </c>
      <c r="BL796" s="2" t="e">
        <f t="shared" si="620"/>
        <v>#DIV/0!</v>
      </c>
      <c r="BM796" s="2" t="e">
        <f t="shared" si="621"/>
        <v>#DIV/0!</v>
      </c>
      <c r="BN796" s="2" t="e">
        <f t="shared" si="632"/>
        <v>#DIV/0!</v>
      </c>
    </row>
    <row r="797" spans="1:66" x14ac:dyDescent="0.25">
      <c r="A797" s="42">
        <v>794</v>
      </c>
      <c r="E797" s="6">
        <f t="shared" si="622"/>
        <v>0</v>
      </c>
      <c r="F797" s="5" t="str">
        <f t="shared" si="633"/>
        <v>Break Even</v>
      </c>
      <c r="G797" s="4">
        <f t="shared" si="634"/>
        <v>0</v>
      </c>
      <c r="N797" s="5">
        <f t="shared" si="635"/>
        <v>0</v>
      </c>
      <c r="O797" s="4" t="e">
        <f t="shared" si="636"/>
        <v>#DIV/0!</v>
      </c>
      <c r="P797" s="5">
        <f t="shared" si="595"/>
        <v>0</v>
      </c>
      <c r="R797" s="2">
        <f t="shared" si="590"/>
        <v>0</v>
      </c>
      <c r="T797" s="2">
        <f t="shared" si="623"/>
        <v>0</v>
      </c>
      <c r="V797" s="5">
        <f t="shared" si="637"/>
        <v>0</v>
      </c>
      <c r="W797" s="4" t="e">
        <f t="shared" si="638"/>
        <v>#DIV/0!</v>
      </c>
      <c r="X797" s="14">
        <f t="shared" si="596"/>
        <v>0</v>
      </c>
      <c r="Y797" s="5">
        <f t="shared" si="597"/>
        <v>0</v>
      </c>
      <c r="Z797" s="2">
        <f t="shared" si="598"/>
        <v>0</v>
      </c>
      <c r="AA797" s="4">
        <f t="shared" si="599"/>
        <v>0</v>
      </c>
      <c r="AB797" s="13">
        <f t="shared" si="600"/>
        <v>0</v>
      </c>
      <c r="AC797" s="10">
        <f>SUM($E$4:E797)</f>
        <v>-22024.091160220025</v>
      </c>
      <c r="AD797" s="20">
        <f>SUM($AB$4:AB797)</f>
        <v>13539.766460219998</v>
      </c>
      <c r="AF797" s="28" t="e">
        <f t="shared" si="601"/>
        <v>#DIV/0!</v>
      </c>
      <c r="AG797" s="2" t="e">
        <f t="shared" si="602"/>
        <v>#DIV/0!</v>
      </c>
      <c r="AH797" s="2" t="e">
        <f t="shared" si="603"/>
        <v>#DIV/0!</v>
      </c>
      <c r="AI797" s="2" t="e">
        <f t="shared" si="624"/>
        <v>#DIV/0!</v>
      </c>
      <c r="AJ797" s="2" t="e">
        <f t="shared" si="591"/>
        <v>#DIV/0!</v>
      </c>
      <c r="AK797" s="2" t="e">
        <f t="shared" si="604"/>
        <v>#DIV/0!</v>
      </c>
      <c r="AL797" s="2" t="e">
        <f t="shared" si="605"/>
        <v>#DIV/0!</v>
      </c>
      <c r="AM797" s="2" t="e">
        <f t="shared" si="625"/>
        <v>#DIV/0!</v>
      </c>
      <c r="AN797" s="2">
        <f t="shared" si="606"/>
        <v>0</v>
      </c>
      <c r="AO797" s="2" t="e">
        <f t="shared" si="607"/>
        <v>#DIV/0!</v>
      </c>
      <c r="AP797" s="2" t="e">
        <f t="shared" si="608"/>
        <v>#DIV/0!</v>
      </c>
      <c r="AQ797" s="2" t="e">
        <f t="shared" si="626"/>
        <v>#DIV/0!</v>
      </c>
      <c r="AR797" s="2" t="e">
        <f t="shared" si="592"/>
        <v>#DIV/0!</v>
      </c>
      <c r="AS797" s="2" t="e">
        <f t="shared" si="609"/>
        <v>#DIV/0!</v>
      </c>
      <c r="AT797" s="2" t="e">
        <f t="shared" si="610"/>
        <v>#DIV/0!</v>
      </c>
      <c r="AU797" s="2" t="e">
        <f t="shared" si="627"/>
        <v>#DIV/0!</v>
      </c>
      <c r="AV797" s="2" t="e">
        <f t="shared" si="611"/>
        <v>#DIV/0!</v>
      </c>
      <c r="AW797" s="2" t="e">
        <f t="shared" si="612"/>
        <v>#DIV/0!</v>
      </c>
      <c r="AX797" s="2" t="e">
        <f t="shared" si="613"/>
        <v>#DIV/0!</v>
      </c>
      <c r="AY797" s="2" t="e">
        <f t="shared" si="628"/>
        <v>#DIV/0!</v>
      </c>
      <c r="AZ797" s="2" t="e">
        <f t="shared" si="593"/>
        <v>#DIV/0!</v>
      </c>
      <c r="BA797" s="2" t="e">
        <f t="shared" si="614"/>
        <v>#DIV/0!</v>
      </c>
      <c r="BB797" s="2" t="e">
        <f t="shared" si="615"/>
        <v>#DIV/0!</v>
      </c>
      <c r="BC797" s="2" t="e">
        <f t="shared" si="629"/>
        <v>#DIV/0!</v>
      </c>
      <c r="BD797" s="2">
        <v>0</v>
      </c>
      <c r="BE797" s="2" t="e">
        <f t="shared" si="616"/>
        <v>#DIV/0!</v>
      </c>
      <c r="BF797" s="2" t="e">
        <f t="shared" si="617"/>
        <v>#DIV/0!</v>
      </c>
      <c r="BG797" s="2" t="e">
        <f t="shared" si="630"/>
        <v>#DIV/0!</v>
      </c>
      <c r="BH797" s="2" t="e">
        <f t="shared" si="594"/>
        <v>#DIV/0!</v>
      </c>
      <c r="BI797" s="2" t="e">
        <f t="shared" si="618"/>
        <v>#DIV/0!</v>
      </c>
      <c r="BJ797" s="2" t="e">
        <f t="shared" si="619"/>
        <v>#DIV/0!</v>
      </c>
      <c r="BK797" s="2" t="e">
        <f t="shared" si="631"/>
        <v>#DIV/0!</v>
      </c>
      <c r="BL797" s="2" t="e">
        <f t="shared" si="620"/>
        <v>#DIV/0!</v>
      </c>
      <c r="BM797" s="2" t="e">
        <f t="shared" si="621"/>
        <v>#DIV/0!</v>
      </c>
      <c r="BN797" s="2" t="e">
        <f t="shared" si="632"/>
        <v>#DIV/0!</v>
      </c>
    </row>
    <row r="798" spans="1:66" x14ac:dyDescent="0.25">
      <c r="A798" s="42">
        <v>795</v>
      </c>
      <c r="E798" s="6">
        <f t="shared" si="622"/>
        <v>0</v>
      </c>
      <c r="F798" s="5" t="str">
        <f t="shared" si="633"/>
        <v>Break Even</v>
      </c>
      <c r="G798" s="4">
        <f t="shared" si="634"/>
        <v>0</v>
      </c>
      <c r="N798" s="5">
        <f t="shared" si="635"/>
        <v>0</v>
      </c>
      <c r="O798" s="4" t="e">
        <f t="shared" si="636"/>
        <v>#DIV/0!</v>
      </c>
      <c r="P798" s="5">
        <f t="shared" si="595"/>
        <v>0</v>
      </c>
      <c r="R798" s="2">
        <f t="shared" si="590"/>
        <v>0</v>
      </c>
      <c r="T798" s="2">
        <f t="shared" si="623"/>
        <v>0</v>
      </c>
      <c r="V798" s="5">
        <f t="shared" si="637"/>
        <v>0</v>
      </c>
      <c r="W798" s="4" t="e">
        <f t="shared" si="638"/>
        <v>#DIV/0!</v>
      </c>
      <c r="X798" s="14">
        <f t="shared" si="596"/>
        <v>0</v>
      </c>
      <c r="Y798" s="5">
        <f t="shared" si="597"/>
        <v>0</v>
      </c>
      <c r="Z798" s="2">
        <f t="shared" si="598"/>
        <v>0</v>
      </c>
      <c r="AA798" s="4">
        <f t="shared" si="599"/>
        <v>0</v>
      </c>
      <c r="AB798" s="13">
        <f t="shared" si="600"/>
        <v>0</v>
      </c>
      <c r="AC798" s="10">
        <f>SUM($E$4:E798)</f>
        <v>-22024.091160220025</v>
      </c>
      <c r="AD798" s="20">
        <f>SUM($AB$4:AB798)</f>
        <v>13539.766460219998</v>
      </c>
      <c r="AF798" s="28" t="e">
        <f t="shared" si="601"/>
        <v>#DIV/0!</v>
      </c>
      <c r="AG798" s="2" t="e">
        <f t="shared" si="602"/>
        <v>#DIV/0!</v>
      </c>
      <c r="AH798" s="2" t="e">
        <f t="shared" si="603"/>
        <v>#DIV/0!</v>
      </c>
      <c r="AI798" s="2" t="e">
        <f t="shared" si="624"/>
        <v>#DIV/0!</v>
      </c>
      <c r="AJ798" s="2" t="e">
        <f t="shared" si="591"/>
        <v>#DIV/0!</v>
      </c>
      <c r="AK798" s="2" t="e">
        <f t="shared" si="604"/>
        <v>#DIV/0!</v>
      </c>
      <c r="AL798" s="2" t="e">
        <f t="shared" si="605"/>
        <v>#DIV/0!</v>
      </c>
      <c r="AM798" s="2" t="e">
        <f t="shared" si="625"/>
        <v>#DIV/0!</v>
      </c>
      <c r="AN798" s="2">
        <f t="shared" si="606"/>
        <v>0</v>
      </c>
      <c r="AO798" s="2" t="e">
        <f t="shared" si="607"/>
        <v>#DIV/0!</v>
      </c>
      <c r="AP798" s="2" t="e">
        <f t="shared" si="608"/>
        <v>#DIV/0!</v>
      </c>
      <c r="AQ798" s="2" t="e">
        <f t="shared" si="626"/>
        <v>#DIV/0!</v>
      </c>
      <c r="AR798" s="2" t="e">
        <f t="shared" si="592"/>
        <v>#DIV/0!</v>
      </c>
      <c r="AS798" s="2" t="e">
        <f t="shared" si="609"/>
        <v>#DIV/0!</v>
      </c>
      <c r="AT798" s="2" t="e">
        <f t="shared" si="610"/>
        <v>#DIV/0!</v>
      </c>
      <c r="AU798" s="2" t="e">
        <f t="shared" si="627"/>
        <v>#DIV/0!</v>
      </c>
      <c r="AV798" s="2" t="e">
        <f t="shared" si="611"/>
        <v>#DIV/0!</v>
      </c>
      <c r="AW798" s="2" t="e">
        <f t="shared" si="612"/>
        <v>#DIV/0!</v>
      </c>
      <c r="AX798" s="2" t="e">
        <f t="shared" si="613"/>
        <v>#DIV/0!</v>
      </c>
      <c r="AY798" s="2" t="e">
        <f t="shared" si="628"/>
        <v>#DIV/0!</v>
      </c>
      <c r="AZ798" s="2" t="e">
        <f t="shared" si="593"/>
        <v>#DIV/0!</v>
      </c>
      <c r="BA798" s="2" t="e">
        <f t="shared" si="614"/>
        <v>#DIV/0!</v>
      </c>
      <c r="BB798" s="2" t="e">
        <f t="shared" si="615"/>
        <v>#DIV/0!</v>
      </c>
      <c r="BC798" s="2" t="e">
        <f t="shared" si="629"/>
        <v>#DIV/0!</v>
      </c>
      <c r="BD798" s="2">
        <v>0</v>
      </c>
      <c r="BE798" s="2" t="e">
        <f t="shared" si="616"/>
        <v>#DIV/0!</v>
      </c>
      <c r="BF798" s="2" t="e">
        <f t="shared" si="617"/>
        <v>#DIV/0!</v>
      </c>
      <c r="BG798" s="2" t="e">
        <f t="shared" si="630"/>
        <v>#DIV/0!</v>
      </c>
      <c r="BH798" s="2" t="e">
        <f t="shared" si="594"/>
        <v>#DIV/0!</v>
      </c>
      <c r="BI798" s="2" t="e">
        <f t="shared" si="618"/>
        <v>#DIV/0!</v>
      </c>
      <c r="BJ798" s="2" t="e">
        <f t="shared" si="619"/>
        <v>#DIV/0!</v>
      </c>
      <c r="BK798" s="2" t="e">
        <f t="shared" si="631"/>
        <v>#DIV/0!</v>
      </c>
      <c r="BL798" s="2" t="e">
        <f t="shared" si="620"/>
        <v>#DIV/0!</v>
      </c>
      <c r="BM798" s="2" t="e">
        <f t="shared" si="621"/>
        <v>#DIV/0!</v>
      </c>
      <c r="BN798" s="2" t="e">
        <f t="shared" si="632"/>
        <v>#DIV/0!</v>
      </c>
    </row>
    <row r="799" spans="1:66" x14ac:dyDescent="0.25">
      <c r="A799" s="42">
        <v>796</v>
      </c>
      <c r="E799" s="6">
        <f t="shared" si="622"/>
        <v>0</v>
      </c>
      <c r="F799" s="5" t="str">
        <f t="shared" si="633"/>
        <v>Break Even</v>
      </c>
      <c r="G799" s="4">
        <f t="shared" si="634"/>
        <v>0</v>
      </c>
      <c r="N799" s="5">
        <f t="shared" si="635"/>
        <v>0</v>
      </c>
      <c r="O799" s="4" t="e">
        <f t="shared" si="636"/>
        <v>#DIV/0!</v>
      </c>
      <c r="P799" s="5">
        <f t="shared" si="595"/>
        <v>0</v>
      </c>
      <c r="R799" s="2">
        <f t="shared" si="590"/>
        <v>0</v>
      </c>
      <c r="T799" s="2">
        <f t="shared" si="623"/>
        <v>0</v>
      </c>
      <c r="V799" s="5">
        <f t="shared" si="637"/>
        <v>0</v>
      </c>
      <c r="W799" s="4" t="e">
        <f t="shared" si="638"/>
        <v>#DIV/0!</v>
      </c>
      <c r="X799" s="14">
        <f t="shared" si="596"/>
        <v>0</v>
      </c>
      <c r="Y799" s="5">
        <f t="shared" si="597"/>
        <v>0</v>
      </c>
      <c r="Z799" s="2">
        <f t="shared" si="598"/>
        <v>0</v>
      </c>
      <c r="AA799" s="4">
        <f t="shared" si="599"/>
        <v>0</v>
      </c>
      <c r="AB799" s="13">
        <f t="shared" si="600"/>
        <v>0</v>
      </c>
      <c r="AC799" s="10">
        <f>SUM($E$4:E799)</f>
        <v>-22024.091160220025</v>
      </c>
      <c r="AD799" s="20">
        <f>SUM($AB$4:AB799)</f>
        <v>13539.766460219998</v>
      </c>
      <c r="AF799" s="28" t="e">
        <f t="shared" si="601"/>
        <v>#DIV/0!</v>
      </c>
      <c r="AG799" s="2" t="e">
        <f t="shared" si="602"/>
        <v>#DIV/0!</v>
      </c>
      <c r="AH799" s="2" t="e">
        <f t="shared" si="603"/>
        <v>#DIV/0!</v>
      </c>
      <c r="AI799" s="2" t="e">
        <f t="shared" si="624"/>
        <v>#DIV/0!</v>
      </c>
      <c r="AJ799" s="2" t="e">
        <f t="shared" si="591"/>
        <v>#DIV/0!</v>
      </c>
      <c r="AK799" s="2" t="e">
        <f t="shared" si="604"/>
        <v>#DIV/0!</v>
      </c>
      <c r="AL799" s="2" t="e">
        <f t="shared" si="605"/>
        <v>#DIV/0!</v>
      </c>
      <c r="AM799" s="2" t="e">
        <f t="shared" si="625"/>
        <v>#DIV/0!</v>
      </c>
      <c r="AN799" s="2">
        <f t="shared" si="606"/>
        <v>0</v>
      </c>
      <c r="AO799" s="2" t="e">
        <f t="shared" si="607"/>
        <v>#DIV/0!</v>
      </c>
      <c r="AP799" s="2" t="e">
        <f t="shared" si="608"/>
        <v>#DIV/0!</v>
      </c>
      <c r="AQ799" s="2" t="e">
        <f t="shared" si="626"/>
        <v>#DIV/0!</v>
      </c>
      <c r="AR799" s="2" t="e">
        <f t="shared" si="592"/>
        <v>#DIV/0!</v>
      </c>
      <c r="AS799" s="2" t="e">
        <f t="shared" si="609"/>
        <v>#DIV/0!</v>
      </c>
      <c r="AT799" s="2" t="e">
        <f t="shared" si="610"/>
        <v>#DIV/0!</v>
      </c>
      <c r="AU799" s="2" t="e">
        <f t="shared" si="627"/>
        <v>#DIV/0!</v>
      </c>
      <c r="AV799" s="2" t="e">
        <f t="shared" si="611"/>
        <v>#DIV/0!</v>
      </c>
      <c r="AW799" s="2" t="e">
        <f t="shared" si="612"/>
        <v>#DIV/0!</v>
      </c>
      <c r="AX799" s="2" t="e">
        <f t="shared" si="613"/>
        <v>#DIV/0!</v>
      </c>
      <c r="AY799" s="2" t="e">
        <f t="shared" si="628"/>
        <v>#DIV/0!</v>
      </c>
      <c r="AZ799" s="2" t="e">
        <f t="shared" si="593"/>
        <v>#DIV/0!</v>
      </c>
      <c r="BA799" s="2" t="e">
        <f t="shared" si="614"/>
        <v>#DIV/0!</v>
      </c>
      <c r="BB799" s="2" t="e">
        <f t="shared" si="615"/>
        <v>#DIV/0!</v>
      </c>
      <c r="BC799" s="2" t="e">
        <f t="shared" si="629"/>
        <v>#DIV/0!</v>
      </c>
      <c r="BD799" s="2">
        <v>0</v>
      </c>
      <c r="BE799" s="2" t="e">
        <f t="shared" si="616"/>
        <v>#DIV/0!</v>
      </c>
      <c r="BF799" s="2" t="e">
        <f t="shared" si="617"/>
        <v>#DIV/0!</v>
      </c>
      <c r="BG799" s="2" t="e">
        <f t="shared" si="630"/>
        <v>#DIV/0!</v>
      </c>
      <c r="BH799" s="2" t="e">
        <f t="shared" si="594"/>
        <v>#DIV/0!</v>
      </c>
      <c r="BI799" s="2" t="e">
        <f t="shared" si="618"/>
        <v>#DIV/0!</v>
      </c>
      <c r="BJ799" s="2" t="e">
        <f t="shared" si="619"/>
        <v>#DIV/0!</v>
      </c>
      <c r="BK799" s="2" t="e">
        <f t="shared" si="631"/>
        <v>#DIV/0!</v>
      </c>
      <c r="BL799" s="2" t="e">
        <f t="shared" si="620"/>
        <v>#DIV/0!</v>
      </c>
      <c r="BM799" s="2" t="e">
        <f t="shared" si="621"/>
        <v>#DIV/0!</v>
      </c>
      <c r="BN799" s="2" t="e">
        <f t="shared" si="632"/>
        <v>#DIV/0!</v>
      </c>
    </row>
    <row r="800" spans="1:66" x14ac:dyDescent="0.25">
      <c r="A800" s="42">
        <v>797</v>
      </c>
      <c r="E800" s="6">
        <f t="shared" si="622"/>
        <v>0</v>
      </c>
      <c r="F800" s="5" t="str">
        <f t="shared" si="633"/>
        <v>Break Even</v>
      </c>
      <c r="G800" s="4">
        <f t="shared" si="634"/>
        <v>0</v>
      </c>
      <c r="N800" s="5">
        <f t="shared" si="635"/>
        <v>0</v>
      </c>
      <c r="O800" s="4" t="e">
        <f t="shared" si="636"/>
        <v>#DIV/0!</v>
      </c>
      <c r="P800" s="5">
        <f t="shared" si="595"/>
        <v>0</v>
      </c>
      <c r="R800" s="2">
        <f t="shared" si="590"/>
        <v>0</v>
      </c>
      <c r="T800" s="2">
        <f t="shared" si="623"/>
        <v>0</v>
      </c>
      <c r="V800" s="5">
        <f t="shared" si="637"/>
        <v>0</v>
      </c>
      <c r="W800" s="4" t="e">
        <f t="shared" si="638"/>
        <v>#DIV/0!</v>
      </c>
      <c r="X800" s="14">
        <f t="shared" si="596"/>
        <v>0</v>
      </c>
      <c r="Y800" s="5">
        <f t="shared" si="597"/>
        <v>0</v>
      </c>
      <c r="Z800" s="2">
        <f t="shared" si="598"/>
        <v>0</v>
      </c>
      <c r="AA800" s="4">
        <f t="shared" si="599"/>
        <v>0</v>
      </c>
      <c r="AB800" s="13">
        <f t="shared" si="600"/>
        <v>0</v>
      </c>
      <c r="AC800" s="10">
        <f>SUM($E$4:E800)</f>
        <v>-22024.091160220025</v>
      </c>
      <c r="AD800" s="20">
        <f>SUM($AB$4:AB800)</f>
        <v>13539.766460219998</v>
      </c>
      <c r="AF800" s="28" t="e">
        <f t="shared" si="601"/>
        <v>#DIV/0!</v>
      </c>
      <c r="AG800" s="2" t="e">
        <f t="shared" si="602"/>
        <v>#DIV/0!</v>
      </c>
      <c r="AH800" s="2" t="e">
        <f t="shared" si="603"/>
        <v>#DIV/0!</v>
      </c>
      <c r="AI800" s="2" t="e">
        <f t="shared" si="624"/>
        <v>#DIV/0!</v>
      </c>
      <c r="AJ800" s="2" t="e">
        <f t="shared" si="591"/>
        <v>#DIV/0!</v>
      </c>
      <c r="AK800" s="2" t="e">
        <f t="shared" si="604"/>
        <v>#DIV/0!</v>
      </c>
      <c r="AL800" s="2" t="e">
        <f t="shared" si="605"/>
        <v>#DIV/0!</v>
      </c>
      <c r="AM800" s="2" t="e">
        <f t="shared" si="625"/>
        <v>#DIV/0!</v>
      </c>
      <c r="AN800" s="2">
        <f t="shared" si="606"/>
        <v>0</v>
      </c>
      <c r="AO800" s="2" t="e">
        <f t="shared" si="607"/>
        <v>#DIV/0!</v>
      </c>
      <c r="AP800" s="2" t="e">
        <f t="shared" si="608"/>
        <v>#DIV/0!</v>
      </c>
      <c r="AQ800" s="2" t="e">
        <f t="shared" si="626"/>
        <v>#DIV/0!</v>
      </c>
      <c r="AR800" s="2" t="e">
        <f t="shared" si="592"/>
        <v>#DIV/0!</v>
      </c>
      <c r="AS800" s="2" t="e">
        <f t="shared" si="609"/>
        <v>#DIV/0!</v>
      </c>
      <c r="AT800" s="2" t="e">
        <f t="shared" si="610"/>
        <v>#DIV/0!</v>
      </c>
      <c r="AU800" s="2" t="e">
        <f t="shared" si="627"/>
        <v>#DIV/0!</v>
      </c>
      <c r="AV800" s="2" t="e">
        <f t="shared" si="611"/>
        <v>#DIV/0!</v>
      </c>
      <c r="AW800" s="2" t="e">
        <f t="shared" si="612"/>
        <v>#DIV/0!</v>
      </c>
      <c r="AX800" s="2" t="e">
        <f t="shared" si="613"/>
        <v>#DIV/0!</v>
      </c>
      <c r="AY800" s="2" t="e">
        <f t="shared" si="628"/>
        <v>#DIV/0!</v>
      </c>
      <c r="AZ800" s="2" t="e">
        <f t="shared" si="593"/>
        <v>#DIV/0!</v>
      </c>
      <c r="BA800" s="2" t="e">
        <f t="shared" si="614"/>
        <v>#DIV/0!</v>
      </c>
      <c r="BB800" s="2" t="e">
        <f t="shared" si="615"/>
        <v>#DIV/0!</v>
      </c>
      <c r="BC800" s="2" t="e">
        <f t="shared" si="629"/>
        <v>#DIV/0!</v>
      </c>
      <c r="BD800" s="2">
        <v>0</v>
      </c>
      <c r="BE800" s="2" t="e">
        <f t="shared" si="616"/>
        <v>#DIV/0!</v>
      </c>
      <c r="BF800" s="2" t="e">
        <f t="shared" si="617"/>
        <v>#DIV/0!</v>
      </c>
      <c r="BG800" s="2" t="e">
        <f t="shared" si="630"/>
        <v>#DIV/0!</v>
      </c>
      <c r="BH800" s="2" t="e">
        <f t="shared" si="594"/>
        <v>#DIV/0!</v>
      </c>
      <c r="BI800" s="2" t="e">
        <f t="shared" si="618"/>
        <v>#DIV/0!</v>
      </c>
      <c r="BJ800" s="2" t="e">
        <f t="shared" si="619"/>
        <v>#DIV/0!</v>
      </c>
      <c r="BK800" s="2" t="e">
        <f t="shared" si="631"/>
        <v>#DIV/0!</v>
      </c>
      <c r="BL800" s="2" t="e">
        <f t="shared" si="620"/>
        <v>#DIV/0!</v>
      </c>
      <c r="BM800" s="2" t="e">
        <f t="shared" si="621"/>
        <v>#DIV/0!</v>
      </c>
      <c r="BN800" s="2" t="e">
        <f t="shared" si="632"/>
        <v>#DIV/0!</v>
      </c>
    </row>
    <row r="801" spans="1:66" x14ac:dyDescent="0.25">
      <c r="A801" s="42">
        <v>798</v>
      </c>
      <c r="E801" s="6">
        <f t="shared" si="622"/>
        <v>0</v>
      </c>
      <c r="F801" s="5" t="str">
        <f t="shared" si="633"/>
        <v>Break Even</v>
      </c>
      <c r="G801" s="4">
        <f t="shared" si="634"/>
        <v>0</v>
      </c>
      <c r="N801" s="5">
        <f t="shared" si="635"/>
        <v>0</v>
      </c>
      <c r="O801" s="4" t="e">
        <f t="shared" si="636"/>
        <v>#DIV/0!</v>
      </c>
      <c r="P801" s="5">
        <f t="shared" si="595"/>
        <v>0</v>
      </c>
      <c r="R801" s="2">
        <f t="shared" si="590"/>
        <v>0</v>
      </c>
      <c r="T801" s="2">
        <f t="shared" si="623"/>
        <v>0</v>
      </c>
      <c r="V801" s="5">
        <f t="shared" si="637"/>
        <v>0</v>
      </c>
      <c r="W801" s="4" t="e">
        <f t="shared" si="638"/>
        <v>#DIV/0!</v>
      </c>
      <c r="X801" s="14">
        <f t="shared" si="596"/>
        <v>0</v>
      </c>
      <c r="Y801" s="5">
        <f t="shared" si="597"/>
        <v>0</v>
      </c>
      <c r="Z801" s="2">
        <f t="shared" si="598"/>
        <v>0</v>
      </c>
      <c r="AA801" s="4">
        <f t="shared" si="599"/>
        <v>0</v>
      </c>
      <c r="AB801" s="13">
        <f t="shared" si="600"/>
        <v>0</v>
      </c>
      <c r="AC801" s="10">
        <f>SUM($E$4:E801)</f>
        <v>-22024.091160220025</v>
      </c>
      <c r="AD801" s="20">
        <f>SUM($AB$4:AB801)</f>
        <v>13539.766460219998</v>
      </c>
      <c r="AF801" s="28" t="e">
        <f t="shared" si="601"/>
        <v>#DIV/0!</v>
      </c>
      <c r="AG801" s="2" t="e">
        <f t="shared" si="602"/>
        <v>#DIV/0!</v>
      </c>
      <c r="AH801" s="2" t="e">
        <f t="shared" si="603"/>
        <v>#DIV/0!</v>
      </c>
      <c r="AI801" s="2" t="e">
        <f t="shared" si="624"/>
        <v>#DIV/0!</v>
      </c>
      <c r="AJ801" s="2" t="e">
        <f t="shared" si="591"/>
        <v>#DIV/0!</v>
      </c>
      <c r="AK801" s="2" t="e">
        <f t="shared" si="604"/>
        <v>#DIV/0!</v>
      </c>
      <c r="AL801" s="2" t="e">
        <f t="shared" si="605"/>
        <v>#DIV/0!</v>
      </c>
      <c r="AM801" s="2" t="e">
        <f t="shared" si="625"/>
        <v>#DIV/0!</v>
      </c>
      <c r="AN801" s="2">
        <f t="shared" si="606"/>
        <v>0</v>
      </c>
      <c r="AO801" s="2" t="e">
        <f t="shared" si="607"/>
        <v>#DIV/0!</v>
      </c>
      <c r="AP801" s="2" t="e">
        <f t="shared" si="608"/>
        <v>#DIV/0!</v>
      </c>
      <c r="AQ801" s="2" t="e">
        <f t="shared" si="626"/>
        <v>#DIV/0!</v>
      </c>
      <c r="AR801" s="2" t="e">
        <f t="shared" si="592"/>
        <v>#DIV/0!</v>
      </c>
      <c r="AS801" s="2" t="e">
        <f t="shared" si="609"/>
        <v>#DIV/0!</v>
      </c>
      <c r="AT801" s="2" t="e">
        <f t="shared" si="610"/>
        <v>#DIV/0!</v>
      </c>
      <c r="AU801" s="2" t="e">
        <f t="shared" si="627"/>
        <v>#DIV/0!</v>
      </c>
      <c r="AV801" s="2" t="e">
        <f t="shared" si="611"/>
        <v>#DIV/0!</v>
      </c>
      <c r="AW801" s="2" t="e">
        <f t="shared" si="612"/>
        <v>#DIV/0!</v>
      </c>
      <c r="AX801" s="2" t="e">
        <f t="shared" si="613"/>
        <v>#DIV/0!</v>
      </c>
      <c r="AY801" s="2" t="e">
        <f t="shared" si="628"/>
        <v>#DIV/0!</v>
      </c>
      <c r="AZ801" s="2" t="e">
        <f t="shared" si="593"/>
        <v>#DIV/0!</v>
      </c>
      <c r="BA801" s="2" t="e">
        <f t="shared" si="614"/>
        <v>#DIV/0!</v>
      </c>
      <c r="BB801" s="2" t="e">
        <f t="shared" si="615"/>
        <v>#DIV/0!</v>
      </c>
      <c r="BC801" s="2" t="e">
        <f t="shared" si="629"/>
        <v>#DIV/0!</v>
      </c>
      <c r="BD801" s="2">
        <v>0</v>
      </c>
      <c r="BE801" s="2" t="e">
        <f t="shared" si="616"/>
        <v>#DIV/0!</v>
      </c>
      <c r="BF801" s="2" t="e">
        <f t="shared" si="617"/>
        <v>#DIV/0!</v>
      </c>
      <c r="BG801" s="2" t="e">
        <f t="shared" si="630"/>
        <v>#DIV/0!</v>
      </c>
      <c r="BH801" s="2" t="e">
        <f t="shared" si="594"/>
        <v>#DIV/0!</v>
      </c>
      <c r="BI801" s="2" t="e">
        <f t="shared" si="618"/>
        <v>#DIV/0!</v>
      </c>
      <c r="BJ801" s="2" t="e">
        <f t="shared" si="619"/>
        <v>#DIV/0!</v>
      </c>
      <c r="BK801" s="2" t="e">
        <f t="shared" si="631"/>
        <v>#DIV/0!</v>
      </c>
      <c r="BL801" s="2" t="e">
        <f t="shared" si="620"/>
        <v>#DIV/0!</v>
      </c>
      <c r="BM801" s="2" t="e">
        <f t="shared" si="621"/>
        <v>#DIV/0!</v>
      </c>
      <c r="BN801" s="2" t="e">
        <f t="shared" si="632"/>
        <v>#DIV/0!</v>
      </c>
    </row>
    <row r="802" spans="1:66" x14ac:dyDescent="0.25">
      <c r="A802" s="42">
        <v>799</v>
      </c>
      <c r="E802" s="6">
        <f t="shared" si="622"/>
        <v>0</v>
      </c>
      <c r="F802" s="5" t="str">
        <f t="shared" si="633"/>
        <v>Break Even</v>
      </c>
      <c r="G802" s="4">
        <f t="shared" si="634"/>
        <v>0</v>
      </c>
      <c r="N802" s="5">
        <f t="shared" si="635"/>
        <v>0</v>
      </c>
      <c r="O802" s="4" t="e">
        <f t="shared" si="636"/>
        <v>#DIV/0!</v>
      </c>
      <c r="P802" s="5">
        <f t="shared" si="595"/>
        <v>0</v>
      </c>
      <c r="R802" s="2">
        <f t="shared" si="590"/>
        <v>0</v>
      </c>
      <c r="T802" s="2">
        <f t="shared" si="623"/>
        <v>0</v>
      </c>
      <c r="V802" s="5">
        <f t="shared" si="637"/>
        <v>0</v>
      </c>
      <c r="W802" s="4" t="e">
        <f t="shared" si="638"/>
        <v>#DIV/0!</v>
      </c>
      <c r="X802" s="14">
        <f t="shared" si="596"/>
        <v>0</v>
      </c>
      <c r="Y802" s="5">
        <f t="shared" si="597"/>
        <v>0</v>
      </c>
      <c r="Z802" s="2">
        <f t="shared" si="598"/>
        <v>0</v>
      </c>
      <c r="AA802" s="4">
        <f t="shared" si="599"/>
        <v>0</v>
      </c>
      <c r="AB802" s="13">
        <f t="shared" si="600"/>
        <v>0</v>
      </c>
      <c r="AC802" s="10">
        <f>SUM($E$4:E802)</f>
        <v>-22024.091160220025</v>
      </c>
      <c r="AD802" s="20">
        <f>SUM($AB$4:AB802)</f>
        <v>13539.766460219998</v>
      </c>
      <c r="AF802" s="28" t="e">
        <f t="shared" si="601"/>
        <v>#DIV/0!</v>
      </c>
      <c r="AG802" s="2" t="e">
        <f t="shared" si="602"/>
        <v>#DIV/0!</v>
      </c>
      <c r="AH802" s="2" t="e">
        <f t="shared" si="603"/>
        <v>#DIV/0!</v>
      </c>
      <c r="AI802" s="2" t="e">
        <f t="shared" si="624"/>
        <v>#DIV/0!</v>
      </c>
      <c r="AJ802" s="2" t="e">
        <f t="shared" si="591"/>
        <v>#DIV/0!</v>
      </c>
      <c r="AK802" s="2" t="e">
        <f t="shared" si="604"/>
        <v>#DIV/0!</v>
      </c>
      <c r="AL802" s="2" t="e">
        <f t="shared" si="605"/>
        <v>#DIV/0!</v>
      </c>
      <c r="AM802" s="2" t="e">
        <f t="shared" si="625"/>
        <v>#DIV/0!</v>
      </c>
      <c r="AN802" s="2">
        <f t="shared" si="606"/>
        <v>0</v>
      </c>
      <c r="AO802" s="2" t="e">
        <f t="shared" si="607"/>
        <v>#DIV/0!</v>
      </c>
      <c r="AP802" s="2" t="e">
        <f t="shared" si="608"/>
        <v>#DIV/0!</v>
      </c>
      <c r="AQ802" s="2" t="e">
        <f t="shared" si="626"/>
        <v>#DIV/0!</v>
      </c>
      <c r="AR802" s="2" t="e">
        <f t="shared" si="592"/>
        <v>#DIV/0!</v>
      </c>
      <c r="AS802" s="2" t="e">
        <f t="shared" si="609"/>
        <v>#DIV/0!</v>
      </c>
      <c r="AT802" s="2" t="e">
        <f t="shared" si="610"/>
        <v>#DIV/0!</v>
      </c>
      <c r="AU802" s="2" t="e">
        <f t="shared" si="627"/>
        <v>#DIV/0!</v>
      </c>
      <c r="AV802" s="2" t="e">
        <f t="shared" si="611"/>
        <v>#DIV/0!</v>
      </c>
      <c r="AW802" s="2" t="e">
        <f t="shared" si="612"/>
        <v>#DIV/0!</v>
      </c>
      <c r="AX802" s="2" t="e">
        <f t="shared" si="613"/>
        <v>#DIV/0!</v>
      </c>
      <c r="AY802" s="2" t="e">
        <f t="shared" si="628"/>
        <v>#DIV/0!</v>
      </c>
      <c r="AZ802" s="2" t="e">
        <f t="shared" si="593"/>
        <v>#DIV/0!</v>
      </c>
      <c r="BA802" s="2" t="e">
        <f t="shared" si="614"/>
        <v>#DIV/0!</v>
      </c>
      <c r="BB802" s="2" t="e">
        <f t="shared" si="615"/>
        <v>#DIV/0!</v>
      </c>
      <c r="BC802" s="2" t="e">
        <f t="shared" si="629"/>
        <v>#DIV/0!</v>
      </c>
      <c r="BD802" s="2">
        <v>0</v>
      </c>
      <c r="BE802" s="2" t="e">
        <f t="shared" si="616"/>
        <v>#DIV/0!</v>
      </c>
      <c r="BF802" s="2" t="e">
        <f t="shared" si="617"/>
        <v>#DIV/0!</v>
      </c>
      <c r="BG802" s="2" t="e">
        <f t="shared" si="630"/>
        <v>#DIV/0!</v>
      </c>
      <c r="BH802" s="2" t="e">
        <f t="shared" si="594"/>
        <v>#DIV/0!</v>
      </c>
      <c r="BI802" s="2" t="e">
        <f t="shared" si="618"/>
        <v>#DIV/0!</v>
      </c>
      <c r="BJ802" s="2" t="e">
        <f t="shared" si="619"/>
        <v>#DIV/0!</v>
      </c>
      <c r="BK802" s="2" t="e">
        <f t="shared" si="631"/>
        <v>#DIV/0!</v>
      </c>
      <c r="BL802" s="2" t="e">
        <f t="shared" si="620"/>
        <v>#DIV/0!</v>
      </c>
      <c r="BM802" s="2" t="e">
        <f t="shared" si="621"/>
        <v>#DIV/0!</v>
      </c>
      <c r="BN802" s="2" t="e">
        <f t="shared" si="632"/>
        <v>#DIV/0!</v>
      </c>
    </row>
    <row r="803" spans="1:66" x14ac:dyDescent="0.25">
      <c r="A803" s="42">
        <v>800</v>
      </c>
      <c r="E803" s="6">
        <f t="shared" si="622"/>
        <v>0</v>
      </c>
      <c r="F803" s="5" t="str">
        <f t="shared" si="633"/>
        <v>Break Even</v>
      </c>
      <c r="G803" s="4">
        <f t="shared" si="634"/>
        <v>0</v>
      </c>
      <c r="N803" s="5">
        <f t="shared" si="635"/>
        <v>0</v>
      </c>
      <c r="O803" s="4" t="e">
        <f t="shared" si="636"/>
        <v>#DIV/0!</v>
      </c>
      <c r="P803" s="5">
        <f t="shared" si="595"/>
        <v>0</v>
      </c>
      <c r="R803" s="2">
        <f t="shared" si="590"/>
        <v>0</v>
      </c>
      <c r="T803" s="2">
        <f t="shared" si="623"/>
        <v>0</v>
      </c>
      <c r="V803" s="5">
        <f t="shared" si="637"/>
        <v>0</v>
      </c>
      <c r="W803" s="4" t="e">
        <f t="shared" si="638"/>
        <v>#DIV/0!</v>
      </c>
      <c r="X803" s="14">
        <f t="shared" si="596"/>
        <v>0</v>
      </c>
      <c r="Y803" s="5">
        <f t="shared" si="597"/>
        <v>0</v>
      </c>
      <c r="Z803" s="2">
        <f t="shared" si="598"/>
        <v>0</v>
      </c>
      <c r="AA803" s="4">
        <f t="shared" si="599"/>
        <v>0</v>
      </c>
      <c r="AB803" s="13">
        <f t="shared" si="600"/>
        <v>0</v>
      </c>
      <c r="AC803" s="10">
        <f>SUM($E$4:E803)</f>
        <v>-22024.091160220025</v>
      </c>
      <c r="AD803" s="20">
        <f>SUM($AB$4:AB803)</f>
        <v>13539.766460219998</v>
      </c>
      <c r="AF803" s="28" t="e">
        <f t="shared" si="601"/>
        <v>#DIV/0!</v>
      </c>
      <c r="AG803" s="2" t="e">
        <f t="shared" si="602"/>
        <v>#DIV/0!</v>
      </c>
      <c r="AH803" s="2" t="e">
        <f t="shared" si="603"/>
        <v>#DIV/0!</v>
      </c>
      <c r="AI803" s="2" t="e">
        <f t="shared" si="624"/>
        <v>#DIV/0!</v>
      </c>
      <c r="AJ803" s="2" t="e">
        <f t="shared" si="591"/>
        <v>#DIV/0!</v>
      </c>
      <c r="AK803" s="2" t="e">
        <f t="shared" si="604"/>
        <v>#DIV/0!</v>
      </c>
      <c r="AL803" s="2" t="e">
        <f t="shared" si="605"/>
        <v>#DIV/0!</v>
      </c>
      <c r="AM803" s="2" t="e">
        <f t="shared" si="625"/>
        <v>#DIV/0!</v>
      </c>
      <c r="AN803" s="2">
        <f t="shared" si="606"/>
        <v>0</v>
      </c>
      <c r="AO803" s="2" t="e">
        <f t="shared" si="607"/>
        <v>#DIV/0!</v>
      </c>
      <c r="AP803" s="2" t="e">
        <f t="shared" si="608"/>
        <v>#DIV/0!</v>
      </c>
      <c r="AQ803" s="2" t="e">
        <f t="shared" si="626"/>
        <v>#DIV/0!</v>
      </c>
      <c r="AR803" s="2" t="e">
        <f t="shared" si="592"/>
        <v>#DIV/0!</v>
      </c>
      <c r="AS803" s="2" t="e">
        <f t="shared" si="609"/>
        <v>#DIV/0!</v>
      </c>
      <c r="AT803" s="2" t="e">
        <f t="shared" si="610"/>
        <v>#DIV/0!</v>
      </c>
      <c r="AU803" s="2" t="e">
        <f t="shared" si="627"/>
        <v>#DIV/0!</v>
      </c>
      <c r="AV803" s="2" t="e">
        <f t="shared" si="611"/>
        <v>#DIV/0!</v>
      </c>
      <c r="AW803" s="2" t="e">
        <f t="shared" si="612"/>
        <v>#DIV/0!</v>
      </c>
      <c r="AX803" s="2" t="e">
        <f t="shared" si="613"/>
        <v>#DIV/0!</v>
      </c>
      <c r="AY803" s="2" t="e">
        <f t="shared" si="628"/>
        <v>#DIV/0!</v>
      </c>
      <c r="AZ803" s="2" t="e">
        <f t="shared" si="593"/>
        <v>#DIV/0!</v>
      </c>
      <c r="BA803" s="2" t="e">
        <f t="shared" si="614"/>
        <v>#DIV/0!</v>
      </c>
      <c r="BB803" s="2" t="e">
        <f t="shared" si="615"/>
        <v>#DIV/0!</v>
      </c>
      <c r="BC803" s="2" t="e">
        <f t="shared" si="629"/>
        <v>#DIV/0!</v>
      </c>
      <c r="BD803" s="2">
        <v>0</v>
      </c>
      <c r="BE803" s="2" t="e">
        <f t="shared" si="616"/>
        <v>#DIV/0!</v>
      </c>
      <c r="BF803" s="2" t="e">
        <f t="shared" si="617"/>
        <v>#DIV/0!</v>
      </c>
      <c r="BG803" s="2" t="e">
        <f t="shared" si="630"/>
        <v>#DIV/0!</v>
      </c>
      <c r="BH803" s="2" t="e">
        <f t="shared" si="594"/>
        <v>#DIV/0!</v>
      </c>
      <c r="BI803" s="2" t="e">
        <f t="shared" si="618"/>
        <v>#DIV/0!</v>
      </c>
      <c r="BJ803" s="2" t="e">
        <f t="shared" si="619"/>
        <v>#DIV/0!</v>
      </c>
      <c r="BK803" s="2" t="e">
        <f t="shared" si="631"/>
        <v>#DIV/0!</v>
      </c>
      <c r="BL803" s="2" t="e">
        <f t="shared" si="620"/>
        <v>#DIV/0!</v>
      </c>
      <c r="BM803" s="2" t="e">
        <f t="shared" si="621"/>
        <v>#DIV/0!</v>
      </c>
      <c r="BN803" s="2" t="e">
        <f t="shared" si="632"/>
        <v>#DIV/0!</v>
      </c>
    </row>
    <row r="804" spans="1:66" x14ac:dyDescent="0.25">
      <c r="A804" s="42">
        <v>801</v>
      </c>
      <c r="E804" s="6">
        <f t="shared" si="622"/>
        <v>0</v>
      </c>
      <c r="F804" s="5" t="str">
        <f t="shared" si="633"/>
        <v>Break Even</v>
      </c>
      <c r="G804" s="4">
        <f t="shared" si="634"/>
        <v>0</v>
      </c>
      <c r="N804" s="5">
        <f t="shared" si="635"/>
        <v>0</v>
      </c>
      <c r="O804" s="4" t="e">
        <f t="shared" si="636"/>
        <v>#DIV/0!</v>
      </c>
      <c r="P804" s="5">
        <f t="shared" si="595"/>
        <v>0</v>
      </c>
      <c r="R804" s="2">
        <f t="shared" si="590"/>
        <v>0</v>
      </c>
      <c r="T804" s="2">
        <f t="shared" si="623"/>
        <v>0</v>
      </c>
      <c r="V804" s="5">
        <f t="shared" si="637"/>
        <v>0</v>
      </c>
      <c r="W804" s="4" t="e">
        <f t="shared" si="638"/>
        <v>#DIV/0!</v>
      </c>
      <c r="X804" s="14">
        <f t="shared" si="596"/>
        <v>0</v>
      </c>
      <c r="Y804" s="5">
        <f t="shared" si="597"/>
        <v>0</v>
      </c>
      <c r="Z804" s="2">
        <f t="shared" si="598"/>
        <v>0</v>
      </c>
      <c r="AA804" s="4">
        <f t="shared" si="599"/>
        <v>0</v>
      </c>
      <c r="AB804" s="13">
        <f t="shared" si="600"/>
        <v>0</v>
      </c>
      <c r="AC804" s="10">
        <f>SUM($E$4:E804)</f>
        <v>-22024.091160220025</v>
      </c>
      <c r="AD804" s="20">
        <f>SUM($AB$4:AB804)</f>
        <v>13539.766460219998</v>
      </c>
      <c r="AF804" s="28" t="e">
        <f t="shared" si="601"/>
        <v>#DIV/0!</v>
      </c>
      <c r="AG804" s="2" t="e">
        <f t="shared" si="602"/>
        <v>#DIV/0!</v>
      </c>
      <c r="AH804" s="2" t="e">
        <f t="shared" si="603"/>
        <v>#DIV/0!</v>
      </c>
      <c r="AI804" s="2" t="e">
        <f t="shared" si="624"/>
        <v>#DIV/0!</v>
      </c>
      <c r="AJ804" s="2" t="e">
        <f t="shared" si="591"/>
        <v>#DIV/0!</v>
      </c>
      <c r="AK804" s="2" t="e">
        <f t="shared" si="604"/>
        <v>#DIV/0!</v>
      </c>
      <c r="AL804" s="2" t="e">
        <f t="shared" si="605"/>
        <v>#DIV/0!</v>
      </c>
      <c r="AM804" s="2" t="e">
        <f t="shared" si="625"/>
        <v>#DIV/0!</v>
      </c>
      <c r="AN804" s="2">
        <f t="shared" si="606"/>
        <v>0</v>
      </c>
      <c r="AO804" s="2" t="e">
        <f t="shared" si="607"/>
        <v>#DIV/0!</v>
      </c>
      <c r="AP804" s="2" t="e">
        <f t="shared" si="608"/>
        <v>#DIV/0!</v>
      </c>
      <c r="AQ804" s="2" t="e">
        <f t="shared" si="626"/>
        <v>#DIV/0!</v>
      </c>
      <c r="AR804" s="2" t="e">
        <f t="shared" si="592"/>
        <v>#DIV/0!</v>
      </c>
      <c r="AS804" s="2" t="e">
        <f t="shared" si="609"/>
        <v>#DIV/0!</v>
      </c>
      <c r="AT804" s="2" t="e">
        <f t="shared" si="610"/>
        <v>#DIV/0!</v>
      </c>
      <c r="AU804" s="2" t="e">
        <f t="shared" si="627"/>
        <v>#DIV/0!</v>
      </c>
      <c r="AV804" s="2" t="e">
        <f t="shared" si="611"/>
        <v>#DIV/0!</v>
      </c>
      <c r="AW804" s="2" t="e">
        <f t="shared" si="612"/>
        <v>#DIV/0!</v>
      </c>
      <c r="AX804" s="2" t="e">
        <f t="shared" si="613"/>
        <v>#DIV/0!</v>
      </c>
      <c r="AY804" s="2" t="e">
        <f t="shared" si="628"/>
        <v>#DIV/0!</v>
      </c>
      <c r="AZ804" s="2" t="e">
        <f t="shared" si="593"/>
        <v>#DIV/0!</v>
      </c>
      <c r="BA804" s="2" t="e">
        <f t="shared" si="614"/>
        <v>#DIV/0!</v>
      </c>
      <c r="BB804" s="2" t="e">
        <f t="shared" si="615"/>
        <v>#DIV/0!</v>
      </c>
      <c r="BC804" s="2" t="e">
        <f t="shared" si="629"/>
        <v>#DIV/0!</v>
      </c>
      <c r="BD804" s="2">
        <v>0</v>
      </c>
      <c r="BE804" s="2" t="e">
        <f t="shared" si="616"/>
        <v>#DIV/0!</v>
      </c>
      <c r="BF804" s="2" t="e">
        <f t="shared" si="617"/>
        <v>#DIV/0!</v>
      </c>
      <c r="BG804" s="2" t="e">
        <f t="shared" si="630"/>
        <v>#DIV/0!</v>
      </c>
      <c r="BH804" s="2" t="e">
        <f t="shared" si="594"/>
        <v>#DIV/0!</v>
      </c>
      <c r="BI804" s="2" t="e">
        <f t="shared" si="618"/>
        <v>#DIV/0!</v>
      </c>
      <c r="BJ804" s="2" t="e">
        <f t="shared" si="619"/>
        <v>#DIV/0!</v>
      </c>
      <c r="BK804" s="2" t="e">
        <f t="shared" si="631"/>
        <v>#DIV/0!</v>
      </c>
      <c r="BL804" s="2" t="e">
        <f t="shared" si="620"/>
        <v>#DIV/0!</v>
      </c>
      <c r="BM804" s="2" t="e">
        <f t="shared" si="621"/>
        <v>#DIV/0!</v>
      </c>
      <c r="BN804" s="2" t="e">
        <f t="shared" si="632"/>
        <v>#DIV/0!</v>
      </c>
    </row>
    <row r="805" spans="1:66" x14ac:dyDescent="0.25">
      <c r="A805" s="42">
        <v>802</v>
      </c>
      <c r="E805" s="6">
        <f t="shared" si="622"/>
        <v>0</v>
      </c>
      <c r="F805" s="5" t="str">
        <f t="shared" si="633"/>
        <v>Break Even</v>
      </c>
      <c r="G805" s="4">
        <f t="shared" si="634"/>
        <v>0</v>
      </c>
      <c r="N805" s="5">
        <f t="shared" si="635"/>
        <v>0</v>
      </c>
      <c r="O805" s="4" t="e">
        <f t="shared" si="636"/>
        <v>#DIV/0!</v>
      </c>
      <c r="P805" s="5">
        <f t="shared" si="595"/>
        <v>0</v>
      </c>
      <c r="R805" s="2">
        <f t="shared" si="590"/>
        <v>0</v>
      </c>
      <c r="T805" s="2">
        <f t="shared" si="623"/>
        <v>0</v>
      </c>
      <c r="V805" s="5">
        <f t="shared" si="637"/>
        <v>0</v>
      </c>
      <c r="W805" s="4" t="e">
        <f t="shared" si="638"/>
        <v>#DIV/0!</v>
      </c>
      <c r="X805" s="14">
        <f t="shared" si="596"/>
        <v>0</v>
      </c>
      <c r="Y805" s="5">
        <f t="shared" si="597"/>
        <v>0</v>
      </c>
      <c r="Z805" s="2">
        <f t="shared" si="598"/>
        <v>0</v>
      </c>
      <c r="AA805" s="4">
        <f t="shared" si="599"/>
        <v>0</v>
      </c>
      <c r="AB805" s="13">
        <f t="shared" si="600"/>
        <v>0</v>
      </c>
      <c r="AC805" s="10">
        <f>SUM($E$4:E805)</f>
        <v>-22024.091160220025</v>
      </c>
      <c r="AD805" s="20">
        <f>SUM($AB$4:AB805)</f>
        <v>13539.766460219998</v>
      </c>
      <c r="AF805" s="28" t="e">
        <f t="shared" si="601"/>
        <v>#DIV/0!</v>
      </c>
      <c r="AG805" s="2" t="e">
        <f t="shared" si="602"/>
        <v>#DIV/0!</v>
      </c>
      <c r="AH805" s="2" t="e">
        <f t="shared" si="603"/>
        <v>#DIV/0!</v>
      </c>
      <c r="AI805" s="2" t="e">
        <f t="shared" si="624"/>
        <v>#DIV/0!</v>
      </c>
      <c r="AJ805" s="2" t="e">
        <f t="shared" si="591"/>
        <v>#DIV/0!</v>
      </c>
      <c r="AK805" s="2" t="e">
        <f t="shared" si="604"/>
        <v>#DIV/0!</v>
      </c>
      <c r="AL805" s="2" t="e">
        <f t="shared" si="605"/>
        <v>#DIV/0!</v>
      </c>
      <c r="AM805" s="2" t="e">
        <f t="shared" si="625"/>
        <v>#DIV/0!</v>
      </c>
      <c r="AN805" s="2">
        <f t="shared" si="606"/>
        <v>0</v>
      </c>
      <c r="AO805" s="2" t="e">
        <f t="shared" si="607"/>
        <v>#DIV/0!</v>
      </c>
      <c r="AP805" s="2" t="e">
        <f t="shared" si="608"/>
        <v>#DIV/0!</v>
      </c>
      <c r="AQ805" s="2" t="e">
        <f t="shared" si="626"/>
        <v>#DIV/0!</v>
      </c>
      <c r="AR805" s="2" t="e">
        <f t="shared" si="592"/>
        <v>#DIV/0!</v>
      </c>
      <c r="AS805" s="2" t="e">
        <f t="shared" si="609"/>
        <v>#DIV/0!</v>
      </c>
      <c r="AT805" s="2" t="e">
        <f t="shared" si="610"/>
        <v>#DIV/0!</v>
      </c>
      <c r="AU805" s="2" t="e">
        <f t="shared" si="627"/>
        <v>#DIV/0!</v>
      </c>
      <c r="AV805" s="2" t="e">
        <f t="shared" si="611"/>
        <v>#DIV/0!</v>
      </c>
      <c r="AW805" s="2" t="e">
        <f t="shared" si="612"/>
        <v>#DIV/0!</v>
      </c>
      <c r="AX805" s="2" t="e">
        <f t="shared" si="613"/>
        <v>#DIV/0!</v>
      </c>
      <c r="AY805" s="2" t="e">
        <f t="shared" si="628"/>
        <v>#DIV/0!</v>
      </c>
      <c r="AZ805" s="2" t="e">
        <f t="shared" si="593"/>
        <v>#DIV/0!</v>
      </c>
      <c r="BA805" s="2" t="e">
        <f t="shared" si="614"/>
        <v>#DIV/0!</v>
      </c>
      <c r="BB805" s="2" t="e">
        <f t="shared" si="615"/>
        <v>#DIV/0!</v>
      </c>
      <c r="BC805" s="2" t="e">
        <f t="shared" si="629"/>
        <v>#DIV/0!</v>
      </c>
      <c r="BD805" s="2">
        <v>0</v>
      </c>
      <c r="BE805" s="2" t="e">
        <f t="shared" si="616"/>
        <v>#DIV/0!</v>
      </c>
      <c r="BF805" s="2" t="e">
        <f t="shared" si="617"/>
        <v>#DIV/0!</v>
      </c>
      <c r="BG805" s="2" t="e">
        <f t="shared" si="630"/>
        <v>#DIV/0!</v>
      </c>
      <c r="BH805" s="2" t="e">
        <f t="shared" si="594"/>
        <v>#DIV/0!</v>
      </c>
      <c r="BI805" s="2" t="e">
        <f t="shared" si="618"/>
        <v>#DIV/0!</v>
      </c>
      <c r="BJ805" s="2" t="e">
        <f t="shared" si="619"/>
        <v>#DIV/0!</v>
      </c>
      <c r="BK805" s="2" t="e">
        <f t="shared" si="631"/>
        <v>#DIV/0!</v>
      </c>
      <c r="BL805" s="2" t="e">
        <f t="shared" si="620"/>
        <v>#DIV/0!</v>
      </c>
      <c r="BM805" s="2" t="e">
        <f t="shared" si="621"/>
        <v>#DIV/0!</v>
      </c>
      <c r="BN805" s="2" t="e">
        <f t="shared" si="632"/>
        <v>#DIV/0!</v>
      </c>
    </row>
    <row r="806" spans="1:66" x14ac:dyDescent="0.25">
      <c r="A806" s="42">
        <v>803</v>
      </c>
      <c r="E806" s="6">
        <f t="shared" si="622"/>
        <v>0</v>
      </c>
      <c r="F806" s="5" t="str">
        <f t="shared" si="633"/>
        <v>Break Even</v>
      </c>
      <c r="G806" s="4">
        <f t="shared" si="634"/>
        <v>0</v>
      </c>
      <c r="N806" s="5">
        <f t="shared" si="635"/>
        <v>0</v>
      </c>
      <c r="O806" s="4" t="e">
        <f t="shared" si="636"/>
        <v>#DIV/0!</v>
      </c>
      <c r="P806" s="5">
        <f t="shared" si="595"/>
        <v>0</v>
      </c>
      <c r="R806" s="2">
        <f t="shared" si="590"/>
        <v>0</v>
      </c>
      <c r="T806" s="2">
        <f t="shared" si="623"/>
        <v>0</v>
      </c>
      <c r="V806" s="5">
        <f t="shared" si="637"/>
        <v>0</v>
      </c>
      <c r="W806" s="4" t="e">
        <f t="shared" si="638"/>
        <v>#DIV/0!</v>
      </c>
      <c r="X806" s="14">
        <f t="shared" si="596"/>
        <v>0</v>
      </c>
      <c r="Y806" s="5">
        <f t="shared" si="597"/>
        <v>0</v>
      </c>
      <c r="Z806" s="2">
        <f t="shared" si="598"/>
        <v>0</v>
      </c>
      <c r="AA806" s="4">
        <f t="shared" si="599"/>
        <v>0</v>
      </c>
      <c r="AB806" s="13">
        <f t="shared" si="600"/>
        <v>0</v>
      </c>
      <c r="AC806" s="10">
        <f>SUM($E$4:E806)</f>
        <v>-22024.091160220025</v>
      </c>
      <c r="AD806" s="20">
        <f>SUM($AB$4:AB806)</f>
        <v>13539.766460219998</v>
      </c>
      <c r="AF806" s="28" t="e">
        <f t="shared" si="601"/>
        <v>#DIV/0!</v>
      </c>
      <c r="AG806" s="2" t="e">
        <f t="shared" si="602"/>
        <v>#DIV/0!</v>
      </c>
      <c r="AH806" s="2" t="e">
        <f t="shared" si="603"/>
        <v>#DIV/0!</v>
      </c>
      <c r="AI806" s="2" t="e">
        <f t="shared" si="624"/>
        <v>#DIV/0!</v>
      </c>
      <c r="AJ806" s="2" t="e">
        <f t="shared" si="591"/>
        <v>#DIV/0!</v>
      </c>
      <c r="AK806" s="2" t="e">
        <f t="shared" si="604"/>
        <v>#DIV/0!</v>
      </c>
      <c r="AL806" s="2" t="e">
        <f t="shared" si="605"/>
        <v>#DIV/0!</v>
      </c>
      <c r="AM806" s="2" t="e">
        <f t="shared" si="625"/>
        <v>#DIV/0!</v>
      </c>
      <c r="AN806" s="2">
        <f t="shared" si="606"/>
        <v>0</v>
      </c>
      <c r="AO806" s="2" t="e">
        <f t="shared" si="607"/>
        <v>#DIV/0!</v>
      </c>
      <c r="AP806" s="2" t="e">
        <f t="shared" si="608"/>
        <v>#DIV/0!</v>
      </c>
      <c r="AQ806" s="2" t="e">
        <f t="shared" si="626"/>
        <v>#DIV/0!</v>
      </c>
      <c r="AR806" s="2" t="e">
        <f t="shared" si="592"/>
        <v>#DIV/0!</v>
      </c>
      <c r="AS806" s="2" t="e">
        <f t="shared" si="609"/>
        <v>#DIV/0!</v>
      </c>
      <c r="AT806" s="2" t="e">
        <f t="shared" si="610"/>
        <v>#DIV/0!</v>
      </c>
      <c r="AU806" s="2" t="e">
        <f t="shared" si="627"/>
        <v>#DIV/0!</v>
      </c>
      <c r="AV806" s="2" t="e">
        <f t="shared" si="611"/>
        <v>#DIV/0!</v>
      </c>
      <c r="AW806" s="2" t="e">
        <f t="shared" si="612"/>
        <v>#DIV/0!</v>
      </c>
      <c r="AX806" s="2" t="e">
        <f t="shared" si="613"/>
        <v>#DIV/0!</v>
      </c>
      <c r="AY806" s="2" t="e">
        <f t="shared" si="628"/>
        <v>#DIV/0!</v>
      </c>
      <c r="AZ806" s="2" t="e">
        <f t="shared" si="593"/>
        <v>#DIV/0!</v>
      </c>
      <c r="BA806" s="2" t="e">
        <f t="shared" si="614"/>
        <v>#DIV/0!</v>
      </c>
      <c r="BB806" s="2" t="e">
        <f t="shared" si="615"/>
        <v>#DIV/0!</v>
      </c>
      <c r="BC806" s="2" t="e">
        <f t="shared" si="629"/>
        <v>#DIV/0!</v>
      </c>
      <c r="BD806" s="2">
        <v>0</v>
      </c>
      <c r="BE806" s="2" t="e">
        <f t="shared" si="616"/>
        <v>#DIV/0!</v>
      </c>
      <c r="BF806" s="2" t="e">
        <f t="shared" si="617"/>
        <v>#DIV/0!</v>
      </c>
      <c r="BG806" s="2" t="e">
        <f t="shared" si="630"/>
        <v>#DIV/0!</v>
      </c>
      <c r="BH806" s="2" t="e">
        <f t="shared" si="594"/>
        <v>#DIV/0!</v>
      </c>
      <c r="BI806" s="2" t="e">
        <f t="shared" si="618"/>
        <v>#DIV/0!</v>
      </c>
      <c r="BJ806" s="2" t="e">
        <f t="shared" si="619"/>
        <v>#DIV/0!</v>
      </c>
      <c r="BK806" s="2" t="e">
        <f t="shared" si="631"/>
        <v>#DIV/0!</v>
      </c>
      <c r="BL806" s="2" t="e">
        <f t="shared" si="620"/>
        <v>#DIV/0!</v>
      </c>
      <c r="BM806" s="2" t="e">
        <f t="shared" si="621"/>
        <v>#DIV/0!</v>
      </c>
      <c r="BN806" s="2" t="e">
        <f t="shared" si="632"/>
        <v>#DIV/0!</v>
      </c>
    </row>
    <row r="807" spans="1:66" x14ac:dyDescent="0.25">
      <c r="A807" s="42">
        <v>804</v>
      </c>
      <c r="E807" s="6">
        <f t="shared" si="622"/>
        <v>0</v>
      </c>
      <c r="F807" s="5" t="str">
        <f t="shared" si="633"/>
        <v>Break Even</v>
      </c>
      <c r="G807" s="4">
        <f t="shared" si="634"/>
        <v>0</v>
      </c>
      <c r="N807" s="5">
        <f t="shared" si="635"/>
        <v>0</v>
      </c>
      <c r="O807" s="4" t="e">
        <f t="shared" si="636"/>
        <v>#DIV/0!</v>
      </c>
      <c r="P807" s="5">
        <f t="shared" si="595"/>
        <v>0</v>
      </c>
      <c r="R807" s="2">
        <f t="shared" si="590"/>
        <v>0</v>
      </c>
      <c r="T807" s="2">
        <f t="shared" si="623"/>
        <v>0</v>
      </c>
      <c r="V807" s="5">
        <f t="shared" si="637"/>
        <v>0</v>
      </c>
      <c r="W807" s="4" t="e">
        <f t="shared" si="638"/>
        <v>#DIV/0!</v>
      </c>
      <c r="X807" s="14">
        <f t="shared" si="596"/>
        <v>0</v>
      </c>
      <c r="Y807" s="5">
        <f t="shared" si="597"/>
        <v>0</v>
      </c>
      <c r="Z807" s="2">
        <f t="shared" si="598"/>
        <v>0</v>
      </c>
      <c r="AA807" s="4">
        <f t="shared" si="599"/>
        <v>0</v>
      </c>
      <c r="AB807" s="13">
        <f t="shared" si="600"/>
        <v>0</v>
      </c>
      <c r="AC807" s="10">
        <f>SUM($E$4:E807)</f>
        <v>-22024.091160220025</v>
      </c>
      <c r="AD807" s="20">
        <f>SUM($AB$4:AB807)</f>
        <v>13539.766460219998</v>
      </c>
      <c r="AF807" s="28" t="e">
        <f t="shared" si="601"/>
        <v>#DIV/0!</v>
      </c>
      <c r="AG807" s="2" t="e">
        <f t="shared" si="602"/>
        <v>#DIV/0!</v>
      </c>
      <c r="AH807" s="2" t="e">
        <f t="shared" si="603"/>
        <v>#DIV/0!</v>
      </c>
      <c r="AI807" s="2" t="e">
        <f t="shared" si="624"/>
        <v>#DIV/0!</v>
      </c>
      <c r="AJ807" s="2" t="e">
        <f t="shared" si="591"/>
        <v>#DIV/0!</v>
      </c>
      <c r="AK807" s="2" t="e">
        <f t="shared" si="604"/>
        <v>#DIV/0!</v>
      </c>
      <c r="AL807" s="2" t="e">
        <f t="shared" si="605"/>
        <v>#DIV/0!</v>
      </c>
      <c r="AM807" s="2" t="e">
        <f t="shared" si="625"/>
        <v>#DIV/0!</v>
      </c>
      <c r="AN807" s="2">
        <f t="shared" si="606"/>
        <v>0</v>
      </c>
      <c r="AO807" s="2" t="e">
        <f t="shared" si="607"/>
        <v>#DIV/0!</v>
      </c>
      <c r="AP807" s="2" t="e">
        <f t="shared" si="608"/>
        <v>#DIV/0!</v>
      </c>
      <c r="AQ807" s="2" t="e">
        <f t="shared" si="626"/>
        <v>#DIV/0!</v>
      </c>
      <c r="AR807" s="2" t="e">
        <f t="shared" si="592"/>
        <v>#DIV/0!</v>
      </c>
      <c r="AS807" s="2" t="e">
        <f t="shared" si="609"/>
        <v>#DIV/0!</v>
      </c>
      <c r="AT807" s="2" t="e">
        <f t="shared" si="610"/>
        <v>#DIV/0!</v>
      </c>
      <c r="AU807" s="2" t="e">
        <f t="shared" si="627"/>
        <v>#DIV/0!</v>
      </c>
      <c r="AV807" s="2" t="e">
        <f t="shared" si="611"/>
        <v>#DIV/0!</v>
      </c>
      <c r="AW807" s="2" t="e">
        <f t="shared" si="612"/>
        <v>#DIV/0!</v>
      </c>
      <c r="AX807" s="2" t="e">
        <f t="shared" si="613"/>
        <v>#DIV/0!</v>
      </c>
      <c r="AY807" s="2" t="e">
        <f t="shared" si="628"/>
        <v>#DIV/0!</v>
      </c>
      <c r="AZ807" s="2" t="e">
        <f t="shared" si="593"/>
        <v>#DIV/0!</v>
      </c>
      <c r="BA807" s="2" t="e">
        <f t="shared" si="614"/>
        <v>#DIV/0!</v>
      </c>
      <c r="BB807" s="2" t="e">
        <f t="shared" si="615"/>
        <v>#DIV/0!</v>
      </c>
      <c r="BC807" s="2" t="e">
        <f t="shared" si="629"/>
        <v>#DIV/0!</v>
      </c>
      <c r="BD807" s="2">
        <v>0</v>
      </c>
      <c r="BE807" s="2" t="e">
        <f t="shared" si="616"/>
        <v>#DIV/0!</v>
      </c>
      <c r="BF807" s="2" t="e">
        <f t="shared" si="617"/>
        <v>#DIV/0!</v>
      </c>
      <c r="BG807" s="2" t="e">
        <f t="shared" si="630"/>
        <v>#DIV/0!</v>
      </c>
      <c r="BH807" s="2" t="e">
        <f t="shared" si="594"/>
        <v>#DIV/0!</v>
      </c>
      <c r="BI807" s="2" t="e">
        <f t="shared" si="618"/>
        <v>#DIV/0!</v>
      </c>
      <c r="BJ807" s="2" t="e">
        <f t="shared" si="619"/>
        <v>#DIV/0!</v>
      </c>
      <c r="BK807" s="2" t="e">
        <f t="shared" si="631"/>
        <v>#DIV/0!</v>
      </c>
      <c r="BL807" s="2" t="e">
        <f t="shared" si="620"/>
        <v>#DIV/0!</v>
      </c>
      <c r="BM807" s="2" t="e">
        <f t="shared" si="621"/>
        <v>#DIV/0!</v>
      </c>
      <c r="BN807" s="2" t="e">
        <f t="shared" si="632"/>
        <v>#DIV/0!</v>
      </c>
    </row>
    <row r="808" spans="1:66" x14ac:dyDescent="0.25">
      <c r="A808" s="42">
        <v>805</v>
      </c>
      <c r="E808" s="6">
        <f t="shared" si="622"/>
        <v>0</v>
      </c>
      <c r="F808" s="5" t="str">
        <f t="shared" si="633"/>
        <v>Break Even</v>
      </c>
      <c r="G808" s="4">
        <f t="shared" si="634"/>
        <v>0</v>
      </c>
      <c r="N808" s="5">
        <f t="shared" si="635"/>
        <v>0</v>
      </c>
      <c r="O808" s="4" t="e">
        <f t="shared" si="636"/>
        <v>#DIV/0!</v>
      </c>
      <c r="P808" s="5">
        <f t="shared" si="595"/>
        <v>0</v>
      </c>
      <c r="R808" s="2">
        <f t="shared" ref="R808:R871" si="639">J808</f>
        <v>0</v>
      </c>
      <c r="T808" s="2">
        <f t="shared" si="623"/>
        <v>0</v>
      </c>
      <c r="V808" s="5">
        <f t="shared" si="637"/>
        <v>0</v>
      </c>
      <c r="W808" s="4" t="e">
        <f t="shared" si="638"/>
        <v>#DIV/0!</v>
      </c>
      <c r="X808" s="14">
        <f t="shared" si="596"/>
        <v>0</v>
      </c>
      <c r="Y808" s="5">
        <f t="shared" si="597"/>
        <v>0</v>
      </c>
      <c r="Z808" s="2">
        <f t="shared" si="598"/>
        <v>0</v>
      </c>
      <c r="AA808" s="4">
        <f t="shared" si="599"/>
        <v>0</v>
      </c>
      <c r="AB808" s="13">
        <f t="shared" si="600"/>
        <v>0</v>
      </c>
      <c r="AC808" s="10">
        <f>SUM($E$4:E808)</f>
        <v>-22024.091160220025</v>
      </c>
      <c r="AD808" s="20">
        <f>SUM($AB$4:AB808)</f>
        <v>13539.766460219998</v>
      </c>
      <c r="AF808" s="28" t="e">
        <f t="shared" si="601"/>
        <v>#DIV/0!</v>
      </c>
      <c r="AG808" s="2" t="e">
        <f t="shared" si="602"/>
        <v>#DIV/0!</v>
      </c>
      <c r="AH808" s="2" t="e">
        <f t="shared" si="603"/>
        <v>#DIV/0!</v>
      </c>
      <c r="AI808" s="2" t="e">
        <f t="shared" si="624"/>
        <v>#DIV/0!</v>
      </c>
      <c r="AJ808" s="2" t="e">
        <f t="shared" si="591"/>
        <v>#DIV/0!</v>
      </c>
      <c r="AK808" s="2" t="e">
        <f t="shared" si="604"/>
        <v>#DIV/0!</v>
      </c>
      <c r="AL808" s="2" t="e">
        <f t="shared" si="605"/>
        <v>#DIV/0!</v>
      </c>
      <c r="AM808" s="2" t="e">
        <f t="shared" si="625"/>
        <v>#DIV/0!</v>
      </c>
      <c r="AN808" s="2">
        <f t="shared" si="606"/>
        <v>0</v>
      </c>
      <c r="AO808" s="2" t="e">
        <f t="shared" si="607"/>
        <v>#DIV/0!</v>
      </c>
      <c r="AP808" s="2" t="e">
        <f t="shared" si="608"/>
        <v>#DIV/0!</v>
      </c>
      <c r="AQ808" s="2" t="e">
        <f t="shared" si="626"/>
        <v>#DIV/0!</v>
      </c>
      <c r="AR808" s="2" t="e">
        <f t="shared" si="592"/>
        <v>#DIV/0!</v>
      </c>
      <c r="AS808" s="2" t="e">
        <f t="shared" si="609"/>
        <v>#DIV/0!</v>
      </c>
      <c r="AT808" s="2" t="e">
        <f t="shared" si="610"/>
        <v>#DIV/0!</v>
      </c>
      <c r="AU808" s="2" t="e">
        <f t="shared" si="627"/>
        <v>#DIV/0!</v>
      </c>
      <c r="AV808" s="2" t="e">
        <f t="shared" si="611"/>
        <v>#DIV/0!</v>
      </c>
      <c r="AW808" s="2" t="e">
        <f t="shared" si="612"/>
        <v>#DIV/0!</v>
      </c>
      <c r="AX808" s="2" t="e">
        <f t="shared" si="613"/>
        <v>#DIV/0!</v>
      </c>
      <c r="AY808" s="2" t="e">
        <f t="shared" si="628"/>
        <v>#DIV/0!</v>
      </c>
      <c r="AZ808" s="2" t="e">
        <f t="shared" si="593"/>
        <v>#DIV/0!</v>
      </c>
      <c r="BA808" s="2" t="e">
        <f t="shared" si="614"/>
        <v>#DIV/0!</v>
      </c>
      <c r="BB808" s="2" t="e">
        <f t="shared" si="615"/>
        <v>#DIV/0!</v>
      </c>
      <c r="BC808" s="2" t="e">
        <f t="shared" si="629"/>
        <v>#DIV/0!</v>
      </c>
      <c r="BD808" s="2">
        <v>0</v>
      </c>
      <c r="BE808" s="2" t="e">
        <f t="shared" si="616"/>
        <v>#DIV/0!</v>
      </c>
      <c r="BF808" s="2" t="e">
        <f t="shared" si="617"/>
        <v>#DIV/0!</v>
      </c>
      <c r="BG808" s="2" t="e">
        <f t="shared" si="630"/>
        <v>#DIV/0!</v>
      </c>
      <c r="BH808" s="2" t="e">
        <f t="shared" si="594"/>
        <v>#DIV/0!</v>
      </c>
      <c r="BI808" s="2" t="e">
        <f t="shared" si="618"/>
        <v>#DIV/0!</v>
      </c>
      <c r="BJ808" s="2" t="e">
        <f t="shared" si="619"/>
        <v>#DIV/0!</v>
      </c>
      <c r="BK808" s="2" t="e">
        <f t="shared" si="631"/>
        <v>#DIV/0!</v>
      </c>
      <c r="BL808" s="2" t="e">
        <f t="shared" si="620"/>
        <v>#DIV/0!</v>
      </c>
      <c r="BM808" s="2" t="e">
        <f t="shared" si="621"/>
        <v>#DIV/0!</v>
      </c>
      <c r="BN808" s="2" t="e">
        <f t="shared" si="632"/>
        <v>#DIV/0!</v>
      </c>
    </row>
    <row r="809" spans="1:66" x14ac:dyDescent="0.25">
      <c r="A809" s="42">
        <v>806</v>
      </c>
      <c r="E809" s="6">
        <f t="shared" si="622"/>
        <v>0</v>
      </c>
      <c r="F809" s="5" t="str">
        <f t="shared" si="633"/>
        <v>Break Even</v>
      </c>
      <c r="G809" s="4">
        <f t="shared" si="634"/>
        <v>0</v>
      </c>
      <c r="N809" s="5">
        <f t="shared" si="635"/>
        <v>0</v>
      </c>
      <c r="O809" s="4" t="e">
        <f t="shared" si="636"/>
        <v>#DIV/0!</v>
      </c>
      <c r="P809" s="5">
        <f t="shared" si="595"/>
        <v>0</v>
      </c>
      <c r="R809" s="2">
        <f t="shared" si="639"/>
        <v>0</v>
      </c>
      <c r="T809" s="2">
        <f t="shared" si="623"/>
        <v>0</v>
      </c>
      <c r="V809" s="5">
        <f t="shared" si="637"/>
        <v>0</v>
      </c>
      <c r="W809" s="4" t="e">
        <f t="shared" si="638"/>
        <v>#DIV/0!</v>
      </c>
      <c r="X809" s="14">
        <f t="shared" si="596"/>
        <v>0</v>
      </c>
      <c r="Y809" s="5">
        <f t="shared" si="597"/>
        <v>0</v>
      </c>
      <c r="Z809" s="2">
        <f t="shared" si="598"/>
        <v>0</v>
      </c>
      <c r="AA809" s="4">
        <f t="shared" si="599"/>
        <v>0</v>
      </c>
      <c r="AB809" s="13">
        <f t="shared" si="600"/>
        <v>0</v>
      </c>
      <c r="AC809" s="10">
        <f>SUM($E$4:E809)</f>
        <v>-22024.091160220025</v>
      </c>
      <c r="AD809" s="20">
        <f>SUM($AB$4:AB809)</f>
        <v>13539.766460219998</v>
      </c>
      <c r="AF809" s="28" t="e">
        <f t="shared" si="601"/>
        <v>#DIV/0!</v>
      </c>
      <c r="AG809" s="2" t="e">
        <f t="shared" si="602"/>
        <v>#DIV/0!</v>
      </c>
      <c r="AH809" s="2" t="e">
        <f t="shared" si="603"/>
        <v>#DIV/0!</v>
      </c>
      <c r="AI809" s="2" t="e">
        <f t="shared" si="624"/>
        <v>#DIV/0!</v>
      </c>
      <c r="AJ809" s="2" t="e">
        <f t="shared" si="591"/>
        <v>#DIV/0!</v>
      </c>
      <c r="AK809" s="2" t="e">
        <f t="shared" si="604"/>
        <v>#DIV/0!</v>
      </c>
      <c r="AL809" s="2" t="e">
        <f t="shared" si="605"/>
        <v>#DIV/0!</v>
      </c>
      <c r="AM809" s="2" t="e">
        <f t="shared" si="625"/>
        <v>#DIV/0!</v>
      </c>
      <c r="AN809" s="2">
        <f t="shared" si="606"/>
        <v>0</v>
      </c>
      <c r="AO809" s="2" t="e">
        <f t="shared" si="607"/>
        <v>#DIV/0!</v>
      </c>
      <c r="AP809" s="2" t="e">
        <f t="shared" si="608"/>
        <v>#DIV/0!</v>
      </c>
      <c r="AQ809" s="2" t="e">
        <f t="shared" si="626"/>
        <v>#DIV/0!</v>
      </c>
      <c r="AR809" s="2" t="e">
        <f t="shared" si="592"/>
        <v>#DIV/0!</v>
      </c>
      <c r="AS809" s="2" t="e">
        <f t="shared" si="609"/>
        <v>#DIV/0!</v>
      </c>
      <c r="AT809" s="2" t="e">
        <f t="shared" si="610"/>
        <v>#DIV/0!</v>
      </c>
      <c r="AU809" s="2" t="e">
        <f t="shared" si="627"/>
        <v>#DIV/0!</v>
      </c>
      <c r="AV809" s="2" t="e">
        <f t="shared" si="611"/>
        <v>#DIV/0!</v>
      </c>
      <c r="AW809" s="2" t="e">
        <f t="shared" si="612"/>
        <v>#DIV/0!</v>
      </c>
      <c r="AX809" s="2" t="e">
        <f t="shared" si="613"/>
        <v>#DIV/0!</v>
      </c>
      <c r="AY809" s="2" t="e">
        <f t="shared" si="628"/>
        <v>#DIV/0!</v>
      </c>
      <c r="AZ809" s="2" t="e">
        <f t="shared" si="593"/>
        <v>#DIV/0!</v>
      </c>
      <c r="BA809" s="2" t="e">
        <f t="shared" si="614"/>
        <v>#DIV/0!</v>
      </c>
      <c r="BB809" s="2" t="e">
        <f t="shared" si="615"/>
        <v>#DIV/0!</v>
      </c>
      <c r="BC809" s="2" t="e">
        <f t="shared" si="629"/>
        <v>#DIV/0!</v>
      </c>
      <c r="BD809" s="2">
        <v>0</v>
      </c>
      <c r="BE809" s="2" t="e">
        <f t="shared" si="616"/>
        <v>#DIV/0!</v>
      </c>
      <c r="BF809" s="2" t="e">
        <f t="shared" si="617"/>
        <v>#DIV/0!</v>
      </c>
      <c r="BG809" s="2" t="e">
        <f t="shared" si="630"/>
        <v>#DIV/0!</v>
      </c>
      <c r="BH809" s="2" t="e">
        <f t="shared" si="594"/>
        <v>#DIV/0!</v>
      </c>
      <c r="BI809" s="2" t="e">
        <f t="shared" si="618"/>
        <v>#DIV/0!</v>
      </c>
      <c r="BJ809" s="2" t="e">
        <f t="shared" si="619"/>
        <v>#DIV/0!</v>
      </c>
      <c r="BK809" s="2" t="e">
        <f t="shared" si="631"/>
        <v>#DIV/0!</v>
      </c>
      <c r="BL809" s="2" t="e">
        <f t="shared" si="620"/>
        <v>#DIV/0!</v>
      </c>
      <c r="BM809" s="2" t="e">
        <f t="shared" si="621"/>
        <v>#DIV/0!</v>
      </c>
      <c r="BN809" s="2" t="e">
        <f t="shared" si="632"/>
        <v>#DIV/0!</v>
      </c>
    </row>
    <row r="810" spans="1:66" x14ac:dyDescent="0.25">
      <c r="A810" s="42">
        <v>807</v>
      </c>
      <c r="E810" s="6">
        <f t="shared" si="622"/>
        <v>0</v>
      </c>
      <c r="F810" s="5" t="str">
        <f t="shared" si="633"/>
        <v>Break Even</v>
      </c>
      <c r="G810" s="4">
        <f t="shared" si="634"/>
        <v>0</v>
      </c>
      <c r="N810" s="5">
        <f t="shared" si="635"/>
        <v>0</v>
      </c>
      <c r="O810" s="4" t="e">
        <f t="shared" si="636"/>
        <v>#DIV/0!</v>
      </c>
      <c r="P810" s="5">
        <f t="shared" si="595"/>
        <v>0</v>
      </c>
      <c r="R810" s="2">
        <f t="shared" si="639"/>
        <v>0</v>
      </c>
      <c r="T810" s="2">
        <f t="shared" si="623"/>
        <v>0</v>
      </c>
      <c r="V810" s="5">
        <f t="shared" si="637"/>
        <v>0</v>
      </c>
      <c r="W810" s="4" t="e">
        <f t="shared" si="638"/>
        <v>#DIV/0!</v>
      </c>
      <c r="X810" s="14">
        <f t="shared" si="596"/>
        <v>0</v>
      </c>
      <c r="Y810" s="5">
        <f t="shared" si="597"/>
        <v>0</v>
      </c>
      <c r="Z810" s="2">
        <f t="shared" si="598"/>
        <v>0</v>
      </c>
      <c r="AA810" s="4">
        <f t="shared" si="599"/>
        <v>0</v>
      </c>
      <c r="AB810" s="13">
        <f t="shared" si="600"/>
        <v>0</v>
      </c>
      <c r="AC810" s="10">
        <f>SUM($E$4:E810)</f>
        <v>-22024.091160220025</v>
      </c>
      <c r="AD810" s="20">
        <f>SUM($AB$4:AB810)</f>
        <v>13539.766460219998</v>
      </c>
      <c r="AF810" s="28" t="e">
        <f t="shared" si="601"/>
        <v>#DIV/0!</v>
      </c>
      <c r="AG810" s="2" t="e">
        <f t="shared" si="602"/>
        <v>#DIV/0!</v>
      </c>
      <c r="AH810" s="2" t="e">
        <f t="shared" si="603"/>
        <v>#DIV/0!</v>
      </c>
      <c r="AI810" s="2" t="e">
        <f t="shared" si="624"/>
        <v>#DIV/0!</v>
      </c>
      <c r="AJ810" s="2" t="e">
        <f t="shared" si="591"/>
        <v>#DIV/0!</v>
      </c>
      <c r="AK810" s="2" t="e">
        <f t="shared" si="604"/>
        <v>#DIV/0!</v>
      </c>
      <c r="AL810" s="2" t="e">
        <f t="shared" si="605"/>
        <v>#DIV/0!</v>
      </c>
      <c r="AM810" s="2" t="e">
        <f t="shared" si="625"/>
        <v>#DIV/0!</v>
      </c>
      <c r="AN810" s="2">
        <f t="shared" si="606"/>
        <v>0</v>
      </c>
      <c r="AO810" s="2" t="e">
        <f t="shared" si="607"/>
        <v>#DIV/0!</v>
      </c>
      <c r="AP810" s="2" t="e">
        <f t="shared" si="608"/>
        <v>#DIV/0!</v>
      </c>
      <c r="AQ810" s="2" t="e">
        <f t="shared" si="626"/>
        <v>#DIV/0!</v>
      </c>
      <c r="AR810" s="2" t="e">
        <f t="shared" si="592"/>
        <v>#DIV/0!</v>
      </c>
      <c r="AS810" s="2" t="e">
        <f t="shared" si="609"/>
        <v>#DIV/0!</v>
      </c>
      <c r="AT810" s="2" t="e">
        <f t="shared" si="610"/>
        <v>#DIV/0!</v>
      </c>
      <c r="AU810" s="2" t="e">
        <f t="shared" si="627"/>
        <v>#DIV/0!</v>
      </c>
      <c r="AV810" s="2" t="e">
        <f t="shared" si="611"/>
        <v>#DIV/0!</v>
      </c>
      <c r="AW810" s="2" t="e">
        <f t="shared" si="612"/>
        <v>#DIV/0!</v>
      </c>
      <c r="AX810" s="2" t="e">
        <f t="shared" si="613"/>
        <v>#DIV/0!</v>
      </c>
      <c r="AY810" s="2" t="e">
        <f t="shared" si="628"/>
        <v>#DIV/0!</v>
      </c>
      <c r="AZ810" s="2" t="e">
        <f t="shared" si="593"/>
        <v>#DIV/0!</v>
      </c>
      <c r="BA810" s="2" t="e">
        <f t="shared" si="614"/>
        <v>#DIV/0!</v>
      </c>
      <c r="BB810" s="2" t="e">
        <f t="shared" si="615"/>
        <v>#DIV/0!</v>
      </c>
      <c r="BC810" s="2" t="e">
        <f t="shared" si="629"/>
        <v>#DIV/0!</v>
      </c>
      <c r="BD810" s="2">
        <v>0</v>
      </c>
      <c r="BE810" s="2" t="e">
        <f t="shared" si="616"/>
        <v>#DIV/0!</v>
      </c>
      <c r="BF810" s="2" t="e">
        <f t="shared" si="617"/>
        <v>#DIV/0!</v>
      </c>
      <c r="BG810" s="2" t="e">
        <f t="shared" si="630"/>
        <v>#DIV/0!</v>
      </c>
      <c r="BH810" s="2" t="e">
        <f t="shared" si="594"/>
        <v>#DIV/0!</v>
      </c>
      <c r="BI810" s="2" t="e">
        <f t="shared" si="618"/>
        <v>#DIV/0!</v>
      </c>
      <c r="BJ810" s="2" t="e">
        <f t="shared" si="619"/>
        <v>#DIV/0!</v>
      </c>
      <c r="BK810" s="2" t="e">
        <f t="shared" si="631"/>
        <v>#DIV/0!</v>
      </c>
      <c r="BL810" s="2" t="e">
        <f t="shared" si="620"/>
        <v>#DIV/0!</v>
      </c>
      <c r="BM810" s="2" t="e">
        <f t="shared" si="621"/>
        <v>#DIV/0!</v>
      </c>
      <c r="BN810" s="2" t="e">
        <f t="shared" si="632"/>
        <v>#DIV/0!</v>
      </c>
    </row>
    <row r="811" spans="1:66" x14ac:dyDescent="0.25">
      <c r="A811" s="42">
        <v>808</v>
      </c>
      <c r="E811" s="6">
        <f t="shared" si="622"/>
        <v>0</v>
      </c>
      <c r="F811" s="5" t="str">
        <f t="shared" si="633"/>
        <v>Break Even</v>
      </c>
      <c r="G811" s="4">
        <f t="shared" si="634"/>
        <v>0</v>
      </c>
      <c r="N811" s="5">
        <f t="shared" si="635"/>
        <v>0</v>
      </c>
      <c r="O811" s="4" t="e">
        <f t="shared" si="636"/>
        <v>#DIV/0!</v>
      </c>
      <c r="P811" s="5">
        <f t="shared" si="595"/>
        <v>0</v>
      </c>
      <c r="R811" s="2">
        <f t="shared" si="639"/>
        <v>0</v>
      </c>
      <c r="T811" s="2">
        <f t="shared" si="623"/>
        <v>0</v>
      </c>
      <c r="V811" s="5">
        <f t="shared" si="637"/>
        <v>0</v>
      </c>
      <c r="W811" s="4" t="e">
        <f t="shared" si="638"/>
        <v>#DIV/0!</v>
      </c>
      <c r="X811" s="14">
        <f t="shared" si="596"/>
        <v>0</v>
      </c>
      <c r="Y811" s="5">
        <f t="shared" si="597"/>
        <v>0</v>
      </c>
      <c r="Z811" s="2">
        <f t="shared" si="598"/>
        <v>0</v>
      </c>
      <c r="AA811" s="4">
        <f t="shared" si="599"/>
        <v>0</v>
      </c>
      <c r="AB811" s="13">
        <f t="shared" si="600"/>
        <v>0</v>
      </c>
      <c r="AC811" s="10">
        <f>SUM($E$4:E811)</f>
        <v>-22024.091160220025</v>
      </c>
      <c r="AD811" s="20">
        <f>SUM($AB$4:AB811)</f>
        <v>13539.766460219998</v>
      </c>
      <c r="AF811" s="28" t="e">
        <f t="shared" si="601"/>
        <v>#DIV/0!</v>
      </c>
      <c r="AG811" s="2" t="e">
        <f t="shared" si="602"/>
        <v>#DIV/0!</v>
      </c>
      <c r="AH811" s="2" t="e">
        <f t="shared" si="603"/>
        <v>#DIV/0!</v>
      </c>
      <c r="AI811" s="2" t="e">
        <f t="shared" si="624"/>
        <v>#DIV/0!</v>
      </c>
      <c r="AJ811" s="2" t="e">
        <f t="shared" si="591"/>
        <v>#DIV/0!</v>
      </c>
      <c r="AK811" s="2" t="e">
        <f t="shared" si="604"/>
        <v>#DIV/0!</v>
      </c>
      <c r="AL811" s="2" t="e">
        <f t="shared" si="605"/>
        <v>#DIV/0!</v>
      </c>
      <c r="AM811" s="2" t="e">
        <f t="shared" si="625"/>
        <v>#DIV/0!</v>
      </c>
      <c r="AN811" s="2">
        <f t="shared" si="606"/>
        <v>0</v>
      </c>
      <c r="AO811" s="2" t="e">
        <f t="shared" si="607"/>
        <v>#DIV/0!</v>
      </c>
      <c r="AP811" s="2" t="e">
        <f t="shared" si="608"/>
        <v>#DIV/0!</v>
      </c>
      <c r="AQ811" s="2" t="e">
        <f t="shared" si="626"/>
        <v>#DIV/0!</v>
      </c>
      <c r="AR811" s="2" t="e">
        <f t="shared" si="592"/>
        <v>#DIV/0!</v>
      </c>
      <c r="AS811" s="2" t="e">
        <f t="shared" si="609"/>
        <v>#DIV/0!</v>
      </c>
      <c r="AT811" s="2" t="e">
        <f t="shared" si="610"/>
        <v>#DIV/0!</v>
      </c>
      <c r="AU811" s="2" t="e">
        <f t="shared" si="627"/>
        <v>#DIV/0!</v>
      </c>
      <c r="AV811" s="2" t="e">
        <f t="shared" si="611"/>
        <v>#DIV/0!</v>
      </c>
      <c r="AW811" s="2" t="e">
        <f t="shared" si="612"/>
        <v>#DIV/0!</v>
      </c>
      <c r="AX811" s="2" t="e">
        <f t="shared" si="613"/>
        <v>#DIV/0!</v>
      </c>
      <c r="AY811" s="2" t="e">
        <f t="shared" si="628"/>
        <v>#DIV/0!</v>
      </c>
      <c r="AZ811" s="2" t="e">
        <f t="shared" si="593"/>
        <v>#DIV/0!</v>
      </c>
      <c r="BA811" s="2" t="e">
        <f t="shared" si="614"/>
        <v>#DIV/0!</v>
      </c>
      <c r="BB811" s="2" t="e">
        <f t="shared" si="615"/>
        <v>#DIV/0!</v>
      </c>
      <c r="BC811" s="2" t="e">
        <f t="shared" si="629"/>
        <v>#DIV/0!</v>
      </c>
      <c r="BD811" s="2">
        <v>0</v>
      </c>
      <c r="BE811" s="2" t="e">
        <f t="shared" si="616"/>
        <v>#DIV/0!</v>
      </c>
      <c r="BF811" s="2" t="e">
        <f t="shared" si="617"/>
        <v>#DIV/0!</v>
      </c>
      <c r="BG811" s="2" t="e">
        <f t="shared" si="630"/>
        <v>#DIV/0!</v>
      </c>
      <c r="BH811" s="2" t="e">
        <f t="shared" si="594"/>
        <v>#DIV/0!</v>
      </c>
      <c r="BI811" s="2" t="e">
        <f t="shared" si="618"/>
        <v>#DIV/0!</v>
      </c>
      <c r="BJ811" s="2" t="e">
        <f t="shared" si="619"/>
        <v>#DIV/0!</v>
      </c>
      <c r="BK811" s="2" t="e">
        <f t="shared" si="631"/>
        <v>#DIV/0!</v>
      </c>
      <c r="BL811" s="2" t="e">
        <f t="shared" si="620"/>
        <v>#DIV/0!</v>
      </c>
      <c r="BM811" s="2" t="e">
        <f t="shared" si="621"/>
        <v>#DIV/0!</v>
      </c>
      <c r="BN811" s="2" t="e">
        <f t="shared" si="632"/>
        <v>#DIV/0!</v>
      </c>
    </row>
    <row r="812" spans="1:66" x14ac:dyDescent="0.25">
      <c r="A812" s="42">
        <v>809</v>
      </c>
      <c r="E812" s="6">
        <f t="shared" si="622"/>
        <v>0</v>
      </c>
      <c r="F812" s="5" t="str">
        <f t="shared" si="633"/>
        <v>Break Even</v>
      </c>
      <c r="G812" s="4">
        <f t="shared" si="634"/>
        <v>0</v>
      </c>
      <c r="N812" s="5">
        <f t="shared" si="635"/>
        <v>0</v>
      </c>
      <c r="O812" s="4" t="e">
        <f t="shared" si="636"/>
        <v>#DIV/0!</v>
      </c>
      <c r="P812" s="5">
        <f t="shared" si="595"/>
        <v>0</v>
      </c>
      <c r="R812" s="2">
        <f t="shared" si="639"/>
        <v>0</v>
      </c>
      <c r="T812" s="2">
        <f t="shared" si="623"/>
        <v>0</v>
      </c>
      <c r="V812" s="5">
        <f t="shared" si="637"/>
        <v>0</v>
      </c>
      <c r="W812" s="4" t="e">
        <f t="shared" si="638"/>
        <v>#DIV/0!</v>
      </c>
      <c r="X812" s="14">
        <f t="shared" si="596"/>
        <v>0</v>
      </c>
      <c r="Y812" s="5">
        <f t="shared" si="597"/>
        <v>0</v>
      </c>
      <c r="Z812" s="2">
        <f t="shared" si="598"/>
        <v>0</v>
      </c>
      <c r="AA812" s="4">
        <f t="shared" si="599"/>
        <v>0</v>
      </c>
      <c r="AB812" s="13">
        <f t="shared" si="600"/>
        <v>0</v>
      </c>
      <c r="AC812" s="10">
        <f>SUM($E$4:E812)</f>
        <v>-22024.091160220025</v>
      </c>
      <c r="AD812" s="20">
        <f>SUM($AB$4:AB812)</f>
        <v>13539.766460219998</v>
      </c>
      <c r="AF812" s="28" t="e">
        <f t="shared" si="601"/>
        <v>#DIV/0!</v>
      </c>
      <c r="AG812" s="2" t="e">
        <f t="shared" si="602"/>
        <v>#DIV/0!</v>
      </c>
      <c r="AH812" s="2" t="e">
        <f t="shared" si="603"/>
        <v>#DIV/0!</v>
      </c>
      <c r="AI812" s="2" t="e">
        <f t="shared" si="624"/>
        <v>#DIV/0!</v>
      </c>
      <c r="AJ812" s="2" t="e">
        <f t="shared" si="591"/>
        <v>#DIV/0!</v>
      </c>
      <c r="AK812" s="2" t="e">
        <f t="shared" si="604"/>
        <v>#DIV/0!</v>
      </c>
      <c r="AL812" s="2" t="e">
        <f t="shared" si="605"/>
        <v>#DIV/0!</v>
      </c>
      <c r="AM812" s="2" t="e">
        <f t="shared" si="625"/>
        <v>#DIV/0!</v>
      </c>
      <c r="AN812" s="2">
        <f t="shared" si="606"/>
        <v>0</v>
      </c>
      <c r="AO812" s="2" t="e">
        <f t="shared" si="607"/>
        <v>#DIV/0!</v>
      </c>
      <c r="AP812" s="2" t="e">
        <f t="shared" si="608"/>
        <v>#DIV/0!</v>
      </c>
      <c r="AQ812" s="2" t="e">
        <f t="shared" si="626"/>
        <v>#DIV/0!</v>
      </c>
      <c r="AR812" s="2" t="e">
        <f t="shared" si="592"/>
        <v>#DIV/0!</v>
      </c>
      <c r="AS812" s="2" t="e">
        <f t="shared" si="609"/>
        <v>#DIV/0!</v>
      </c>
      <c r="AT812" s="2" t="e">
        <f t="shared" si="610"/>
        <v>#DIV/0!</v>
      </c>
      <c r="AU812" s="2" t="e">
        <f t="shared" si="627"/>
        <v>#DIV/0!</v>
      </c>
      <c r="AV812" s="2" t="e">
        <f t="shared" si="611"/>
        <v>#DIV/0!</v>
      </c>
      <c r="AW812" s="2" t="e">
        <f t="shared" si="612"/>
        <v>#DIV/0!</v>
      </c>
      <c r="AX812" s="2" t="e">
        <f t="shared" si="613"/>
        <v>#DIV/0!</v>
      </c>
      <c r="AY812" s="2" t="e">
        <f t="shared" si="628"/>
        <v>#DIV/0!</v>
      </c>
      <c r="AZ812" s="2" t="e">
        <f t="shared" si="593"/>
        <v>#DIV/0!</v>
      </c>
      <c r="BA812" s="2" t="e">
        <f t="shared" si="614"/>
        <v>#DIV/0!</v>
      </c>
      <c r="BB812" s="2" t="e">
        <f t="shared" si="615"/>
        <v>#DIV/0!</v>
      </c>
      <c r="BC812" s="2" t="e">
        <f t="shared" si="629"/>
        <v>#DIV/0!</v>
      </c>
      <c r="BD812" s="2">
        <v>0</v>
      </c>
      <c r="BE812" s="2" t="e">
        <f t="shared" si="616"/>
        <v>#DIV/0!</v>
      </c>
      <c r="BF812" s="2" t="e">
        <f t="shared" si="617"/>
        <v>#DIV/0!</v>
      </c>
      <c r="BG812" s="2" t="e">
        <f t="shared" si="630"/>
        <v>#DIV/0!</v>
      </c>
      <c r="BH812" s="2" t="e">
        <f t="shared" si="594"/>
        <v>#DIV/0!</v>
      </c>
      <c r="BI812" s="2" t="e">
        <f t="shared" si="618"/>
        <v>#DIV/0!</v>
      </c>
      <c r="BJ812" s="2" t="e">
        <f t="shared" si="619"/>
        <v>#DIV/0!</v>
      </c>
      <c r="BK812" s="2" t="e">
        <f t="shared" si="631"/>
        <v>#DIV/0!</v>
      </c>
      <c r="BL812" s="2" t="e">
        <f t="shared" si="620"/>
        <v>#DIV/0!</v>
      </c>
      <c r="BM812" s="2" t="e">
        <f t="shared" si="621"/>
        <v>#DIV/0!</v>
      </c>
      <c r="BN812" s="2" t="e">
        <f t="shared" si="632"/>
        <v>#DIV/0!</v>
      </c>
    </row>
    <row r="813" spans="1:66" x14ac:dyDescent="0.25">
      <c r="A813" s="42">
        <v>810</v>
      </c>
      <c r="E813" s="6">
        <f t="shared" si="622"/>
        <v>0</v>
      </c>
      <c r="F813" s="5" t="str">
        <f t="shared" si="633"/>
        <v>Break Even</v>
      </c>
      <c r="G813" s="4">
        <f t="shared" si="634"/>
        <v>0</v>
      </c>
      <c r="N813" s="5">
        <f t="shared" si="635"/>
        <v>0</v>
      </c>
      <c r="O813" s="4" t="e">
        <f t="shared" si="636"/>
        <v>#DIV/0!</v>
      </c>
      <c r="P813" s="5">
        <f t="shared" si="595"/>
        <v>0</v>
      </c>
      <c r="R813" s="2">
        <f t="shared" si="639"/>
        <v>0</v>
      </c>
      <c r="T813" s="2">
        <f t="shared" si="623"/>
        <v>0</v>
      </c>
      <c r="V813" s="5">
        <f t="shared" si="637"/>
        <v>0</v>
      </c>
      <c r="W813" s="4" t="e">
        <f t="shared" si="638"/>
        <v>#DIV/0!</v>
      </c>
      <c r="X813" s="14">
        <f t="shared" si="596"/>
        <v>0</v>
      </c>
      <c r="Y813" s="5">
        <f t="shared" si="597"/>
        <v>0</v>
      </c>
      <c r="Z813" s="2">
        <f t="shared" si="598"/>
        <v>0</v>
      </c>
      <c r="AA813" s="4">
        <f t="shared" si="599"/>
        <v>0</v>
      </c>
      <c r="AB813" s="13">
        <f t="shared" si="600"/>
        <v>0</v>
      </c>
      <c r="AC813" s="10">
        <f>SUM($E$4:E813)</f>
        <v>-22024.091160220025</v>
      </c>
      <c r="AD813" s="20">
        <f>SUM($AB$4:AB813)</f>
        <v>13539.766460219998</v>
      </c>
      <c r="AF813" s="28" t="e">
        <f t="shared" si="601"/>
        <v>#DIV/0!</v>
      </c>
      <c r="AG813" s="2" t="e">
        <f t="shared" si="602"/>
        <v>#DIV/0!</v>
      </c>
      <c r="AH813" s="2" t="e">
        <f t="shared" si="603"/>
        <v>#DIV/0!</v>
      </c>
      <c r="AI813" s="2" t="e">
        <f t="shared" si="624"/>
        <v>#DIV/0!</v>
      </c>
      <c r="AJ813" s="2" t="e">
        <f t="shared" si="591"/>
        <v>#DIV/0!</v>
      </c>
      <c r="AK813" s="2" t="e">
        <f t="shared" si="604"/>
        <v>#DIV/0!</v>
      </c>
      <c r="AL813" s="2" t="e">
        <f t="shared" si="605"/>
        <v>#DIV/0!</v>
      </c>
      <c r="AM813" s="2" t="e">
        <f t="shared" si="625"/>
        <v>#DIV/0!</v>
      </c>
      <c r="AN813" s="2">
        <f t="shared" si="606"/>
        <v>0</v>
      </c>
      <c r="AO813" s="2" t="e">
        <f t="shared" si="607"/>
        <v>#DIV/0!</v>
      </c>
      <c r="AP813" s="2" t="e">
        <f t="shared" si="608"/>
        <v>#DIV/0!</v>
      </c>
      <c r="AQ813" s="2" t="e">
        <f t="shared" si="626"/>
        <v>#DIV/0!</v>
      </c>
      <c r="AR813" s="2" t="e">
        <f t="shared" si="592"/>
        <v>#DIV/0!</v>
      </c>
      <c r="AS813" s="2" t="e">
        <f t="shared" si="609"/>
        <v>#DIV/0!</v>
      </c>
      <c r="AT813" s="2" t="e">
        <f t="shared" si="610"/>
        <v>#DIV/0!</v>
      </c>
      <c r="AU813" s="2" t="e">
        <f t="shared" si="627"/>
        <v>#DIV/0!</v>
      </c>
      <c r="AV813" s="2" t="e">
        <f t="shared" si="611"/>
        <v>#DIV/0!</v>
      </c>
      <c r="AW813" s="2" t="e">
        <f t="shared" si="612"/>
        <v>#DIV/0!</v>
      </c>
      <c r="AX813" s="2" t="e">
        <f t="shared" si="613"/>
        <v>#DIV/0!</v>
      </c>
      <c r="AY813" s="2" t="e">
        <f t="shared" si="628"/>
        <v>#DIV/0!</v>
      </c>
      <c r="AZ813" s="2" t="e">
        <f t="shared" si="593"/>
        <v>#DIV/0!</v>
      </c>
      <c r="BA813" s="2" t="e">
        <f t="shared" si="614"/>
        <v>#DIV/0!</v>
      </c>
      <c r="BB813" s="2" t="e">
        <f t="shared" si="615"/>
        <v>#DIV/0!</v>
      </c>
      <c r="BC813" s="2" t="e">
        <f t="shared" si="629"/>
        <v>#DIV/0!</v>
      </c>
      <c r="BD813" s="2">
        <v>0</v>
      </c>
      <c r="BE813" s="2" t="e">
        <f t="shared" si="616"/>
        <v>#DIV/0!</v>
      </c>
      <c r="BF813" s="2" t="e">
        <f t="shared" si="617"/>
        <v>#DIV/0!</v>
      </c>
      <c r="BG813" s="2" t="e">
        <f t="shared" si="630"/>
        <v>#DIV/0!</v>
      </c>
      <c r="BH813" s="2" t="e">
        <f t="shared" si="594"/>
        <v>#DIV/0!</v>
      </c>
      <c r="BI813" s="2" t="e">
        <f t="shared" si="618"/>
        <v>#DIV/0!</v>
      </c>
      <c r="BJ813" s="2" t="e">
        <f t="shared" si="619"/>
        <v>#DIV/0!</v>
      </c>
      <c r="BK813" s="2" t="e">
        <f t="shared" si="631"/>
        <v>#DIV/0!</v>
      </c>
      <c r="BL813" s="2" t="e">
        <f t="shared" si="620"/>
        <v>#DIV/0!</v>
      </c>
      <c r="BM813" s="2" t="e">
        <f t="shared" si="621"/>
        <v>#DIV/0!</v>
      </c>
      <c r="BN813" s="2" t="e">
        <f t="shared" si="632"/>
        <v>#DIV/0!</v>
      </c>
    </row>
    <row r="814" spans="1:66" x14ac:dyDescent="0.25">
      <c r="A814" s="42">
        <v>811</v>
      </c>
      <c r="E814" s="6">
        <f t="shared" si="622"/>
        <v>0</v>
      </c>
      <c r="F814" s="5" t="str">
        <f t="shared" si="633"/>
        <v>Break Even</v>
      </c>
      <c r="G814" s="4">
        <f t="shared" si="634"/>
        <v>0</v>
      </c>
      <c r="N814" s="5">
        <f t="shared" si="635"/>
        <v>0</v>
      </c>
      <c r="O814" s="4" t="e">
        <f t="shared" si="636"/>
        <v>#DIV/0!</v>
      </c>
      <c r="P814" s="5">
        <f t="shared" si="595"/>
        <v>0</v>
      </c>
      <c r="R814" s="2">
        <f t="shared" si="639"/>
        <v>0</v>
      </c>
      <c r="T814" s="2">
        <f t="shared" si="623"/>
        <v>0</v>
      </c>
      <c r="V814" s="5">
        <f t="shared" si="637"/>
        <v>0</v>
      </c>
      <c r="W814" s="4" t="e">
        <f t="shared" si="638"/>
        <v>#DIV/0!</v>
      </c>
      <c r="X814" s="14">
        <f t="shared" si="596"/>
        <v>0</v>
      </c>
      <c r="Y814" s="5">
        <f t="shared" si="597"/>
        <v>0</v>
      </c>
      <c r="Z814" s="2">
        <f t="shared" si="598"/>
        <v>0</v>
      </c>
      <c r="AA814" s="4">
        <f t="shared" si="599"/>
        <v>0</v>
      </c>
      <c r="AB814" s="13">
        <f t="shared" si="600"/>
        <v>0</v>
      </c>
      <c r="AC814" s="10">
        <f>SUM($E$4:E814)</f>
        <v>-22024.091160220025</v>
      </c>
      <c r="AD814" s="20">
        <f>SUM($AB$4:AB814)</f>
        <v>13539.766460219998</v>
      </c>
      <c r="AF814" s="28" t="e">
        <f t="shared" si="601"/>
        <v>#DIV/0!</v>
      </c>
      <c r="AG814" s="2" t="e">
        <f t="shared" si="602"/>
        <v>#DIV/0!</v>
      </c>
      <c r="AH814" s="2" t="e">
        <f t="shared" si="603"/>
        <v>#DIV/0!</v>
      </c>
      <c r="AI814" s="2" t="e">
        <f t="shared" si="624"/>
        <v>#DIV/0!</v>
      </c>
      <c r="AJ814" s="2" t="e">
        <f t="shared" ref="AJ814:AJ877" si="640">0.18*AI814</f>
        <v>#DIV/0!</v>
      </c>
      <c r="AK814" s="2" t="e">
        <f t="shared" si="604"/>
        <v>#DIV/0!</v>
      </c>
      <c r="AL814" s="2" t="e">
        <f t="shared" si="605"/>
        <v>#DIV/0!</v>
      </c>
      <c r="AM814" s="2" t="e">
        <f t="shared" si="625"/>
        <v>#DIV/0!</v>
      </c>
      <c r="AN814" s="2">
        <f t="shared" si="606"/>
        <v>0</v>
      </c>
      <c r="AO814" s="2" t="e">
        <f t="shared" si="607"/>
        <v>#DIV/0!</v>
      </c>
      <c r="AP814" s="2" t="e">
        <f t="shared" si="608"/>
        <v>#DIV/0!</v>
      </c>
      <c r="AQ814" s="2" t="e">
        <f t="shared" si="626"/>
        <v>#DIV/0!</v>
      </c>
      <c r="AR814" s="2" t="e">
        <f t="shared" ref="AR814:AR877" si="641">0.18*AQ814</f>
        <v>#DIV/0!</v>
      </c>
      <c r="AS814" s="2" t="e">
        <f t="shared" si="609"/>
        <v>#DIV/0!</v>
      </c>
      <c r="AT814" s="2" t="e">
        <f t="shared" si="610"/>
        <v>#DIV/0!</v>
      </c>
      <c r="AU814" s="2" t="e">
        <f t="shared" si="627"/>
        <v>#DIV/0!</v>
      </c>
      <c r="AV814" s="2" t="e">
        <f t="shared" si="611"/>
        <v>#DIV/0!</v>
      </c>
      <c r="AW814" s="2" t="e">
        <f t="shared" si="612"/>
        <v>#DIV/0!</v>
      </c>
      <c r="AX814" s="2" t="e">
        <f t="shared" si="613"/>
        <v>#DIV/0!</v>
      </c>
      <c r="AY814" s="2" t="e">
        <f t="shared" si="628"/>
        <v>#DIV/0!</v>
      </c>
      <c r="AZ814" s="2" t="e">
        <f t="shared" ref="AZ814:AZ877" si="642">0.18*AY814</f>
        <v>#DIV/0!</v>
      </c>
      <c r="BA814" s="2" t="e">
        <f t="shared" si="614"/>
        <v>#DIV/0!</v>
      </c>
      <c r="BB814" s="2" t="e">
        <f t="shared" si="615"/>
        <v>#DIV/0!</v>
      </c>
      <c r="BC814" s="2" t="e">
        <f t="shared" si="629"/>
        <v>#DIV/0!</v>
      </c>
      <c r="BD814" s="2">
        <v>0</v>
      </c>
      <c r="BE814" s="2" t="e">
        <f t="shared" si="616"/>
        <v>#DIV/0!</v>
      </c>
      <c r="BF814" s="2" t="e">
        <f t="shared" si="617"/>
        <v>#DIV/0!</v>
      </c>
      <c r="BG814" s="2" t="e">
        <f t="shared" si="630"/>
        <v>#DIV/0!</v>
      </c>
      <c r="BH814" s="2" t="e">
        <f t="shared" ref="BH814:BH877" si="643">0.18*BG814</f>
        <v>#DIV/0!</v>
      </c>
      <c r="BI814" s="2" t="e">
        <f t="shared" si="618"/>
        <v>#DIV/0!</v>
      </c>
      <c r="BJ814" s="2" t="e">
        <f t="shared" si="619"/>
        <v>#DIV/0!</v>
      </c>
      <c r="BK814" s="2" t="e">
        <f t="shared" si="631"/>
        <v>#DIV/0!</v>
      </c>
      <c r="BL814" s="2" t="e">
        <f t="shared" si="620"/>
        <v>#DIV/0!</v>
      </c>
      <c r="BM814" s="2" t="e">
        <f t="shared" si="621"/>
        <v>#DIV/0!</v>
      </c>
      <c r="BN814" s="2" t="e">
        <f t="shared" si="632"/>
        <v>#DIV/0!</v>
      </c>
    </row>
    <row r="815" spans="1:66" x14ac:dyDescent="0.25">
      <c r="A815" s="42">
        <v>812</v>
      </c>
      <c r="E815" s="6">
        <f t="shared" si="622"/>
        <v>0</v>
      </c>
      <c r="F815" s="5" t="str">
        <f t="shared" si="633"/>
        <v>Break Even</v>
      </c>
      <c r="G815" s="4">
        <f t="shared" si="634"/>
        <v>0</v>
      </c>
      <c r="N815" s="5">
        <f t="shared" si="635"/>
        <v>0</v>
      </c>
      <c r="O815" s="4" t="e">
        <f t="shared" si="636"/>
        <v>#DIV/0!</v>
      </c>
      <c r="P815" s="5">
        <f t="shared" si="595"/>
        <v>0</v>
      </c>
      <c r="R815" s="2">
        <f t="shared" si="639"/>
        <v>0</v>
      </c>
      <c r="T815" s="2">
        <f t="shared" si="623"/>
        <v>0</v>
      </c>
      <c r="V815" s="5">
        <f t="shared" si="637"/>
        <v>0</v>
      </c>
      <c r="W815" s="4" t="e">
        <f t="shared" si="638"/>
        <v>#DIV/0!</v>
      </c>
      <c r="X815" s="14">
        <f t="shared" si="596"/>
        <v>0</v>
      </c>
      <c r="Y815" s="5">
        <f t="shared" si="597"/>
        <v>0</v>
      </c>
      <c r="Z815" s="2">
        <f t="shared" si="598"/>
        <v>0</v>
      </c>
      <c r="AA815" s="4">
        <f t="shared" si="599"/>
        <v>0</v>
      </c>
      <c r="AB815" s="13">
        <f t="shared" si="600"/>
        <v>0</v>
      </c>
      <c r="AC815" s="10">
        <f>SUM($E$4:E815)</f>
        <v>-22024.091160220025</v>
      </c>
      <c r="AD815" s="20">
        <f>SUM($AB$4:AB815)</f>
        <v>13539.766460219998</v>
      </c>
      <c r="AF815" s="28" t="e">
        <f t="shared" si="601"/>
        <v>#DIV/0!</v>
      </c>
      <c r="AG815" s="2" t="e">
        <f t="shared" si="602"/>
        <v>#DIV/0!</v>
      </c>
      <c r="AH815" s="2" t="e">
        <f t="shared" si="603"/>
        <v>#DIV/0!</v>
      </c>
      <c r="AI815" s="2" t="e">
        <f t="shared" si="624"/>
        <v>#DIV/0!</v>
      </c>
      <c r="AJ815" s="2" t="e">
        <f t="shared" si="640"/>
        <v>#DIV/0!</v>
      </c>
      <c r="AK815" s="2" t="e">
        <f t="shared" si="604"/>
        <v>#DIV/0!</v>
      </c>
      <c r="AL815" s="2" t="e">
        <f t="shared" si="605"/>
        <v>#DIV/0!</v>
      </c>
      <c r="AM815" s="2" t="e">
        <f t="shared" si="625"/>
        <v>#DIV/0!</v>
      </c>
      <c r="AN815" s="2">
        <f t="shared" si="606"/>
        <v>0</v>
      </c>
      <c r="AO815" s="2" t="e">
        <f t="shared" si="607"/>
        <v>#DIV/0!</v>
      </c>
      <c r="AP815" s="2" t="e">
        <f t="shared" si="608"/>
        <v>#DIV/0!</v>
      </c>
      <c r="AQ815" s="2" t="e">
        <f t="shared" si="626"/>
        <v>#DIV/0!</v>
      </c>
      <c r="AR815" s="2" t="e">
        <f t="shared" si="641"/>
        <v>#DIV/0!</v>
      </c>
      <c r="AS815" s="2" t="e">
        <f t="shared" si="609"/>
        <v>#DIV/0!</v>
      </c>
      <c r="AT815" s="2" t="e">
        <f t="shared" si="610"/>
        <v>#DIV/0!</v>
      </c>
      <c r="AU815" s="2" t="e">
        <f t="shared" si="627"/>
        <v>#DIV/0!</v>
      </c>
      <c r="AV815" s="2" t="e">
        <f t="shared" si="611"/>
        <v>#DIV/0!</v>
      </c>
      <c r="AW815" s="2" t="e">
        <f t="shared" si="612"/>
        <v>#DIV/0!</v>
      </c>
      <c r="AX815" s="2" t="e">
        <f t="shared" si="613"/>
        <v>#DIV/0!</v>
      </c>
      <c r="AY815" s="2" t="e">
        <f t="shared" si="628"/>
        <v>#DIV/0!</v>
      </c>
      <c r="AZ815" s="2" t="e">
        <f t="shared" si="642"/>
        <v>#DIV/0!</v>
      </c>
      <c r="BA815" s="2" t="e">
        <f t="shared" si="614"/>
        <v>#DIV/0!</v>
      </c>
      <c r="BB815" s="2" t="e">
        <f t="shared" si="615"/>
        <v>#DIV/0!</v>
      </c>
      <c r="BC815" s="2" t="e">
        <f t="shared" si="629"/>
        <v>#DIV/0!</v>
      </c>
      <c r="BD815" s="2">
        <v>0</v>
      </c>
      <c r="BE815" s="2" t="e">
        <f t="shared" si="616"/>
        <v>#DIV/0!</v>
      </c>
      <c r="BF815" s="2" t="e">
        <f t="shared" si="617"/>
        <v>#DIV/0!</v>
      </c>
      <c r="BG815" s="2" t="e">
        <f t="shared" si="630"/>
        <v>#DIV/0!</v>
      </c>
      <c r="BH815" s="2" t="e">
        <f t="shared" si="643"/>
        <v>#DIV/0!</v>
      </c>
      <c r="BI815" s="2" t="e">
        <f t="shared" si="618"/>
        <v>#DIV/0!</v>
      </c>
      <c r="BJ815" s="2" t="e">
        <f t="shared" si="619"/>
        <v>#DIV/0!</v>
      </c>
      <c r="BK815" s="2" t="e">
        <f t="shared" si="631"/>
        <v>#DIV/0!</v>
      </c>
      <c r="BL815" s="2" t="e">
        <f t="shared" si="620"/>
        <v>#DIV/0!</v>
      </c>
      <c r="BM815" s="2" t="e">
        <f t="shared" si="621"/>
        <v>#DIV/0!</v>
      </c>
      <c r="BN815" s="2" t="e">
        <f t="shared" si="632"/>
        <v>#DIV/0!</v>
      </c>
    </row>
    <row r="816" spans="1:66" x14ac:dyDescent="0.25">
      <c r="A816" s="42">
        <v>813</v>
      </c>
      <c r="E816" s="6">
        <f t="shared" si="622"/>
        <v>0</v>
      </c>
      <c r="F816" s="5" t="str">
        <f t="shared" si="633"/>
        <v>Break Even</v>
      </c>
      <c r="G816" s="4">
        <f t="shared" si="634"/>
        <v>0</v>
      </c>
      <c r="N816" s="5">
        <f t="shared" si="635"/>
        <v>0</v>
      </c>
      <c r="O816" s="4" t="e">
        <f t="shared" si="636"/>
        <v>#DIV/0!</v>
      </c>
      <c r="P816" s="5">
        <f t="shared" si="595"/>
        <v>0</v>
      </c>
      <c r="R816" s="2">
        <f t="shared" si="639"/>
        <v>0</v>
      </c>
      <c r="T816" s="2">
        <f t="shared" si="623"/>
        <v>0</v>
      </c>
      <c r="V816" s="5">
        <f t="shared" si="637"/>
        <v>0</v>
      </c>
      <c r="W816" s="4" t="e">
        <f t="shared" si="638"/>
        <v>#DIV/0!</v>
      </c>
      <c r="X816" s="14">
        <f t="shared" si="596"/>
        <v>0</v>
      </c>
      <c r="Y816" s="5">
        <f t="shared" si="597"/>
        <v>0</v>
      </c>
      <c r="Z816" s="2">
        <f t="shared" si="598"/>
        <v>0</v>
      </c>
      <c r="AA816" s="4">
        <f t="shared" si="599"/>
        <v>0</v>
      </c>
      <c r="AB816" s="13">
        <f t="shared" si="600"/>
        <v>0</v>
      </c>
      <c r="AC816" s="10">
        <f>SUM($E$4:E816)</f>
        <v>-22024.091160220025</v>
      </c>
      <c r="AD816" s="20">
        <f>SUM($AB$4:AB816)</f>
        <v>13539.766460219998</v>
      </c>
      <c r="AF816" s="28" t="e">
        <f t="shared" si="601"/>
        <v>#DIV/0!</v>
      </c>
      <c r="AG816" s="2" t="e">
        <f t="shared" si="602"/>
        <v>#DIV/0!</v>
      </c>
      <c r="AH816" s="2" t="e">
        <f t="shared" si="603"/>
        <v>#DIV/0!</v>
      </c>
      <c r="AI816" s="2" t="e">
        <f t="shared" si="624"/>
        <v>#DIV/0!</v>
      </c>
      <c r="AJ816" s="2" t="e">
        <f t="shared" si="640"/>
        <v>#DIV/0!</v>
      </c>
      <c r="AK816" s="2" t="e">
        <f t="shared" si="604"/>
        <v>#DIV/0!</v>
      </c>
      <c r="AL816" s="2" t="e">
        <f t="shared" si="605"/>
        <v>#DIV/0!</v>
      </c>
      <c r="AM816" s="2" t="e">
        <f t="shared" si="625"/>
        <v>#DIV/0!</v>
      </c>
      <c r="AN816" s="2">
        <f t="shared" si="606"/>
        <v>0</v>
      </c>
      <c r="AO816" s="2" t="e">
        <f t="shared" si="607"/>
        <v>#DIV/0!</v>
      </c>
      <c r="AP816" s="2" t="e">
        <f t="shared" si="608"/>
        <v>#DIV/0!</v>
      </c>
      <c r="AQ816" s="2" t="e">
        <f t="shared" si="626"/>
        <v>#DIV/0!</v>
      </c>
      <c r="AR816" s="2" t="e">
        <f t="shared" si="641"/>
        <v>#DIV/0!</v>
      </c>
      <c r="AS816" s="2" t="e">
        <f t="shared" si="609"/>
        <v>#DIV/0!</v>
      </c>
      <c r="AT816" s="2" t="e">
        <f t="shared" si="610"/>
        <v>#DIV/0!</v>
      </c>
      <c r="AU816" s="2" t="e">
        <f t="shared" si="627"/>
        <v>#DIV/0!</v>
      </c>
      <c r="AV816" s="2" t="e">
        <f t="shared" si="611"/>
        <v>#DIV/0!</v>
      </c>
      <c r="AW816" s="2" t="e">
        <f t="shared" si="612"/>
        <v>#DIV/0!</v>
      </c>
      <c r="AX816" s="2" t="e">
        <f t="shared" si="613"/>
        <v>#DIV/0!</v>
      </c>
      <c r="AY816" s="2" t="e">
        <f t="shared" si="628"/>
        <v>#DIV/0!</v>
      </c>
      <c r="AZ816" s="2" t="e">
        <f t="shared" si="642"/>
        <v>#DIV/0!</v>
      </c>
      <c r="BA816" s="2" t="e">
        <f t="shared" si="614"/>
        <v>#DIV/0!</v>
      </c>
      <c r="BB816" s="2" t="e">
        <f t="shared" si="615"/>
        <v>#DIV/0!</v>
      </c>
      <c r="BC816" s="2" t="e">
        <f t="shared" si="629"/>
        <v>#DIV/0!</v>
      </c>
      <c r="BD816" s="2">
        <v>0</v>
      </c>
      <c r="BE816" s="2" t="e">
        <f t="shared" si="616"/>
        <v>#DIV/0!</v>
      </c>
      <c r="BF816" s="2" t="e">
        <f t="shared" si="617"/>
        <v>#DIV/0!</v>
      </c>
      <c r="BG816" s="2" t="e">
        <f t="shared" si="630"/>
        <v>#DIV/0!</v>
      </c>
      <c r="BH816" s="2" t="e">
        <f t="shared" si="643"/>
        <v>#DIV/0!</v>
      </c>
      <c r="BI816" s="2" t="e">
        <f t="shared" si="618"/>
        <v>#DIV/0!</v>
      </c>
      <c r="BJ816" s="2" t="e">
        <f t="shared" si="619"/>
        <v>#DIV/0!</v>
      </c>
      <c r="BK816" s="2" t="e">
        <f t="shared" si="631"/>
        <v>#DIV/0!</v>
      </c>
      <c r="BL816" s="2" t="e">
        <f t="shared" si="620"/>
        <v>#DIV/0!</v>
      </c>
      <c r="BM816" s="2" t="e">
        <f t="shared" si="621"/>
        <v>#DIV/0!</v>
      </c>
      <c r="BN816" s="2" t="e">
        <f t="shared" si="632"/>
        <v>#DIV/0!</v>
      </c>
    </row>
    <row r="817" spans="1:66" x14ac:dyDescent="0.25">
      <c r="A817" s="42">
        <v>814</v>
      </c>
      <c r="E817" s="6">
        <f t="shared" si="622"/>
        <v>0</v>
      </c>
      <c r="F817" s="5" t="str">
        <f t="shared" si="633"/>
        <v>Break Even</v>
      </c>
      <c r="G817" s="4">
        <f t="shared" si="634"/>
        <v>0</v>
      </c>
      <c r="N817" s="5">
        <f t="shared" si="635"/>
        <v>0</v>
      </c>
      <c r="O817" s="4" t="e">
        <f t="shared" si="636"/>
        <v>#DIV/0!</v>
      </c>
      <c r="P817" s="5">
        <f t="shared" si="595"/>
        <v>0</v>
      </c>
      <c r="R817" s="2">
        <f t="shared" si="639"/>
        <v>0</v>
      </c>
      <c r="T817" s="2">
        <f t="shared" si="623"/>
        <v>0</v>
      </c>
      <c r="V817" s="5">
        <f t="shared" si="637"/>
        <v>0</v>
      </c>
      <c r="W817" s="4" t="e">
        <f t="shared" si="638"/>
        <v>#DIV/0!</v>
      </c>
      <c r="X817" s="14">
        <f t="shared" si="596"/>
        <v>0</v>
      </c>
      <c r="Y817" s="5">
        <f t="shared" si="597"/>
        <v>0</v>
      </c>
      <c r="Z817" s="2">
        <f t="shared" si="598"/>
        <v>0</v>
      </c>
      <c r="AA817" s="4">
        <f t="shared" si="599"/>
        <v>0</v>
      </c>
      <c r="AB817" s="13">
        <f t="shared" si="600"/>
        <v>0</v>
      </c>
      <c r="AC817" s="10">
        <f>SUM($E$4:E817)</f>
        <v>-22024.091160220025</v>
      </c>
      <c r="AD817" s="20">
        <f>SUM($AB$4:AB817)</f>
        <v>13539.766460219998</v>
      </c>
      <c r="AF817" s="28" t="e">
        <f t="shared" si="601"/>
        <v>#DIV/0!</v>
      </c>
      <c r="AG817" s="2" t="e">
        <f t="shared" si="602"/>
        <v>#DIV/0!</v>
      </c>
      <c r="AH817" s="2" t="e">
        <f t="shared" si="603"/>
        <v>#DIV/0!</v>
      </c>
      <c r="AI817" s="2" t="e">
        <f t="shared" si="624"/>
        <v>#DIV/0!</v>
      </c>
      <c r="AJ817" s="2" t="e">
        <f t="shared" si="640"/>
        <v>#DIV/0!</v>
      </c>
      <c r="AK817" s="2" t="e">
        <f t="shared" si="604"/>
        <v>#DIV/0!</v>
      </c>
      <c r="AL817" s="2" t="e">
        <f t="shared" si="605"/>
        <v>#DIV/0!</v>
      </c>
      <c r="AM817" s="2" t="e">
        <f t="shared" si="625"/>
        <v>#DIV/0!</v>
      </c>
      <c r="AN817" s="2">
        <f t="shared" si="606"/>
        <v>0</v>
      </c>
      <c r="AO817" s="2" t="e">
        <f t="shared" si="607"/>
        <v>#DIV/0!</v>
      </c>
      <c r="AP817" s="2" t="e">
        <f t="shared" si="608"/>
        <v>#DIV/0!</v>
      </c>
      <c r="AQ817" s="2" t="e">
        <f t="shared" si="626"/>
        <v>#DIV/0!</v>
      </c>
      <c r="AR817" s="2" t="e">
        <f t="shared" si="641"/>
        <v>#DIV/0!</v>
      </c>
      <c r="AS817" s="2" t="e">
        <f t="shared" si="609"/>
        <v>#DIV/0!</v>
      </c>
      <c r="AT817" s="2" t="e">
        <f t="shared" si="610"/>
        <v>#DIV/0!</v>
      </c>
      <c r="AU817" s="2" t="e">
        <f t="shared" si="627"/>
        <v>#DIV/0!</v>
      </c>
      <c r="AV817" s="2" t="e">
        <f t="shared" si="611"/>
        <v>#DIV/0!</v>
      </c>
      <c r="AW817" s="2" t="e">
        <f t="shared" si="612"/>
        <v>#DIV/0!</v>
      </c>
      <c r="AX817" s="2" t="e">
        <f t="shared" si="613"/>
        <v>#DIV/0!</v>
      </c>
      <c r="AY817" s="2" t="e">
        <f t="shared" si="628"/>
        <v>#DIV/0!</v>
      </c>
      <c r="AZ817" s="2" t="e">
        <f t="shared" si="642"/>
        <v>#DIV/0!</v>
      </c>
      <c r="BA817" s="2" t="e">
        <f t="shared" si="614"/>
        <v>#DIV/0!</v>
      </c>
      <c r="BB817" s="2" t="e">
        <f t="shared" si="615"/>
        <v>#DIV/0!</v>
      </c>
      <c r="BC817" s="2" t="e">
        <f t="shared" si="629"/>
        <v>#DIV/0!</v>
      </c>
      <c r="BD817" s="2">
        <v>0</v>
      </c>
      <c r="BE817" s="2" t="e">
        <f t="shared" si="616"/>
        <v>#DIV/0!</v>
      </c>
      <c r="BF817" s="2" t="e">
        <f t="shared" si="617"/>
        <v>#DIV/0!</v>
      </c>
      <c r="BG817" s="2" t="e">
        <f t="shared" si="630"/>
        <v>#DIV/0!</v>
      </c>
      <c r="BH817" s="2" t="e">
        <f t="shared" si="643"/>
        <v>#DIV/0!</v>
      </c>
      <c r="BI817" s="2" t="e">
        <f t="shared" si="618"/>
        <v>#DIV/0!</v>
      </c>
      <c r="BJ817" s="2" t="e">
        <f t="shared" si="619"/>
        <v>#DIV/0!</v>
      </c>
      <c r="BK817" s="2" t="e">
        <f t="shared" si="631"/>
        <v>#DIV/0!</v>
      </c>
      <c r="BL817" s="2" t="e">
        <f t="shared" si="620"/>
        <v>#DIV/0!</v>
      </c>
      <c r="BM817" s="2" t="e">
        <f t="shared" si="621"/>
        <v>#DIV/0!</v>
      </c>
      <c r="BN817" s="2" t="e">
        <f t="shared" si="632"/>
        <v>#DIV/0!</v>
      </c>
    </row>
    <row r="818" spans="1:66" x14ac:dyDescent="0.25">
      <c r="A818" s="42">
        <v>815</v>
      </c>
      <c r="E818" s="6">
        <f t="shared" si="622"/>
        <v>0</v>
      </c>
      <c r="F818" s="5" t="str">
        <f t="shared" si="633"/>
        <v>Break Even</v>
      </c>
      <c r="G818" s="4">
        <f t="shared" si="634"/>
        <v>0</v>
      </c>
      <c r="N818" s="5">
        <f t="shared" si="635"/>
        <v>0</v>
      </c>
      <c r="O818" s="4" t="e">
        <f t="shared" si="636"/>
        <v>#DIV/0!</v>
      </c>
      <c r="P818" s="5">
        <f t="shared" si="595"/>
        <v>0</v>
      </c>
      <c r="R818" s="2">
        <f t="shared" si="639"/>
        <v>0</v>
      </c>
      <c r="T818" s="2">
        <f t="shared" si="623"/>
        <v>0</v>
      </c>
      <c r="V818" s="5">
        <f t="shared" si="637"/>
        <v>0</v>
      </c>
      <c r="W818" s="4" t="e">
        <f t="shared" si="638"/>
        <v>#DIV/0!</v>
      </c>
      <c r="X818" s="14">
        <f t="shared" si="596"/>
        <v>0</v>
      </c>
      <c r="Y818" s="5">
        <f t="shared" si="597"/>
        <v>0</v>
      </c>
      <c r="Z818" s="2">
        <f t="shared" si="598"/>
        <v>0</v>
      </c>
      <c r="AA818" s="4">
        <f t="shared" si="599"/>
        <v>0</v>
      </c>
      <c r="AB818" s="13">
        <f t="shared" si="600"/>
        <v>0</v>
      </c>
      <c r="AC818" s="10">
        <f>SUM($E$4:E818)</f>
        <v>-22024.091160220025</v>
      </c>
      <c r="AD818" s="20">
        <f>SUM($AB$4:AB818)</f>
        <v>13539.766460219998</v>
      </c>
      <c r="AF818" s="28" t="e">
        <f t="shared" si="601"/>
        <v>#DIV/0!</v>
      </c>
      <c r="AG818" s="2" t="e">
        <f t="shared" si="602"/>
        <v>#DIV/0!</v>
      </c>
      <c r="AH818" s="2" t="e">
        <f t="shared" si="603"/>
        <v>#DIV/0!</v>
      </c>
      <c r="AI818" s="2" t="e">
        <f t="shared" si="624"/>
        <v>#DIV/0!</v>
      </c>
      <c r="AJ818" s="2" t="e">
        <f t="shared" si="640"/>
        <v>#DIV/0!</v>
      </c>
      <c r="AK818" s="2" t="e">
        <f t="shared" si="604"/>
        <v>#DIV/0!</v>
      </c>
      <c r="AL818" s="2" t="e">
        <f t="shared" si="605"/>
        <v>#DIV/0!</v>
      </c>
      <c r="AM818" s="2" t="e">
        <f t="shared" si="625"/>
        <v>#DIV/0!</v>
      </c>
      <c r="AN818" s="2">
        <f t="shared" si="606"/>
        <v>0</v>
      </c>
      <c r="AO818" s="2" t="e">
        <f t="shared" si="607"/>
        <v>#DIV/0!</v>
      </c>
      <c r="AP818" s="2" t="e">
        <f t="shared" si="608"/>
        <v>#DIV/0!</v>
      </c>
      <c r="AQ818" s="2" t="e">
        <f t="shared" si="626"/>
        <v>#DIV/0!</v>
      </c>
      <c r="AR818" s="2" t="e">
        <f t="shared" si="641"/>
        <v>#DIV/0!</v>
      </c>
      <c r="AS818" s="2" t="e">
        <f t="shared" si="609"/>
        <v>#DIV/0!</v>
      </c>
      <c r="AT818" s="2" t="e">
        <f t="shared" si="610"/>
        <v>#DIV/0!</v>
      </c>
      <c r="AU818" s="2" t="e">
        <f t="shared" si="627"/>
        <v>#DIV/0!</v>
      </c>
      <c r="AV818" s="2" t="e">
        <f t="shared" si="611"/>
        <v>#DIV/0!</v>
      </c>
      <c r="AW818" s="2" t="e">
        <f t="shared" si="612"/>
        <v>#DIV/0!</v>
      </c>
      <c r="AX818" s="2" t="e">
        <f t="shared" si="613"/>
        <v>#DIV/0!</v>
      </c>
      <c r="AY818" s="2" t="e">
        <f t="shared" si="628"/>
        <v>#DIV/0!</v>
      </c>
      <c r="AZ818" s="2" t="e">
        <f t="shared" si="642"/>
        <v>#DIV/0!</v>
      </c>
      <c r="BA818" s="2" t="e">
        <f t="shared" si="614"/>
        <v>#DIV/0!</v>
      </c>
      <c r="BB818" s="2" t="e">
        <f t="shared" si="615"/>
        <v>#DIV/0!</v>
      </c>
      <c r="BC818" s="2" t="e">
        <f t="shared" si="629"/>
        <v>#DIV/0!</v>
      </c>
      <c r="BD818" s="2">
        <v>0</v>
      </c>
      <c r="BE818" s="2" t="e">
        <f t="shared" si="616"/>
        <v>#DIV/0!</v>
      </c>
      <c r="BF818" s="2" t="e">
        <f t="shared" si="617"/>
        <v>#DIV/0!</v>
      </c>
      <c r="BG818" s="2" t="e">
        <f t="shared" si="630"/>
        <v>#DIV/0!</v>
      </c>
      <c r="BH818" s="2" t="e">
        <f t="shared" si="643"/>
        <v>#DIV/0!</v>
      </c>
      <c r="BI818" s="2" t="e">
        <f t="shared" si="618"/>
        <v>#DIV/0!</v>
      </c>
      <c r="BJ818" s="2" t="e">
        <f t="shared" si="619"/>
        <v>#DIV/0!</v>
      </c>
      <c r="BK818" s="2" t="e">
        <f t="shared" si="631"/>
        <v>#DIV/0!</v>
      </c>
      <c r="BL818" s="2" t="e">
        <f t="shared" si="620"/>
        <v>#DIV/0!</v>
      </c>
      <c r="BM818" s="2" t="e">
        <f t="shared" si="621"/>
        <v>#DIV/0!</v>
      </c>
      <c r="BN818" s="2" t="e">
        <f t="shared" si="632"/>
        <v>#DIV/0!</v>
      </c>
    </row>
    <row r="819" spans="1:66" x14ac:dyDescent="0.25">
      <c r="A819" s="42">
        <v>816</v>
      </c>
      <c r="E819" s="6">
        <f t="shared" si="622"/>
        <v>0</v>
      </c>
      <c r="F819" s="5" t="str">
        <f t="shared" si="633"/>
        <v>Break Even</v>
      </c>
      <c r="G819" s="4">
        <f t="shared" si="634"/>
        <v>0</v>
      </c>
      <c r="N819" s="5">
        <f t="shared" si="635"/>
        <v>0</v>
      </c>
      <c r="O819" s="4" t="e">
        <f t="shared" si="636"/>
        <v>#DIV/0!</v>
      </c>
      <c r="P819" s="5">
        <f t="shared" si="595"/>
        <v>0</v>
      </c>
      <c r="R819" s="2">
        <f t="shared" si="639"/>
        <v>0</v>
      </c>
      <c r="T819" s="2">
        <f t="shared" si="623"/>
        <v>0</v>
      </c>
      <c r="V819" s="5">
        <f t="shared" si="637"/>
        <v>0</v>
      </c>
      <c r="W819" s="4" t="e">
        <f t="shared" si="638"/>
        <v>#DIV/0!</v>
      </c>
      <c r="X819" s="14">
        <f t="shared" si="596"/>
        <v>0</v>
      </c>
      <c r="Y819" s="5">
        <f t="shared" si="597"/>
        <v>0</v>
      </c>
      <c r="Z819" s="2">
        <f t="shared" si="598"/>
        <v>0</v>
      </c>
      <c r="AA819" s="4">
        <f t="shared" si="599"/>
        <v>0</v>
      </c>
      <c r="AB819" s="13">
        <f t="shared" si="600"/>
        <v>0</v>
      </c>
      <c r="AC819" s="10">
        <f>SUM($E$4:E819)</f>
        <v>-22024.091160220025</v>
      </c>
      <c r="AD819" s="20">
        <f>SUM($AB$4:AB819)</f>
        <v>13539.766460219998</v>
      </c>
      <c r="AF819" s="28" t="e">
        <f t="shared" si="601"/>
        <v>#DIV/0!</v>
      </c>
      <c r="AG819" s="2" t="e">
        <f t="shared" si="602"/>
        <v>#DIV/0!</v>
      </c>
      <c r="AH819" s="2" t="e">
        <f t="shared" si="603"/>
        <v>#DIV/0!</v>
      </c>
      <c r="AI819" s="2" t="e">
        <f t="shared" si="624"/>
        <v>#DIV/0!</v>
      </c>
      <c r="AJ819" s="2" t="e">
        <f t="shared" si="640"/>
        <v>#DIV/0!</v>
      </c>
      <c r="AK819" s="2" t="e">
        <f t="shared" si="604"/>
        <v>#DIV/0!</v>
      </c>
      <c r="AL819" s="2" t="e">
        <f t="shared" si="605"/>
        <v>#DIV/0!</v>
      </c>
      <c r="AM819" s="2" t="e">
        <f t="shared" si="625"/>
        <v>#DIV/0!</v>
      </c>
      <c r="AN819" s="2">
        <f t="shared" si="606"/>
        <v>0</v>
      </c>
      <c r="AO819" s="2" t="e">
        <f t="shared" si="607"/>
        <v>#DIV/0!</v>
      </c>
      <c r="AP819" s="2" t="e">
        <f t="shared" si="608"/>
        <v>#DIV/0!</v>
      </c>
      <c r="AQ819" s="2" t="e">
        <f t="shared" si="626"/>
        <v>#DIV/0!</v>
      </c>
      <c r="AR819" s="2" t="e">
        <f t="shared" si="641"/>
        <v>#DIV/0!</v>
      </c>
      <c r="AS819" s="2" t="e">
        <f t="shared" si="609"/>
        <v>#DIV/0!</v>
      </c>
      <c r="AT819" s="2" t="e">
        <f t="shared" si="610"/>
        <v>#DIV/0!</v>
      </c>
      <c r="AU819" s="2" t="e">
        <f t="shared" si="627"/>
        <v>#DIV/0!</v>
      </c>
      <c r="AV819" s="2" t="e">
        <f t="shared" si="611"/>
        <v>#DIV/0!</v>
      </c>
      <c r="AW819" s="2" t="e">
        <f t="shared" si="612"/>
        <v>#DIV/0!</v>
      </c>
      <c r="AX819" s="2" t="e">
        <f t="shared" si="613"/>
        <v>#DIV/0!</v>
      </c>
      <c r="AY819" s="2" t="e">
        <f t="shared" si="628"/>
        <v>#DIV/0!</v>
      </c>
      <c r="AZ819" s="2" t="e">
        <f t="shared" si="642"/>
        <v>#DIV/0!</v>
      </c>
      <c r="BA819" s="2" t="e">
        <f t="shared" si="614"/>
        <v>#DIV/0!</v>
      </c>
      <c r="BB819" s="2" t="e">
        <f t="shared" si="615"/>
        <v>#DIV/0!</v>
      </c>
      <c r="BC819" s="2" t="e">
        <f t="shared" si="629"/>
        <v>#DIV/0!</v>
      </c>
      <c r="BD819" s="2">
        <v>0</v>
      </c>
      <c r="BE819" s="2" t="e">
        <f t="shared" si="616"/>
        <v>#DIV/0!</v>
      </c>
      <c r="BF819" s="2" t="e">
        <f t="shared" si="617"/>
        <v>#DIV/0!</v>
      </c>
      <c r="BG819" s="2" t="e">
        <f t="shared" si="630"/>
        <v>#DIV/0!</v>
      </c>
      <c r="BH819" s="2" t="e">
        <f t="shared" si="643"/>
        <v>#DIV/0!</v>
      </c>
      <c r="BI819" s="2" t="e">
        <f t="shared" si="618"/>
        <v>#DIV/0!</v>
      </c>
      <c r="BJ819" s="2" t="e">
        <f t="shared" si="619"/>
        <v>#DIV/0!</v>
      </c>
      <c r="BK819" s="2" t="e">
        <f t="shared" si="631"/>
        <v>#DIV/0!</v>
      </c>
      <c r="BL819" s="2" t="e">
        <f t="shared" si="620"/>
        <v>#DIV/0!</v>
      </c>
      <c r="BM819" s="2" t="e">
        <f t="shared" si="621"/>
        <v>#DIV/0!</v>
      </c>
      <c r="BN819" s="2" t="e">
        <f t="shared" si="632"/>
        <v>#DIV/0!</v>
      </c>
    </row>
    <row r="820" spans="1:66" x14ac:dyDescent="0.25">
      <c r="A820" s="42">
        <v>817</v>
      </c>
      <c r="E820" s="6">
        <f t="shared" si="622"/>
        <v>0</v>
      </c>
      <c r="F820" s="5" t="str">
        <f t="shared" si="633"/>
        <v>Break Even</v>
      </c>
      <c r="G820" s="4">
        <f t="shared" si="634"/>
        <v>0</v>
      </c>
      <c r="N820" s="5">
        <f t="shared" si="635"/>
        <v>0</v>
      </c>
      <c r="O820" s="4" t="e">
        <f t="shared" si="636"/>
        <v>#DIV/0!</v>
      </c>
      <c r="P820" s="5">
        <f t="shared" si="595"/>
        <v>0</v>
      </c>
      <c r="R820" s="2">
        <f t="shared" si="639"/>
        <v>0</v>
      </c>
      <c r="T820" s="2">
        <f t="shared" si="623"/>
        <v>0</v>
      </c>
      <c r="V820" s="5">
        <f t="shared" si="637"/>
        <v>0</v>
      </c>
      <c r="W820" s="4" t="e">
        <f t="shared" si="638"/>
        <v>#DIV/0!</v>
      </c>
      <c r="X820" s="14">
        <f t="shared" si="596"/>
        <v>0</v>
      </c>
      <c r="Y820" s="5">
        <f t="shared" si="597"/>
        <v>0</v>
      </c>
      <c r="Z820" s="2">
        <f t="shared" si="598"/>
        <v>0</v>
      </c>
      <c r="AA820" s="4">
        <f t="shared" si="599"/>
        <v>0</v>
      </c>
      <c r="AB820" s="13">
        <f t="shared" si="600"/>
        <v>0</v>
      </c>
      <c r="AC820" s="10">
        <f>SUM($E$4:E820)</f>
        <v>-22024.091160220025</v>
      </c>
      <c r="AD820" s="20">
        <f>SUM($AB$4:AB820)</f>
        <v>13539.766460219998</v>
      </c>
      <c r="AF820" s="28" t="e">
        <f t="shared" si="601"/>
        <v>#DIV/0!</v>
      </c>
      <c r="AG820" s="2" t="e">
        <f t="shared" si="602"/>
        <v>#DIV/0!</v>
      </c>
      <c r="AH820" s="2" t="e">
        <f t="shared" si="603"/>
        <v>#DIV/0!</v>
      </c>
      <c r="AI820" s="2" t="e">
        <f t="shared" si="624"/>
        <v>#DIV/0!</v>
      </c>
      <c r="AJ820" s="2" t="e">
        <f t="shared" si="640"/>
        <v>#DIV/0!</v>
      </c>
      <c r="AK820" s="2" t="e">
        <f t="shared" si="604"/>
        <v>#DIV/0!</v>
      </c>
      <c r="AL820" s="2" t="e">
        <f t="shared" si="605"/>
        <v>#DIV/0!</v>
      </c>
      <c r="AM820" s="2" t="e">
        <f t="shared" si="625"/>
        <v>#DIV/0!</v>
      </c>
      <c r="AN820" s="2">
        <f t="shared" si="606"/>
        <v>0</v>
      </c>
      <c r="AO820" s="2" t="e">
        <f t="shared" si="607"/>
        <v>#DIV/0!</v>
      </c>
      <c r="AP820" s="2" t="e">
        <f t="shared" si="608"/>
        <v>#DIV/0!</v>
      </c>
      <c r="AQ820" s="2" t="e">
        <f t="shared" si="626"/>
        <v>#DIV/0!</v>
      </c>
      <c r="AR820" s="2" t="e">
        <f t="shared" si="641"/>
        <v>#DIV/0!</v>
      </c>
      <c r="AS820" s="2" t="e">
        <f t="shared" si="609"/>
        <v>#DIV/0!</v>
      </c>
      <c r="AT820" s="2" t="e">
        <f t="shared" si="610"/>
        <v>#DIV/0!</v>
      </c>
      <c r="AU820" s="2" t="e">
        <f t="shared" si="627"/>
        <v>#DIV/0!</v>
      </c>
      <c r="AV820" s="2" t="e">
        <f t="shared" si="611"/>
        <v>#DIV/0!</v>
      </c>
      <c r="AW820" s="2" t="e">
        <f t="shared" si="612"/>
        <v>#DIV/0!</v>
      </c>
      <c r="AX820" s="2" t="e">
        <f t="shared" si="613"/>
        <v>#DIV/0!</v>
      </c>
      <c r="AY820" s="2" t="e">
        <f t="shared" si="628"/>
        <v>#DIV/0!</v>
      </c>
      <c r="AZ820" s="2" t="e">
        <f t="shared" si="642"/>
        <v>#DIV/0!</v>
      </c>
      <c r="BA820" s="2" t="e">
        <f t="shared" si="614"/>
        <v>#DIV/0!</v>
      </c>
      <c r="BB820" s="2" t="e">
        <f t="shared" si="615"/>
        <v>#DIV/0!</v>
      </c>
      <c r="BC820" s="2" t="e">
        <f t="shared" si="629"/>
        <v>#DIV/0!</v>
      </c>
      <c r="BD820" s="2">
        <v>0</v>
      </c>
      <c r="BE820" s="2" t="e">
        <f t="shared" si="616"/>
        <v>#DIV/0!</v>
      </c>
      <c r="BF820" s="2" t="e">
        <f t="shared" si="617"/>
        <v>#DIV/0!</v>
      </c>
      <c r="BG820" s="2" t="e">
        <f t="shared" si="630"/>
        <v>#DIV/0!</v>
      </c>
      <c r="BH820" s="2" t="e">
        <f t="shared" si="643"/>
        <v>#DIV/0!</v>
      </c>
      <c r="BI820" s="2" t="e">
        <f t="shared" si="618"/>
        <v>#DIV/0!</v>
      </c>
      <c r="BJ820" s="2" t="e">
        <f t="shared" si="619"/>
        <v>#DIV/0!</v>
      </c>
      <c r="BK820" s="2" t="e">
        <f t="shared" si="631"/>
        <v>#DIV/0!</v>
      </c>
      <c r="BL820" s="2" t="e">
        <f t="shared" si="620"/>
        <v>#DIV/0!</v>
      </c>
      <c r="BM820" s="2" t="e">
        <f t="shared" si="621"/>
        <v>#DIV/0!</v>
      </c>
      <c r="BN820" s="2" t="e">
        <f t="shared" si="632"/>
        <v>#DIV/0!</v>
      </c>
    </row>
    <row r="821" spans="1:66" x14ac:dyDescent="0.25">
      <c r="A821" s="42">
        <v>818</v>
      </c>
      <c r="E821" s="6">
        <f t="shared" si="622"/>
        <v>0</v>
      </c>
      <c r="F821" s="5" t="str">
        <f t="shared" si="633"/>
        <v>Break Even</v>
      </c>
      <c r="G821" s="4">
        <f t="shared" si="634"/>
        <v>0</v>
      </c>
      <c r="N821" s="5">
        <f t="shared" si="635"/>
        <v>0</v>
      </c>
      <c r="O821" s="4" t="e">
        <f t="shared" si="636"/>
        <v>#DIV/0!</v>
      </c>
      <c r="P821" s="5">
        <f t="shared" si="595"/>
        <v>0</v>
      </c>
      <c r="R821" s="2">
        <f t="shared" si="639"/>
        <v>0</v>
      </c>
      <c r="T821" s="2">
        <f t="shared" si="623"/>
        <v>0</v>
      </c>
      <c r="V821" s="5">
        <f t="shared" si="637"/>
        <v>0</v>
      </c>
      <c r="W821" s="4" t="e">
        <f t="shared" si="638"/>
        <v>#DIV/0!</v>
      </c>
      <c r="X821" s="14">
        <f t="shared" si="596"/>
        <v>0</v>
      </c>
      <c r="Y821" s="5">
        <f t="shared" si="597"/>
        <v>0</v>
      </c>
      <c r="Z821" s="2">
        <f t="shared" si="598"/>
        <v>0</v>
      </c>
      <c r="AA821" s="4">
        <f t="shared" si="599"/>
        <v>0</v>
      </c>
      <c r="AB821" s="13">
        <f t="shared" si="600"/>
        <v>0</v>
      </c>
      <c r="AC821" s="10">
        <f>SUM($E$4:E821)</f>
        <v>-22024.091160220025</v>
      </c>
      <c r="AD821" s="20">
        <f>SUM($AB$4:AB821)</f>
        <v>13539.766460219998</v>
      </c>
      <c r="AF821" s="28" t="e">
        <f t="shared" si="601"/>
        <v>#DIV/0!</v>
      </c>
      <c r="AG821" s="2" t="e">
        <f t="shared" si="602"/>
        <v>#DIV/0!</v>
      </c>
      <c r="AH821" s="2" t="e">
        <f t="shared" si="603"/>
        <v>#DIV/0!</v>
      </c>
      <c r="AI821" s="2" t="e">
        <f t="shared" si="624"/>
        <v>#DIV/0!</v>
      </c>
      <c r="AJ821" s="2" t="e">
        <f t="shared" si="640"/>
        <v>#DIV/0!</v>
      </c>
      <c r="AK821" s="2" t="e">
        <f t="shared" si="604"/>
        <v>#DIV/0!</v>
      </c>
      <c r="AL821" s="2" t="e">
        <f t="shared" si="605"/>
        <v>#DIV/0!</v>
      </c>
      <c r="AM821" s="2" t="e">
        <f t="shared" si="625"/>
        <v>#DIV/0!</v>
      </c>
      <c r="AN821" s="2">
        <f t="shared" si="606"/>
        <v>0</v>
      </c>
      <c r="AO821" s="2" t="e">
        <f t="shared" si="607"/>
        <v>#DIV/0!</v>
      </c>
      <c r="AP821" s="2" t="e">
        <f t="shared" si="608"/>
        <v>#DIV/0!</v>
      </c>
      <c r="AQ821" s="2" t="e">
        <f t="shared" si="626"/>
        <v>#DIV/0!</v>
      </c>
      <c r="AR821" s="2" t="e">
        <f t="shared" si="641"/>
        <v>#DIV/0!</v>
      </c>
      <c r="AS821" s="2" t="e">
        <f t="shared" si="609"/>
        <v>#DIV/0!</v>
      </c>
      <c r="AT821" s="2" t="e">
        <f t="shared" si="610"/>
        <v>#DIV/0!</v>
      </c>
      <c r="AU821" s="2" t="e">
        <f t="shared" si="627"/>
        <v>#DIV/0!</v>
      </c>
      <c r="AV821" s="2" t="e">
        <f t="shared" si="611"/>
        <v>#DIV/0!</v>
      </c>
      <c r="AW821" s="2" t="e">
        <f t="shared" si="612"/>
        <v>#DIV/0!</v>
      </c>
      <c r="AX821" s="2" t="e">
        <f t="shared" si="613"/>
        <v>#DIV/0!</v>
      </c>
      <c r="AY821" s="2" t="e">
        <f t="shared" si="628"/>
        <v>#DIV/0!</v>
      </c>
      <c r="AZ821" s="2" t="e">
        <f t="shared" si="642"/>
        <v>#DIV/0!</v>
      </c>
      <c r="BA821" s="2" t="e">
        <f t="shared" si="614"/>
        <v>#DIV/0!</v>
      </c>
      <c r="BB821" s="2" t="e">
        <f t="shared" si="615"/>
        <v>#DIV/0!</v>
      </c>
      <c r="BC821" s="2" t="e">
        <f t="shared" si="629"/>
        <v>#DIV/0!</v>
      </c>
      <c r="BD821" s="2">
        <v>0</v>
      </c>
      <c r="BE821" s="2" t="e">
        <f t="shared" si="616"/>
        <v>#DIV/0!</v>
      </c>
      <c r="BF821" s="2" t="e">
        <f t="shared" si="617"/>
        <v>#DIV/0!</v>
      </c>
      <c r="BG821" s="2" t="e">
        <f t="shared" si="630"/>
        <v>#DIV/0!</v>
      </c>
      <c r="BH821" s="2" t="e">
        <f t="shared" si="643"/>
        <v>#DIV/0!</v>
      </c>
      <c r="BI821" s="2" t="e">
        <f t="shared" si="618"/>
        <v>#DIV/0!</v>
      </c>
      <c r="BJ821" s="2" t="e">
        <f t="shared" si="619"/>
        <v>#DIV/0!</v>
      </c>
      <c r="BK821" s="2" t="e">
        <f t="shared" si="631"/>
        <v>#DIV/0!</v>
      </c>
      <c r="BL821" s="2" t="e">
        <f t="shared" si="620"/>
        <v>#DIV/0!</v>
      </c>
      <c r="BM821" s="2" t="e">
        <f t="shared" si="621"/>
        <v>#DIV/0!</v>
      </c>
      <c r="BN821" s="2" t="e">
        <f t="shared" si="632"/>
        <v>#DIV/0!</v>
      </c>
    </row>
    <row r="822" spans="1:66" x14ac:dyDescent="0.25">
      <c r="A822" s="42">
        <v>819</v>
      </c>
      <c r="E822" s="6">
        <f t="shared" si="622"/>
        <v>0</v>
      </c>
      <c r="F822" s="5" t="str">
        <f t="shared" si="633"/>
        <v>Break Even</v>
      </c>
      <c r="G822" s="4">
        <f t="shared" si="634"/>
        <v>0</v>
      </c>
      <c r="N822" s="5">
        <f t="shared" si="635"/>
        <v>0</v>
      </c>
      <c r="O822" s="4" t="e">
        <f t="shared" si="636"/>
        <v>#DIV/0!</v>
      </c>
      <c r="P822" s="5">
        <f t="shared" si="595"/>
        <v>0</v>
      </c>
      <c r="R822" s="2">
        <f t="shared" si="639"/>
        <v>0</v>
      </c>
      <c r="T822" s="2">
        <f t="shared" si="623"/>
        <v>0</v>
      </c>
      <c r="V822" s="5">
        <f t="shared" si="637"/>
        <v>0</v>
      </c>
      <c r="W822" s="4" t="e">
        <f t="shared" si="638"/>
        <v>#DIV/0!</v>
      </c>
      <c r="X822" s="14">
        <f t="shared" si="596"/>
        <v>0</v>
      </c>
      <c r="Y822" s="5">
        <f t="shared" si="597"/>
        <v>0</v>
      </c>
      <c r="Z822" s="2">
        <f t="shared" si="598"/>
        <v>0</v>
      </c>
      <c r="AA822" s="4">
        <f t="shared" si="599"/>
        <v>0</v>
      </c>
      <c r="AB822" s="13">
        <f t="shared" si="600"/>
        <v>0</v>
      </c>
      <c r="AC822" s="10">
        <f>SUM($E$4:E822)</f>
        <v>-22024.091160220025</v>
      </c>
      <c r="AD822" s="20">
        <f>SUM($AB$4:AB822)</f>
        <v>13539.766460219998</v>
      </c>
      <c r="AF822" s="28" t="e">
        <f t="shared" si="601"/>
        <v>#DIV/0!</v>
      </c>
      <c r="AG822" s="2" t="e">
        <f t="shared" si="602"/>
        <v>#DIV/0!</v>
      </c>
      <c r="AH822" s="2" t="e">
        <f t="shared" si="603"/>
        <v>#DIV/0!</v>
      </c>
      <c r="AI822" s="2" t="e">
        <f t="shared" si="624"/>
        <v>#DIV/0!</v>
      </c>
      <c r="AJ822" s="2" t="e">
        <f t="shared" si="640"/>
        <v>#DIV/0!</v>
      </c>
      <c r="AK822" s="2" t="e">
        <f t="shared" si="604"/>
        <v>#DIV/0!</v>
      </c>
      <c r="AL822" s="2" t="e">
        <f t="shared" si="605"/>
        <v>#DIV/0!</v>
      </c>
      <c r="AM822" s="2" t="e">
        <f t="shared" si="625"/>
        <v>#DIV/0!</v>
      </c>
      <c r="AN822" s="2">
        <f t="shared" si="606"/>
        <v>0</v>
      </c>
      <c r="AO822" s="2" t="e">
        <f t="shared" si="607"/>
        <v>#DIV/0!</v>
      </c>
      <c r="AP822" s="2" t="e">
        <f t="shared" si="608"/>
        <v>#DIV/0!</v>
      </c>
      <c r="AQ822" s="2" t="e">
        <f t="shared" si="626"/>
        <v>#DIV/0!</v>
      </c>
      <c r="AR822" s="2" t="e">
        <f t="shared" si="641"/>
        <v>#DIV/0!</v>
      </c>
      <c r="AS822" s="2" t="e">
        <f t="shared" si="609"/>
        <v>#DIV/0!</v>
      </c>
      <c r="AT822" s="2" t="e">
        <f t="shared" si="610"/>
        <v>#DIV/0!</v>
      </c>
      <c r="AU822" s="2" t="e">
        <f t="shared" si="627"/>
        <v>#DIV/0!</v>
      </c>
      <c r="AV822" s="2" t="e">
        <f t="shared" si="611"/>
        <v>#DIV/0!</v>
      </c>
      <c r="AW822" s="2" t="e">
        <f t="shared" si="612"/>
        <v>#DIV/0!</v>
      </c>
      <c r="AX822" s="2" t="e">
        <f t="shared" si="613"/>
        <v>#DIV/0!</v>
      </c>
      <c r="AY822" s="2" t="e">
        <f t="shared" si="628"/>
        <v>#DIV/0!</v>
      </c>
      <c r="AZ822" s="2" t="e">
        <f t="shared" si="642"/>
        <v>#DIV/0!</v>
      </c>
      <c r="BA822" s="2" t="e">
        <f t="shared" si="614"/>
        <v>#DIV/0!</v>
      </c>
      <c r="BB822" s="2" t="e">
        <f t="shared" si="615"/>
        <v>#DIV/0!</v>
      </c>
      <c r="BC822" s="2" t="e">
        <f t="shared" si="629"/>
        <v>#DIV/0!</v>
      </c>
      <c r="BD822" s="2">
        <v>0</v>
      </c>
      <c r="BE822" s="2" t="e">
        <f t="shared" si="616"/>
        <v>#DIV/0!</v>
      </c>
      <c r="BF822" s="2" t="e">
        <f t="shared" si="617"/>
        <v>#DIV/0!</v>
      </c>
      <c r="BG822" s="2" t="e">
        <f t="shared" si="630"/>
        <v>#DIV/0!</v>
      </c>
      <c r="BH822" s="2" t="e">
        <f t="shared" si="643"/>
        <v>#DIV/0!</v>
      </c>
      <c r="BI822" s="2" t="e">
        <f t="shared" si="618"/>
        <v>#DIV/0!</v>
      </c>
      <c r="BJ822" s="2" t="e">
        <f t="shared" si="619"/>
        <v>#DIV/0!</v>
      </c>
      <c r="BK822" s="2" t="e">
        <f t="shared" si="631"/>
        <v>#DIV/0!</v>
      </c>
      <c r="BL822" s="2" t="e">
        <f t="shared" si="620"/>
        <v>#DIV/0!</v>
      </c>
      <c r="BM822" s="2" t="e">
        <f t="shared" si="621"/>
        <v>#DIV/0!</v>
      </c>
      <c r="BN822" s="2" t="e">
        <f t="shared" si="632"/>
        <v>#DIV/0!</v>
      </c>
    </row>
    <row r="823" spans="1:66" x14ac:dyDescent="0.25">
      <c r="A823" s="42">
        <v>820</v>
      </c>
      <c r="E823" s="6">
        <f t="shared" si="622"/>
        <v>0</v>
      </c>
      <c r="F823" s="5" t="str">
        <f t="shared" si="633"/>
        <v>Break Even</v>
      </c>
      <c r="G823" s="4">
        <f t="shared" si="634"/>
        <v>0</v>
      </c>
      <c r="N823" s="5">
        <f t="shared" si="635"/>
        <v>0</v>
      </c>
      <c r="O823" s="4" t="e">
        <f t="shared" si="636"/>
        <v>#DIV/0!</v>
      </c>
      <c r="P823" s="5">
        <f t="shared" si="595"/>
        <v>0</v>
      </c>
      <c r="R823" s="2">
        <f t="shared" si="639"/>
        <v>0</v>
      </c>
      <c r="T823" s="2">
        <f t="shared" si="623"/>
        <v>0</v>
      </c>
      <c r="V823" s="5">
        <f t="shared" si="637"/>
        <v>0</v>
      </c>
      <c r="W823" s="4" t="e">
        <f t="shared" si="638"/>
        <v>#DIV/0!</v>
      </c>
      <c r="X823" s="14">
        <f t="shared" si="596"/>
        <v>0</v>
      </c>
      <c r="Y823" s="5">
        <f t="shared" si="597"/>
        <v>0</v>
      </c>
      <c r="Z823" s="2">
        <f t="shared" si="598"/>
        <v>0</v>
      </c>
      <c r="AA823" s="4">
        <f t="shared" si="599"/>
        <v>0</v>
      </c>
      <c r="AB823" s="13">
        <f t="shared" si="600"/>
        <v>0</v>
      </c>
      <c r="AC823" s="10">
        <f>SUM($E$4:E823)</f>
        <v>-22024.091160220025</v>
      </c>
      <c r="AD823" s="20">
        <f>SUM($AB$4:AB823)</f>
        <v>13539.766460219998</v>
      </c>
      <c r="AF823" s="28" t="e">
        <f t="shared" si="601"/>
        <v>#DIV/0!</v>
      </c>
      <c r="AG823" s="2" t="e">
        <f t="shared" si="602"/>
        <v>#DIV/0!</v>
      </c>
      <c r="AH823" s="2" t="e">
        <f t="shared" si="603"/>
        <v>#DIV/0!</v>
      </c>
      <c r="AI823" s="2" t="e">
        <f t="shared" si="624"/>
        <v>#DIV/0!</v>
      </c>
      <c r="AJ823" s="2" t="e">
        <f t="shared" si="640"/>
        <v>#DIV/0!</v>
      </c>
      <c r="AK823" s="2" t="e">
        <f t="shared" si="604"/>
        <v>#DIV/0!</v>
      </c>
      <c r="AL823" s="2" t="e">
        <f t="shared" si="605"/>
        <v>#DIV/0!</v>
      </c>
      <c r="AM823" s="2" t="e">
        <f t="shared" si="625"/>
        <v>#DIV/0!</v>
      </c>
      <c r="AN823" s="2">
        <f t="shared" si="606"/>
        <v>0</v>
      </c>
      <c r="AO823" s="2" t="e">
        <f t="shared" si="607"/>
        <v>#DIV/0!</v>
      </c>
      <c r="AP823" s="2" t="e">
        <f t="shared" si="608"/>
        <v>#DIV/0!</v>
      </c>
      <c r="AQ823" s="2" t="e">
        <f t="shared" si="626"/>
        <v>#DIV/0!</v>
      </c>
      <c r="AR823" s="2" t="e">
        <f t="shared" si="641"/>
        <v>#DIV/0!</v>
      </c>
      <c r="AS823" s="2" t="e">
        <f t="shared" si="609"/>
        <v>#DIV/0!</v>
      </c>
      <c r="AT823" s="2" t="e">
        <f t="shared" si="610"/>
        <v>#DIV/0!</v>
      </c>
      <c r="AU823" s="2" t="e">
        <f t="shared" si="627"/>
        <v>#DIV/0!</v>
      </c>
      <c r="AV823" s="2" t="e">
        <f t="shared" si="611"/>
        <v>#DIV/0!</v>
      </c>
      <c r="AW823" s="2" t="e">
        <f t="shared" si="612"/>
        <v>#DIV/0!</v>
      </c>
      <c r="AX823" s="2" t="e">
        <f t="shared" si="613"/>
        <v>#DIV/0!</v>
      </c>
      <c r="AY823" s="2" t="e">
        <f t="shared" si="628"/>
        <v>#DIV/0!</v>
      </c>
      <c r="AZ823" s="2" t="e">
        <f t="shared" si="642"/>
        <v>#DIV/0!</v>
      </c>
      <c r="BA823" s="2" t="e">
        <f t="shared" si="614"/>
        <v>#DIV/0!</v>
      </c>
      <c r="BB823" s="2" t="e">
        <f t="shared" si="615"/>
        <v>#DIV/0!</v>
      </c>
      <c r="BC823" s="2" t="e">
        <f t="shared" si="629"/>
        <v>#DIV/0!</v>
      </c>
      <c r="BD823" s="2">
        <v>0</v>
      </c>
      <c r="BE823" s="2" t="e">
        <f t="shared" si="616"/>
        <v>#DIV/0!</v>
      </c>
      <c r="BF823" s="2" t="e">
        <f t="shared" si="617"/>
        <v>#DIV/0!</v>
      </c>
      <c r="BG823" s="2" t="e">
        <f t="shared" si="630"/>
        <v>#DIV/0!</v>
      </c>
      <c r="BH823" s="2" t="e">
        <f t="shared" si="643"/>
        <v>#DIV/0!</v>
      </c>
      <c r="BI823" s="2" t="e">
        <f t="shared" si="618"/>
        <v>#DIV/0!</v>
      </c>
      <c r="BJ823" s="2" t="e">
        <f t="shared" si="619"/>
        <v>#DIV/0!</v>
      </c>
      <c r="BK823" s="2" t="e">
        <f t="shared" si="631"/>
        <v>#DIV/0!</v>
      </c>
      <c r="BL823" s="2" t="e">
        <f t="shared" si="620"/>
        <v>#DIV/0!</v>
      </c>
      <c r="BM823" s="2" t="e">
        <f t="shared" si="621"/>
        <v>#DIV/0!</v>
      </c>
      <c r="BN823" s="2" t="e">
        <f t="shared" si="632"/>
        <v>#DIV/0!</v>
      </c>
    </row>
    <row r="824" spans="1:66" x14ac:dyDescent="0.25">
      <c r="A824" s="42">
        <v>821</v>
      </c>
      <c r="E824" s="6">
        <f t="shared" si="622"/>
        <v>0</v>
      </c>
      <c r="F824" s="5" t="str">
        <f t="shared" si="633"/>
        <v>Break Even</v>
      </c>
      <c r="G824" s="4">
        <f t="shared" si="634"/>
        <v>0</v>
      </c>
      <c r="N824" s="5">
        <f t="shared" si="635"/>
        <v>0</v>
      </c>
      <c r="O824" s="4" t="e">
        <f t="shared" si="636"/>
        <v>#DIV/0!</v>
      </c>
      <c r="P824" s="5">
        <f t="shared" si="595"/>
        <v>0</v>
      </c>
      <c r="R824" s="2">
        <f t="shared" si="639"/>
        <v>0</v>
      </c>
      <c r="T824" s="2">
        <f t="shared" si="623"/>
        <v>0</v>
      </c>
      <c r="V824" s="5">
        <f t="shared" si="637"/>
        <v>0</v>
      </c>
      <c r="W824" s="4" t="e">
        <f t="shared" si="638"/>
        <v>#DIV/0!</v>
      </c>
      <c r="X824" s="14">
        <f t="shared" si="596"/>
        <v>0</v>
      </c>
      <c r="Y824" s="5">
        <f t="shared" si="597"/>
        <v>0</v>
      </c>
      <c r="Z824" s="2">
        <f t="shared" si="598"/>
        <v>0</v>
      </c>
      <c r="AA824" s="4">
        <f t="shared" si="599"/>
        <v>0</v>
      </c>
      <c r="AB824" s="13">
        <f t="shared" si="600"/>
        <v>0</v>
      </c>
      <c r="AC824" s="10">
        <f>SUM($E$4:E824)</f>
        <v>-22024.091160220025</v>
      </c>
      <c r="AD824" s="20">
        <f>SUM($AB$4:AB824)</f>
        <v>13539.766460219998</v>
      </c>
      <c r="AF824" s="28" t="e">
        <f t="shared" si="601"/>
        <v>#DIV/0!</v>
      </c>
      <c r="AG824" s="2" t="e">
        <f t="shared" si="602"/>
        <v>#DIV/0!</v>
      </c>
      <c r="AH824" s="2" t="e">
        <f t="shared" si="603"/>
        <v>#DIV/0!</v>
      </c>
      <c r="AI824" s="2" t="e">
        <f t="shared" si="624"/>
        <v>#DIV/0!</v>
      </c>
      <c r="AJ824" s="2" t="e">
        <f t="shared" si="640"/>
        <v>#DIV/0!</v>
      </c>
      <c r="AK824" s="2" t="e">
        <f t="shared" si="604"/>
        <v>#DIV/0!</v>
      </c>
      <c r="AL824" s="2" t="e">
        <f t="shared" si="605"/>
        <v>#DIV/0!</v>
      </c>
      <c r="AM824" s="2" t="e">
        <f t="shared" si="625"/>
        <v>#DIV/0!</v>
      </c>
      <c r="AN824" s="2">
        <f t="shared" si="606"/>
        <v>0</v>
      </c>
      <c r="AO824" s="2" t="e">
        <f t="shared" si="607"/>
        <v>#DIV/0!</v>
      </c>
      <c r="AP824" s="2" t="e">
        <f t="shared" si="608"/>
        <v>#DIV/0!</v>
      </c>
      <c r="AQ824" s="2" t="e">
        <f t="shared" si="626"/>
        <v>#DIV/0!</v>
      </c>
      <c r="AR824" s="2" t="e">
        <f t="shared" si="641"/>
        <v>#DIV/0!</v>
      </c>
      <c r="AS824" s="2" t="e">
        <f t="shared" si="609"/>
        <v>#DIV/0!</v>
      </c>
      <c r="AT824" s="2" t="e">
        <f t="shared" si="610"/>
        <v>#DIV/0!</v>
      </c>
      <c r="AU824" s="2" t="e">
        <f t="shared" si="627"/>
        <v>#DIV/0!</v>
      </c>
      <c r="AV824" s="2" t="e">
        <f t="shared" si="611"/>
        <v>#DIV/0!</v>
      </c>
      <c r="AW824" s="2" t="e">
        <f t="shared" si="612"/>
        <v>#DIV/0!</v>
      </c>
      <c r="AX824" s="2" t="e">
        <f t="shared" si="613"/>
        <v>#DIV/0!</v>
      </c>
      <c r="AY824" s="2" t="e">
        <f t="shared" si="628"/>
        <v>#DIV/0!</v>
      </c>
      <c r="AZ824" s="2" t="e">
        <f t="shared" si="642"/>
        <v>#DIV/0!</v>
      </c>
      <c r="BA824" s="2" t="e">
        <f t="shared" si="614"/>
        <v>#DIV/0!</v>
      </c>
      <c r="BB824" s="2" t="e">
        <f t="shared" si="615"/>
        <v>#DIV/0!</v>
      </c>
      <c r="BC824" s="2" t="e">
        <f t="shared" si="629"/>
        <v>#DIV/0!</v>
      </c>
      <c r="BD824" s="2">
        <v>0</v>
      </c>
      <c r="BE824" s="2" t="e">
        <f t="shared" si="616"/>
        <v>#DIV/0!</v>
      </c>
      <c r="BF824" s="2" t="e">
        <f t="shared" si="617"/>
        <v>#DIV/0!</v>
      </c>
      <c r="BG824" s="2" t="e">
        <f t="shared" si="630"/>
        <v>#DIV/0!</v>
      </c>
      <c r="BH824" s="2" t="e">
        <f t="shared" si="643"/>
        <v>#DIV/0!</v>
      </c>
      <c r="BI824" s="2" t="e">
        <f t="shared" si="618"/>
        <v>#DIV/0!</v>
      </c>
      <c r="BJ824" s="2" t="e">
        <f t="shared" si="619"/>
        <v>#DIV/0!</v>
      </c>
      <c r="BK824" s="2" t="e">
        <f t="shared" si="631"/>
        <v>#DIV/0!</v>
      </c>
      <c r="BL824" s="2" t="e">
        <f t="shared" si="620"/>
        <v>#DIV/0!</v>
      </c>
      <c r="BM824" s="2" t="e">
        <f t="shared" si="621"/>
        <v>#DIV/0!</v>
      </c>
      <c r="BN824" s="2" t="e">
        <f t="shared" si="632"/>
        <v>#DIV/0!</v>
      </c>
    </row>
    <row r="825" spans="1:66" x14ac:dyDescent="0.25">
      <c r="A825" s="42">
        <v>822</v>
      </c>
      <c r="E825" s="6">
        <f t="shared" si="622"/>
        <v>0</v>
      </c>
      <c r="F825" s="5" t="str">
        <f t="shared" si="633"/>
        <v>Break Even</v>
      </c>
      <c r="G825" s="4">
        <f t="shared" si="634"/>
        <v>0</v>
      </c>
      <c r="N825" s="5">
        <f t="shared" si="635"/>
        <v>0</v>
      </c>
      <c r="O825" s="4" t="e">
        <f t="shared" si="636"/>
        <v>#DIV/0!</v>
      </c>
      <c r="P825" s="5">
        <f t="shared" si="595"/>
        <v>0</v>
      </c>
      <c r="R825" s="2">
        <f t="shared" si="639"/>
        <v>0</v>
      </c>
      <c r="T825" s="2">
        <f t="shared" si="623"/>
        <v>0</v>
      </c>
      <c r="V825" s="5">
        <f t="shared" si="637"/>
        <v>0</v>
      </c>
      <c r="W825" s="4" t="e">
        <f t="shared" si="638"/>
        <v>#DIV/0!</v>
      </c>
      <c r="X825" s="14">
        <f t="shared" si="596"/>
        <v>0</v>
      </c>
      <c r="Y825" s="5">
        <f t="shared" si="597"/>
        <v>0</v>
      </c>
      <c r="Z825" s="2">
        <f t="shared" si="598"/>
        <v>0</v>
      </c>
      <c r="AA825" s="4">
        <f t="shared" si="599"/>
        <v>0</v>
      </c>
      <c r="AB825" s="13">
        <f t="shared" si="600"/>
        <v>0</v>
      </c>
      <c r="AC825" s="10">
        <f>SUM($E$4:E825)</f>
        <v>-22024.091160220025</v>
      </c>
      <c r="AD825" s="20">
        <f>SUM($AB$4:AB825)</f>
        <v>13539.766460219998</v>
      </c>
      <c r="AF825" s="28" t="e">
        <f t="shared" si="601"/>
        <v>#DIV/0!</v>
      </c>
      <c r="AG825" s="2" t="e">
        <f t="shared" si="602"/>
        <v>#DIV/0!</v>
      </c>
      <c r="AH825" s="2" t="e">
        <f t="shared" si="603"/>
        <v>#DIV/0!</v>
      </c>
      <c r="AI825" s="2" t="e">
        <f t="shared" si="624"/>
        <v>#DIV/0!</v>
      </c>
      <c r="AJ825" s="2" t="e">
        <f t="shared" si="640"/>
        <v>#DIV/0!</v>
      </c>
      <c r="AK825" s="2" t="e">
        <f t="shared" si="604"/>
        <v>#DIV/0!</v>
      </c>
      <c r="AL825" s="2" t="e">
        <f t="shared" si="605"/>
        <v>#DIV/0!</v>
      </c>
      <c r="AM825" s="2" t="e">
        <f t="shared" si="625"/>
        <v>#DIV/0!</v>
      </c>
      <c r="AN825" s="2">
        <f t="shared" si="606"/>
        <v>0</v>
      </c>
      <c r="AO825" s="2" t="e">
        <f t="shared" si="607"/>
        <v>#DIV/0!</v>
      </c>
      <c r="AP825" s="2" t="e">
        <f t="shared" si="608"/>
        <v>#DIV/0!</v>
      </c>
      <c r="AQ825" s="2" t="e">
        <f t="shared" si="626"/>
        <v>#DIV/0!</v>
      </c>
      <c r="AR825" s="2" t="e">
        <f t="shared" si="641"/>
        <v>#DIV/0!</v>
      </c>
      <c r="AS825" s="2" t="e">
        <f t="shared" si="609"/>
        <v>#DIV/0!</v>
      </c>
      <c r="AT825" s="2" t="e">
        <f t="shared" si="610"/>
        <v>#DIV/0!</v>
      </c>
      <c r="AU825" s="2" t="e">
        <f t="shared" si="627"/>
        <v>#DIV/0!</v>
      </c>
      <c r="AV825" s="2" t="e">
        <f t="shared" si="611"/>
        <v>#DIV/0!</v>
      </c>
      <c r="AW825" s="2" t="e">
        <f t="shared" si="612"/>
        <v>#DIV/0!</v>
      </c>
      <c r="AX825" s="2" t="e">
        <f t="shared" si="613"/>
        <v>#DIV/0!</v>
      </c>
      <c r="AY825" s="2" t="e">
        <f t="shared" si="628"/>
        <v>#DIV/0!</v>
      </c>
      <c r="AZ825" s="2" t="e">
        <f t="shared" si="642"/>
        <v>#DIV/0!</v>
      </c>
      <c r="BA825" s="2" t="e">
        <f t="shared" si="614"/>
        <v>#DIV/0!</v>
      </c>
      <c r="BB825" s="2" t="e">
        <f t="shared" si="615"/>
        <v>#DIV/0!</v>
      </c>
      <c r="BC825" s="2" t="e">
        <f t="shared" si="629"/>
        <v>#DIV/0!</v>
      </c>
      <c r="BD825" s="2">
        <v>0</v>
      </c>
      <c r="BE825" s="2" t="e">
        <f t="shared" si="616"/>
        <v>#DIV/0!</v>
      </c>
      <c r="BF825" s="2" t="e">
        <f t="shared" si="617"/>
        <v>#DIV/0!</v>
      </c>
      <c r="BG825" s="2" t="e">
        <f t="shared" si="630"/>
        <v>#DIV/0!</v>
      </c>
      <c r="BH825" s="2" t="e">
        <f t="shared" si="643"/>
        <v>#DIV/0!</v>
      </c>
      <c r="BI825" s="2" t="e">
        <f t="shared" si="618"/>
        <v>#DIV/0!</v>
      </c>
      <c r="BJ825" s="2" t="e">
        <f t="shared" si="619"/>
        <v>#DIV/0!</v>
      </c>
      <c r="BK825" s="2" t="e">
        <f t="shared" si="631"/>
        <v>#DIV/0!</v>
      </c>
      <c r="BL825" s="2" t="e">
        <f t="shared" si="620"/>
        <v>#DIV/0!</v>
      </c>
      <c r="BM825" s="2" t="e">
        <f t="shared" si="621"/>
        <v>#DIV/0!</v>
      </c>
      <c r="BN825" s="2" t="e">
        <f t="shared" si="632"/>
        <v>#DIV/0!</v>
      </c>
    </row>
    <row r="826" spans="1:66" x14ac:dyDescent="0.25">
      <c r="A826" s="42">
        <v>823</v>
      </c>
      <c r="E826" s="6">
        <f t="shared" si="622"/>
        <v>0</v>
      </c>
      <c r="F826" s="5" t="str">
        <f t="shared" si="633"/>
        <v>Break Even</v>
      </c>
      <c r="G826" s="4">
        <f t="shared" si="634"/>
        <v>0</v>
      </c>
      <c r="N826" s="5">
        <f t="shared" si="635"/>
        <v>0</v>
      </c>
      <c r="O826" s="4" t="e">
        <f t="shared" si="636"/>
        <v>#DIV/0!</v>
      </c>
      <c r="P826" s="5">
        <f t="shared" si="595"/>
        <v>0</v>
      </c>
      <c r="R826" s="2">
        <f t="shared" si="639"/>
        <v>0</v>
      </c>
      <c r="T826" s="2">
        <f t="shared" si="623"/>
        <v>0</v>
      </c>
      <c r="V826" s="5">
        <f t="shared" si="637"/>
        <v>0</v>
      </c>
      <c r="W826" s="4" t="e">
        <f t="shared" si="638"/>
        <v>#DIV/0!</v>
      </c>
      <c r="X826" s="14">
        <f t="shared" si="596"/>
        <v>0</v>
      </c>
      <c r="Y826" s="5">
        <f t="shared" si="597"/>
        <v>0</v>
      </c>
      <c r="Z826" s="2">
        <f t="shared" si="598"/>
        <v>0</v>
      </c>
      <c r="AA826" s="4">
        <f t="shared" si="599"/>
        <v>0</v>
      </c>
      <c r="AB826" s="13">
        <f t="shared" si="600"/>
        <v>0</v>
      </c>
      <c r="AC826" s="10">
        <f>SUM($E$4:E826)</f>
        <v>-22024.091160220025</v>
      </c>
      <c r="AD826" s="20">
        <f>SUM($AB$4:AB826)</f>
        <v>13539.766460219998</v>
      </c>
      <c r="AF826" s="28" t="e">
        <f t="shared" si="601"/>
        <v>#DIV/0!</v>
      </c>
      <c r="AG826" s="2" t="e">
        <f t="shared" si="602"/>
        <v>#DIV/0!</v>
      </c>
      <c r="AH826" s="2" t="e">
        <f t="shared" si="603"/>
        <v>#DIV/0!</v>
      </c>
      <c r="AI826" s="2" t="e">
        <f t="shared" si="624"/>
        <v>#DIV/0!</v>
      </c>
      <c r="AJ826" s="2" t="e">
        <f t="shared" si="640"/>
        <v>#DIV/0!</v>
      </c>
      <c r="AK826" s="2" t="e">
        <f t="shared" si="604"/>
        <v>#DIV/0!</v>
      </c>
      <c r="AL826" s="2" t="e">
        <f t="shared" si="605"/>
        <v>#DIV/0!</v>
      </c>
      <c r="AM826" s="2" t="e">
        <f t="shared" si="625"/>
        <v>#DIV/0!</v>
      </c>
      <c r="AN826" s="2">
        <f t="shared" si="606"/>
        <v>0</v>
      </c>
      <c r="AO826" s="2" t="e">
        <f t="shared" si="607"/>
        <v>#DIV/0!</v>
      </c>
      <c r="AP826" s="2" t="e">
        <f t="shared" si="608"/>
        <v>#DIV/0!</v>
      </c>
      <c r="AQ826" s="2" t="e">
        <f t="shared" si="626"/>
        <v>#DIV/0!</v>
      </c>
      <c r="AR826" s="2" t="e">
        <f t="shared" si="641"/>
        <v>#DIV/0!</v>
      </c>
      <c r="AS826" s="2" t="e">
        <f t="shared" si="609"/>
        <v>#DIV/0!</v>
      </c>
      <c r="AT826" s="2" t="e">
        <f t="shared" si="610"/>
        <v>#DIV/0!</v>
      </c>
      <c r="AU826" s="2" t="e">
        <f t="shared" si="627"/>
        <v>#DIV/0!</v>
      </c>
      <c r="AV826" s="2" t="e">
        <f t="shared" si="611"/>
        <v>#DIV/0!</v>
      </c>
      <c r="AW826" s="2" t="e">
        <f t="shared" si="612"/>
        <v>#DIV/0!</v>
      </c>
      <c r="AX826" s="2" t="e">
        <f t="shared" si="613"/>
        <v>#DIV/0!</v>
      </c>
      <c r="AY826" s="2" t="e">
        <f t="shared" si="628"/>
        <v>#DIV/0!</v>
      </c>
      <c r="AZ826" s="2" t="e">
        <f t="shared" si="642"/>
        <v>#DIV/0!</v>
      </c>
      <c r="BA826" s="2" t="e">
        <f t="shared" si="614"/>
        <v>#DIV/0!</v>
      </c>
      <c r="BB826" s="2" t="e">
        <f t="shared" si="615"/>
        <v>#DIV/0!</v>
      </c>
      <c r="BC826" s="2" t="e">
        <f t="shared" si="629"/>
        <v>#DIV/0!</v>
      </c>
      <c r="BD826" s="2">
        <v>0</v>
      </c>
      <c r="BE826" s="2" t="e">
        <f t="shared" si="616"/>
        <v>#DIV/0!</v>
      </c>
      <c r="BF826" s="2" t="e">
        <f t="shared" si="617"/>
        <v>#DIV/0!</v>
      </c>
      <c r="BG826" s="2" t="e">
        <f t="shared" si="630"/>
        <v>#DIV/0!</v>
      </c>
      <c r="BH826" s="2" t="e">
        <f t="shared" si="643"/>
        <v>#DIV/0!</v>
      </c>
      <c r="BI826" s="2" t="e">
        <f t="shared" si="618"/>
        <v>#DIV/0!</v>
      </c>
      <c r="BJ826" s="2" t="e">
        <f t="shared" si="619"/>
        <v>#DIV/0!</v>
      </c>
      <c r="BK826" s="2" t="e">
        <f t="shared" si="631"/>
        <v>#DIV/0!</v>
      </c>
      <c r="BL826" s="2" t="e">
        <f t="shared" si="620"/>
        <v>#DIV/0!</v>
      </c>
      <c r="BM826" s="2" t="e">
        <f t="shared" si="621"/>
        <v>#DIV/0!</v>
      </c>
      <c r="BN826" s="2" t="e">
        <f t="shared" si="632"/>
        <v>#DIV/0!</v>
      </c>
    </row>
    <row r="827" spans="1:66" x14ac:dyDescent="0.25">
      <c r="A827" s="42">
        <v>824</v>
      </c>
      <c r="E827" s="6">
        <f t="shared" si="622"/>
        <v>0</v>
      </c>
      <c r="F827" s="5" t="str">
        <f t="shared" si="633"/>
        <v>Break Even</v>
      </c>
      <c r="G827" s="4">
        <f t="shared" si="634"/>
        <v>0</v>
      </c>
      <c r="N827" s="5">
        <f t="shared" si="635"/>
        <v>0</v>
      </c>
      <c r="O827" s="4" t="e">
        <f t="shared" si="636"/>
        <v>#DIV/0!</v>
      </c>
      <c r="P827" s="5">
        <f t="shared" si="595"/>
        <v>0</v>
      </c>
      <c r="R827" s="2">
        <f t="shared" si="639"/>
        <v>0</v>
      </c>
      <c r="T827" s="2">
        <f t="shared" si="623"/>
        <v>0</v>
      </c>
      <c r="V827" s="5">
        <f t="shared" si="637"/>
        <v>0</v>
      </c>
      <c r="W827" s="4" t="e">
        <f t="shared" si="638"/>
        <v>#DIV/0!</v>
      </c>
      <c r="X827" s="14">
        <f t="shared" si="596"/>
        <v>0</v>
      </c>
      <c r="Y827" s="5">
        <f t="shared" si="597"/>
        <v>0</v>
      </c>
      <c r="Z827" s="2">
        <f t="shared" si="598"/>
        <v>0</v>
      </c>
      <c r="AA827" s="4">
        <f t="shared" si="599"/>
        <v>0</v>
      </c>
      <c r="AB827" s="13">
        <f t="shared" si="600"/>
        <v>0</v>
      </c>
      <c r="AC827" s="10">
        <f>SUM($E$4:E827)</f>
        <v>-22024.091160220025</v>
      </c>
      <c r="AD827" s="20">
        <f>SUM($AB$4:AB827)</f>
        <v>13539.766460219998</v>
      </c>
      <c r="AF827" s="28" t="e">
        <f t="shared" si="601"/>
        <v>#DIV/0!</v>
      </c>
      <c r="AG827" s="2" t="e">
        <f t="shared" si="602"/>
        <v>#DIV/0!</v>
      </c>
      <c r="AH827" s="2" t="e">
        <f t="shared" si="603"/>
        <v>#DIV/0!</v>
      </c>
      <c r="AI827" s="2" t="e">
        <f t="shared" si="624"/>
        <v>#DIV/0!</v>
      </c>
      <c r="AJ827" s="2" t="e">
        <f t="shared" si="640"/>
        <v>#DIV/0!</v>
      </c>
      <c r="AK827" s="2" t="e">
        <f t="shared" si="604"/>
        <v>#DIV/0!</v>
      </c>
      <c r="AL827" s="2" t="e">
        <f t="shared" si="605"/>
        <v>#DIV/0!</v>
      </c>
      <c r="AM827" s="2" t="e">
        <f t="shared" si="625"/>
        <v>#DIV/0!</v>
      </c>
      <c r="AN827" s="2">
        <f t="shared" si="606"/>
        <v>0</v>
      </c>
      <c r="AO827" s="2" t="e">
        <f t="shared" si="607"/>
        <v>#DIV/0!</v>
      </c>
      <c r="AP827" s="2" t="e">
        <f t="shared" si="608"/>
        <v>#DIV/0!</v>
      </c>
      <c r="AQ827" s="2" t="e">
        <f t="shared" si="626"/>
        <v>#DIV/0!</v>
      </c>
      <c r="AR827" s="2" t="e">
        <f t="shared" si="641"/>
        <v>#DIV/0!</v>
      </c>
      <c r="AS827" s="2" t="e">
        <f t="shared" si="609"/>
        <v>#DIV/0!</v>
      </c>
      <c r="AT827" s="2" t="e">
        <f t="shared" si="610"/>
        <v>#DIV/0!</v>
      </c>
      <c r="AU827" s="2" t="e">
        <f t="shared" si="627"/>
        <v>#DIV/0!</v>
      </c>
      <c r="AV827" s="2" t="e">
        <f t="shared" si="611"/>
        <v>#DIV/0!</v>
      </c>
      <c r="AW827" s="2" t="e">
        <f t="shared" si="612"/>
        <v>#DIV/0!</v>
      </c>
      <c r="AX827" s="2" t="e">
        <f t="shared" si="613"/>
        <v>#DIV/0!</v>
      </c>
      <c r="AY827" s="2" t="e">
        <f t="shared" si="628"/>
        <v>#DIV/0!</v>
      </c>
      <c r="AZ827" s="2" t="e">
        <f t="shared" si="642"/>
        <v>#DIV/0!</v>
      </c>
      <c r="BA827" s="2" t="e">
        <f t="shared" si="614"/>
        <v>#DIV/0!</v>
      </c>
      <c r="BB827" s="2" t="e">
        <f t="shared" si="615"/>
        <v>#DIV/0!</v>
      </c>
      <c r="BC827" s="2" t="e">
        <f t="shared" si="629"/>
        <v>#DIV/0!</v>
      </c>
      <c r="BD827" s="2">
        <v>0</v>
      </c>
      <c r="BE827" s="2" t="e">
        <f t="shared" si="616"/>
        <v>#DIV/0!</v>
      </c>
      <c r="BF827" s="2" t="e">
        <f t="shared" si="617"/>
        <v>#DIV/0!</v>
      </c>
      <c r="BG827" s="2" t="e">
        <f t="shared" si="630"/>
        <v>#DIV/0!</v>
      </c>
      <c r="BH827" s="2" t="e">
        <f t="shared" si="643"/>
        <v>#DIV/0!</v>
      </c>
      <c r="BI827" s="2" t="e">
        <f t="shared" si="618"/>
        <v>#DIV/0!</v>
      </c>
      <c r="BJ827" s="2" t="e">
        <f t="shared" si="619"/>
        <v>#DIV/0!</v>
      </c>
      <c r="BK827" s="2" t="e">
        <f t="shared" si="631"/>
        <v>#DIV/0!</v>
      </c>
      <c r="BL827" s="2" t="e">
        <f t="shared" si="620"/>
        <v>#DIV/0!</v>
      </c>
      <c r="BM827" s="2" t="e">
        <f t="shared" si="621"/>
        <v>#DIV/0!</v>
      </c>
      <c r="BN827" s="2" t="e">
        <f t="shared" si="632"/>
        <v>#DIV/0!</v>
      </c>
    </row>
    <row r="828" spans="1:66" x14ac:dyDescent="0.25">
      <c r="A828" s="42">
        <v>825</v>
      </c>
      <c r="E828" s="6">
        <f t="shared" si="622"/>
        <v>0</v>
      </c>
      <c r="F828" s="5" t="str">
        <f t="shared" si="633"/>
        <v>Break Even</v>
      </c>
      <c r="G828" s="4">
        <f t="shared" si="634"/>
        <v>0</v>
      </c>
      <c r="N828" s="5">
        <f t="shared" si="635"/>
        <v>0</v>
      </c>
      <c r="O828" s="4" t="e">
        <f t="shared" si="636"/>
        <v>#DIV/0!</v>
      </c>
      <c r="P828" s="5">
        <f t="shared" si="595"/>
        <v>0</v>
      </c>
      <c r="R828" s="2">
        <f t="shared" si="639"/>
        <v>0</v>
      </c>
      <c r="T828" s="2">
        <f t="shared" si="623"/>
        <v>0</v>
      </c>
      <c r="V828" s="5">
        <f t="shared" si="637"/>
        <v>0</v>
      </c>
      <c r="W828" s="4" t="e">
        <f t="shared" si="638"/>
        <v>#DIV/0!</v>
      </c>
      <c r="X828" s="14">
        <f t="shared" si="596"/>
        <v>0</v>
      </c>
      <c r="Y828" s="5">
        <f t="shared" si="597"/>
        <v>0</v>
      </c>
      <c r="Z828" s="2">
        <f t="shared" si="598"/>
        <v>0</v>
      </c>
      <c r="AA828" s="4">
        <f t="shared" si="599"/>
        <v>0</v>
      </c>
      <c r="AB828" s="13">
        <f t="shared" si="600"/>
        <v>0</v>
      </c>
      <c r="AC828" s="10">
        <f>SUM($E$4:E828)</f>
        <v>-22024.091160220025</v>
      </c>
      <c r="AD828" s="20">
        <f>SUM($AB$4:AB828)</f>
        <v>13539.766460219998</v>
      </c>
      <c r="AF828" s="28" t="e">
        <f t="shared" si="601"/>
        <v>#DIV/0!</v>
      </c>
      <c r="AG828" s="2" t="e">
        <f t="shared" si="602"/>
        <v>#DIV/0!</v>
      </c>
      <c r="AH828" s="2" t="e">
        <f t="shared" si="603"/>
        <v>#DIV/0!</v>
      </c>
      <c r="AI828" s="2" t="e">
        <f t="shared" si="624"/>
        <v>#DIV/0!</v>
      </c>
      <c r="AJ828" s="2" t="e">
        <f t="shared" si="640"/>
        <v>#DIV/0!</v>
      </c>
      <c r="AK828" s="2" t="e">
        <f t="shared" si="604"/>
        <v>#DIV/0!</v>
      </c>
      <c r="AL828" s="2" t="e">
        <f t="shared" si="605"/>
        <v>#DIV/0!</v>
      </c>
      <c r="AM828" s="2" t="e">
        <f t="shared" si="625"/>
        <v>#DIV/0!</v>
      </c>
      <c r="AN828" s="2">
        <f t="shared" si="606"/>
        <v>0</v>
      </c>
      <c r="AO828" s="2" t="e">
        <f t="shared" si="607"/>
        <v>#DIV/0!</v>
      </c>
      <c r="AP828" s="2" t="e">
        <f t="shared" si="608"/>
        <v>#DIV/0!</v>
      </c>
      <c r="AQ828" s="2" t="e">
        <f t="shared" si="626"/>
        <v>#DIV/0!</v>
      </c>
      <c r="AR828" s="2" t="e">
        <f t="shared" si="641"/>
        <v>#DIV/0!</v>
      </c>
      <c r="AS828" s="2" t="e">
        <f t="shared" si="609"/>
        <v>#DIV/0!</v>
      </c>
      <c r="AT828" s="2" t="e">
        <f t="shared" si="610"/>
        <v>#DIV/0!</v>
      </c>
      <c r="AU828" s="2" t="e">
        <f t="shared" si="627"/>
        <v>#DIV/0!</v>
      </c>
      <c r="AV828" s="2" t="e">
        <f t="shared" si="611"/>
        <v>#DIV/0!</v>
      </c>
      <c r="AW828" s="2" t="e">
        <f t="shared" si="612"/>
        <v>#DIV/0!</v>
      </c>
      <c r="AX828" s="2" t="e">
        <f t="shared" si="613"/>
        <v>#DIV/0!</v>
      </c>
      <c r="AY828" s="2" t="e">
        <f t="shared" si="628"/>
        <v>#DIV/0!</v>
      </c>
      <c r="AZ828" s="2" t="e">
        <f t="shared" si="642"/>
        <v>#DIV/0!</v>
      </c>
      <c r="BA828" s="2" t="e">
        <f t="shared" si="614"/>
        <v>#DIV/0!</v>
      </c>
      <c r="BB828" s="2" t="e">
        <f t="shared" si="615"/>
        <v>#DIV/0!</v>
      </c>
      <c r="BC828" s="2" t="e">
        <f t="shared" si="629"/>
        <v>#DIV/0!</v>
      </c>
      <c r="BD828" s="2">
        <v>0</v>
      </c>
      <c r="BE828" s="2" t="e">
        <f t="shared" si="616"/>
        <v>#DIV/0!</v>
      </c>
      <c r="BF828" s="2" t="e">
        <f t="shared" si="617"/>
        <v>#DIV/0!</v>
      </c>
      <c r="BG828" s="2" t="e">
        <f t="shared" si="630"/>
        <v>#DIV/0!</v>
      </c>
      <c r="BH828" s="2" t="e">
        <f t="shared" si="643"/>
        <v>#DIV/0!</v>
      </c>
      <c r="BI828" s="2" t="e">
        <f t="shared" si="618"/>
        <v>#DIV/0!</v>
      </c>
      <c r="BJ828" s="2" t="e">
        <f t="shared" si="619"/>
        <v>#DIV/0!</v>
      </c>
      <c r="BK828" s="2" t="e">
        <f t="shared" si="631"/>
        <v>#DIV/0!</v>
      </c>
      <c r="BL828" s="2" t="e">
        <f t="shared" si="620"/>
        <v>#DIV/0!</v>
      </c>
      <c r="BM828" s="2" t="e">
        <f t="shared" si="621"/>
        <v>#DIV/0!</v>
      </c>
      <c r="BN828" s="2" t="e">
        <f t="shared" si="632"/>
        <v>#DIV/0!</v>
      </c>
    </row>
    <row r="829" spans="1:66" x14ac:dyDescent="0.25">
      <c r="A829" s="42">
        <v>826</v>
      </c>
      <c r="E829" s="6">
        <f t="shared" si="622"/>
        <v>0</v>
      </c>
      <c r="F829" s="5" t="str">
        <f t="shared" si="633"/>
        <v>Break Even</v>
      </c>
      <c r="G829" s="4">
        <f t="shared" si="634"/>
        <v>0</v>
      </c>
      <c r="N829" s="5">
        <f t="shared" si="635"/>
        <v>0</v>
      </c>
      <c r="O829" s="4" t="e">
        <f t="shared" si="636"/>
        <v>#DIV/0!</v>
      </c>
      <c r="P829" s="5">
        <f t="shared" si="595"/>
        <v>0</v>
      </c>
      <c r="R829" s="2">
        <f t="shared" si="639"/>
        <v>0</v>
      </c>
      <c r="T829" s="2">
        <f t="shared" si="623"/>
        <v>0</v>
      </c>
      <c r="V829" s="5">
        <f t="shared" si="637"/>
        <v>0</v>
      </c>
      <c r="W829" s="4" t="e">
        <f t="shared" si="638"/>
        <v>#DIV/0!</v>
      </c>
      <c r="X829" s="14">
        <f t="shared" si="596"/>
        <v>0</v>
      </c>
      <c r="Y829" s="5">
        <f t="shared" si="597"/>
        <v>0</v>
      </c>
      <c r="Z829" s="2">
        <f t="shared" si="598"/>
        <v>0</v>
      </c>
      <c r="AA829" s="4">
        <f t="shared" si="599"/>
        <v>0</v>
      </c>
      <c r="AB829" s="13">
        <f t="shared" si="600"/>
        <v>0</v>
      </c>
      <c r="AC829" s="10">
        <f>SUM($E$4:E829)</f>
        <v>-22024.091160220025</v>
      </c>
      <c r="AD829" s="20">
        <f>SUM($AB$4:AB829)</f>
        <v>13539.766460219998</v>
      </c>
      <c r="AF829" s="28" t="e">
        <f t="shared" si="601"/>
        <v>#DIV/0!</v>
      </c>
      <c r="AG829" s="2" t="e">
        <f t="shared" si="602"/>
        <v>#DIV/0!</v>
      </c>
      <c r="AH829" s="2" t="e">
        <f t="shared" si="603"/>
        <v>#DIV/0!</v>
      </c>
      <c r="AI829" s="2" t="e">
        <f t="shared" si="624"/>
        <v>#DIV/0!</v>
      </c>
      <c r="AJ829" s="2" t="e">
        <f t="shared" si="640"/>
        <v>#DIV/0!</v>
      </c>
      <c r="AK829" s="2" t="e">
        <f t="shared" si="604"/>
        <v>#DIV/0!</v>
      </c>
      <c r="AL829" s="2" t="e">
        <f t="shared" si="605"/>
        <v>#DIV/0!</v>
      </c>
      <c r="AM829" s="2" t="e">
        <f t="shared" si="625"/>
        <v>#DIV/0!</v>
      </c>
      <c r="AN829" s="2">
        <f t="shared" si="606"/>
        <v>0</v>
      </c>
      <c r="AO829" s="2" t="e">
        <f t="shared" si="607"/>
        <v>#DIV/0!</v>
      </c>
      <c r="AP829" s="2" t="e">
        <f t="shared" si="608"/>
        <v>#DIV/0!</v>
      </c>
      <c r="AQ829" s="2" t="e">
        <f t="shared" si="626"/>
        <v>#DIV/0!</v>
      </c>
      <c r="AR829" s="2" t="e">
        <f t="shared" si="641"/>
        <v>#DIV/0!</v>
      </c>
      <c r="AS829" s="2" t="e">
        <f t="shared" si="609"/>
        <v>#DIV/0!</v>
      </c>
      <c r="AT829" s="2" t="e">
        <f t="shared" si="610"/>
        <v>#DIV/0!</v>
      </c>
      <c r="AU829" s="2" t="e">
        <f t="shared" si="627"/>
        <v>#DIV/0!</v>
      </c>
      <c r="AV829" s="2" t="e">
        <f t="shared" si="611"/>
        <v>#DIV/0!</v>
      </c>
      <c r="AW829" s="2" t="e">
        <f t="shared" si="612"/>
        <v>#DIV/0!</v>
      </c>
      <c r="AX829" s="2" t="e">
        <f t="shared" si="613"/>
        <v>#DIV/0!</v>
      </c>
      <c r="AY829" s="2" t="e">
        <f t="shared" si="628"/>
        <v>#DIV/0!</v>
      </c>
      <c r="AZ829" s="2" t="e">
        <f t="shared" si="642"/>
        <v>#DIV/0!</v>
      </c>
      <c r="BA829" s="2" t="e">
        <f t="shared" si="614"/>
        <v>#DIV/0!</v>
      </c>
      <c r="BB829" s="2" t="e">
        <f t="shared" si="615"/>
        <v>#DIV/0!</v>
      </c>
      <c r="BC829" s="2" t="e">
        <f t="shared" si="629"/>
        <v>#DIV/0!</v>
      </c>
      <c r="BD829" s="2">
        <v>0</v>
      </c>
      <c r="BE829" s="2" t="e">
        <f t="shared" si="616"/>
        <v>#DIV/0!</v>
      </c>
      <c r="BF829" s="2" t="e">
        <f t="shared" si="617"/>
        <v>#DIV/0!</v>
      </c>
      <c r="BG829" s="2" t="e">
        <f t="shared" si="630"/>
        <v>#DIV/0!</v>
      </c>
      <c r="BH829" s="2" t="e">
        <f t="shared" si="643"/>
        <v>#DIV/0!</v>
      </c>
      <c r="BI829" s="2" t="e">
        <f t="shared" si="618"/>
        <v>#DIV/0!</v>
      </c>
      <c r="BJ829" s="2" t="e">
        <f t="shared" si="619"/>
        <v>#DIV/0!</v>
      </c>
      <c r="BK829" s="2" t="e">
        <f t="shared" si="631"/>
        <v>#DIV/0!</v>
      </c>
      <c r="BL829" s="2" t="e">
        <f t="shared" si="620"/>
        <v>#DIV/0!</v>
      </c>
      <c r="BM829" s="2" t="e">
        <f t="shared" si="621"/>
        <v>#DIV/0!</v>
      </c>
      <c r="BN829" s="2" t="e">
        <f t="shared" si="632"/>
        <v>#DIV/0!</v>
      </c>
    </row>
    <row r="830" spans="1:66" x14ac:dyDescent="0.25">
      <c r="A830" s="42">
        <v>827</v>
      </c>
      <c r="E830" s="6">
        <f t="shared" si="622"/>
        <v>0</v>
      </c>
      <c r="F830" s="5" t="str">
        <f t="shared" si="633"/>
        <v>Break Even</v>
      </c>
      <c r="G830" s="4">
        <f t="shared" si="634"/>
        <v>0</v>
      </c>
      <c r="N830" s="5">
        <f t="shared" si="635"/>
        <v>0</v>
      </c>
      <c r="O830" s="4" t="e">
        <f t="shared" si="636"/>
        <v>#DIV/0!</v>
      </c>
      <c r="P830" s="5">
        <f t="shared" si="595"/>
        <v>0</v>
      </c>
      <c r="R830" s="2">
        <f t="shared" si="639"/>
        <v>0</v>
      </c>
      <c r="T830" s="2">
        <f t="shared" si="623"/>
        <v>0</v>
      </c>
      <c r="V830" s="5">
        <f t="shared" si="637"/>
        <v>0</v>
      </c>
      <c r="W830" s="4" t="e">
        <f t="shared" si="638"/>
        <v>#DIV/0!</v>
      </c>
      <c r="X830" s="14">
        <f t="shared" si="596"/>
        <v>0</v>
      </c>
      <c r="Y830" s="5">
        <f t="shared" si="597"/>
        <v>0</v>
      </c>
      <c r="Z830" s="2">
        <f t="shared" si="598"/>
        <v>0</v>
      </c>
      <c r="AA830" s="4">
        <f t="shared" si="599"/>
        <v>0</v>
      </c>
      <c r="AB830" s="13">
        <f t="shared" si="600"/>
        <v>0</v>
      </c>
      <c r="AC830" s="10">
        <f>SUM($E$4:E830)</f>
        <v>-22024.091160220025</v>
      </c>
      <c r="AD830" s="20">
        <f>SUM($AB$4:AB830)</f>
        <v>13539.766460219998</v>
      </c>
      <c r="AF830" s="28" t="e">
        <f t="shared" si="601"/>
        <v>#DIV/0!</v>
      </c>
      <c r="AG830" s="2" t="e">
        <f t="shared" si="602"/>
        <v>#DIV/0!</v>
      </c>
      <c r="AH830" s="2" t="e">
        <f t="shared" si="603"/>
        <v>#DIV/0!</v>
      </c>
      <c r="AI830" s="2" t="e">
        <f t="shared" si="624"/>
        <v>#DIV/0!</v>
      </c>
      <c r="AJ830" s="2" t="e">
        <f t="shared" si="640"/>
        <v>#DIV/0!</v>
      </c>
      <c r="AK830" s="2" t="e">
        <f t="shared" si="604"/>
        <v>#DIV/0!</v>
      </c>
      <c r="AL830" s="2" t="e">
        <f t="shared" si="605"/>
        <v>#DIV/0!</v>
      </c>
      <c r="AM830" s="2" t="e">
        <f t="shared" si="625"/>
        <v>#DIV/0!</v>
      </c>
      <c r="AN830" s="2">
        <f t="shared" si="606"/>
        <v>0</v>
      </c>
      <c r="AO830" s="2" t="e">
        <f t="shared" si="607"/>
        <v>#DIV/0!</v>
      </c>
      <c r="AP830" s="2" t="e">
        <f t="shared" si="608"/>
        <v>#DIV/0!</v>
      </c>
      <c r="AQ830" s="2" t="e">
        <f t="shared" si="626"/>
        <v>#DIV/0!</v>
      </c>
      <c r="AR830" s="2" t="e">
        <f t="shared" si="641"/>
        <v>#DIV/0!</v>
      </c>
      <c r="AS830" s="2" t="e">
        <f t="shared" si="609"/>
        <v>#DIV/0!</v>
      </c>
      <c r="AT830" s="2" t="e">
        <f t="shared" si="610"/>
        <v>#DIV/0!</v>
      </c>
      <c r="AU830" s="2" t="e">
        <f t="shared" si="627"/>
        <v>#DIV/0!</v>
      </c>
      <c r="AV830" s="2" t="e">
        <f t="shared" si="611"/>
        <v>#DIV/0!</v>
      </c>
      <c r="AW830" s="2" t="e">
        <f t="shared" si="612"/>
        <v>#DIV/0!</v>
      </c>
      <c r="AX830" s="2" t="e">
        <f t="shared" si="613"/>
        <v>#DIV/0!</v>
      </c>
      <c r="AY830" s="2" t="e">
        <f t="shared" si="628"/>
        <v>#DIV/0!</v>
      </c>
      <c r="AZ830" s="2" t="e">
        <f t="shared" si="642"/>
        <v>#DIV/0!</v>
      </c>
      <c r="BA830" s="2" t="e">
        <f t="shared" si="614"/>
        <v>#DIV/0!</v>
      </c>
      <c r="BB830" s="2" t="e">
        <f t="shared" si="615"/>
        <v>#DIV/0!</v>
      </c>
      <c r="BC830" s="2" t="e">
        <f t="shared" si="629"/>
        <v>#DIV/0!</v>
      </c>
      <c r="BD830" s="2">
        <v>0</v>
      </c>
      <c r="BE830" s="2" t="e">
        <f t="shared" si="616"/>
        <v>#DIV/0!</v>
      </c>
      <c r="BF830" s="2" t="e">
        <f t="shared" si="617"/>
        <v>#DIV/0!</v>
      </c>
      <c r="BG830" s="2" t="e">
        <f t="shared" si="630"/>
        <v>#DIV/0!</v>
      </c>
      <c r="BH830" s="2" t="e">
        <f t="shared" si="643"/>
        <v>#DIV/0!</v>
      </c>
      <c r="BI830" s="2" t="e">
        <f t="shared" si="618"/>
        <v>#DIV/0!</v>
      </c>
      <c r="BJ830" s="2" t="e">
        <f t="shared" si="619"/>
        <v>#DIV/0!</v>
      </c>
      <c r="BK830" s="2" t="e">
        <f t="shared" si="631"/>
        <v>#DIV/0!</v>
      </c>
      <c r="BL830" s="2" t="e">
        <f t="shared" si="620"/>
        <v>#DIV/0!</v>
      </c>
      <c r="BM830" s="2" t="e">
        <f t="shared" si="621"/>
        <v>#DIV/0!</v>
      </c>
      <c r="BN830" s="2" t="e">
        <f t="shared" si="632"/>
        <v>#DIV/0!</v>
      </c>
    </row>
    <row r="831" spans="1:66" x14ac:dyDescent="0.25">
      <c r="A831" s="42">
        <v>828</v>
      </c>
      <c r="E831" s="6">
        <f t="shared" si="622"/>
        <v>0</v>
      </c>
      <c r="F831" s="5" t="str">
        <f t="shared" si="633"/>
        <v>Break Even</v>
      </c>
      <c r="G831" s="4">
        <f t="shared" si="634"/>
        <v>0</v>
      </c>
      <c r="N831" s="5">
        <f t="shared" si="635"/>
        <v>0</v>
      </c>
      <c r="O831" s="4" t="e">
        <f t="shared" si="636"/>
        <v>#DIV/0!</v>
      </c>
      <c r="P831" s="5">
        <f t="shared" si="595"/>
        <v>0</v>
      </c>
      <c r="R831" s="2">
        <f t="shared" si="639"/>
        <v>0</v>
      </c>
      <c r="T831" s="2">
        <f t="shared" si="623"/>
        <v>0</v>
      </c>
      <c r="V831" s="5">
        <f t="shared" si="637"/>
        <v>0</v>
      </c>
      <c r="W831" s="4" t="e">
        <f t="shared" si="638"/>
        <v>#DIV/0!</v>
      </c>
      <c r="X831" s="14">
        <f t="shared" si="596"/>
        <v>0</v>
      </c>
      <c r="Y831" s="5">
        <f t="shared" si="597"/>
        <v>0</v>
      </c>
      <c r="Z831" s="2">
        <f t="shared" si="598"/>
        <v>0</v>
      </c>
      <c r="AA831" s="4">
        <f t="shared" si="599"/>
        <v>0</v>
      </c>
      <c r="AB831" s="13">
        <f t="shared" si="600"/>
        <v>0</v>
      </c>
      <c r="AC831" s="10">
        <f>SUM($E$4:E831)</f>
        <v>-22024.091160220025</v>
      </c>
      <c r="AD831" s="20">
        <f>SUM($AB$4:AB831)</f>
        <v>13539.766460219998</v>
      </c>
      <c r="AF831" s="28" t="e">
        <f t="shared" si="601"/>
        <v>#DIV/0!</v>
      </c>
      <c r="AG831" s="2" t="e">
        <f t="shared" si="602"/>
        <v>#DIV/0!</v>
      </c>
      <c r="AH831" s="2" t="e">
        <f t="shared" si="603"/>
        <v>#DIV/0!</v>
      </c>
      <c r="AI831" s="2" t="e">
        <f t="shared" si="624"/>
        <v>#DIV/0!</v>
      </c>
      <c r="AJ831" s="2" t="e">
        <f t="shared" si="640"/>
        <v>#DIV/0!</v>
      </c>
      <c r="AK831" s="2" t="e">
        <f t="shared" si="604"/>
        <v>#DIV/0!</v>
      </c>
      <c r="AL831" s="2" t="e">
        <f t="shared" si="605"/>
        <v>#DIV/0!</v>
      </c>
      <c r="AM831" s="2" t="e">
        <f t="shared" si="625"/>
        <v>#DIV/0!</v>
      </c>
      <c r="AN831" s="2">
        <f t="shared" si="606"/>
        <v>0</v>
      </c>
      <c r="AO831" s="2" t="e">
        <f t="shared" si="607"/>
        <v>#DIV/0!</v>
      </c>
      <c r="AP831" s="2" t="e">
        <f t="shared" si="608"/>
        <v>#DIV/0!</v>
      </c>
      <c r="AQ831" s="2" t="e">
        <f t="shared" si="626"/>
        <v>#DIV/0!</v>
      </c>
      <c r="AR831" s="2" t="e">
        <f t="shared" si="641"/>
        <v>#DIV/0!</v>
      </c>
      <c r="AS831" s="2" t="e">
        <f t="shared" si="609"/>
        <v>#DIV/0!</v>
      </c>
      <c r="AT831" s="2" t="e">
        <f t="shared" si="610"/>
        <v>#DIV/0!</v>
      </c>
      <c r="AU831" s="2" t="e">
        <f t="shared" si="627"/>
        <v>#DIV/0!</v>
      </c>
      <c r="AV831" s="2" t="e">
        <f t="shared" si="611"/>
        <v>#DIV/0!</v>
      </c>
      <c r="AW831" s="2" t="e">
        <f t="shared" si="612"/>
        <v>#DIV/0!</v>
      </c>
      <c r="AX831" s="2" t="e">
        <f t="shared" si="613"/>
        <v>#DIV/0!</v>
      </c>
      <c r="AY831" s="2" t="e">
        <f t="shared" si="628"/>
        <v>#DIV/0!</v>
      </c>
      <c r="AZ831" s="2" t="e">
        <f t="shared" si="642"/>
        <v>#DIV/0!</v>
      </c>
      <c r="BA831" s="2" t="e">
        <f t="shared" si="614"/>
        <v>#DIV/0!</v>
      </c>
      <c r="BB831" s="2" t="e">
        <f t="shared" si="615"/>
        <v>#DIV/0!</v>
      </c>
      <c r="BC831" s="2" t="e">
        <f t="shared" si="629"/>
        <v>#DIV/0!</v>
      </c>
      <c r="BD831" s="2">
        <v>0</v>
      </c>
      <c r="BE831" s="2" t="e">
        <f t="shared" si="616"/>
        <v>#DIV/0!</v>
      </c>
      <c r="BF831" s="2" t="e">
        <f t="shared" si="617"/>
        <v>#DIV/0!</v>
      </c>
      <c r="BG831" s="2" t="e">
        <f t="shared" si="630"/>
        <v>#DIV/0!</v>
      </c>
      <c r="BH831" s="2" t="e">
        <f t="shared" si="643"/>
        <v>#DIV/0!</v>
      </c>
      <c r="BI831" s="2" t="e">
        <f t="shared" si="618"/>
        <v>#DIV/0!</v>
      </c>
      <c r="BJ831" s="2" t="e">
        <f t="shared" si="619"/>
        <v>#DIV/0!</v>
      </c>
      <c r="BK831" s="2" t="e">
        <f t="shared" si="631"/>
        <v>#DIV/0!</v>
      </c>
      <c r="BL831" s="2" t="e">
        <f t="shared" si="620"/>
        <v>#DIV/0!</v>
      </c>
      <c r="BM831" s="2" t="e">
        <f t="shared" si="621"/>
        <v>#DIV/0!</v>
      </c>
      <c r="BN831" s="2" t="e">
        <f t="shared" si="632"/>
        <v>#DIV/0!</v>
      </c>
    </row>
    <row r="832" spans="1:66" x14ac:dyDescent="0.25">
      <c r="A832" s="42">
        <v>829</v>
      </c>
      <c r="E832" s="6">
        <f t="shared" si="622"/>
        <v>0</v>
      </c>
      <c r="F832" s="5" t="str">
        <f t="shared" si="633"/>
        <v>Break Even</v>
      </c>
      <c r="G832" s="4">
        <f t="shared" si="634"/>
        <v>0</v>
      </c>
      <c r="N832" s="5">
        <f t="shared" si="635"/>
        <v>0</v>
      </c>
      <c r="O832" s="4" t="e">
        <f t="shared" si="636"/>
        <v>#DIV/0!</v>
      </c>
      <c r="P832" s="5">
        <f t="shared" si="595"/>
        <v>0</v>
      </c>
      <c r="R832" s="2">
        <f t="shared" si="639"/>
        <v>0</v>
      </c>
      <c r="T832" s="2">
        <f t="shared" si="623"/>
        <v>0</v>
      </c>
      <c r="V832" s="5">
        <f t="shared" si="637"/>
        <v>0</v>
      </c>
      <c r="W832" s="4" t="e">
        <f t="shared" si="638"/>
        <v>#DIV/0!</v>
      </c>
      <c r="X832" s="14">
        <f t="shared" si="596"/>
        <v>0</v>
      </c>
      <c r="Y832" s="5">
        <f t="shared" si="597"/>
        <v>0</v>
      </c>
      <c r="Z832" s="2">
        <f t="shared" si="598"/>
        <v>0</v>
      </c>
      <c r="AA832" s="4">
        <f t="shared" si="599"/>
        <v>0</v>
      </c>
      <c r="AB832" s="13">
        <f t="shared" si="600"/>
        <v>0</v>
      </c>
      <c r="AC832" s="10">
        <f>SUM($E$4:E832)</f>
        <v>-22024.091160220025</v>
      </c>
      <c r="AD832" s="20">
        <f>SUM($AB$4:AB832)</f>
        <v>13539.766460219998</v>
      </c>
      <c r="AF832" s="28" t="e">
        <f t="shared" si="601"/>
        <v>#DIV/0!</v>
      </c>
      <c r="AG832" s="2" t="e">
        <f t="shared" si="602"/>
        <v>#DIV/0!</v>
      </c>
      <c r="AH832" s="2" t="e">
        <f t="shared" si="603"/>
        <v>#DIV/0!</v>
      </c>
      <c r="AI832" s="2" t="e">
        <f t="shared" si="624"/>
        <v>#DIV/0!</v>
      </c>
      <c r="AJ832" s="2" t="e">
        <f t="shared" si="640"/>
        <v>#DIV/0!</v>
      </c>
      <c r="AK832" s="2" t="e">
        <f t="shared" si="604"/>
        <v>#DIV/0!</v>
      </c>
      <c r="AL832" s="2" t="e">
        <f t="shared" si="605"/>
        <v>#DIV/0!</v>
      </c>
      <c r="AM832" s="2" t="e">
        <f t="shared" si="625"/>
        <v>#DIV/0!</v>
      </c>
      <c r="AN832" s="2">
        <f t="shared" si="606"/>
        <v>0</v>
      </c>
      <c r="AO832" s="2" t="e">
        <f t="shared" si="607"/>
        <v>#DIV/0!</v>
      </c>
      <c r="AP832" s="2" t="e">
        <f t="shared" si="608"/>
        <v>#DIV/0!</v>
      </c>
      <c r="AQ832" s="2" t="e">
        <f t="shared" si="626"/>
        <v>#DIV/0!</v>
      </c>
      <c r="AR832" s="2" t="e">
        <f t="shared" si="641"/>
        <v>#DIV/0!</v>
      </c>
      <c r="AS832" s="2" t="e">
        <f t="shared" si="609"/>
        <v>#DIV/0!</v>
      </c>
      <c r="AT832" s="2" t="e">
        <f t="shared" si="610"/>
        <v>#DIV/0!</v>
      </c>
      <c r="AU832" s="2" t="e">
        <f t="shared" si="627"/>
        <v>#DIV/0!</v>
      </c>
      <c r="AV832" s="2" t="e">
        <f t="shared" si="611"/>
        <v>#DIV/0!</v>
      </c>
      <c r="AW832" s="2" t="e">
        <f t="shared" si="612"/>
        <v>#DIV/0!</v>
      </c>
      <c r="AX832" s="2" t="e">
        <f t="shared" si="613"/>
        <v>#DIV/0!</v>
      </c>
      <c r="AY832" s="2" t="e">
        <f t="shared" si="628"/>
        <v>#DIV/0!</v>
      </c>
      <c r="AZ832" s="2" t="e">
        <f t="shared" si="642"/>
        <v>#DIV/0!</v>
      </c>
      <c r="BA832" s="2" t="e">
        <f t="shared" si="614"/>
        <v>#DIV/0!</v>
      </c>
      <c r="BB832" s="2" t="e">
        <f t="shared" si="615"/>
        <v>#DIV/0!</v>
      </c>
      <c r="BC832" s="2" t="e">
        <f t="shared" si="629"/>
        <v>#DIV/0!</v>
      </c>
      <c r="BD832" s="2">
        <v>0</v>
      </c>
      <c r="BE832" s="2" t="e">
        <f t="shared" si="616"/>
        <v>#DIV/0!</v>
      </c>
      <c r="BF832" s="2" t="e">
        <f t="shared" si="617"/>
        <v>#DIV/0!</v>
      </c>
      <c r="BG832" s="2" t="e">
        <f t="shared" si="630"/>
        <v>#DIV/0!</v>
      </c>
      <c r="BH832" s="2" t="e">
        <f t="shared" si="643"/>
        <v>#DIV/0!</v>
      </c>
      <c r="BI832" s="2" t="e">
        <f t="shared" si="618"/>
        <v>#DIV/0!</v>
      </c>
      <c r="BJ832" s="2" t="e">
        <f t="shared" si="619"/>
        <v>#DIV/0!</v>
      </c>
      <c r="BK832" s="2" t="e">
        <f t="shared" si="631"/>
        <v>#DIV/0!</v>
      </c>
      <c r="BL832" s="2" t="e">
        <f t="shared" si="620"/>
        <v>#DIV/0!</v>
      </c>
      <c r="BM832" s="2" t="e">
        <f t="shared" si="621"/>
        <v>#DIV/0!</v>
      </c>
      <c r="BN832" s="2" t="e">
        <f t="shared" si="632"/>
        <v>#DIV/0!</v>
      </c>
    </row>
    <row r="833" spans="1:66" x14ac:dyDescent="0.25">
      <c r="A833" s="42">
        <v>830</v>
      </c>
      <c r="E833" s="6">
        <f t="shared" si="622"/>
        <v>0</v>
      </c>
      <c r="F833" s="5" t="str">
        <f t="shared" si="633"/>
        <v>Break Even</v>
      </c>
      <c r="G833" s="4">
        <f t="shared" si="634"/>
        <v>0</v>
      </c>
      <c r="N833" s="5">
        <f t="shared" si="635"/>
        <v>0</v>
      </c>
      <c r="O833" s="4" t="e">
        <f t="shared" si="636"/>
        <v>#DIV/0!</v>
      </c>
      <c r="P833" s="5">
        <f t="shared" si="595"/>
        <v>0</v>
      </c>
      <c r="R833" s="2">
        <f t="shared" si="639"/>
        <v>0</v>
      </c>
      <c r="T833" s="2">
        <f t="shared" si="623"/>
        <v>0</v>
      </c>
      <c r="V833" s="5">
        <f t="shared" si="637"/>
        <v>0</v>
      </c>
      <c r="W833" s="4" t="e">
        <f t="shared" si="638"/>
        <v>#DIV/0!</v>
      </c>
      <c r="X833" s="14">
        <f t="shared" si="596"/>
        <v>0</v>
      </c>
      <c r="Y833" s="5">
        <f t="shared" si="597"/>
        <v>0</v>
      </c>
      <c r="Z833" s="2">
        <f t="shared" si="598"/>
        <v>0</v>
      </c>
      <c r="AA833" s="4">
        <f t="shared" si="599"/>
        <v>0</v>
      </c>
      <c r="AB833" s="13">
        <f t="shared" si="600"/>
        <v>0</v>
      </c>
      <c r="AC833" s="10">
        <f>SUM($E$4:E833)</f>
        <v>-22024.091160220025</v>
      </c>
      <c r="AD833" s="20">
        <f>SUM($AB$4:AB833)</f>
        <v>13539.766460219998</v>
      </c>
      <c r="AF833" s="28" t="e">
        <f t="shared" si="601"/>
        <v>#DIV/0!</v>
      </c>
      <c r="AG833" s="2" t="e">
        <f t="shared" si="602"/>
        <v>#DIV/0!</v>
      </c>
      <c r="AH833" s="2" t="e">
        <f t="shared" si="603"/>
        <v>#DIV/0!</v>
      </c>
      <c r="AI833" s="2" t="e">
        <f t="shared" si="624"/>
        <v>#DIV/0!</v>
      </c>
      <c r="AJ833" s="2" t="e">
        <f t="shared" si="640"/>
        <v>#DIV/0!</v>
      </c>
      <c r="AK833" s="2" t="e">
        <f t="shared" si="604"/>
        <v>#DIV/0!</v>
      </c>
      <c r="AL833" s="2" t="e">
        <f t="shared" si="605"/>
        <v>#DIV/0!</v>
      </c>
      <c r="AM833" s="2" t="e">
        <f t="shared" si="625"/>
        <v>#DIV/0!</v>
      </c>
      <c r="AN833" s="2">
        <f t="shared" si="606"/>
        <v>0</v>
      </c>
      <c r="AO833" s="2" t="e">
        <f t="shared" si="607"/>
        <v>#DIV/0!</v>
      </c>
      <c r="AP833" s="2" t="e">
        <f t="shared" si="608"/>
        <v>#DIV/0!</v>
      </c>
      <c r="AQ833" s="2" t="e">
        <f t="shared" si="626"/>
        <v>#DIV/0!</v>
      </c>
      <c r="AR833" s="2" t="e">
        <f t="shared" si="641"/>
        <v>#DIV/0!</v>
      </c>
      <c r="AS833" s="2" t="e">
        <f t="shared" si="609"/>
        <v>#DIV/0!</v>
      </c>
      <c r="AT833" s="2" t="e">
        <f t="shared" si="610"/>
        <v>#DIV/0!</v>
      </c>
      <c r="AU833" s="2" t="e">
        <f t="shared" si="627"/>
        <v>#DIV/0!</v>
      </c>
      <c r="AV833" s="2" t="e">
        <f t="shared" si="611"/>
        <v>#DIV/0!</v>
      </c>
      <c r="AW833" s="2" t="e">
        <f t="shared" si="612"/>
        <v>#DIV/0!</v>
      </c>
      <c r="AX833" s="2" t="e">
        <f t="shared" si="613"/>
        <v>#DIV/0!</v>
      </c>
      <c r="AY833" s="2" t="e">
        <f t="shared" si="628"/>
        <v>#DIV/0!</v>
      </c>
      <c r="AZ833" s="2" t="e">
        <f t="shared" si="642"/>
        <v>#DIV/0!</v>
      </c>
      <c r="BA833" s="2" t="e">
        <f t="shared" si="614"/>
        <v>#DIV/0!</v>
      </c>
      <c r="BB833" s="2" t="e">
        <f t="shared" si="615"/>
        <v>#DIV/0!</v>
      </c>
      <c r="BC833" s="2" t="e">
        <f t="shared" si="629"/>
        <v>#DIV/0!</v>
      </c>
      <c r="BD833" s="2">
        <v>0</v>
      </c>
      <c r="BE833" s="2" t="e">
        <f t="shared" si="616"/>
        <v>#DIV/0!</v>
      </c>
      <c r="BF833" s="2" t="e">
        <f t="shared" si="617"/>
        <v>#DIV/0!</v>
      </c>
      <c r="BG833" s="2" t="e">
        <f t="shared" si="630"/>
        <v>#DIV/0!</v>
      </c>
      <c r="BH833" s="2" t="e">
        <f t="shared" si="643"/>
        <v>#DIV/0!</v>
      </c>
      <c r="BI833" s="2" t="e">
        <f t="shared" si="618"/>
        <v>#DIV/0!</v>
      </c>
      <c r="BJ833" s="2" t="e">
        <f t="shared" si="619"/>
        <v>#DIV/0!</v>
      </c>
      <c r="BK833" s="2" t="e">
        <f t="shared" si="631"/>
        <v>#DIV/0!</v>
      </c>
      <c r="BL833" s="2" t="e">
        <f t="shared" si="620"/>
        <v>#DIV/0!</v>
      </c>
      <c r="BM833" s="2" t="e">
        <f t="shared" si="621"/>
        <v>#DIV/0!</v>
      </c>
      <c r="BN833" s="2" t="e">
        <f t="shared" si="632"/>
        <v>#DIV/0!</v>
      </c>
    </row>
    <row r="834" spans="1:66" x14ac:dyDescent="0.25">
      <c r="A834" s="42">
        <v>831</v>
      </c>
      <c r="E834" s="6">
        <f t="shared" si="622"/>
        <v>0</v>
      </c>
      <c r="F834" s="5" t="str">
        <f t="shared" si="633"/>
        <v>Break Even</v>
      </c>
      <c r="G834" s="4">
        <f t="shared" si="634"/>
        <v>0</v>
      </c>
      <c r="N834" s="5">
        <f t="shared" si="635"/>
        <v>0</v>
      </c>
      <c r="O834" s="4" t="e">
        <f t="shared" si="636"/>
        <v>#DIV/0!</v>
      </c>
      <c r="P834" s="5">
        <f t="shared" si="595"/>
        <v>0</v>
      </c>
      <c r="R834" s="2">
        <f t="shared" si="639"/>
        <v>0</v>
      </c>
      <c r="T834" s="2">
        <f t="shared" si="623"/>
        <v>0</v>
      </c>
      <c r="V834" s="5">
        <f t="shared" si="637"/>
        <v>0</v>
      </c>
      <c r="W834" s="4" t="e">
        <f t="shared" si="638"/>
        <v>#DIV/0!</v>
      </c>
      <c r="X834" s="14">
        <f t="shared" si="596"/>
        <v>0</v>
      </c>
      <c r="Y834" s="5">
        <f t="shared" si="597"/>
        <v>0</v>
      </c>
      <c r="Z834" s="2">
        <f t="shared" si="598"/>
        <v>0</v>
      </c>
      <c r="AA834" s="4">
        <f t="shared" si="599"/>
        <v>0</v>
      </c>
      <c r="AB834" s="13">
        <f t="shared" si="600"/>
        <v>0</v>
      </c>
      <c r="AC834" s="10">
        <f>SUM($E$4:E834)</f>
        <v>-22024.091160220025</v>
      </c>
      <c r="AD834" s="20">
        <f>SUM($AB$4:AB834)</f>
        <v>13539.766460219998</v>
      </c>
      <c r="AF834" s="28" t="e">
        <f t="shared" si="601"/>
        <v>#DIV/0!</v>
      </c>
      <c r="AG834" s="2" t="e">
        <f t="shared" si="602"/>
        <v>#DIV/0!</v>
      </c>
      <c r="AH834" s="2" t="e">
        <f t="shared" si="603"/>
        <v>#DIV/0!</v>
      </c>
      <c r="AI834" s="2" t="e">
        <f t="shared" si="624"/>
        <v>#DIV/0!</v>
      </c>
      <c r="AJ834" s="2" t="e">
        <f t="shared" si="640"/>
        <v>#DIV/0!</v>
      </c>
      <c r="AK834" s="2" t="e">
        <f t="shared" si="604"/>
        <v>#DIV/0!</v>
      </c>
      <c r="AL834" s="2" t="e">
        <f t="shared" si="605"/>
        <v>#DIV/0!</v>
      </c>
      <c r="AM834" s="2" t="e">
        <f t="shared" si="625"/>
        <v>#DIV/0!</v>
      </c>
      <c r="AN834" s="2">
        <f t="shared" si="606"/>
        <v>0</v>
      </c>
      <c r="AO834" s="2" t="e">
        <f t="shared" si="607"/>
        <v>#DIV/0!</v>
      </c>
      <c r="AP834" s="2" t="e">
        <f t="shared" si="608"/>
        <v>#DIV/0!</v>
      </c>
      <c r="AQ834" s="2" t="e">
        <f t="shared" si="626"/>
        <v>#DIV/0!</v>
      </c>
      <c r="AR834" s="2" t="e">
        <f t="shared" si="641"/>
        <v>#DIV/0!</v>
      </c>
      <c r="AS834" s="2" t="e">
        <f t="shared" si="609"/>
        <v>#DIV/0!</v>
      </c>
      <c r="AT834" s="2" t="e">
        <f t="shared" si="610"/>
        <v>#DIV/0!</v>
      </c>
      <c r="AU834" s="2" t="e">
        <f t="shared" si="627"/>
        <v>#DIV/0!</v>
      </c>
      <c r="AV834" s="2" t="e">
        <f t="shared" si="611"/>
        <v>#DIV/0!</v>
      </c>
      <c r="AW834" s="2" t="e">
        <f t="shared" si="612"/>
        <v>#DIV/0!</v>
      </c>
      <c r="AX834" s="2" t="e">
        <f t="shared" si="613"/>
        <v>#DIV/0!</v>
      </c>
      <c r="AY834" s="2" t="e">
        <f t="shared" si="628"/>
        <v>#DIV/0!</v>
      </c>
      <c r="AZ834" s="2" t="e">
        <f t="shared" si="642"/>
        <v>#DIV/0!</v>
      </c>
      <c r="BA834" s="2" t="e">
        <f t="shared" si="614"/>
        <v>#DIV/0!</v>
      </c>
      <c r="BB834" s="2" t="e">
        <f t="shared" si="615"/>
        <v>#DIV/0!</v>
      </c>
      <c r="BC834" s="2" t="e">
        <f t="shared" si="629"/>
        <v>#DIV/0!</v>
      </c>
      <c r="BD834" s="2">
        <v>0</v>
      </c>
      <c r="BE834" s="2" t="e">
        <f t="shared" si="616"/>
        <v>#DIV/0!</v>
      </c>
      <c r="BF834" s="2" t="e">
        <f t="shared" si="617"/>
        <v>#DIV/0!</v>
      </c>
      <c r="BG834" s="2" t="e">
        <f t="shared" si="630"/>
        <v>#DIV/0!</v>
      </c>
      <c r="BH834" s="2" t="e">
        <f t="shared" si="643"/>
        <v>#DIV/0!</v>
      </c>
      <c r="BI834" s="2" t="e">
        <f t="shared" si="618"/>
        <v>#DIV/0!</v>
      </c>
      <c r="BJ834" s="2" t="e">
        <f t="shared" si="619"/>
        <v>#DIV/0!</v>
      </c>
      <c r="BK834" s="2" t="e">
        <f t="shared" si="631"/>
        <v>#DIV/0!</v>
      </c>
      <c r="BL834" s="2" t="e">
        <f t="shared" si="620"/>
        <v>#DIV/0!</v>
      </c>
      <c r="BM834" s="2" t="e">
        <f t="shared" si="621"/>
        <v>#DIV/0!</v>
      </c>
      <c r="BN834" s="2" t="e">
        <f t="shared" si="632"/>
        <v>#DIV/0!</v>
      </c>
    </row>
    <row r="835" spans="1:66" x14ac:dyDescent="0.25">
      <c r="A835" s="42">
        <v>832</v>
      </c>
      <c r="E835" s="6">
        <f t="shared" si="622"/>
        <v>0</v>
      </c>
      <c r="F835" s="5" t="str">
        <f t="shared" si="633"/>
        <v>Break Even</v>
      </c>
      <c r="G835" s="4">
        <f t="shared" si="634"/>
        <v>0</v>
      </c>
      <c r="N835" s="5">
        <f t="shared" si="635"/>
        <v>0</v>
      </c>
      <c r="O835" s="4" t="e">
        <f t="shared" si="636"/>
        <v>#DIV/0!</v>
      </c>
      <c r="P835" s="5">
        <f t="shared" si="595"/>
        <v>0</v>
      </c>
      <c r="R835" s="2">
        <f t="shared" si="639"/>
        <v>0</v>
      </c>
      <c r="T835" s="2">
        <f t="shared" si="623"/>
        <v>0</v>
      </c>
      <c r="V835" s="5">
        <f t="shared" si="637"/>
        <v>0</v>
      </c>
      <c r="W835" s="4" t="e">
        <f t="shared" si="638"/>
        <v>#DIV/0!</v>
      </c>
      <c r="X835" s="14">
        <f t="shared" si="596"/>
        <v>0</v>
      </c>
      <c r="Y835" s="5">
        <f t="shared" si="597"/>
        <v>0</v>
      </c>
      <c r="Z835" s="2">
        <f t="shared" si="598"/>
        <v>0</v>
      </c>
      <c r="AA835" s="4">
        <f t="shared" si="599"/>
        <v>0</v>
      </c>
      <c r="AB835" s="13">
        <f t="shared" si="600"/>
        <v>0</v>
      </c>
      <c r="AC835" s="10">
        <f>SUM($E$4:E835)</f>
        <v>-22024.091160220025</v>
      </c>
      <c r="AD835" s="20">
        <f>SUM($AB$4:AB835)</f>
        <v>13539.766460219998</v>
      </c>
      <c r="AF835" s="28" t="e">
        <f t="shared" si="601"/>
        <v>#DIV/0!</v>
      </c>
      <c r="AG835" s="2" t="e">
        <f t="shared" si="602"/>
        <v>#DIV/0!</v>
      </c>
      <c r="AH835" s="2" t="e">
        <f t="shared" si="603"/>
        <v>#DIV/0!</v>
      </c>
      <c r="AI835" s="2" t="e">
        <f t="shared" si="624"/>
        <v>#DIV/0!</v>
      </c>
      <c r="AJ835" s="2" t="e">
        <f t="shared" si="640"/>
        <v>#DIV/0!</v>
      </c>
      <c r="AK835" s="2" t="e">
        <f t="shared" si="604"/>
        <v>#DIV/0!</v>
      </c>
      <c r="AL835" s="2" t="e">
        <f t="shared" si="605"/>
        <v>#DIV/0!</v>
      </c>
      <c r="AM835" s="2" t="e">
        <f t="shared" si="625"/>
        <v>#DIV/0!</v>
      </c>
      <c r="AN835" s="2">
        <f t="shared" si="606"/>
        <v>0</v>
      </c>
      <c r="AO835" s="2" t="e">
        <f t="shared" si="607"/>
        <v>#DIV/0!</v>
      </c>
      <c r="AP835" s="2" t="e">
        <f t="shared" si="608"/>
        <v>#DIV/0!</v>
      </c>
      <c r="AQ835" s="2" t="e">
        <f t="shared" si="626"/>
        <v>#DIV/0!</v>
      </c>
      <c r="AR835" s="2" t="e">
        <f t="shared" si="641"/>
        <v>#DIV/0!</v>
      </c>
      <c r="AS835" s="2" t="e">
        <f t="shared" si="609"/>
        <v>#DIV/0!</v>
      </c>
      <c r="AT835" s="2" t="e">
        <f t="shared" si="610"/>
        <v>#DIV/0!</v>
      </c>
      <c r="AU835" s="2" t="e">
        <f t="shared" si="627"/>
        <v>#DIV/0!</v>
      </c>
      <c r="AV835" s="2" t="e">
        <f t="shared" si="611"/>
        <v>#DIV/0!</v>
      </c>
      <c r="AW835" s="2" t="e">
        <f t="shared" si="612"/>
        <v>#DIV/0!</v>
      </c>
      <c r="AX835" s="2" t="e">
        <f t="shared" si="613"/>
        <v>#DIV/0!</v>
      </c>
      <c r="AY835" s="2" t="e">
        <f t="shared" si="628"/>
        <v>#DIV/0!</v>
      </c>
      <c r="AZ835" s="2" t="e">
        <f t="shared" si="642"/>
        <v>#DIV/0!</v>
      </c>
      <c r="BA835" s="2" t="e">
        <f t="shared" si="614"/>
        <v>#DIV/0!</v>
      </c>
      <c r="BB835" s="2" t="e">
        <f t="shared" si="615"/>
        <v>#DIV/0!</v>
      </c>
      <c r="BC835" s="2" t="e">
        <f t="shared" si="629"/>
        <v>#DIV/0!</v>
      </c>
      <c r="BD835" s="2">
        <v>0</v>
      </c>
      <c r="BE835" s="2" t="e">
        <f t="shared" si="616"/>
        <v>#DIV/0!</v>
      </c>
      <c r="BF835" s="2" t="e">
        <f t="shared" si="617"/>
        <v>#DIV/0!</v>
      </c>
      <c r="BG835" s="2" t="e">
        <f t="shared" si="630"/>
        <v>#DIV/0!</v>
      </c>
      <c r="BH835" s="2" t="e">
        <f t="shared" si="643"/>
        <v>#DIV/0!</v>
      </c>
      <c r="BI835" s="2" t="e">
        <f t="shared" si="618"/>
        <v>#DIV/0!</v>
      </c>
      <c r="BJ835" s="2" t="e">
        <f t="shared" si="619"/>
        <v>#DIV/0!</v>
      </c>
      <c r="BK835" s="2" t="e">
        <f t="shared" si="631"/>
        <v>#DIV/0!</v>
      </c>
      <c r="BL835" s="2" t="e">
        <f t="shared" si="620"/>
        <v>#DIV/0!</v>
      </c>
      <c r="BM835" s="2" t="e">
        <f t="shared" si="621"/>
        <v>#DIV/0!</v>
      </c>
      <c r="BN835" s="2" t="e">
        <f t="shared" si="632"/>
        <v>#DIV/0!</v>
      </c>
    </row>
    <row r="836" spans="1:66" x14ac:dyDescent="0.25">
      <c r="A836" s="42">
        <v>833</v>
      </c>
      <c r="E836" s="6">
        <f t="shared" si="622"/>
        <v>0</v>
      </c>
      <c r="F836" s="5" t="str">
        <f t="shared" si="633"/>
        <v>Break Even</v>
      </c>
      <c r="G836" s="4">
        <f t="shared" si="634"/>
        <v>0</v>
      </c>
      <c r="N836" s="5">
        <f t="shared" si="635"/>
        <v>0</v>
      </c>
      <c r="O836" s="4" t="e">
        <f t="shared" si="636"/>
        <v>#DIV/0!</v>
      </c>
      <c r="P836" s="5">
        <f t="shared" ref="P836:P899" si="644">H836</f>
        <v>0</v>
      </c>
      <c r="R836" s="2">
        <f t="shared" si="639"/>
        <v>0</v>
      </c>
      <c r="T836" s="2">
        <f t="shared" si="623"/>
        <v>0</v>
      </c>
      <c r="V836" s="5">
        <f t="shared" si="637"/>
        <v>0</v>
      </c>
      <c r="W836" s="4" t="e">
        <f t="shared" si="638"/>
        <v>#DIV/0!</v>
      </c>
      <c r="X836" s="14">
        <f t="shared" ref="X836:X899" si="645">MAX(Q836,S836,U836)-MIN(I836,K836,M836)</f>
        <v>0</v>
      </c>
      <c r="Y836" s="5">
        <f t="shared" ref="Y836:Y899" si="646">P836*(Q836-I836)</f>
        <v>0</v>
      </c>
      <c r="Z836" s="2">
        <f t="shared" ref="Z836:Z899" si="647">R836*(S836-K836)</f>
        <v>0</v>
      </c>
      <c r="AA836" s="4">
        <f t="shared" ref="AA836:AA899" si="648">T836*(U836-M836)</f>
        <v>0</v>
      </c>
      <c r="AB836" s="13">
        <f t="shared" ref="AB836:AB899" si="649">IF(C836="EQ Intraday",AM836,IF(C836="Index Option",AU836,IF(C836="Index Future",BC836,IF(C836="EQ Delivery",BK836,IF(C836="Stock Option",AU836,IF(C836="Stock Future",BC836,IF(C836="",0,"Error")))))))</f>
        <v>0</v>
      </c>
      <c r="AC836" s="10">
        <f>SUM($E$4:E836)</f>
        <v>-22024.091160220025</v>
      </c>
      <c r="AD836" s="20">
        <f>SUM($AB$4:AB836)</f>
        <v>13539.766460219998</v>
      </c>
      <c r="AF836" s="28" t="e">
        <f t="shared" ref="AF836:AF899" si="650">MIN(IF(ISBLANK(U836)=FALSE,120,IF(ISBLANK(S836)=FALSE,80,40)),(((V836*W836)+(N836*O836))*0.0001))</f>
        <v>#DIV/0!</v>
      </c>
      <c r="AG836" s="2" t="e">
        <f t="shared" ref="AG836:AG899" si="651">(0.00025*V836*W836)</f>
        <v>#DIV/0!</v>
      </c>
      <c r="AH836" s="2" t="e">
        <f t="shared" ref="AH836:AH899" si="652">(0.0000325*((V836*W836)+(N836*O836)))</f>
        <v>#DIV/0!</v>
      </c>
      <c r="AI836" s="2" t="e">
        <f t="shared" si="624"/>
        <v>#DIV/0!</v>
      </c>
      <c r="AJ836" s="2" t="e">
        <f t="shared" si="640"/>
        <v>#DIV/0!</v>
      </c>
      <c r="AK836" s="2" t="e">
        <f t="shared" ref="AK836:AK899" si="653">(((V836*W836)+(N836*O836))/10000000)*20</f>
        <v>#DIV/0!</v>
      </c>
      <c r="AL836" s="2" t="e">
        <f t="shared" ref="AL836:AL899" si="654">0.00006*((V836*W836)+(N836*O836))</f>
        <v>#DIV/0!</v>
      </c>
      <c r="AM836" s="2" t="e">
        <f t="shared" si="625"/>
        <v>#DIV/0!</v>
      </c>
      <c r="AN836" s="2">
        <f t="shared" ref="AN836:AN899" si="655">COUNT(H836,J836,L836)*40</f>
        <v>0</v>
      </c>
      <c r="AO836" s="2" t="e">
        <f t="shared" ref="AO836:AO899" si="656">0.0005*V836*W836</f>
        <v>#DIV/0!</v>
      </c>
      <c r="AP836" s="2" t="e">
        <f t="shared" ref="AP836:AP899" si="657">0.00053*((N836*O836)+(V836*W836))</f>
        <v>#DIV/0!</v>
      </c>
      <c r="AQ836" s="2" t="e">
        <f t="shared" si="626"/>
        <v>#DIV/0!</v>
      </c>
      <c r="AR836" s="2" t="e">
        <f t="shared" si="641"/>
        <v>#DIV/0!</v>
      </c>
      <c r="AS836" s="2" t="e">
        <f t="shared" ref="AS836:AS899" si="658">(((V836*W836)+(N836*O836))/10000000)*20</f>
        <v>#DIV/0!</v>
      </c>
      <c r="AT836" s="2" t="e">
        <f t="shared" ref="AT836:AT899" si="659">0.00006*((V836*W836)+(N836*O836))</f>
        <v>#DIV/0!</v>
      </c>
      <c r="AU836" s="2" t="e">
        <f t="shared" si="627"/>
        <v>#DIV/0!</v>
      </c>
      <c r="AV836" s="2" t="e">
        <f t="shared" ref="AV836:AV899" si="660">MIN(IF(ISBLANK(U836)=FALSE,120,IF(ISBLANK(S836)=FALSE,80,40)),(((V836*W836)+(N836*O836))*0.0001))</f>
        <v>#DIV/0!</v>
      </c>
      <c r="AW836" s="2" t="e">
        <f t="shared" ref="AW836:AW899" si="661">0.0001*V836*W836</f>
        <v>#DIV/0!</v>
      </c>
      <c r="AX836" s="2" t="e">
        <f t="shared" ref="AX836:AX899" si="662">0.000021*((N836*O836)+(V836*W836))</f>
        <v>#DIV/0!</v>
      </c>
      <c r="AY836" s="2" t="e">
        <f t="shared" si="628"/>
        <v>#DIV/0!</v>
      </c>
      <c r="AZ836" s="2" t="e">
        <f t="shared" si="642"/>
        <v>#DIV/0!</v>
      </c>
      <c r="BA836" s="2" t="e">
        <f t="shared" ref="BA836:BA899" si="663">(((V836*W836)+(N836*O836))/10000000)*20</f>
        <v>#DIV/0!</v>
      </c>
      <c r="BB836" s="2" t="e">
        <f t="shared" ref="BB836:BB899" si="664">0.00006*((V836*W836)+(N836*O836))</f>
        <v>#DIV/0!</v>
      </c>
      <c r="BC836" s="2" t="e">
        <f t="shared" si="629"/>
        <v>#DIV/0!</v>
      </c>
      <c r="BD836" s="2">
        <v>0</v>
      </c>
      <c r="BE836" s="2" t="e">
        <f t="shared" ref="BE836:BE899" si="665">0.001*((N836*O836)+(V836*W836))</f>
        <v>#DIV/0!</v>
      </c>
      <c r="BF836" s="2" t="e">
        <f t="shared" ref="BF836:BF899" si="666">(0.0000325*((V836*W836)+(N836*O836)))</f>
        <v>#DIV/0!</v>
      </c>
      <c r="BG836" s="2" t="e">
        <f t="shared" si="630"/>
        <v>#DIV/0!</v>
      </c>
      <c r="BH836" s="2" t="e">
        <f t="shared" si="643"/>
        <v>#DIV/0!</v>
      </c>
      <c r="BI836" s="2" t="e">
        <f t="shared" ref="BI836:BI899" si="667">(((V836*W836)+(N836*O836))/10000000)*20</f>
        <v>#DIV/0!</v>
      </c>
      <c r="BJ836" s="2" t="e">
        <f t="shared" ref="BJ836:BJ899" si="668">0.00006*((V836*W836)+(N836*O836))</f>
        <v>#DIV/0!</v>
      </c>
      <c r="BK836" s="2" t="e">
        <f t="shared" si="631"/>
        <v>#DIV/0!</v>
      </c>
      <c r="BL836" s="2" t="e">
        <f t="shared" ref="BL836:BL899" si="669">N836*O836</f>
        <v>#DIV/0!</v>
      </c>
      <c r="BM836" s="2" t="e">
        <f t="shared" ref="BM836:BM899" si="670">V836*W836</f>
        <v>#DIV/0!</v>
      </c>
      <c r="BN836" s="2" t="e">
        <f t="shared" si="632"/>
        <v>#DIV/0!</v>
      </c>
    </row>
    <row r="837" spans="1:66" x14ac:dyDescent="0.25">
      <c r="A837" s="42">
        <v>834</v>
      </c>
      <c r="E837" s="6">
        <f t="shared" ref="E837:E900" si="671">G837-AB837</f>
        <v>0</v>
      </c>
      <c r="F837" s="5" t="str">
        <f t="shared" si="633"/>
        <v>Break Even</v>
      </c>
      <c r="G837" s="4">
        <f t="shared" si="634"/>
        <v>0</v>
      </c>
      <c r="N837" s="5">
        <f t="shared" si="635"/>
        <v>0</v>
      </c>
      <c r="O837" s="4" t="e">
        <f t="shared" si="636"/>
        <v>#DIV/0!</v>
      </c>
      <c r="P837" s="5">
        <f t="shared" si="644"/>
        <v>0</v>
      </c>
      <c r="R837" s="2">
        <f t="shared" si="639"/>
        <v>0</v>
      </c>
      <c r="T837" s="2">
        <f t="shared" ref="T837:T900" si="672">L837</f>
        <v>0</v>
      </c>
      <c r="V837" s="5">
        <f t="shared" si="637"/>
        <v>0</v>
      </c>
      <c r="W837" s="4" t="e">
        <f t="shared" si="638"/>
        <v>#DIV/0!</v>
      </c>
      <c r="X837" s="14">
        <f t="shared" si="645"/>
        <v>0</v>
      </c>
      <c r="Y837" s="5">
        <f t="shared" si="646"/>
        <v>0</v>
      </c>
      <c r="Z837" s="2">
        <f t="shared" si="647"/>
        <v>0</v>
      </c>
      <c r="AA837" s="4">
        <f t="shared" si="648"/>
        <v>0</v>
      </c>
      <c r="AB837" s="13">
        <f t="shared" si="649"/>
        <v>0</v>
      </c>
      <c r="AC837" s="10">
        <f>SUM($E$4:E837)</f>
        <v>-22024.091160220025</v>
      </c>
      <c r="AD837" s="20">
        <f>SUM($AB$4:AB837)</f>
        <v>13539.766460219998</v>
      </c>
      <c r="AF837" s="28" t="e">
        <f t="shared" si="650"/>
        <v>#DIV/0!</v>
      </c>
      <c r="AG837" s="2" t="e">
        <f t="shared" si="651"/>
        <v>#DIV/0!</v>
      </c>
      <c r="AH837" s="2" t="e">
        <f t="shared" si="652"/>
        <v>#DIV/0!</v>
      </c>
      <c r="AI837" s="2" t="e">
        <f t="shared" ref="AI837:AI900" si="673">AH837+AF837</f>
        <v>#DIV/0!</v>
      </c>
      <c r="AJ837" s="2" t="e">
        <f t="shared" si="640"/>
        <v>#DIV/0!</v>
      </c>
      <c r="AK837" s="2" t="e">
        <f t="shared" si="653"/>
        <v>#DIV/0!</v>
      </c>
      <c r="AL837" s="2" t="e">
        <f t="shared" si="654"/>
        <v>#DIV/0!</v>
      </c>
      <c r="AM837" s="2" t="e">
        <f t="shared" ref="AM837:AM900" si="674">SUM(AF837:AH837,AJ837:AL837)</f>
        <v>#DIV/0!</v>
      </c>
      <c r="AN837" s="2">
        <f t="shared" si="655"/>
        <v>0</v>
      </c>
      <c r="AO837" s="2" t="e">
        <f t="shared" si="656"/>
        <v>#DIV/0!</v>
      </c>
      <c r="AP837" s="2" t="e">
        <f t="shared" si="657"/>
        <v>#DIV/0!</v>
      </c>
      <c r="AQ837" s="2" t="e">
        <f t="shared" ref="AQ837:AQ900" si="675">AN837+AP837</f>
        <v>#DIV/0!</v>
      </c>
      <c r="AR837" s="2" t="e">
        <f t="shared" si="641"/>
        <v>#DIV/0!</v>
      </c>
      <c r="AS837" s="2" t="e">
        <f t="shared" si="658"/>
        <v>#DIV/0!</v>
      </c>
      <c r="AT837" s="2" t="e">
        <f t="shared" si="659"/>
        <v>#DIV/0!</v>
      </c>
      <c r="AU837" s="2" t="e">
        <f t="shared" ref="AU837:AU900" si="676">SUM(AN837:AP837,AR837:AT837)</f>
        <v>#DIV/0!</v>
      </c>
      <c r="AV837" s="2" t="e">
        <f t="shared" si="660"/>
        <v>#DIV/0!</v>
      </c>
      <c r="AW837" s="2" t="e">
        <f t="shared" si="661"/>
        <v>#DIV/0!</v>
      </c>
      <c r="AX837" s="2" t="e">
        <f t="shared" si="662"/>
        <v>#DIV/0!</v>
      </c>
      <c r="AY837" s="2" t="e">
        <f t="shared" ref="AY837:AY900" si="677">AV837+AX837</f>
        <v>#DIV/0!</v>
      </c>
      <c r="AZ837" s="2" t="e">
        <f t="shared" si="642"/>
        <v>#DIV/0!</v>
      </c>
      <c r="BA837" s="2" t="e">
        <f t="shared" si="663"/>
        <v>#DIV/0!</v>
      </c>
      <c r="BB837" s="2" t="e">
        <f t="shared" si="664"/>
        <v>#DIV/0!</v>
      </c>
      <c r="BC837" s="2" t="e">
        <f t="shared" ref="BC837:BC900" si="678">SUM(AV837:AX837,AZ837:BB837)</f>
        <v>#DIV/0!</v>
      </c>
      <c r="BD837" s="2">
        <v>0</v>
      </c>
      <c r="BE837" s="2" t="e">
        <f t="shared" si="665"/>
        <v>#DIV/0!</v>
      </c>
      <c r="BF837" s="2" t="e">
        <f t="shared" si="666"/>
        <v>#DIV/0!</v>
      </c>
      <c r="BG837" s="2" t="e">
        <f t="shared" ref="BG837:BG900" si="679">BD837+BF837</f>
        <v>#DIV/0!</v>
      </c>
      <c r="BH837" s="2" t="e">
        <f t="shared" si="643"/>
        <v>#DIV/0!</v>
      </c>
      <c r="BI837" s="2" t="e">
        <f t="shared" si="667"/>
        <v>#DIV/0!</v>
      </c>
      <c r="BJ837" s="2" t="e">
        <f t="shared" si="668"/>
        <v>#DIV/0!</v>
      </c>
      <c r="BK837" s="2" t="e">
        <f t="shared" ref="BK837:BK900" si="680">SUM(BD837:BF837,BH837:BJ837)</f>
        <v>#DIV/0!</v>
      </c>
      <c r="BL837" s="2" t="e">
        <f t="shared" si="669"/>
        <v>#DIV/0!</v>
      </c>
      <c r="BM837" s="2" t="e">
        <f t="shared" si="670"/>
        <v>#DIV/0!</v>
      </c>
      <c r="BN837" s="2" t="e">
        <f t="shared" ref="BN837:BN900" si="681">BM837+BL837</f>
        <v>#DIV/0!</v>
      </c>
    </row>
    <row r="838" spans="1:66" x14ac:dyDescent="0.25">
      <c r="A838" s="42">
        <v>835</v>
      </c>
      <c r="E838" s="6">
        <f t="shared" si="671"/>
        <v>0</v>
      </c>
      <c r="F838" s="5" t="str">
        <f t="shared" ref="F838:F901" si="682">IF(G838&gt;0,"Win",IF(G838=0,"Break Even","Loss"))</f>
        <v>Break Even</v>
      </c>
      <c r="G838" s="4">
        <f t="shared" ref="G838:G901" si="683">SUM(Y838,Z838,AA838)</f>
        <v>0</v>
      </c>
      <c r="N838" s="5">
        <f t="shared" ref="N838:N901" si="684">SUM(H838,J838,L838)</f>
        <v>0</v>
      </c>
      <c r="O838" s="4" t="e">
        <f t="shared" ref="O838:O901" si="685">AVERAGE(M838,K838,I838)</f>
        <v>#DIV/0!</v>
      </c>
      <c r="P838" s="5">
        <f t="shared" si="644"/>
        <v>0</v>
      </c>
      <c r="R838" s="2">
        <f t="shared" si="639"/>
        <v>0</v>
      </c>
      <c r="T838" s="2">
        <f t="shared" si="672"/>
        <v>0</v>
      </c>
      <c r="V838" s="5">
        <f t="shared" ref="V838:V901" si="686">SUM(P838,R838,T838)</f>
        <v>0</v>
      </c>
      <c r="W838" s="4" t="e">
        <f t="shared" ref="W838:W901" si="687">AVERAGE(Q838,S838,U838)</f>
        <v>#DIV/0!</v>
      </c>
      <c r="X838" s="14">
        <f t="shared" si="645"/>
        <v>0</v>
      </c>
      <c r="Y838" s="5">
        <f t="shared" si="646"/>
        <v>0</v>
      </c>
      <c r="Z838" s="2">
        <f t="shared" si="647"/>
        <v>0</v>
      </c>
      <c r="AA838" s="4">
        <f t="shared" si="648"/>
        <v>0</v>
      </c>
      <c r="AB838" s="13">
        <f t="shared" si="649"/>
        <v>0</v>
      </c>
      <c r="AC838" s="10">
        <f>SUM($E$4:E838)</f>
        <v>-22024.091160220025</v>
      </c>
      <c r="AD838" s="20">
        <f>SUM($AB$4:AB838)</f>
        <v>13539.766460219998</v>
      </c>
      <c r="AF838" s="28" t="e">
        <f t="shared" si="650"/>
        <v>#DIV/0!</v>
      </c>
      <c r="AG838" s="2" t="e">
        <f t="shared" si="651"/>
        <v>#DIV/0!</v>
      </c>
      <c r="AH838" s="2" t="e">
        <f t="shared" si="652"/>
        <v>#DIV/0!</v>
      </c>
      <c r="AI838" s="2" t="e">
        <f t="shared" si="673"/>
        <v>#DIV/0!</v>
      </c>
      <c r="AJ838" s="2" t="e">
        <f t="shared" si="640"/>
        <v>#DIV/0!</v>
      </c>
      <c r="AK838" s="2" t="e">
        <f t="shared" si="653"/>
        <v>#DIV/0!</v>
      </c>
      <c r="AL838" s="2" t="e">
        <f t="shared" si="654"/>
        <v>#DIV/0!</v>
      </c>
      <c r="AM838" s="2" t="e">
        <f t="shared" si="674"/>
        <v>#DIV/0!</v>
      </c>
      <c r="AN838" s="2">
        <f t="shared" si="655"/>
        <v>0</v>
      </c>
      <c r="AO838" s="2" t="e">
        <f t="shared" si="656"/>
        <v>#DIV/0!</v>
      </c>
      <c r="AP838" s="2" t="e">
        <f t="shared" si="657"/>
        <v>#DIV/0!</v>
      </c>
      <c r="AQ838" s="2" t="e">
        <f t="shared" si="675"/>
        <v>#DIV/0!</v>
      </c>
      <c r="AR838" s="2" t="e">
        <f t="shared" si="641"/>
        <v>#DIV/0!</v>
      </c>
      <c r="AS838" s="2" t="e">
        <f t="shared" si="658"/>
        <v>#DIV/0!</v>
      </c>
      <c r="AT838" s="2" t="e">
        <f t="shared" si="659"/>
        <v>#DIV/0!</v>
      </c>
      <c r="AU838" s="2" t="e">
        <f t="shared" si="676"/>
        <v>#DIV/0!</v>
      </c>
      <c r="AV838" s="2" t="e">
        <f t="shared" si="660"/>
        <v>#DIV/0!</v>
      </c>
      <c r="AW838" s="2" t="e">
        <f t="shared" si="661"/>
        <v>#DIV/0!</v>
      </c>
      <c r="AX838" s="2" t="e">
        <f t="shared" si="662"/>
        <v>#DIV/0!</v>
      </c>
      <c r="AY838" s="2" t="e">
        <f t="shared" si="677"/>
        <v>#DIV/0!</v>
      </c>
      <c r="AZ838" s="2" t="e">
        <f t="shared" si="642"/>
        <v>#DIV/0!</v>
      </c>
      <c r="BA838" s="2" t="e">
        <f t="shared" si="663"/>
        <v>#DIV/0!</v>
      </c>
      <c r="BB838" s="2" t="e">
        <f t="shared" si="664"/>
        <v>#DIV/0!</v>
      </c>
      <c r="BC838" s="2" t="e">
        <f t="shared" si="678"/>
        <v>#DIV/0!</v>
      </c>
      <c r="BD838" s="2">
        <v>0</v>
      </c>
      <c r="BE838" s="2" t="e">
        <f t="shared" si="665"/>
        <v>#DIV/0!</v>
      </c>
      <c r="BF838" s="2" t="e">
        <f t="shared" si="666"/>
        <v>#DIV/0!</v>
      </c>
      <c r="BG838" s="2" t="e">
        <f t="shared" si="679"/>
        <v>#DIV/0!</v>
      </c>
      <c r="BH838" s="2" t="e">
        <f t="shared" si="643"/>
        <v>#DIV/0!</v>
      </c>
      <c r="BI838" s="2" t="e">
        <f t="shared" si="667"/>
        <v>#DIV/0!</v>
      </c>
      <c r="BJ838" s="2" t="e">
        <f t="shared" si="668"/>
        <v>#DIV/0!</v>
      </c>
      <c r="BK838" s="2" t="e">
        <f t="shared" si="680"/>
        <v>#DIV/0!</v>
      </c>
      <c r="BL838" s="2" t="e">
        <f t="shared" si="669"/>
        <v>#DIV/0!</v>
      </c>
      <c r="BM838" s="2" t="e">
        <f t="shared" si="670"/>
        <v>#DIV/0!</v>
      </c>
      <c r="BN838" s="2" t="e">
        <f t="shared" si="681"/>
        <v>#DIV/0!</v>
      </c>
    </row>
    <row r="839" spans="1:66" x14ac:dyDescent="0.25">
      <c r="A839" s="42">
        <v>836</v>
      </c>
      <c r="E839" s="6">
        <f t="shared" si="671"/>
        <v>0</v>
      </c>
      <c r="F839" s="5" t="str">
        <f t="shared" si="682"/>
        <v>Break Even</v>
      </c>
      <c r="G839" s="4">
        <f t="shared" si="683"/>
        <v>0</v>
      </c>
      <c r="N839" s="5">
        <f t="shared" si="684"/>
        <v>0</v>
      </c>
      <c r="O839" s="4" t="e">
        <f t="shared" si="685"/>
        <v>#DIV/0!</v>
      </c>
      <c r="P839" s="5">
        <f t="shared" si="644"/>
        <v>0</v>
      </c>
      <c r="R839" s="2">
        <f t="shared" si="639"/>
        <v>0</v>
      </c>
      <c r="T839" s="2">
        <f t="shared" si="672"/>
        <v>0</v>
      </c>
      <c r="V839" s="5">
        <f t="shared" si="686"/>
        <v>0</v>
      </c>
      <c r="W839" s="4" t="e">
        <f t="shared" si="687"/>
        <v>#DIV/0!</v>
      </c>
      <c r="X839" s="14">
        <f t="shared" si="645"/>
        <v>0</v>
      </c>
      <c r="Y839" s="5">
        <f t="shared" si="646"/>
        <v>0</v>
      </c>
      <c r="Z839" s="2">
        <f t="shared" si="647"/>
        <v>0</v>
      </c>
      <c r="AA839" s="4">
        <f t="shared" si="648"/>
        <v>0</v>
      </c>
      <c r="AB839" s="13">
        <f t="shared" si="649"/>
        <v>0</v>
      </c>
      <c r="AC839" s="10">
        <f>SUM($E$4:E839)</f>
        <v>-22024.091160220025</v>
      </c>
      <c r="AD839" s="20">
        <f>SUM($AB$4:AB839)</f>
        <v>13539.766460219998</v>
      </c>
      <c r="AF839" s="28" t="e">
        <f t="shared" si="650"/>
        <v>#DIV/0!</v>
      </c>
      <c r="AG839" s="2" t="e">
        <f t="shared" si="651"/>
        <v>#DIV/0!</v>
      </c>
      <c r="AH839" s="2" t="e">
        <f t="shared" si="652"/>
        <v>#DIV/0!</v>
      </c>
      <c r="AI839" s="2" t="e">
        <f t="shared" si="673"/>
        <v>#DIV/0!</v>
      </c>
      <c r="AJ839" s="2" t="e">
        <f t="shared" si="640"/>
        <v>#DIV/0!</v>
      </c>
      <c r="AK839" s="2" t="e">
        <f t="shared" si="653"/>
        <v>#DIV/0!</v>
      </c>
      <c r="AL839" s="2" t="e">
        <f t="shared" si="654"/>
        <v>#DIV/0!</v>
      </c>
      <c r="AM839" s="2" t="e">
        <f t="shared" si="674"/>
        <v>#DIV/0!</v>
      </c>
      <c r="AN839" s="2">
        <f t="shared" si="655"/>
        <v>0</v>
      </c>
      <c r="AO839" s="2" t="e">
        <f t="shared" si="656"/>
        <v>#DIV/0!</v>
      </c>
      <c r="AP839" s="2" t="e">
        <f t="shared" si="657"/>
        <v>#DIV/0!</v>
      </c>
      <c r="AQ839" s="2" t="e">
        <f t="shared" si="675"/>
        <v>#DIV/0!</v>
      </c>
      <c r="AR839" s="2" t="e">
        <f t="shared" si="641"/>
        <v>#DIV/0!</v>
      </c>
      <c r="AS839" s="2" t="e">
        <f t="shared" si="658"/>
        <v>#DIV/0!</v>
      </c>
      <c r="AT839" s="2" t="e">
        <f t="shared" si="659"/>
        <v>#DIV/0!</v>
      </c>
      <c r="AU839" s="2" t="e">
        <f t="shared" si="676"/>
        <v>#DIV/0!</v>
      </c>
      <c r="AV839" s="2" t="e">
        <f t="shared" si="660"/>
        <v>#DIV/0!</v>
      </c>
      <c r="AW839" s="2" t="e">
        <f t="shared" si="661"/>
        <v>#DIV/0!</v>
      </c>
      <c r="AX839" s="2" t="e">
        <f t="shared" si="662"/>
        <v>#DIV/0!</v>
      </c>
      <c r="AY839" s="2" t="e">
        <f t="shared" si="677"/>
        <v>#DIV/0!</v>
      </c>
      <c r="AZ839" s="2" t="e">
        <f t="shared" si="642"/>
        <v>#DIV/0!</v>
      </c>
      <c r="BA839" s="2" t="e">
        <f t="shared" si="663"/>
        <v>#DIV/0!</v>
      </c>
      <c r="BB839" s="2" t="e">
        <f t="shared" si="664"/>
        <v>#DIV/0!</v>
      </c>
      <c r="BC839" s="2" t="e">
        <f t="shared" si="678"/>
        <v>#DIV/0!</v>
      </c>
      <c r="BD839" s="2">
        <v>0</v>
      </c>
      <c r="BE839" s="2" t="e">
        <f t="shared" si="665"/>
        <v>#DIV/0!</v>
      </c>
      <c r="BF839" s="2" t="e">
        <f t="shared" si="666"/>
        <v>#DIV/0!</v>
      </c>
      <c r="BG839" s="2" t="e">
        <f t="shared" si="679"/>
        <v>#DIV/0!</v>
      </c>
      <c r="BH839" s="2" t="e">
        <f t="shared" si="643"/>
        <v>#DIV/0!</v>
      </c>
      <c r="BI839" s="2" t="e">
        <f t="shared" si="667"/>
        <v>#DIV/0!</v>
      </c>
      <c r="BJ839" s="2" t="e">
        <f t="shared" si="668"/>
        <v>#DIV/0!</v>
      </c>
      <c r="BK839" s="2" t="e">
        <f t="shared" si="680"/>
        <v>#DIV/0!</v>
      </c>
      <c r="BL839" s="2" t="e">
        <f t="shared" si="669"/>
        <v>#DIV/0!</v>
      </c>
      <c r="BM839" s="2" t="e">
        <f t="shared" si="670"/>
        <v>#DIV/0!</v>
      </c>
      <c r="BN839" s="2" t="e">
        <f t="shared" si="681"/>
        <v>#DIV/0!</v>
      </c>
    </row>
    <row r="840" spans="1:66" x14ac:dyDescent="0.25">
      <c r="A840" s="42">
        <v>837</v>
      </c>
      <c r="E840" s="6">
        <f t="shared" si="671"/>
        <v>0</v>
      </c>
      <c r="F840" s="5" t="str">
        <f t="shared" si="682"/>
        <v>Break Even</v>
      </c>
      <c r="G840" s="4">
        <f t="shared" si="683"/>
        <v>0</v>
      </c>
      <c r="N840" s="5">
        <f t="shared" si="684"/>
        <v>0</v>
      </c>
      <c r="O840" s="4" t="e">
        <f t="shared" si="685"/>
        <v>#DIV/0!</v>
      </c>
      <c r="P840" s="5">
        <f t="shared" si="644"/>
        <v>0</v>
      </c>
      <c r="R840" s="2">
        <f t="shared" si="639"/>
        <v>0</v>
      </c>
      <c r="T840" s="2">
        <f t="shared" si="672"/>
        <v>0</v>
      </c>
      <c r="V840" s="5">
        <f t="shared" si="686"/>
        <v>0</v>
      </c>
      <c r="W840" s="4" t="e">
        <f t="shared" si="687"/>
        <v>#DIV/0!</v>
      </c>
      <c r="X840" s="14">
        <f t="shared" si="645"/>
        <v>0</v>
      </c>
      <c r="Y840" s="5">
        <f t="shared" si="646"/>
        <v>0</v>
      </c>
      <c r="Z840" s="2">
        <f t="shared" si="647"/>
        <v>0</v>
      </c>
      <c r="AA840" s="4">
        <f t="shared" si="648"/>
        <v>0</v>
      </c>
      <c r="AB840" s="13">
        <f t="shared" si="649"/>
        <v>0</v>
      </c>
      <c r="AC840" s="10">
        <f>SUM($E$4:E840)</f>
        <v>-22024.091160220025</v>
      </c>
      <c r="AD840" s="20">
        <f>SUM($AB$4:AB840)</f>
        <v>13539.766460219998</v>
      </c>
      <c r="AF840" s="28" t="e">
        <f t="shared" si="650"/>
        <v>#DIV/0!</v>
      </c>
      <c r="AG840" s="2" t="e">
        <f t="shared" si="651"/>
        <v>#DIV/0!</v>
      </c>
      <c r="AH840" s="2" t="e">
        <f t="shared" si="652"/>
        <v>#DIV/0!</v>
      </c>
      <c r="AI840" s="2" t="e">
        <f t="shared" si="673"/>
        <v>#DIV/0!</v>
      </c>
      <c r="AJ840" s="2" t="e">
        <f t="shared" si="640"/>
        <v>#DIV/0!</v>
      </c>
      <c r="AK840" s="2" t="e">
        <f t="shared" si="653"/>
        <v>#DIV/0!</v>
      </c>
      <c r="AL840" s="2" t="e">
        <f t="shared" si="654"/>
        <v>#DIV/0!</v>
      </c>
      <c r="AM840" s="2" t="e">
        <f t="shared" si="674"/>
        <v>#DIV/0!</v>
      </c>
      <c r="AN840" s="2">
        <f t="shared" si="655"/>
        <v>0</v>
      </c>
      <c r="AO840" s="2" t="e">
        <f t="shared" si="656"/>
        <v>#DIV/0!</v>
      </c>
      <c r="AP840" s="2" t="e">
        <f t="shared" si="657"/>
        <v>#DIV/0!</v>
      </c>
      <c r="AQ840" s="2" t="e">
        <f t="shared" si="675"/>
        <v>#DIV/0!</v>
      </c>
      <c r="AR840" s="2" t="e">
        <f t="shared" si="641"/>
        <v>#DIV/0!</v>
      </c>
      <c r="AS840" s="2" t="e">
        <f t="shared" si="658"/>
        <v>#DIV/0!</v>
      </c>
      <c r="AT840" s="2" t="e">
        <f t="shared" si="659"/>
        <v>#DIV/0!</v>
      </c>
      <c r="AU840" s="2" t="e">
        <f t="shared" si="676"/>
        <v>#DIV/0!</v>
      </c>
      <c r="AV840" s="2" t="e">
        <f t="shared" si="660"/>
        <v>#DIV/0!</v>
      </c>
      <c r="AW840" s="2" t="e">
        <f t="shared" si="661"/>
        <v>#DIV/0!</v>
      </c>
      <c r="AX840" s="2" t="e">
        <f t="shared" si="662"/>
        <v>#DIV/0!</v>
      </c>
      <c r="AY840" s="2" t="e">
        <f t="shared" si="677"/>
        <v>#DIV/0!</v>
      </c>
      <c r="AZ840" s="2" t="e">
        <f t="shared" si="642"/>
        <v>#DIV/0!</v>
      </c>
      <c r="BA840" s="2" t="e">
        <f t="shared" si="663"/>
        <v>#DIV/0!</v>
      </c>
      <c r="BB840" s="2" t="e">
        <f t="shared" si="664"/>
        <v>#DIV/0!</v>
      </c>
      <c r="BC840" s="2" t="e">
        <f t="shared" si="678"/>
        <v>#DIV/0!</v>
      </c>
      <c r="BD840" s="2">
        <v>0</v>
      </c>
      <c r="BE840" s="2" t="e">
        <f t="shared" si="665"/>
        <v>#DIV/0!</v>
      </c>
      <c r="BF840" s="2" t="e">
        <f t="shared" si="666"/>
        <v>#DIV/0!</v>
      </c>
      <c r="BG840" s="2" t="e">
        <f t="shared" si="679"/>
        <v>#DIV/0!</v>
      </c>
      <c r="BH840" s="2" t="e">
        <f t="shared" si="643"/>
        <v>#DIV/0!</v>
      </c>
      <c r="BI840" s="2" t="e">
        <f t="shared" si="667"/>
        <v>#DIV/0!</v>
      </c>
      <c r="BJ840" s="2" t="e">
        <f t="shared" si="668"/>
        <v>#DIV/0!</v>
      </c>
      <c r="BK840" s="2" t="e">
        <f t="shared" si="680"/>
        <v>#DIV/0!</v>
      </c>
      <c r="BL840" s="2" t="e">
        <f t="shared" si="669"/>
        <v>#DIV/0!</v>
      </c>
      <c r="BM840" s="2" t="e">
        <f t="shared" si="670"/>
        <v>#DIV/0!</v>
      </c>
      <c r="BN840" s="2" t="e">
        <f t="shared" si="681"/>
        <v>#DIV/0!</v>
      </c>
    </row>
    <row r="841" spans="1:66" x14ac:dyDescent="0.25">
      <c r="A841" s="42">
        <v>838</v>
      </c>
      <c r="E841" s="6">
        <f t="shared" si="671"/>
        <v>0</v>
      </c>
      <c r="F841" s="5" t="str">
        <f t="shared" si="682"/>
        <v>Break Even</v>
      </c>
      <c r="G841" s="4">
        <f t="shared" si="683"/>
        <v>0</v>
      </c>
      <c r="N841" s="5">
        <f t="shared" si="684"/>
        <v>0</v>
      </c>
      <c r="O841" s="4" t="e">
        <f t="shared" si="685"/>
        <v>#DIV/0!</v>
      </c>
      <c r="P841" s="5">
        <f t="shared" si="644"/>
        <v>0</v>
      </c>
      <c r="R841" s="2">
        <f t="shared" si="639"/>
        <v>0</v>
      </c>
      <c r="T841" s="2">
        <f t="shared" si="672"/>
        <v>0</v>
      </c>
      <c r="V841" s="5">
        <f t="shared" si="686"/>
        <v>0</v>
      </c>
      <c r="W841" s="4" t="e">
        <f t="shared" si="687"/>
        <v>#DIV/0!</v>
      </c>
      <c r="X841" s="14">
        <f t="shared" si="645"/>
        <v>0</v>
      </c>
      <c r="Y841" s="5">
        <f t="shared" si="646"/>
        <v>0</v>
      </c>
      <c r="Z841" s="2">
        <f t="shared" si="647"/>
        <v>0</v>
      </c>
      <c r="AA841" s="4">
        <f t="shared" si="648"/>
        <v>0</v>
      </c>
      <c r="AB841" s="13">
        <f t="shared" si="649"/>
        <v>0</v>
      </c>
      <c r="AC841" s="10">
        <f>SUM($E$4:E841)</f>
        <v>-22024.091160220025</v>
      </c>
      <c r="AD841" s="20">
        <f>SUM($AB$4:AB841)</f>
        <v>13539.766460219998</v>
      </c>
      <c r="AF841" s="28" t="e">
        <f t="shared" si="650"/>
        <v>#DIV/0!</v>
      </c>
      <c r="AG841" s="2" t="e">
        <f t="shared" si="651"/>
        <v>#DIV/0!</v>
      </c>
      <c r="AH841" s="2" t="e">
        <f t="shared" si="652"/>
        <v>#DIV/0!</v>
      </c>
      <c r="AI841" s="2" t="e">
        <f t="shared" si="673"/>
        <v>#DIV/0!</v>
      </c>
      <c r="AJ841" s="2" t="e">
        <f t="shared" si="640"/>
        <v>#DIV/0!</v>
      </c>
      <c r="AK841" s="2" t="e">
        <f t="shared" si="653"/>
        <v>#DIV/0!</v>
      </c>
      <c r="AL841" s="2" t="e">
        <f t="shared" si="654"/>
        <v>#DIV/0!</v>
      </c>
      <c r="AM841" s="2" t="e">
        <f t="shared" si="674"/>
        <v>#DIV/0!</v>
      </c>
      <c r="AN841" s="2">
        <f t="shared" si="655"/>
        <v>0</v>
      </c>
      <c r="AO841" s="2" t="e">
        <f t="shared" si="656"/>
        <v>#DIV/0!</v>
      </c>
      <c r="AP841" s="2" t="e">
        <f t="shared" si="657"/>
        <v>#DIV/0!</v>
      </c>
      <c r="AQ841" s="2" t="e">
        <f t="shared" si="675"/>
        <v>#DIV/0!</v>
      </c>
      <c r="AR841" s="2" t="e">
        <f t="shared" si="641"/>
        <v>#DIV/0!</v>
      </c>
      <c r="AS841" s="2" t="e">
        <f t="shared" si="658"/>
        <v>#DIV/0!</v>
      </c>
      <c r="AT841" s="2" t="e">
        <f t="shared" si="659"/>
        <v>#DIV/0!</v>
      </c>
      <c r="AU841" s="2" t="e">
        <f t="shared" si="676"/>
        <v>#DIV/0!</v>
      </c>
      <c r="AV841" s="2" t="e">
        <f t="shared" si="660"/>
        <v>#DIV/0!</v>
      </c>
      <c r="AW841" s="2" t="e">
        <f t="shared" si="661"/>
        <v>#DIV/0!</v>
      </c>
      <c r="AX841" s="2" t="e">
        <f t="shared" si="662"/>
        <v>#DIV/0!</v>
      </c>
      <c r="AY841" s="2" t="e">
        <f t="shared" si="677"/>
        <v>#DIV/0!</v>
      </c>
      <c r="AZ841" s="2" t="e">
        <f t="shared" si="642"/>
        <v>#DIV/0!</v>
      </c>
      <c r="BA841" s="2" t="e">
        <f t="shared" si="663"/>
        <v>#DIV/0!</v>
      </c>
      <c r="BB841" s="2" t="e">
        <f t="shared" si="664"/>
        <v>#DIV/0!</v>
      </c>
      <c r="BC841" s="2" t="e">
        <f t="shared" si="678"/>
        <v>#DIV/0!</v>
      </c>
      <c r="BD841" s="2">
        <v>0</v>
      </c>
      <c r="BE841" s="2" t="e">
        <f t="shared" si="665"/>
        <v>#DIV/0!</v>
      </c>
      <c r="BF841" s="2" t="e">
        <f t="shared" si="666"/>
        <v>#DIV/0!</v>
      </c>
      <c r="BG841" s="2" t="e">
        <f t="shared" si="679"/>
        <v>#DIV/0!</v>
      </c>
      <c r="BH841" s="2" t="e">
        <f t="shared" si="643"/>
        <v>#DIV/0!</v>
      </c>
      <c r="BI841" s="2" t="e">
        <f t="shared" si="667"/>
        <v>#DIV/0!</v>
      </c>
      <c r="BJ841" s="2" t="e">
        <f t="shared" si="668"/>
        <v>#DIV/0!</v>
      </c>
      <c r="BK841" s="2" t="e">
        <f t="shared" si="680"/>
        <v>#DIV/0!</v>
      </c>
      <c r="BL841" s="2" t="e">
        <f t="shared" si="669"/>
        <v>#DIV/0!</v>
      </c>
      <c r="BM841" s="2" t="e">
        <f t="shared" si="670"/>
        <v>#DIV/0!</v>
      </c>
      <c r="BN841" s="2" t="e">
        <f t="shared" si="681"/>
        <v>#DIV/0!</v>
      </c>
    </row>
    <row r="842" spans="1:66" x14ac:dyDescent="0.25">
      <c r="A842" s="42">
        <v>839</v>
      </c>
      <c r="E842" s="6">
        <f t="shared" si="671"/>
        <v>0</v>
      </c>
      <c r="F842" s="5" t="str">
        <f t="shared" si="682"/>
        <v>Break Even</v>
      </c>
      <c r="G842" s="4">
        <f t="shared" si="683"/>
        <v>0</v>
      </c>
      <c r="N842" s="5">
        <f t="shared" si="684"/>
        <v>0</v>
      </c>
      <c r="O842" s="4" t="e">
        <f t="shared" si="685"/>
        <v>#DIV/0!</v>
      </c>
      <c r="P842" s="5">
        <f t="shared" si="644"/>
        <v>0</v>
      </c>
      <c r="R842" s="2">
        <f t="shared" si="639"/>
        <v>0</v>
      </c>
      <c r="T842" s="2">
        <f t="shared" si="672"/>
        <v>0</v>
      </c>
      <c r="V842" s="5">
        <f t="shared" si="686"/>
        <v>0</v>
      </c>
      <c r="W842" s="4" t="e">
        <f t="shared" si="687"/>
        <v>#DIV/0!</v>
      </c>
      <c r="X842" s="14">
        <f t="shared" si="645"/>
        <v>0</v>
      </c>
      <c r="Y842" s="5">
        <f t="shared" si="646"/>
        <v>0</v>
      </c>
      <c r="Z842" s="2">
        <f t="shared" si="647"/>
        <v>0</v>
      </c>
      <c r="AA842" s="4">
        <f t="shared" si="648"/>
        <v>0</v>
      </c>
      <c r="AB842" s="13">
        <f t="shared" si="649"/>
        <v>0</v>
      </c>
      <c r="AC842" s="10">
        <f>SUM($E$4:E842)</f>
        <v>-22024.091160220025</v>
      </c>
      <c r="AD842" s="20">
        <f>SUM($AB$4:AB842)</f>
        <v>13539.766460219998</v>
      </c>
      <c r="AF842" s="28" t="e">
        <f t="shared" si="650"/>
        <v>#DIV/0!</v>
      </c>
      <c r="AG842" s="2" t="e">
        <f t="shared" si="651"/>
        <v>#DIV/0!</v>
      </c>
      <c r="AH842" s="2" t="e">
        <f t="shared" si="652"/>
        <v>#DIV/0!</v>
      </c>
      <c r="AI842" s="2" t="e">
        <f t="shared" si="673"/>
        <v>#DIV/0!</v>
      </c>
      <c r="AJ842" s="2" t="e">
        <f t="shared" si="640"/>
        <v>#DIV/0!</v>
      </c>
      <c r="AK842" s="2" t="e">
        <f t="shared" si="653"/>
        <v>#DIV/0!</v>
      </c>
      <c r="AL842" s="2" t="e">
        <f t="shared" si="654"/>
        <v>#DIV/0!</v>
      </c>
      <c r="AM842" s="2" t="e">
        <f t="shared" si="674"/>
        <v>#DIV/0!</v>
      </c>
      <c r="AN842" s="2">
        <f t="shared" si="655"/>
        <v>0</v>
      </c>
      <c r="AO842" s="2" t="e">
        <f t="shared" si="656"/>
        <v>#DIV/0!</v>
      </c>
      <c r="AP842" s="2" t="e">
        <f t="shared" si="657"/>
        <v>#DIV/0!</v>
      </c>
      <c r="AQ842" s="2" t="e">
        <f t="shared" si="675"/>
        <v>#DIV/0!</v>
      </c>
      <c r="AR842" s="2" t="e">
        <f t="shared" si="641"/>
        <v>#DIV/0!</v>
      </c>
      <c r="AS842" s="2" t="e">
        <f t="shared" si="658"/>
        <v>#DIV/0!</v>
      </c>
      <c r="AT842" s="2" t="e">
        <f t="shared" si="659"/>
        <v>#DIV/0!</v>
      </c>
      <c r="AU842" s="2" t="e">
        <f t="shared" si="676"/>
        <v>#DIV/0!</v>
      </c>
      <c r="AV842" s="2" t="e">
        <f t="shared" si="660"/>
        <v>#DIV/0!</v>
      </c>
      <c r="AW842" s="2" t="e">
        <f t="shared" si="661"/>
        <v>#DIV/0!</v>
      </c>
      <c r="AX842" s="2" t="e">
        <f t="shared" si="662"/>
        <v>#DIV/0!</v>
      </c>
      <c r="AY842" s="2" t="e">
        <f t="shared" si="677"/>
        <v>#DIV/0!</v>
      </c>
      <c r="AZ842" s="2" t="e">
        <f t="shared" si="642"/>
        <v>#DIV/0!</v>
      </c>
      <c r="BA842" s="2" t="e">
        <f t="shared" si="663"/>
        <v>#DIV/0!</v>
      </c>
      <c r="BB842" s="2" t="e">
        <f t="shared" si="664"/>
        <v>#DIV/0!</v>
      </c>
      <c r="BC842" s="2" t="e">
        <f t="shared" si="678"/>
        <v>#DIV/0!</v>
      </c>
      <c r="BD842" s="2">
        <v>0</v>
      </c>
      <c r="BE842" s="2" t="e">
        <f t="shared" si="665"/>
        <v>#DIV/0!</v>
      </c>
      <c r="BF842" s="2" t="e">
        <f t="shared" si="666"/>
        <v>#DIV/0!</v>
      </c>
      <c r="BG842" s="2" t="e">
        <f t="shared" si="679"/>
        <v>#DIV/0!</v>
      </c>
      <c r="BH842" s="2" t="e">
        <f t="shared" si="643"/>
        <v>#DIV/0!</v>
      </c>
      <c r="BI842" s="2" t="e">
        <f t="shared" si="667"/>
        <v>#DIV/0!</v>
      </c>
      <c r="BJ842" s="2" t="e">
        <f t="shared" si="668"/>
        <v>#DIV/0!</v>
      </c>
      <c r="BK842" s="2" t="e">
        <f t="shared" si="680"/>
        <v>#DIV/0!</v>
      </c>
      <c r="BL842" s="2" t="e">
        <f t="shared" si="669"/>
        <v>#DIV/0!</v>
      </c>
      <c r="BM842" s="2" t="e">
        <f t="shared" si="670"/>
        <v>#DIV/0!</v>
      </c>
      <c r="BN842" s="2" t="e">
        <f t="shared" si="681"/>
        <v>#DIV/0!</v>
      </c>
    </row>
    <row r="843" spans="1:66" x14ac:dyDescent="0.25">
      <c r="A843" s="42">
        <v>840</v>
      </c>
      <c r="E843" s="6">
        <f t="shared" si="671"/>
        <v>0</v>
      </c>
      <c r="F843" s="5" t="str">
        <f t="shared" si="682"/>
        <v>Break Even</v>
      </c>
      <c r="G843" s="4">
        <f t="shared" si="683"/>
        <v>0</v>
      </c>
      <c r="N843" s="5">
        <f t="shared" si="684"/>
        <v>0</v>
      </c>
      <c r="O843" s="4" t="e">
        <f t="shared" si="685"/>
        <v>#DIV/0!</v>
      </c>
      <c r="P843" s="5">
        <f t="shared" si="644"/>
        <v>0</v>
      </c>
      <c r="R843" s="2">
        <f t="shared" si="639"/>
        <v>0</v>
      </c>
      <c r="T843" s="2">
        <f t="shared" si="672"/>
        <v>0</v>
      </c>
      <c r="V843" s="5">
        <f t="shared" si="686"/>
        <v>0</v>
      </c>
      <c r="W843" s="4" t="e">
        <f t="shared" si="687"/>
        <v>#DIV/0!</v>
      </c>
      <c r="X843" s="14">
        <f t="shared" si="645"/>
        <v>0</v>
      </c>
      <c r="Y843" s="5">
        <f t="shared" si="646"/>
        <v>0</v>
      </c>
      <c r="Z843" s="2">
        <f t="shared" si="647"/>
        <v>0</v>
      </c>
      <c r="AA843" s="4">
        <f t="shared" si="648"/>
        <v>0</v>
      </c>
      <c r="AB843" s="13">
        <f t="shared" si="649"/>
        <v>0</v>
      </c>
      <c r="AC843" s="10">
        <f>SUM($E$4:E843)</f>
        <v>-22024.091160220025</v>
      </c>
      <c r="AD843" s="20">
        <f>SUM($AB$4:AB843)</f>
        <v>13539.766460219998</v>
      </c>
      <c r="AF843" s="28" t="e">
        <f t="shared" si="650"/>
        <v>#DIV/0!</v>
      </c>
      <c r="AG843" s="2" t="e">
        <f t="shared" si="651"/>
        <v>#DIV/0!</v>
      </c>
      <c r="AH843" s="2" t="e">
        <f t="shared" si="652"/>
        <v>#DIV/0!</v>
      </c>
      <c r="AI843" s="2" t="e">
        <f t="shared" si="673"/>
        <v>#DIV/0!</v>
      </c>
      <c r="AJ843" s="2" t="e">
        <f t="shared" si="640"/>
        <v>#DIV/0!</v>
      </c>
      <c r="AK843" s="2" t="e">
        <f t="shared" si="653"/>
        <v>#DIV/0!</v>
      </c>
      <c r="AL843" s="2" t="e">
        <f t="shared" si="654"/>
        <v>#DIV/0!</v>
      </c>
      <c r="AM843" s="2" t="e">
        <f t="shared" si="674"/>
        <v>#DIV/0!</v>
      </c>
      <c r="AN843" s="2">
        <f t="shared" si="655"/>
        <v>0</v>
      </c>
      <c r="AO843" s="2" t="e">
        <f t="shared" si="656"/>
        <v>#DIV/0!</v>
      </c>
      <c r="AP843" s="2" t="e">
        <f t="shared" si="657"/>
        <v>#DIV/0!</v>
      </c>
      <c r="AQ843" s="2" t="e">
        <f t="shared" si="675"/>
        <v>#DIV/0!</v>
      </c>
      <c r="AR843" s="2" t="e">
        <f t="shared" si="641"/>
        <v>#DIV/0!</v>
      </c>
      <c r="AS843" s="2" t="e">
        <f t="shared" si="658"/>
        <v>#DIV/0!</v>
      </c>
      <c r="AT843" s="2" t="e">
        <f t="shared" si="659"/>
        <v>#DIV/0!</v>
      </c>
      <c r="AU843" s="2" t="e">
        <f t="shared" si="676"/>
        <v>#DIV/0!</v>
      </c>
      <c r="AV843" s="2" t="e">
        <f t="shared" si="660"/>
        <v>#DIV/0!</v>
      </c>
      <c r="AW843" s="2" t="e">
        <f t="shared" si="661"/>
        <v>#DIV/0!</v>
      </c>
      <c r="AX843" s="2" t="e">
        <f t="shared" si="662"/>
        <v>#DIV/0!</v>
      </c>
      <c r="AY843" s="2" t="e">
        <f t="shared" si="677"/>
        <v>#DIV/0!</v>
      </c>
      <c r="AZ843" s="2" t="e">
        <f t="shared" si="642"/>
        <v>#DIV/0!</v>
      </c>
      <c r="BA843" s="2" t="e">
        <f t="shared" si="663"/>
        <v>#DIV/0!</v>
      </c>
      <c r="BB843" s="2" t="e">
        <f t="shared" si="664"/>
        <v>#DIV/0!</v>
      </c>
      <c r="BC843" s="2" t="e">
        <f t="shared" si="678"/>
        <v>#DIV/0!</v>
      </c>
      <c r="BD843" s="2">
        <v>0</v>
      </c>
      <c r="BE843" s="2" t="e">
        <f t="shared" si="665"/>
        <v>#DIV/0!</v>
      </c>
      <c r="BF843" s="2" t="e">
        <f t="shared" si="666"/>
        <v>#DIV/0!</v>
      </c>
      <c r="BG843" s="2" t="e">
        <f t="shared" si="679"/>
        <v>#DIV/0!</v>
      </c>
      <c r="BH843" s="2" t="e">
        <f t="shared" si="643"/>
        <v>#DIV/0!</v>
      </c>
      <c r="BI843" s="2" t="e">
        <f t="shared" si="667"/>
        <v>#DIV/0!</v>
      </c>
      <c r="BJ843" s="2" t="e">
        <f t="shared" si="668"/>
        <v>#DIV/0!</v>
      </c>
      <c r="BK843" s="2" t="e">
        <f t="shared" si="680"/>
        <v>#DIV/0!</v>
      </c>
      <c r="BL843" s="2" t="e">
        <f t="shared" si="669"/>
        <v>#DIV/0!</v>
      </c>
      <c r="BM843" s="2" t="e">
        <f t="shared" si="670"/>
        <v>#DIV/0!</v>
      </c>
      <c r="BN843" s="2" t="e">
        <f t="shared" si="681"/>
        <v>#DIV/0!</v>
      </c>
    </row>
    <row r="844" spans="1:66" x14ac:dyDescent="0.25">
      <c r="A844" s="42">
        <v>841</v>
      </c>
      <c r="E844" s="6">
        <f t="shared" si="671"/>
        <v>0</v>
      </c>
      <c r="F844" s="5" t="str">
        <f t="shared" si="682"/>
        <v>Break Even</v>
      </c>
      <c r="G844" s="4">
        <f t="shared" si="683"/>
        <v>0</v>
      </c>
      <c r="N844" s="5">
        <f t="shared" si="684"/>
        <v>0</v>
      </c>
      <c r="O844" s="4" t="e">
        <f t="shared" si="685"/>
        <v>#DIV/0!</v>
      </c>
      <c r="P844" s="5">
        <f t="shared" si="644"/>
        <v>0</v>
      </c>
      <c r="R844" s="2">
        <f t="shared" si="639"/>
        <v>0</v>
      </c>
      <c r="T844" s="2">
        <f t="shared" si="672"/>
        <v>0</v>
      </c>
      <c r="V844" s="5">
        <f t="shared" si="686"/>
        <v>0</v>
      </c>
      <c r="W844" s="4" t="e">
        <f t="shared" si="687"/>
        <v>#DIV/0!</v>
      </c>
      <c r="X844" s="14">
        <f t="shared" si="645"/>
        <v>0</v>
      </c>
      <c r="Y844" s="5">
        <f t="shared" si="646"/>
        <v>0</v>
      </c>
      <c r="Z844" s="2">
        <f t="shared" si="647"/>
        <v>0</v>
      </c>
      <c r="AA844" s="4">
        <f t="shared" si="648"/>
        <v>0</v>
      </c>
      <c r="AB844" s="13">
        <f t="shared" si="649"/>
        <v>0</v>
      </c>
      <c r="AC844" s="10">
        <f>SUM($E$4:E844)</f>
        <v>-22024.091160220025</v>
      </c>
      <c r="AD844" s="20">
        <f>SUM($AB$4:AB844)</f>
        <v>13539.766460219998</v>
      </c>
      <c r="AF844" s="28" t="e">
        <f t="shared" si="650"/>
        <v>#DIV/0!</v>
      </c>
      <c r="AG844" s="2" t="e">
        <f t="shared" si="651"/>
        <v>#DIV/0!</v>
      </c>
      <c r="AH844" s="2" t="e">
        <f t="shared" si="652"/>
        <v>#DIV/0!</v>
      </c>
      <c r="AI844" s="2" t="e">
        <f t="shared" si="673"/>
        <v>#DIV/0!</v>
      </c>
      <c r="AJ844" s="2" t="e">
        <f t="shared" si="640"/>
        <v>#DIV/0!</v>
      </c>
      <c r="AK844" s="2" t="e">
        <f t="shared" si="653"/>
        <v>#DIV/0!</v>
      </c>
      <c r="AL844" s="2" t="e">
        <f t="shared" si="654"/>
        <v>#DIV/0!</v>
      </c>
      <c r="AM844" s="2" t="e">
        <f t="shared" si="674"/>
        <v>#DIV/0!</v>
      </c>
      <c r="AN844" s="2">
        <f t="shared" si="655"/>
        <v>0</v>
      </c>
      <c r="AO844" s="2" t="e">
        <f t="shared" si="656"/>
        <v>#DIV/0!</v>
      </c>
      <c r="AP844" s="2" t="e">
        <f t="shared" si="657"/>
        <v>#DIV/0!</v>
      </c>
      <c r="AQ844" s="2" t="e">
        <f t="shared" si="675"/>
        <v>#DIV/0!</v>
      </c>
      <c r="AR844" s="2" t="e">
        <f t="shared" si="641"/>
        <v>#DIV/0!</v>
      </c>
      <c r="AS844" s="2" t="e">
        <f t="shared" si="658"/>
        <v>#DIV/0!</v>
      </c>
      <c r="AT844" s="2" t="e">
        <f t="shared" si="659"/>
        <v>#DIV/0!</v>
      </c>
      <c r="AU844" s="2" t="e">
        <f t="shared" si="676"/>
        <v>#DIV/0!</v>
      </c>
      <c r="AV844" s="2" t="e">
        <f t="shared" si="660"/>
        <v>#DIV/0!</v>
      </c>
      <c r="AW844" s="2" t="e">
        <f t="shared" si="661"/>
        <v>#DIV/0!</v>
      </c>
      <c r="AX844" s="2" t="e">
        <f t="shared" si="662"/>
        <v>#DIV/0!</v>
      </c>
      <c r="AY844" s="2" t="e">
        <f t="shared" si="677"/>
        <v>#DIV/0!</v>
      </c>
      <c r="AZ844" s="2" t="e">
        <f t="shared" si="642"/>
        <v>#DIV/0!</v>
      </c>
      <c r="BA844" s="2" t="e">
        <f t="shared" si="663"/>
        <v>#DIV/0!</v>
      </c>
      <c r="BB844" s="2" t="e">
        <f t="shared" si="664"/>
        <v>#DIV/0!</v>
      </c>
      <c r="BC844" s="2" t="e">
        <f t="shared" si="678"/>
        <v>#DIV/0!</v>
      </c>
      <c r="BD844" s="2">
        <v>0</v>
      </c>
      <c r="BE844" s="2" t="e">
        <f t="shared" si="665"/>
        <v>#DIV/0!</v>
      </c>
      <c r="BF844" s="2" t="e">
        <f t="shared" si="666"/>
        <v>#DIV/0!</v>
      </c>
      <c r="BG844" s="2" t="e">
        <f t="shared" si="679"/>
        <v>#DIV/0!</v>
      </c>
      <c r="BH844" s="2" t="e">
        <f t="shared" si="643"/>
        <v>#DIV/0!</v>
      </c>
      <c r="BI844" s="2" t="e">
        <f t="shared" si="667"/>
        <v>#DIV/0!</v>
      </c>
      <c r="BJ844" s="2" t="e">
        <f t="shared" si="668"/>
        <v>#DIV/0!</v>
      </c>
      <c r="BK844" s="2" t="e">
        <f t="shared" si="680"/>
        <v>#DIV/0!</v>
      </c>
      <c r="BL844" s="2" t="e">
        <f t="shared" si="669"/>
        <v>#DIV/0!</v>
      </c>
      <c r="BM844" s="2" t="e">
        <f t="shared" si="670"/>
        <v>#DIV/0!</v>
      </c>
      <c r="BN844" s="2" t="e">
        <f t="shared" si="681"/>
        <v>#DIV/0!</v>
      </c>
    </row>
    <row r="845" spans="1:66" x14ac:dyDescent="0.25">
      <c r="A845" s="42">
        <v>842</v>
      </c>
      <c r="E845" s="6">
        <f t="shared" si="671"/>
        <v>0</v>
      </c>
      <c r="F845" s="5" t="str">
        <f t="shared" si="682"/>
        <v>Break Even</v>
      </c>
      <c r="G845" s="4">
        <f t="shared" si="683"/>
        <v>0</v>
      </c>
      <c r="N845" s="5">
        <f t="shared" si="684"/>
        <v>0</v>
      </c>
      <c r="O845" s="4" t="e">
        <f t="shared" si="685"/>
        <v>#DIV/0!</v>
      </c>
      <c r="P845" s="5">
        <f t="shared" si="644"/>
        <v>0</v>
      </c>
      <c r="R845" s="2">
        <f t="shared" si="639"/>
        <v>0</v>
      </c>
      <c r="T845" s="2">
        <f t="shared" si="672"/>
        <v>0</v>
      </c>
      <c r="V845" s="5">
        <f t="shared" si="686"/>
        <v>0</v>
      </c>
      <c r="W845" s="4" t="e">
        <f t="shared" si="687"/>
        <v>#DIV/0!</v>
      </c>
      <c r="X845" s="14">
        <f t="shared" si="645"/>
        <v>0</v>
      </c>
      <c r="Y845" s="5">
        <f t="shared" si="646"/>
        <v>0</v>
      </c>
      <c r="Z845" s="2">
        <f t="shared" si="647"/>
        <v>0</v>
      </c>
      <c r="AA845" s="4">
        <f t="shared" si="648"/>
        <v>0</v>
      </c>
      <c r="AB845" s="13">
        <f t="shared" si="649"/>
        <v>0</v>
      </c>
      <c r="AC845" s="10">
        <f>SUM($E$4:E845)</f>
        <v>-22024.091160220025</v>
      </c>
      <c r="AD845" s="20">
        <f>SUM($AB$4:AB845)</f>
        <v>13539.766460219998</v>
      </c>
      <c r="AF845" s="28" t="e">
        <f t="shared" si="650"/>
        <v>#DIV/0!</v>
      </c>
      <c r="AG845" s="2" t="e">
        <f t="shared" si="651"/>
        <v>#DIV/0!</v>
      </c>
      <c r="AH845" s="2" t="e">
        <f t="shared" si="652"/>
        <v>#DIV/0!</v>
      </c>
      <c r="AI845" s="2" t="e">
        <f t="shared" si="673"/>
        <v>#DIV/0!</v>
      </c>
      <c r="AJ845" s="2" t="e">
        <f t="shared" si="640"/>
        <v>#DIV/0!</v>
      </c>
      <c r="AK845" s="2" t="e">
        <f t="shared" si="653"/>
        <v>#DIV/0!</v>
      </c>
      <c r="AL845" s="2" t="e">
        <f t="shared" si="654"/>
        <v>#DIV/0!</v>
      </c>
      <c r="AM845" s="2" t="e">
        <f t="shared" si="674"/>
        <v>#DIV/0!</v>
      </c>
      <c r="AN845" s="2">
        <f t="shared" si="655"/>
        <v>0</v>
      </c>
      <c r="AO845" s="2" t="e">
        <f t="shared" si="656"/>
        <v>#DIV/0!</v>
      </c>
      <c r="AP845" s="2" t="e">
        <f t="shared" si="657"/>
        <v>#DIV/0!</v>
      </c>
      <c r="AQ845" s="2" t="e">
        <f t="shared" si="675"/>
        <v>#DIV/0!</v>
      </c>
      <c r="AR845" s="2" t="e">
        <f t="shared" si="641"/>
        <v>#DIV/0!</v>
      </c>
      <c r="AS845" s="2" t="e">
        <f t="shared" si="658"/>
        <v>#DIV/0!</v>
      </c>
      <c r="AT845" s="2" t="e">
        <f t="shared" si="659"/>
        <v>#DIV/0!</v>
      </c>
      <c r="AU845" s="2" t="e">
        <f t="shared" si="676"/>
        <v>#DIV/0!</v>
      </c>
      <c r="AV845" s="2" t="e">
        <f t="shared" si="660"/>
        <v>#DIV/0!</v>
      </c>
      <c r="AW845" s="2" t="e">
        <f t="shared" si="661"/>
        <v>#DIV/0!</v>
      </c>
      <c r="AX845" s="2" t="e">
        <f t="shared" si="662"/>
        <v>#DIV/0!</v>
      </c>
      <c r="AY845" s="2" t="e">
        <f t="shared" si="677"/>
        <v>#DIV/0!</v>
      </c>
      <c r="AZ845" s="2" t="e">
        <f t="shared" si="642"/>
        <v>#DIV/0!</v>
      </c>
      <c r="BA845" s="2" t="e">
        <f t="shared" si="663"/>
        <v>#DIV/0!</v>
      </c>
      <c r="BB845" s="2" t="e">
        <f t="shared" si="664"/>
        <v>#DIV/0!</v>
      </c>
      <c r="BC845" s="2" t="e">
        <f t="shared" si="678"/>
        <v>#DIV/0!</v>
      </c>
      <c r="BD845" s="2">
        <v>0</v>
      </c>
      <c r="BE845" s="2" t="e">
        <f t="shared" si="665"/>
        <v>#DIV/0!</v>
      </c>
      <c r="BF845" s="2" t="e">
        <f t="shared" si="666"/>
        <v>#DIV/0!</v>
      </c>
      <c r="BG845" s="2" t="e">
        <f t="shared" si="679"/>
        <v>#DIV/0!</v>
      </c>
      <c r="BH845" s="2" t="e">
        <f t="shared" si="643"/>
        <v>#DIV/0!</v>
      </c>
      <c r="BI845" s="2" t="e">
        <f t="shared" si="667"/>
        <v>#DIV/0!</v>
      </c>
      <c r="BJ845" s="2" t="e">
        <f t="shared" si="668"/>
        <v>#DIV/0!</v>
      </c>
      <c r="BK845" s="2" t="e">
        <f t="shared" si="680"/>
        <v>#DIV/0!</v>
      </c>
      <c r="BL845" s="2" t="e">
        <f t="shared" si="669"/>
        <v>#DIV/0!</v>
      </c>
      <c r="BM845" s="2" t="e">
        <f t="shared" si="670"/>
        <v>#DIV/0!</v>
      </c>
      <c r="BN845" s="2" t="e">
        <f t="shared" si="681"/>
        <v>#DIV/0!</v>
      </c>
    </row>
    <row r="846" spans="1:66" x14ac:dyDescent="0.25">
      <c r="A846" s="42">
        <v>843</v>
      </c>
      <c r="E846" s="6">
        <f t="shared" si="671"/>
        <v>0</v>
      </c>
      <c r="F846" s="5" t="str">
        <f t="shared" si="682"/>
        <v>Break Even</v>
      </c>
      <c r="G846" s="4">
        <f t="shared" si="683"/>
        <v>0</v>
      </c>
      <c r="N846" s="5">
        <f t="shared" si="684"/>
        <v>0</v>
      </c>
      <c r="O846" s="4" t="e">
        <f t="shared" si="685"/>
        <v>#DIV/0!</v>
      </c>
      <c r="P846" s="5">
        <f t="shared" si="644"/>
        <v>0</v>
      </c>
      <c r="R846" s="2">
        <f t="shared" si="639"/>
        <v>0</v>
      </c>
      <c r="T846" s="2">
        <f t="shared" si="672"/>
        <v>0</v>
      </c>
      <c r="V846" s="5">
        <f t="shared" si="686"/>
        <v>0</v>
      </c>
      <c r="W846" s="4" t="e">
        <f t="shared" si="687"/>
        <v>#DIV/0!</v>
      </c>
      <c r="X846" s="14">
        <f t="shared" si="645"/>
        <v>0</v>
      </c>
      <c r="Y846" s="5">
        <f t="shared" si="646"/>
        <v>0</v>
      </c>
      <c r="Z846" s="2">
        <f t="shared" si="647"/>
        <v>0</v>
      </c>
      <c r="AA846" s="4">
        <f t="shared" si="648"/>
        <v>0</v>
      </c>
      <c r="AB846" s="13">
        <f t="shared" si="649"/>
        <v>0</v>
      </c>
      <c r="AC846" s="10">
        <f>SUM($E$4:E846)</f>
        <v>-22024.091160220025</v>
      </c>
      <c r="AD846" s="20">
        <f>SUM($AB$4:AB846)</f>
        <v>13539.766460219998</v>
      </c>
      <c r="AF846" s="28" t="e">
        <f t="shared" si="650"/>
        <v>#DIV/0!</v>
      </c>
      <c r="AG846" s="2" t="e">
        <f t="shared" si="651"/>
        <v>#DIV/0!</v>
      </c>
      <c r="AH846" s="2" t="e">
        <f t="shared" si="652"/>
        <v>#DIV/0!</v>
      </c>
      <c r="AI846" s="2" t="e">
        <f t="shared" si="673"/>
        <v>#DIV/0!</v>
      </c>
      <c r="AJ846" s="2" t="e">
        <f t="shared" si="640"/>
        <v>#DIV/0!</v>
      </c>
      <c r="AK846" s="2" t="e">
        <f t="shared" si="653"/>
        <v>#DIV/0!</v>
      </c>
      <c r="AL846" s="2" t="e">
        <f t="shared" si="654"/>
        <v>#DIV/0!</v>
      </c>
      <c r="AM846" s="2" t="e">
        <f t="shared" si="674"/>
        <v>#DIV/0!</v>
      </c>
      <c r="AN846" s="2">
        <f t="shared" si="655"/>
        <v>0</v>
      </c>
      <c r="AO846" s="2" t="e">
        <f t="shared" si="656"/>
        <v>#DIV/0!</v>
      </c>
      <c r="AP846" s="2" t="e">
        <f t="shared" si="657"/>
        <v>#DIV/0!</v>
      </c>
      <c r="AQ846" s="2" t="e">
        <f t="shared" si="675"/>
        <v>#DIV/0!</v>
      </c>
      <c r="AR846" s="2" t="e">
        <f t="shared" si="641"/>
        <v>#DIV/0!</v>
      </c>
      <c r="AS846" s="2" t="e">
        <f t="shared" si="658"/>
        <v>#DIV/0!</v>
      </c>
      <c r="AT846" s="2" t="e">
        <f t="shared" si="659"/>
        <v>#DIV/0!</v>
      </c>
      <c r="AU846" s="2" t="e">
        <f t="shared" si="676"/>
        <v>#DIV/0!</v>
      </c>
      <c r="AV846" s="2" t="e">
        <f t="shared" si="660"/>
        <v>#DIV/0!</v>
      </c>
      <c r="AW846" s="2" t="e">
        <f t="shared" si="661"/>
        <v>#DIV/0!</v>
      </c>
      <c r="AX846" s="2" t="e">
        <f t="shared" si="662"/>
        <v>#DIV/0!</v>
      </c>
      <c r="AY846" s="2" t="e">
        <f t="shared" si="677"/>
        <v>#DIV/0!</v>
      </c>
      <c r="AZ846" s="2" t="e">
        <f t="shared" si="642"/>
        <v>#DIV/0!</v>
      </c>
      <c r="BA846" s="2" t="e">
        <f t="shared" si="663"/>
        <v>#DIV/0!</v>
      </c>
      <c r="BB846" s="2" t="e">
        <f t="shared" si="664"/>
        <v>#DIV/0!</v>
      </c>
      <c r="BC846" s="2" t="e">
        <f t="shared" si="678"/>
        <v>#DIV/0!</v>
      </c>
      <c r="BD846" s="2">
        <v>0</v>
      </c>
      <c r="BE846" s="2" t="e">
        <f t="shared" si="665"/>
        <v>#DIV/0!</v>
      </c>
      <c r="BF846" s="2" t="e">
        <f t="shared" si="666"/>
        <v>#DIV/0!</v>
      </c>
      <c r="BG846" s="2" t="e">
        <f t="shared" si="679"/>
        <v>#DIV/0!</v>
      </c>
      <c r="BH846" s="2" t="e">
        <f t="shared" si="643"/>
        <v>#DIV/0!</v>
      </c>
      <c r="BI846" s="2" t="e">
        <f t="shared" si="667"/>
        <v>#DIV/0!</v>
      </c>
      <c r="BJ846" s="2" t="e">
        <f t="shared" si="668"/>
        <v>#DIV/0!</v>
      </c>
      <c r="BK846" s="2" t="e">
        <f t="shared" si="680"/>
        <v>#DIV/0!</v>
      </c>
      <c r="BL846" s="2" t="e">
        <f t="shared" si="669"/>
        <v>#DIV/0!</v>
      </c>
      <c r="BM846" s="2" t="e">
        <f t="shared" si="670"/>
        <v>#DIV/0!</v>
      </c>
      <c r="BN846" s="2" t="e">
        <f t="shared" si="681"/>
        <v>#DIV/0!</v>
      </c>
    </row>
    <row r="847" spans="1:66" x14ac:dyDescent="0.25">
      <c r="A847" s="42">
        <v>844</v>
      </c>
      <c r="E847" s="6">
        <f t="shared" si="671"/>
        <v>0</v>
      </c>
      <c r="F847" s="5" t="str">
        <f t="shared" si="682"/>
        <v>Break Even</v>
      </c>
      <c r="G847" s="4">
        <f t="shared" si="683"/>
        <v>0</v>
      </c>
      <c r="N847" s="5">
        <f t="shared" si="684"/>
        <v>0</v>
      </c>
      <c r="O847" s="4" t="e">
        <f t="shared" si="685"/>
        <v>#DIV/0!</v>
      </c>
      <c r="P847" s="5">
        <f t="shared" si="644"/>
        <v>0</v>
      </c>
      <c r="R847" s="2">
        <f t="shared" si="639"/>
        <v>0</v>
      </c>
      <c r="T847" s="2">
        <f t="shared" si="672"/>
        <v>0</v>
      </c>
      <c r="V847" s="5">
        <f t="shared" si="686"/>
        <v>0</v>
      </c>
      <c r="W847" s="4" t="e">
        <f t="shared" si="687"/>
        <v>#DIV/0!</v>
      </c>
      <c r="X847" s="14">
        <f t="shared" si="645"/>
        <v>0</v>
      </c>
      <c r="Y847" s="5">
        <f t="shared" si="646"/>
        <v>0</v>
      </c>
      <c r="Z847" s="2">
        <f t="shared" si="647"/>
        <v>0</v>
      </c>
      <c r="AA847" s="4">
        <f t="shared" si="648"/>
        <v>0</v>
      </c>
      <c r="AB847" s="13">
        <f t="shared" si="649"/>
        <v>0</v>
      </c>
      <c r="AC847" s="10">
        <f>SUM($E$4:E847)</f>
        <v>-22024.091160220025</v>
      </c>
      <c r="AD847" s="20">
        <f>SUM($AB$4:AB847)</f>
        <v>13539.766460219998</v>
      </c>
      <c r="AF847" s="28" t="e">
        <f t="shared" si="650"/>
        <v>#DIV/0!</v>
      </c>
      <c r="AG847" s="2" t="e">
        <f t="shared" si="651"/>
        <v>#DIV/0!</v>
      </c>
      <c r="AH847" s="2" t="e">
        <f t="shared" si="652"/>
        <v>#DIV/0!</v>
      </c>
      <c r="AI847" s="2" t="e">
        <f t="shared" si="673"/>
        <v>#DIV/0!</v>
      </c>
      <c r="AJ847" s="2" t="e">
        <f t="shared" si="640"/>
        <v>#DIV/0!</v>
      </c>
      <c r="AK847" s="2" t="e">
        <f t="shared" si="653"/>
        <v>#DIV/0!</v>
      </c>
      <c r="AL847" s="2" t="e">
        <f t="shared" si="654"/>
        <v>#DIV/0!</v>
      </c>
      <c r="AM847" s="2" t="e">
        <f t="shared" si="674"/>
        <v>#DIV/0!</v>
      </c>
      <c r="AN847" s="2">
        <f t="shared" si="655"/>
        <v>0</v>
      </c>
      <c r="AO847" s="2" t="e">
        <f t="shared" si="656"/>
        <v>#DIV/0!</v>
      </c>
      <c r="AP847" s="2" t="e">
        <f t="shared" si="657"/>
        <v>#DIV/0!</v>
      </c>
      <c r="AQ847" s="2" t="e">
        <f t="shared" si="675"/>
        <v>#DIV/0!</v>
      </c>
      <c r="AR847" s="2" t="e">
        <f t="shared" si="641"/>
        <v>#DIV/0!</v>
      </c>
      <c r="AS847" s="2" t="e">
        <f t="shared" si="658"/>
        <v>#DIV/0!</v>
      </c>
      <c r="AT847" s="2" t="e">
        <f t="shared" si="659"/>
        <v>#DIV/0!</v>
      </c>
      <c r="AU847" s="2" t="e">
        <f t="shared" si="676"/>
        <v>#DIV/0!</v>
      </c>
      <c r="AV847" s="2" t="e">
        <f t="shared" si="660"/>
        <v>#DIV/0!</v>
      </c>
      <c r="AW847" s="2" t="e">
        <f t="shared" si="661"/>
        <v>#DIV/0!</v>
      </c>
      <c r="AX847" s="2" t="e">
        <f t="shared" si="662"/>
        <v>#DIV/0!</v>
      </c>
      <c r="AY847" s="2" t="e">
        <f t="shared" si="677"/>
        <v>#DIV/0!</v>
      </c>
      <c r="AZ847" s="2" t="e">
        <f t="shared" si="642"/>
        <v>#DIV/0!</v>
      </c>
      <c r="BA847" s="2" t="e">
        <f t="shared" si="663"/>
        <v>#DIV/0!</v>
      </c>
      <c r="BB847" s="2" t="e">
        <f t="shared" si="664"/>
        <v>#DIV/0!</v>
      </c>
      <c r="BC847" s="2" t="e">
        <f t="shared" si="678"/>
        <v>#DIV/0!</v>
      </c>
      <c r="BD847" s="2">
        <v>0</v>
      </c>
      <c r="BE847" s="2" t="e">
        <f t="shared" si="665"/>
        <v>#DIV/0!</v>
      </c>
      <c r="BF847" s="2" t="e">
        <f t="shared" si="666"/>
        <v>#DIV/0!</v>
      </c>
      <c r="BG847" s="2" t="e">
        <f t="shared" si="679"/>
        <v>#DIV/0!</v>
      </c>
      <c r="BH847" s="2" t="e">
        <f t="shared" si="643"/>
        <v>#DIV/0!</v>
      </c>
      <c r="BI847" s="2" t="e">
        <f t="shared" si="667"/>
        <v>#DIV/0!</v>
      </c>
      <c r="BJ847" s="2" t="e">
        <f t="shared" si="668"/>
        <v>#DIV/0!</v>
      </c>
      <c r="BK847" s="2" t="e">
        <f t="shared" si="680"/>
        <v>#DIV/0!</v>
      </c>
      <c r="BL847" s="2" t="e">
        <f t="shared" si="669"/>
        <v>#DIV/0!</v>
      </c>
      <c r="BM847" s="2" t="e">
        <f t="shared" si="670"/>
        <v>#DIV/0!</v>
      </c>
      <c r="BN847" s="2" t="e">
        <f t="shared" si="681"/>
        <v>#DIV/0!</v>
      </c>
    </row>
    <row r="848" spans="1:66" x14ac:dyDescent="0.25">
      <c r="A848" s="42">
        <v>845</v>
      </c>
      <c r="E848" s="6">
        <f t="shared" si="671"/>
        <v>0</v>
      </c>
      <c r="F848" s="5" t="str">
        <f t="shared" si="682"/>
        <v>Break Even</v>
      </c>
      <c r="G848" s="4">
        <f t="shared" si="683"/>
        <v>0</v>
      </c>
      <c r="N848" s="5">
        <f t="shared" si="684"/>
        <v>0</v>
      </c>
      <c r="O848" s="4" t="e">
        <f t="shared" si="685"/>
        <v>#DIV/0!</v>
      </c>
      <c r="P848" s="5">
        <f t="shared" si="644"/>
        <v>0</v>
      </c>
      <c r="R848" s="2">
        <f t="shared" si="639"/>
        <v>0</v>
      </c>
      <c r="T848" s="2">
        <f t="shared" si="672"/>
        <v>0</v>
      </c>
      <c r="V848" s="5">
        <f t="shared" si="686"/>
        <v>0</v>
      </c>
      <c r="W848" s="4" t="e">
        <f t="shared" si="687"/>
        <v>#DIV/0!</v>
      </c>
      <c r="X848" s="14">
        <f t="shared" si="645"/>
        <v>0</v>
      </c>
      <c r="Y848" s="5">
        <f t="shared" si="646"/>
        <v>0</v>
      </c>
      <c r="Z848" s="2">
        <f t="shared" si="647"/>
        <v>0</v>
      </c>
      <c r="AA848" s="4">
        <f t="shared" si="648"/>
        <v>0</v>
      </c>
      <c r="AB848" s="13">
        <f t="shared" si="649"/>
        <v>0</v>
      </c>
      <c r="AC848" s="10">
        <f>SUM($E$4:E848)</f>
        <v>-22024.091160220025</v>
      </c>
      <c r="AD848" s="20">
        <f>SUM($AB$4:AB848)</f>
        <v>13539.766460219998</v>
      </c>
      <c r="AF848" s="28" t="e">
        <f t="shared" si="650"/>
        <v>#DIV/0!</v>
      </c>
      <c r="AG848" s="2" t="e">
        <f t="shared" si="651"/>
        <v>#DIV/0!</v>
      </c>
      <c r="AH848" s="2" t="e">
        <f t="shared" si="652"/>
        <v>#DIV/0!</v>
      </c>
      <c r="AI848" s="2" t="e">
        <f t="shared" si="673"/>
        <v>#DIV/0!</v>
      </c>
      <c r="AJ848" s="2" t="e">
        <f t="shared" si="640"/>
        <v>#DIV/0!</v>
      </c>
      <c r="AK848" s="2" t="e">
        <f t="shared" si="653"/>
        <v>#DIV/0!</v>
      </c>
      <c r="AL848" s="2" t="e">
        <f t="shared" si="654"/>
        <v>#DIV/0!</v>
      </c>
      <c r="AM848" s="2" t="e">
        <f t="shared" si="674"/>
        <v>#DIV/0!</v>
      </c>
      <c r="AN848" s="2">
        <f t="shared" si="655"/>
        <v>0</v>
      </c>
      <c r="AO848" s="2" t="e">
        <f t="shared" si="656"/>
        <v>#DIV/0!</v>
      </c>
      <c r="AP848" s="2" t="e">
        <f t="shared" si="657"/>
        <v>#DIV/0!</v>
      </c>
      <c r="AQ848" s="2" t="e">
        <f t="shared" si="675"/>
        <v>#DIV/0!</v>
      </c>
      <c r="AR848" s="2" t="e">
        <f t="shared" si="641"/>
        <v>#DIV/0!</v>
      </c>
      <c r="AS848" s="2" t="e">
        <f t="shared" si="658"/>
        <v>#DIV/0!</v>
      </c>
      <c r="AT848" s="2" t="e">
        <f t="shared" si="659"/>
        <v>#DIV/0!</v>
      </c>
      <c r="AU848" s="2" t="e">
        <f t="shared" si="676"/>
        <v>#DIV/0!</v>
      </c>
      <c r="AV848" s="2" t="e">
        <f t="shared" si="660"/>
        <v>#DIV/0!</v>
      </c>
      <c r="AW848" s="2" t="e">
        <f t="shared" si="661"/>
        <v>#DIV/0!</v>
      </c>
      <c r="AX848" s="2" t="e">
        <f t="shared" si="662"/>
        <v>#DIV/0!</v>
      </c>
      <c r="AY848" s="2" t="e">
        <f t="shared" si="677"/>
        <v>#DIV/0!</v>
      </c>
      <c r="AZ848" s="2" t="e">
        <f t="shared" si="642"/>
        <v>#DIV/0!</v>
      </c>
      <c r="BA848" s="2" t="e">
        <f t="shared" si="663"/>
        <v>#DIV/0!</v>
      </c>
      <c r="BB848" s="2" t="e">
        <f t="shared" si="664"/>
        <v>#DIV/0!</v>
      </c>
      <c r="BC848" s="2" t="e">
        <f t="shared" si="678"/>
        <v>#DIV/0!</v>
      </c>
      <c r="BD848" s="2">
        <v>0</v>
      </c>
      <c r="BE848" s="2" t="e">
        <f t="shared" si="665"/>
        <v>#DIV/0!</v>
      </c>
      <c r="BF848" s="2" t="e">
        <f t="shared" si="666"/>
        <v>#DIV/0!</v>
      </c>
      <c r="BG848" s="2" t="e">
        <f t="shared" si="679"/>
        <v>#DIV/0!</v>
      </c>
      <c r="BH848" s="2" t="e">
        <f t="shared" si="643"/>
        <v>#DIV/0!</v>
      </c>
      <c r="BI848" s="2" t="e">
        <f t="shared" si="667"/>
        <v>#DIV/0!</v>
      </c>
      <c r="BJ848" s="2" t="e">
        <f t="shared" si="668"/>
        <v>#DIV/0!</v>
      </c>
      <c r="BK848" s="2" t="e">
        <f t="shared" si="680"/>
        <v>#DIV/0!</v>
      </c>
      <c r="BL848" s="2" t="e">
        <f t="shared" si="669"/>
        <v>#DIV/0!</v>
      </c>
      <c r="BM848" s="2" t="e">
        <f t="shared" si="670"/>
        <v>#DIV/0!</v>
      </c>
      <c r="BN848" s="2" t="e">
        <f t="shared" si="681"/>
        <v>#DIV/0!</v>
      </c>
    </row>
    <row r="849" spans="1:66" x14ac:dyDescent="0.25">
      <c r="A849" s="42">
        <v>846</v>
      </c>
      <c r="E849" s="6">
        <f t="shared" si="671"/>
        <v>0</v>
      </c>
      <c r="F849" s="5" t="str">
        <f t="shared" si="682"/>
        <v>Break Even</v>
      </c>
      <c r="G849" s="4">
        <f t="shared" si="683"/>
        <v>0</v>
      </c>
      <c r="N849" s="5">
        <f t="shared" si="684"/>
        <v>0</v>
      </c>
      <c r="O849" s="4" t="e">
        <f t="shared" si="685"/>
        <v>#DIV/0!</v>
      </c>
      <c r="P849" s="5">
        <f t="shared" si="644"/>
        <v>0</v>
      </c>
      <c r="R849" s="2">
        <f t="shared" si="639"/>
        <v>0</v>
      </c>
      <c r="T849" s="2">
        <f t="shared" si="672"/>
        <v>0</v>
      </c>
      <c r="V849" s="5">
        <f t="shared" si="686"/>
        <v>0</v>
      </c>
      <c r="W849" s="4" t="e">
        <f t="shared" si="687"/>
        <v>#DIV/0!</v>
      </c>
      <c r="X849" s="14">
        <f t="shared" si="645"/>
        <v>0</v>
      </c>
      <c r="Y849" s="5">
        <f t="shared" si="646"/>
        <v>0</v>
      </c>
      <c r="Z849" s="2">
        <f t="shared" si="647"/>
        <v>0</v>
      </c>
      <c r="AA849" s="4">
        <f t="shared" si="648"/>
        <v>0</v>
      </c>
      <c r="AB849" s="13">
        <f t="shared" si="649"/>
        <v>0</v>
      </c>
      <c r="AC849" s="10">
        <f>SUM($E$4:E849)</f>
        <v>-22024.091160220025</v>
      </c>
      <c r="AD849" s="20">
        <f>SUM($AB$4:AB849)</f>
        <v>13539.766460219998</v>
      </c>
      <c r="AF849" s="28" t="e">
        <f t="shared" si="650"/>
        <v>#DIV/0!</v>
      </c>
      <c r="AG849" s="2" t="e">
        <f t="shared" si="651"/>
        <v>#DIV/0!</v>
      </c>
      <c r="AH849" s="2" t="e">
        <f t="shared" si="652"/>
        <v>#DIV/0!</v>
      </c>
      <c r="AI849" s="2" t="e">
        <f t="shared" si="673"/>
        <v>#DIV/0!</v>
      </c>
      <c r="AJ849" s="2" t="e">
        <f t="shared" si="640"/>
        <v>#DIV/0!</v>
      </c>
      <c r="AK849" s="2" t="e">
        <f t="shared" si="653"/>
        <v>#DIV/0!</v>
      </c>
      <c r="AL849" s="2" t="e">
        <f t="shared" si="654"/>
        <v>#DIV/0!</v>
      </c>
      <c r="AM849" s="2" t="e">
        <f t="shared" si="674"/>
        <v>#DIV/0!</v>
      </c>
      <c r="AN849" s="2">
        <f t="shared" si="655"/>
        <v>0</v>
      </c>
      <c r="AO849" s="2" t="e">
        <f t="shared" si="656"/>
        <v>#DIV/0!</v>
      </c>
      <c r="AP849" s="2" t="e">
        <f t="shared" si="657"/>
        <v>#DIV/0!</v>
      </c>
      <c r="AQ849" s="2" t="e">
        <f t="shared" si="675"/>
        <v>#DIV/0!</v>
      </c>
      <c r="AR849" s="2" t="e">
        <f t="shared" si="641"/>
        <v>#DIV/0!</v>
      </c>
      <c r="AS849" s="2" t="e">
        <f t="shared" si="658"/>
        <v>#DIV/0!</v>
      </c>
      <c r="AT849" s="2" t="e">
        <f t="shared" si="659"/>
        <v>#DIV/0!</v>
      </c>
      <c r="AU849" s="2" t="e">
        <f t="shared" si="676"/>
        <v>#DIV/0!</v>
      </c>
      <c r="AV849" s="2" t="e">
        <f t="shared" si="660"/>
        <v>#DIV/0!</v>
      </c>
      <c r="AW849" s="2" t="e">
        <f t="shared" si="661"/>
        <v>#DIV/0!</v>
      </c>
      <c r="AX849" s="2" t="e">
        <f t="shared" si="662"/>
        <v>#DIV/0!</v>
      </c>
      <c r="AY849" s="2" t="e">
        <f t="shared" si="677"/>
        <v>#DIV/0!</v>
      </c>
      <c r="AZ849" s="2" t="e">
        <f t="shared" si="642"/>
        <v>#DIV/0!</v>
      </c>
      <c r="BA849" s="2" t="e">
        <f t="shared" si="663"/>
        <v>#DIV/0!</v>
      </c>
      <c r="BB849" s="2" t="e">
        <f t="shared" si="664"/>
        <v>#DIV/0!</v>
      </c>
      <c r="BC849" s="2" t="e">
        <f t="shared" si="678"/>
        <v>#DIV/0!</v>
      </c>
      <c r="BD849" s="2">
        <v>0</v>
      </c>
      <c r="BE849" s="2" t="e">
        <f t="shared" si="665"/>
        <v>#DIV/0!</v>
      </c>
      <c r="BF849" s="2" t="e">
        <f t="shared" si="666"/>
        <v>#DIV/0!</v>
      </c>
      <c r="BG849" s="2" t="e">
        <f t="shared" si="679"/>
        <v>#DIV/0!</v>
      </c>
      <c r="BH849" s="2" t="e">
        <f t="shared" si="643"/>
        <v>#DIV/0!</v>
      </c>
      <c r="BI849" s="2" t="e">
        <f t="shared" si="667"/>
        <v>#DIV/0!</v>
      </c>
      <c r="BJ849" s="2" t="e">
        <f t="shared" si="668"/>
        <v>#DIV/0!</v>
      </c>
      <c r="BK849" s="2" t="e">
        <f t="shared" si="680"/>
        <v>#DIV/0!</v>
      </c>
      <c r="BL849" s="2" t="e">
        <f t="shared" si="669"/>
        <v>#DIV/0!</v>
      </c>
      <c r="BM849" s="2" t="e">
        <f t="shared" si="670"/>
        <v>#DIV/0!</v>
      </c>
      <c r="BN849" s="2" t="e">
        <f t="shared" si="681"/>
        <v>#DIV/0!</v>
      </c>
    </row>
    <row r="850" spans="1:66" x14ac:dyDescent="0.25">
      <c r="A850" s="42">
        <v>847</v>
      </c>
      <c r="E850" s="6">
        <f t="shared" si="671"/>
        <v>0</v>
      </c>
      <c r="F850" s="5" t="str">
        <f t="shared" si="682"/>
        <v>Break Even</v>
      </c>
      <c r="G850" s="4">
        <f t="shared" si="683"/>
        <v>0</v>
      </c>
      <c r="N850" s="5">
        <f t="shared" si="684"/>
        <v>0</v>
      </c>
      <c r="O850" s="4" t="e">
        <f t="shared" si="685"/>
        <v>#DIV/0!</v>
      </c>
      <c r="P850" s="5">
        <f t="shared" si="644"/>
        <v>0</v>
      </c>
      <c r="R850" s="2">
        <f t="shared" si="639"/>
        <v>0</v>
      </c>
      <c r="T850" s="2">
        <f t="shared" si="672"/>
        <v>0</v>
      </c>
      <c r="V850" s="5">
        <f t="shared" si="686"/>
        <v>0</v>
      </c>
      <c r="W850" s="4" t="e">
        <f t="shared" si="687"/>
        <v>#DIV/0!</v>
      </c>
      <c r="X850" s="14">
        <f t="shared" si="645"/>
        <v>0</v>
      </c>
      <c r="Y850" s="5">
        <f t="shared" si="646"/>
        <v>0</v>
      </c>
      <c r="Z850" s="2">
        <f t="shared" si="647"/>
        <v>0</v>
      </c>
      <c r="AA850" s="4">
        <f t="shared" si="648"/>
        <v>0</v>
      </c>
      <c r="AB850" s="13">
        <f t="shared" si="649"/>
        <v>0</v>
      </c>
      <c r="AC850" s="10">
        <f>SUM($E$4:E850)</f>
        <v>-22024.091160220025</v>
      </c>
      <c r="AD850" s="20">
        <f>SUM($AB$4:AB850)</f>
        <v>13539.766460219998</v>
      </c>
      <c r="AF850" s="28" t="e">
        <f t="shared" si="650"/>
        <v>#DIV/0!</v>
      </c>
      <c r="AG850" s="2" t="e">
        <f t="shared" si="651"/>
        <v>#DIV/0!</v>
      </c>
      <c r="AH850" s="2" t="e">
        <f t="shared" si="652"/>
        <v>#DIV/0!</v>
      </c>
      <c r="AI850" s="2" t="e">
        <f t="shared" si="673"/>
        <v>#DIV/0!</v>
      </c>
      <c r="AJ850" s="2" t="e">
        <f t="shared" si="640"/>
        <v>#DIV/0!</v>
      </c>
      <c r="AK850" s="2" t="e">
        <f t="shared" si="653"/>
        <v>#DIV/0!</v>
      </c>
      <c r="AL850" s="2" t="e">
        <f t="shared" si="654"/>
        <v>#DIV/0!</v>
      </c>
      <c r="AM850" s="2" t="e">
        <f t="shared" si="674"/>
        <v>#DIV/0!</v>
      </c>
      <c r="AN850" s="2">
        <f t="shared" si="655"/>
        <v>0</v>
      </c>
      <c r="AO850" s="2" t="e">
        <f t="shared" si="656"/>
        <v>#DIV/0!</v>
      </c>
      <c r="AP850" s="2" t="e">
        <f t="shared" si="657"/>
        <v>#DIV/0!</v>
      </c>
      <c r="AQ850" s="2" t="e">
        <f t="shared" si="675"/>
        <v>#DIV/0!</v>
      </c>
      <c r="AR850" s="2" t="e">
        <f t="shared" si="641"/>
        <v>#DIV/0!</v>
      </c>
      <c r="AS850" s="2" t="e">
        <f t="shared" si="658"/>
        <v>#DIV/0!</v>
      </c>
      <c r="AT850" s="2" t="e">
        <f t="shared" si="659"/>
        <v>#DIV/0!</v>
      </c>
      <c r="AU850" s="2" t="e">
        <f t="shared" si="676"/>
        <v>#DIV/0!</v>
      </c>
      <c r="AV850" s="2" t="e">
        <f t="shared" si="660"/>
        <v>#DIV/0!</v>
      </c>
      <c r="AW850" s="2" t="e">
        <f t="shared" si="661"/>
        <v>#DIV/0!</v>
      </c>
      <c r="AX850" s="2" t="e">
        <f t="shared" si="662"/>
        <v>#DIV/0!</v>
      </c>
      <c r="AY850" s="2" t="e">
        <f t="shared" si="677"/>
        <v>#DIV/0!</v>
      </c>
      <c r="AZ850" s="2" t="e">
        <f t="shared" si="642"/>
        <v>#DIV/0!</v>
      </c>
      <c r="BA850" s="2" t="e">
        <f t="shared" si="663"/>
        <v>#DIV/0!</v>
      </c>
      <c r="BB850" s="2" t="e">
        <f t="shared" si="664"/>
        <v>#DIV/0!</v>
      </c>
      <c r="BC850" s="2" t="e">
        <f t="shared" si="678"/>
        <v>#DIV/0!</v>
      </c>
      <c r="BD850" s="2">
        <v>0</v>
      </c>
      <c r="BE850" s="2" t="e">
        <f t="shared" si="665"/>
        <v>#DIV/0!</v>
      </c>
      <c r="BF850" s="2" t="e">
        <f t="shared" si="666"/>
        <v>#DIV/0!</v>
      </c>
      <c r="BG850" s="2" t="e">
        <f t="shared" si="679"/>
        <v>#DIV/0!</v>
      </c>
      <c r="BH850" s="2" t="e">
        <f t="shared" si="643"/>
        <v>#DIV/0!</v>
      </c>
      <c r="BI850" s="2" t="e">
        <f t="shared" si="667"/>
        <v>#DIV/0!</v>
      </c>
      <c r="BJ850" s="2" t="e">
        <f t="shared" si="668"/>
        <v>#DIV/0!</v>
      </c>
      <c r="BK850" s="2" t="e">
        <f t="shared" si="680"/>
        <v>#DIV/0!</v>
      </c>
      <c r="BL850" s="2" t="e">
        <f t="shared" si="669"/>
        <v>#DIV/0!</v>
      </c>
      <c r="BM850" s="2" t="e">
        <f t="shared" si="670"/>
        <v>#DIV/0!</v>
      </c>
      <c r="BN850" s="2" t="e">
        <f t="shared" si="681"/>
        <v>#DIV/0!</v>
      </c>
    </row>
    <row r="851" spans="1:66" x14ac:dyDescent="0.25">
      <c r="A851" s="42">
        <v>848</v>
      </c>
      <c r="E851" s="6">
        <f t="shared" si="671"/>
        <v>0</v>
      </c>
      <c r="F851" s="5" t="str">
        <f t="shared" si="682"/>
        <v>Break Even</v>
      </c>
      <c r="G851" s="4">
        <f t="shared" si="683"/>
        <v>0</v>
      </c>
      <c r="N851" s="5">
        <f t="shared" si="684"/>
        <v>0</v>
      </c>
      <c r="O851" s="4" t="e">
        <f t="shared" si="685"/>
        <v>#DIV/0!</v>
      </c>
      <c r="P851" s="5">
        <f t="shared" si="644"/>
        <v>0</v>
      </c>
      <c r="R851" s="2">
        <f t="shared" si="639"/>
        <v>0</v>
      </c>
      <c r="T851" s="2">
        <f t="shared" si="672"/>
        <v>0</v>
      </c>
      <c r="V851" s="5">
        <f t="shared" si="686"/>
        <v>0</v>
      </c>
      <c r="W851" s="4" t="e">
        <f t="shared" si="687"/>
        <v>#DIV/0!</v>
      </c>
      <c r="X851" s="14">
        <f t="shared" si="645"/>
        <v>0</v>
      </c>
      <c r="Y851" s="5">
        <f t="shared" si="646"/>
        <v>0</v>
      </c>
      <c r="Z851" s="2">
        <f t="shared" si="647"/>
        <v>0</v>
      </c>
      <c r="AA851" s="4">
        <f t="shared" si="648"/>
        <v>0</v>
      </c>
      <c r="AB851" s="13">
        <f t="shared" si="649"/>
        <v>0</v>
      </c>
      <c r="AC851" s="10">
        <f>SUM($E$4:E851)</f>
        <v>-22024.091160220025</v>
      </c>
      <c r="AD851" s="20">
        <f>SUM($AB$4:AB851)</f>
        <v>13539.766460219998</v>
      </c>
      <c r="AF851" s="28" t="e">
        <f t="shared" si="650"/>
        <v>#DIV/0!</v>
      </c>
      <c r="AG851" s="2" t="e">
        <f t="shared" si="651"/>
        <v>#DIV/0!</v>
      </c>
      <c r="AH851" s="2" t="e">
        <f t="shared" si="652"/>
        <v>#DIV/0!</v>
      </c>
      <c r="AI851" s="2" t="e">
        <f t="shared" si="673"/>
        <v>#DIV/0!</v>
      </c>
      <c r="AJ851" s="2" t="e">
        <f t="shared" si="640"/>
        <v>#DIV/0!</v>
      </c>
      <c r="AK851" s="2" t="e">
        <f t="shared" si="653"/>
        <v>#DIV/0!</v>
      </c>
      <c r="AL851" s="2" t="e">
        <f t="shared" si="654"/>
        <v>#DIV/0!</v>
      </c>
      <c r="AM851" s="2" t="e">
        <f t="shared" si="674"/>
        <v>#DIV/0!</v>
      </c>
      <c r="AN851" s="2">
        <f t="shared" si="655"/>
        <v>0</v>
      </c>
      <c r="AO851" s="2" t="e">
        <f t="shared" si="656"/>
        <v>#DIV/0!</v>
      </c>
      <c r="AP851" s="2" t="e">
        <f t="shared" si="657"/>
        <v>#DIV/0!</v>
      </c>
      <c r="AQ851" s="2" t="e">
        <f t="shared" si="675"/>
        <v>#DIV/0!</v>
      </c>
      <c r="AR851" s="2" t="e">
        <f t="shared" si="641"/>
        <v>#DIV/0!</v>
      </c>
      <c r="AS851" s="2" t="e">
        <f t="shared" si="658"/>
        <v>#DIV/0!</v>
      </c>
      <c r="AT851" s="2" t="e">
        <f t="shared" si="659"/>
        <v>#DIV/0!</v>
      </c>
      <c r="AU851" s="2" t="e">
        <f t="shared" si="676"/>
        <v>#DIV/0!</v>
      </c>
      <c r="AV851" s="2" t="e">
        <f t="shared" si="660"/>
        <v>#DIV/0!</v>
      </c>
      <c r="AW851" s="2" t="e">
        <f t="shared" si="661"/>
        <v>#DIV/0!</v>
      </c>
      <c r="AX851" s="2" t="e">
        <f t="shared" si="662"/>
        <v>#DIV/0!</v>
      </c>
      <c r="AY851" s="2" t="e">
        <f t="shared" si="677"/>
        <v>#DIV/0!</v>
      </c>
      <c r="AZ851" s="2" t="e">
        <f t="shared" si="642"/>
        <v>#DIV/0!</v>
      </c>
      <c r="BA851" s="2" t="e">
        <f t="shared" si="663"/>
        <v>#DIV/0!</v>
      </c>
      <c r="BB851" s="2" t="e">
        <f t="shared" si="664"/>
        <v>#DIV/0!</v>
      </c>
      <c r="BC851" s="2" t="e">
        <f t="shared" si="678"/>
        <v>#DIV/0!</v>
      </c>
      <c r="BD851" s="2">
        <v>0</v>
      </c>
      <c r="BE851" s="2" t="e">
        <f t="shared" si="665"/>
        <v>#DIV/0!</v>
      </c>
      <c r="BF851" s="2" t="e">
        <f t="shared" si="666"/>
        <v>#DIV/0!</v>
      </c>
      <c r="BG851" s="2" t="e">
        <f t="shared" si="679"/>
        <v>#DIV/0!</v>
      </c>
      <c r="BH851" s="2" t="e">
        <f t="shared" si="643"/>
        <v>#DIV/0!</v>
      </c>
      <c r="BI851" s="2" t="e">
        <f t="shared" si="667"/>
        <v>#DIV/0!</v>
      </c>
      <c r="BJ851" s="2" t="e">
        <f t="shared" si="668"/>
        <v>#DIV/0!</v>
      </c>
      <c r="BK851" s="2" t="e">
        <f t="shared" si="680"/>
        <v>#DIV/0!</v>
      </c>
      <c r="BL851" s="2" t="e">
        <f t="shared" si="669"/>
        <v>#DIV/0!</v>
      </c>
      <c r="BM851" s="2" t="e">
        <f t="shared" si="670"/>
        <v>#DIV/0!</v>
      </c>
      <c r="BN851" s="2" t="e">
        <f t="shared" si="681"/>
        <v>#DIV/0!</v>
      </c>
    </row>
    <row r="852" spans="1:66" x14ac:dyDescent="0.25">
      <c r="A852" s="42">
        <v>849</v>
      </c>
      <c r="E852" s="6">
        <f t="shared" si="671"/>
        <v>0</v>
      </c>
      <c r="F852" s="5" t="str">
        <f t="shared" si="682"/>
        <v>Break Even</v>
      </c>
      <c r="G852" s="4">
        <f t="shared" si="683"/>
        <v>0</v>
      </c>
      <c r="N852" s="5">
        <f t="shared" si="684"/>
        <v>0</v>
      </c>
      <c r="O852" s="4" t="e">
        <f t="shared" si="685"/>
        <v>#DIV/0!</v>
      </c>
      <c r="P852" s="5">
        <f t="shared" si="644"/>
        <v>0</v>
      </c>
      <c r="R852" s="2">
        <f t="shared" si="639"/>
        <v>0</v>
      </c>
      <c r="T852" s="2">
        <f t="shared" si="672"/>
        <v>0</v>
      </c>
      <c r="V852" s="5">
        <f t="shared" si="686"/>
        <v>0</v>
      </c>
      <c r="W852" s="4" t="e">
        <f t="shared" si="687"/>
        <v>#DIV/0!</v>
      </c>
      <c r="X852" s="14">
        <f t="shared" si="645"/>
        <v>0</v>
      </c>
      <c r="Y852" s="5">
        <f t="shared" si="646"/>
        <v>0</v>
      </c>
      <c r="Z852" s="2">
        <f t="shared" si="647"/>
        <v>0</v>
      </c>
      <c r="AA852" s="4">
        <f t="shared" si="648"/>
        <v>0</v>
      </c>
      <c r="AB852" s="13">
        <f t="shared" si="649"/>
        <v>0</v>
      </c>
      <c r="AC852" s="10">
        <f>SUM($E$4:E852)</f>
        <v>-22024.091160220025</v>
      </c>
      <c r="AD852" s="20">
        <f>SUM($AB$4:AB852)</f>
        <v>13539.766460219998</v>
      </c>
      <c r="AF852" s="28" t="e">
        <f t="shared" si="650"/>
        <v>#DIV/0!</v>
      </c>
      <c r="AG852" s="2" t="e">
        <f t="shared" si="651"/>
        <v>#DIV/0!</v>
      </c>
      <c r="AH852" s="2" t="e">
        <f t="shared" si="652"/>
        <v>#DIV/0!</v>
      </c>
      <c r="AI852" s="2" t="e">
        <f t="shared" si="673"/>
        <v>#DIV/0!</v>
      </c>
      <c r="AJ852" s="2" t="e">
        <f t="shared" si="640"/>
        <v>#DIV/0!</v>
      </c>
      <c r="AK852" s="2" t="e">
        <f t="shared" si="653"/>
        <v>#DIV/0!</v>
      </c>
      <c r="AL852" s="2" t="e">
        <f t="shared" si="654"/>
        <v>#DIV/0!</v>
      </c>
      <c r="AM852" s="2" t="e">
        <f t="shared" si="674"/>
        <v>#DIV/0!</v>
      </c>
      <c r="AN852" s="2">
        <f t="shared" si="655"/>
        <v>0</v>
      </c>
      <c r="AO852" s="2" t="e">
        <f t="shared" si="656"/>
        <v>#DIV/0!</v>
      </c>
      <c r="AP852" s="2" t="e">
        <f t="shared" si="657"/>
        <v>#DIV/0!</v>
      </c>
      <c r="AQ852" s="2" t="e">
        <f t="shared" si="675"/>
        <v>#DIV/0!</v>
      </c>
      <c r="AR852" s="2" t="e">
        <f t="shared" si="641"/>
        <v>#DIV/0!</v>
      </c>
      <c r="AS852" s="2" t="e">
        <f t="shared" si="658"/>
        <v>#DIV/0!</v>
      </c>
      <c r="AT852" s="2" t="e">
        <f t="shared" si="659"/>
        <v>#DIV/0!</v>
      </c>
      <c r="AU852" s="2" t="e">
        <f t="shared" si="676"/>
        <v>#DIV/0!</v>
      </c>
      <c r="AV852" s="2" t="e">
        <f t="shared" si="660"/>
        <v>#DIV/0!</v>
      </c>
      <c r="AW852" s="2" t="e">
        <f t="shared" si="661"/>
        <v>#DIV/0!</v>
      </c>
      <c r="AX852" s="2" t="e">
        <f t="shared" si="662"/>
        <v>#DIV/0!</v>
      </c>
      <c r="AY852" s="2" t="e">
        <f t="shared" si="677"/>
        <v>#DIV/0!</v>
      </c>
      <c r="AZ852" s="2" t="e">
        <f t="shared" si="642"/>
        <v>#DIV/0!</v>
      </c>
      <c r="BA852" s="2" t="e">
        <f t="shared" si="663"/>
        <v>#DIV/0!</v>
      </c>
      <c r="BB852" s="2" t="e">
        <f t="shared" si="664"/>
        <v>#DIV/0!</v>
      </c>
      <c r="BC852" s="2" t="e">
        <f t="shared" si="678"/>
        <v>#DIV/0!</v>
      </c>
      <c r="BD852" s="2">
        <v>0</v>
      </c>
      <c r="BE852" s="2" t="e">
        <f t="shared" si="665"/>
        <v>#DIV/0!</v>
      </c>
      <c r="BF852" s="2" t="e">
        <f t="shared" si="666"/>
        <v>#DIV/0!</v>
      </c>
      <c r="BG852" s="2" t="e">
        <f t="shared" si="679"/>
        <v>#DIV/0!</v>
      </c>
      <c r="BH852" s="2" t="e">
        <f t="shared" si="643"/>
        <v>#DIV/0!</v>
      </c>
      <c r="BI852" s="2" t="e">
        <f t="shared" si="667"/>
        <v>#DIV/0!</v>
      </c>
      <c r="BJ852" s="2" t="e">
        <f t="shared" si="668"/>
        <v>#DIV/0!</v>
      </c>
      <c r="BK852" s="2" t="e">
        <f t="shared" si="680"/>
        <v>#DIV/0!</v>
      </c>
      <c r="BL852" s="2" t="e">
        <f t="shared" si="669"/>
        <v>#DIV/0!</v>
      </c>
      <c r="BM852" s="2" t="e">
        <f t="shared" si="670"/>
        <v>#DIV/0!</v>
      </c>
      <c r="BN852" s="2" t="e">
        <f t="shared" si="681"/>
        <v>#DIV/0!</v>
      </c>
    </row>
    <row r="853" spans="1:66" x14ac:dyDescent="0.25">
      <c r="A853" s="42">
        <v>850</v>
      </c>
      <c r="E853" s="6">
        <f t="shared" si="671"/>
        <v>0</v>
      </c>
      <c r="F853" s="5" t="str">
        <f t="shared" si="682"/>
        <v>Break Even</v>
      </c>
      <c r="G853" s="4">
        <f t="shared" si="683"/>
        <v>0</v>
      </c>
      <c r="N853" s="5">
        <f t="shared" si="684"/>
        <v>0</v>
      </c>
      <c r="O853" s="4" t="e">
        <f t="shared" si="685"/>
        <v>#DIV/0!</v>
      </c>
      <c r="P853" s="5">
        <f t="shared" si="644"/>
        <v>0</v>
      </c>
      <c r="R853" s="2">
        <f t="shared" si="639"/>
        <v>0</v>
      </c>
      <c r="T853" s="2">
        <f t="shared" si="672"/>
        <v>0</v>
      </c>
      <c r="V853" s="5">
        <f t="shared" si="686"/>
        <v>0</v>
      </c>
      <c r="W853" s="4" t="e">
        <f t="shared" si="687"/>
        <v>#DIV/0!</v>
      </c>
      <c r="X853" s="14">
        <f t="shared" si="645"/>
        <v>0</v>
      </c>
      <c r="Y853" s="5">
        <f t="shared" si="646"/>
        <v>0</v>
      </c>
      <c r="Z853" s="2">
        <f t="shared" si="647"/>
        <v>0</v>
      </c>
      <c r="AA853" s="4">
        <f t="shared" si="648"/>
        <v>0</v>
      </c>
      <c r="AB853" s="13">
        <f t="shared" si="649"/>
        <v>0</v>
      </c>
      <c r="AC853" s="10">
        <f>SUM($E$4:E853)</f>
        <v>-22024.091160220025</v>
      </c>
      <c r="AD853" s="20">
        <f>SUM($AB$4:AB853)</f>
        <v>13539.766460219998</v>
      </c>
      <c r="AF853" s="28" t="e">
        <f t="shared" si="650"/>
        <v>#DIV/0!</v>
      </c>
      <c r="AG853" s="2" t="e">
        <f t="shared" si="651"/>
        <v>#DIV/0!</v>
      </c>
      <c r="AH853" s="2" t="e">
        <f t="shared" si="652"/>
        <v>#DIV/0!</v>
      </c>
      <c r="AI853" s="2" t="e">
        <f t="shared" si="673"/>
        <v>#DIV/0!</v>
      </c>
      <c r="AJ853" s="2" t="e">
        <f t="shared" si="640"/>
        <v>#DIV/0!</v>
      </c>
      <c r="AK853" s="2" t="e">
        <f t="shared" si="653"/>
        <v>#DIV/0!</v>
      </c>
      <c r="AL853" s="2" t="e">
        <f t="shared" si="654"/>
        <v>#DIV/0!</v>
      </c>
      <c r="AM853" s="2" t="e">
        <f t="shared" si="674"/>
        <v>#DIV/0!</v>
      </c>
      <c r="AN853" s="2">
        <f t="shared" si="655"/>
        <v>0</v>
      </c>
      <c r="AO853" s="2" t="e">
        <f t="shared" si="656"/>
        <v>#DIV/0!</v>
      </c>
      <c r="AP853" s="2" t="e">
        <f t="shared" si="657"/>
        <v>#DIV/0!</v>
      </c>
      <c r="AQ853" s="2" t="e">
        <f t="shared" si="675"/>
        <v>#DIV/0!</v>
      </c>
      <c r="AR853" s="2" t="e">
        <f t="shared" si="641"/>
        <v>#DIV/0!</v>
      </c>
      <c r="AS853" s="2" t="e">
        <f t="shared" si="658"/>
        <v>#DIV/0!</v>
      </c>
      <c r="AT853" s="2" t="e">
        <f t="shared" si="659"/>
        <v>#DIV/0!</v>
      </c>
      <c r="AU853" s="2" t="e">
        <f t="shared" si="676"/>
        <v>#DIV/0!</v>
      </c>
      <c r="AV853" s="2" t="e">
        <f t="shared" si="660"/>
        <v>#DIV/0!</v>
      </c>
      <c r="AW853" s="2" t="e">
        <f t="shared" si="661"/>
        <v>#DIV/0!</v>
      </c>
      <c r="AX853" s="2" t="e">
        <f t="shared" si="662"/>
        <v>#DIV/0!</v>
      </c>
      <c r="AY853" s="2" t="e">
        <f t="shared" si="677"/>
        <v>#DIV/0!</v>
      </c>
      <c r="AZ853" s="2" t="e">
        <f t="shared" si="642"/>
        <v>#DIV/0!</v>
      </c>
      <c r="BA853" s="2" t="e">
        <f t="shared" si="663"/>
        <v>#DIV/0!</v>
      </c>
      <c r="BB853" s="2" t="e">
        <f t="shared" si="664"/>
        <v>#DIV/0!</v>
      </c>
      <c r="BC853" s="2" t="e">
        <f t="shared" si="678"/>
        <v>#DIV/0!</v>
      </c>
      <c r="BD853" s="2">
        <v>0</v>
      </c>
      <c r="BE853" s="2" t="e">
        <f t="shared" si="665"/>
        <v>#DIV/0!</v>
      </c>
      <c r="BF853" s="2" t="e">
        <f t="shared" si="666"/>
        <v>#DIV/0!</v>
      </c>
      <c r="BG853" s="2" t="e">
        <f t="shared" si="679"/>
        <v>#DIV/0!</v>
      </c>
      <c r="BH853" s="2" t="e">
        <f t="shared" si="643"/>
        <v>#DIV/0!</v>
      </c>
      <c r="BI853" s="2" t="e">
        <f t="shared" si="667"/>
        <v>#DIV/0!</v>
      </c>
      <c r="BJ853" s="2" t="e">
        <f t="shared" si="668"/>
        <v>#DIV/0!</v>
      </c>
      <c r="BK853" s="2" t="e">
        <f t="shared" si="680"/>
        <v>#DIV/0!</v>
      </c>
      <c r="BL853" s="2" t="e">
        <f t="shared" si="669"/>
        <v>#DIV/0!</v>
      </c>
      <c r="BM853" s="2" t="e">
        <f t="shared" si="670"/>
        <v>#DIV/0!</v>
      </c>
      <c r="BN853" s="2" t="e">
        <f t="shared" si="681"/>
        <v>#DIV/0!</v>
      </c>
    </row>
    <row r="854" spans="1:66" x14ac:dyDescent="0.25">
      <c r="A854" s="42">
        <v>851</v>
      </c>
      <c r="E854" s="6">
        <f t="shared" si="671"/>
        <v>0</v>
      </c>
      <c r="F854" s="5" t="str">
        <f t="shared" si="682"/>
        <v>Break Even</v>
      </c>
      <c r="G854" s="4">
        <f t="shared" si="683"/>
        <v>0</v>
      </c>
      <c r="N854" s="5">
        <f t="shared" si="684"/>
        <v>0</v>
      </c>
      <c r="O854" s="4" t="e">
        <f t="shared" si="685"/>
        <v>#DIV/0!</v>
      </c>
      <c r="P854" s="5">
        <f t="shared" si="644"/>
        <v>0</v>
      </c>
      <c r="R854" s="2">
        <f t="shared" si="639"/>
        <v>0</v>
      </c>
      <c r="T854" s="2">
        <f t="shared" si="672"/>
        <v>0</v>
      </c>
      <c r="V854" s="5">
        <f t="shared" si="686"/>
        <v>0</v>
      </c>
      <c r="W854" s="4" t="e">
        <f t="shared" si="687"/>
        <v>#DIV/0!</v>
      </c>
      <c r="X854" s="14">
        <f t="shared" si="645"/>
        <v>0</v>
      </c>
      <c r="Y854" s="5">
        <f t="shared" si="646"/>
        <v>0</v>
      </c>
      <c r="Z854" s="2">
        <f t="shared" si="647"/>
        <v>0</v>
      </c>
      <c r="AA854" s="4">
        <f t="shared" si="648"/>
        <v>0</v>
      </c>
      <c r="AB854" s="13">
        <f t="shared" si="649"/>
        <v>0</v>
      </c>
      <c r="AC854" s="10">
        <f>SUM($E$4:E854)</f>
        <v>-22024.091160220025</v>
      </c>
      <c r="AD854" s="20">
        <f>SUM($AB$4:AB854)</f>
        <v>13539.766460219998</v>
      </c>
      <c r="AF854" s="28" t="e">
        <f t="shared" si="650"/>
        <v>#DIV/0!</v>
      </c>
      <c r="AG854" s="2" t="e">
        <f t="shared" si="651"/>
        <v>#DIV/0!</v>
      </c>
      <c r="AH854" s="2" t="e">
        <f t="shared" si="652"/>
        <v>#DIV/0!</v>
      </c>
      <c r="AI854" s="2" t="e">
        <f t="shared" si="673"/>
        <v>#DIV/0!</v>
      </c>
      <c r="AJ854" s="2" t="e">
        <f t="shared" si="640"/>
        <v>#DIV/0!</v>
      </c>
      <c r="AK854" s="2" t="e">
        <f t="shared" si="653"/>
        <v>#DIV/0!</v>
      </c>
      <c r="AL854" s="2" t="e">
        <f t="shared" si="654"/>
        <v>#DIV/0!</v>
      </c>
      <c r="AM854" s="2" t="e">
        <f t="shared" si="674"/>
        <v>#DIV/0!</v>
      </c>
      <c r="AN854" s="2">
        <f t="shared" si="655"/>
        <v>0</v>
      </c>
      <c r="AO854" s="2" t="e">
        <f t="shared" si="656"/>
        <v>#DIV/0!</v>
      </c>
      <c r="AP854" s="2" t="e">
        <f t="shared" si="657"/>
        <v>#DIV/0!</v>
      </c>
      <c r="AQ854" s="2" t="e">
        <f t="shared" si="675"/>
        <v>#DIV/0!</v>
      </c>
      <c r="AR854" s="2" t="e">
        <f t="shared" si="641"/>
        <v>#DIV/0!</v>
      </c>
      <c r="AS854" s="2" t="e">
        <f t="shared" si="658"/>
        <v>#DIV/0!</v>
      </c>
      <c r="AT854" s="2" t="e">
        <f t="shared" si="659"/>
        <v>#DIV/0!</v>
      </c>
      <c r="AU854" s="2" t="e">
        <f t="shared" si="676"/>
        <v>#DIV/0!</v>
      </c>
      <c r="AV854" s="2" t="e">
        <f t="shared" si="660"/>
        <v>#DIV/0!</v>
      </c>
      <c r="AW854" s="2" t="e">
        <f t="shared" si="661"/>
        <v>#DIV/0!</v>
      </c>
      <c r="AX854" s="2" t="e">
        <f t="shared" si="662"/>
        <v>#DIV/0!</v>
      </c>
      <c r="AY854" s="2" t="e">
        <f t="shared" si="677"/>
        <v>#DIV/0!</v>
      </c>
      <c r="AZ854" s="2" t="e">
        <f t="shared" si="642"/>
        <v>#DIV/0!</v>
      </c>
      <c r="BA854" s="2" t="e">
        <f t="shared" si="663"/>
        <v>#DIV/0!</v>
      </c>
      <c r="BB854" s="2" t="e">
        <f t="shared" si="664"/>
        <v>#DIV/0!</v>
      </c>
      <c r="BC854" s="2" t="e">
        <f t="shared" si="678"/>
        <v>#DIV/0!</v>
      </c>
      <c r="BD854" s="2">
        <v>0</v>
      </c>
      <c r="BE854" s="2" t="e">
        <f t="shared" si="665"/>
        <v>#DIV/0!</v>
      </c>
      <c r="BF854" s="2" t="e">
        <f t="shared" si="666"/>
        <v>#DIV/0!</v>
      </c>
      <c r="BG854" s="2" t="e">
        <f t="shared" si="679"/>
        <v>#DIV/0!</v>
      </c>
      <c r="BH854" s="2" t="e">
        <f t="shared" si="643"/>
        <v>#DIV/0!</v>
      </c>
      <c r="BI854" s="2" t="e">
        <f t="shared" si="667"/>
        <v>#DIV/0!</v>
      </c>
      <c r="BJ854" s="2" t="e">
        <f t="shared" si="668"/>
        <v>#DIV/0!</v>
      </c>
      <c r="BK854" s="2" t="e">
        <f t="shared" si="680"/>
        <v>#DIV/0!</v>
      </c>
      <c r="BL854" s="2" t="e">
        <f t="shared" si="669"/>
        <v>#DIV/0!</v>
      </c>
      <c r="BM854" s="2" t="e">
        <f t="shared" si="670"/>
        <v>#DIV/0!</v>
      </c>
      <c r="BN854" s="2" t="e">
        <f t="shared" si="681"/>
        <v>#DIV/0!</v>
      </c>
    </row>
    <row r="855" spans="1:66" x14ac:dyDescent="0.25">
      <c r="A855" s="42">
        <v>852</v>
      </c>
      <c r="E855" s="6">
        <f t="shared" si="671"/>
        <v>0</v>
      </c>
      <c r="F855" s="5" t="str">
        <f t="shared" si="682"/>
        <v>Break Even</v>
      </c>
      <c r="G855" s="4">
        <f t="shared" si="683"/>
        <v>0</v>
      </c>
      <c r="N855" s="5">
        <f t="shared" si="684"/>
        <v>0</v>
      </c>
      <c r="O855" s="4" t="e">
        <f t="shared" si="685"/>
        <v>#DIV/0!</v>
      </c>
      <c r="P855" s="5">
        <f t="shared" si="644"/>
        <v>0</v>
      </c>
      <c r="R855" s="2">
        <f t="shared" si="639"/>
        <v>0</v>
      </c>
      <c r="T855" s="2">
        <f t="shared" si="672"/>
        <v>0</v>
      </c>
      <c r="V855" s="5">
        <f t="shared" si="686"/>
        <v>0</v>
      </c>
      <c r="W855" s="4" t="e">
        <f t="shared" si="687"/>
        <v>#DIV/0!</v>
      </c>
      <c r="X855" s="14">
        <f t="shared" si="645"/>
        <v>0</v>
      </c>
      <c r="Y855" s="5">
        <f t="shared" si="646"/>
        <v>0</v>
      </c>
      <c r="Z855" s="2">
        <f t="shared" si="647"/>
        <v>0</v>
      </c>
      <c r="AA855" s="4">
        <f t="shared" si="648"/>
        <v>0</v>
      </c>
      <c r="AB855" s="13">
        <f t="shared" si="649"/>
        <v>0</v>
      </c>
      <c r="AC855" s="10">
        <f>SUM($E$4:E855)</f>
        <v>-22024.091160220025</v>
      </c>
      <c r="AD855" s="20">
        <f>SUM($AB$4:AB855)</f>
        <v>13539.766460219998</v>
      </c>
      <c r="AF855" s="28" t="e">
        <f t="shared" si="650"/>
        <v>#DIV/0!</v>
      </c>
      <c r="AG855" s="2" t="e">
        <f t="shared" si="651"/>
        <v>#DIV/0!</v>
      </c>
      <c r="AH855" s="2" t="e">
        <f t="shared" si="652"/>
        <v>#DIV/0!</v>
      </c>
      <c r="AI855" s="2" t="e">
        <f t="shared" si="673"/>
        <v>#DIV/0!</v>
      </c>
      <c r="AJ855" s="2" t="e">
        <f t="shared" si="640"/>
        <v>#DIV/0!</v>
      </c>
      <c r="AK855" s="2" t="e">
        <f t="shared" si="653"/>
        <v>#DIV/0!</v>
      </c>
      <c r="AL855" s="2" t="e">
        <f t="shared" si="654"/>
        <v>#DIV/0!</v>
      </c>
      <c r="AM855" s="2" t="e">
        <f t="shared" si="674"/>
        <v>#DIV/0!</v>
      </c>
      <c r="AN855" s="2">
        <f t="shared" si="655"/>
        <v>0</v>
      </c>
      <c r="AO855" s="2" t="e">
        <f t="shared" si="656"/>
        <v>#DIV/0!</v>
      </c>
      <c r="AP855" s="2" t="e">
        <f t="shared" si="657"/>
        <v>#DIV/0!</v>
      </c>
      <c r="AQ855" s="2" t="e">
        <f t="shared" si="675"/>
        <v>#DIV/0!</v>
      </c>
      <c r="AR855" s="2" t="e">
        <f t="shared" si="641"/>
        <v>#DIV/0!</v>
      </c>
      <c r="AS855" s="2" t="e">
        <f t="shared" si="658"/>
        <v>#DIV/0!</v>
      </c>
      <c r="AT855" s="2" t="e">
        <f t="shared" si="659"/>
        <v>#DIV/0!</v>
      </c>
      <c r="AU855" s="2" t="e">
        <f t="shared" si="676"/>
        <v>#DIV/0!</v>
      </c>
      <c r="AV855" s="2" t="e">
        <f t="shared" si="660"/>
        <v>#DIV/0!</v>
      </c>
      <c r="AW855" s="2" t="e">
        <f t="shared" si="661"/>
        <v>#DIV/0!</v>
      </c>
      <c r="AX855" s="2" t="e">
        <f t="shared" si="662"/>
        <v>#DIV/0!</v>
      </c>
      <c r="AY855" s="2" t="e">
        <f t="shared" si="677"/>
        <v>#DIV/0!</v>
      </c>
      <c r="AZ855" s="2" t="e">
        <f t="shared" si="642"/>
        <v>#DIV/0!</v>
      </c>
      <c r="BA855" s="2" t="e">
        <f t="shared" si="663"/>
        <v>#DIV/0!</v>
      </c>
      <c r="BB855" s="2" t="e">
        <f t="shared" si="664"/>
        <v>#DIV/0!</v>
      </c>
      <c r="BC855" s="2" t="e">
        <f t="shared" si="678"/>
        <v>#DIV/0!</v>
      </c>
      <c r="BD855" s="2">
        <v>0</v>
      </c>
      <c r="BE855" s="2" t="e">
        <f t="shared" si="665"/>
        <v>#DIV/0!</v>
      </c>
      <c r="BF855" s="2" t="e">
        <f t="shared" si="666"/>
        <v>#DIV/0!</v>
      </c>
      <c r="BG855" s="2" t="e">
        <f t="shared" si="679"/>
        <v>#DIV/0!</v>
      </c>
      <c r="BH855" s="2" t="e">
        <f t="shared" si="643"/>
        <v>#DIV/0!</v>
      </c>
      <c r="BI855" s="2" t="e">
        <f t="shared" si="667"/>
        <v>#DIV/0!</v>
      </c>
      <c r="BJ855" s="2" t="e">
        <f t="shared" si="668"/>
        <v>#DIV/0!</v>
      </c>
      <c r="BK855" s="2" t="e">
        <f t="shared" si="680"/>
        <v>#DIV/0!</v>
      </c>
      <c r="BL855" s="2" t="e">
        <f t="shared" si="669"/>
        <v>#DIV/0!</v>
      </c>
      <c r="BM855" s="2" t="e">
        <f t="shared" si="670"/>
        <v>#DIV/0!</v>
      </c>
      <c r="BN855" s="2" t="e">
        <f t="shared" si="681"/>
        <v>#DIV/0!</v>
      </c>
    </row>
    <row r="856" spans="1:66" x14ac:dyDescent="0.25">
      <c r="A856" s="42">
        <v>853</v>
      </c>
      <c r="E856" s="6">
        <f t="shared" si="671"/>
        <v>0</v>
      </c>
      <c r="F856" s="5" t="str">
        <f t="shared" si="682"/>
        <v>Break Even</v>
      </c>
      <c r="G856" s="4">
        <f t="shared" si="683"/>
        <v>0</v>
      </c>
      <c r="N856" s="5">
        <f t="shared" si="684"/>
        <v>0</v>
      </c>
      <c r="O856" s="4" t="e">
        <f t="shared" si="685"/>
        <v>#DIV/0!</v>
      </c>
      <c r="P856" s="5">
        <f t="shared" si="644"/>
        <v>0</v>
      </c>
      <c r="R856" s="2">
        <f t="shared" si="639"/>
        <v>0</v>
      </c>
      <c r="T856" s="2">
        <f t="shared" si="672"/>
        <v>0</v>
      </c>
      <c r="V856" s="5">
        <f t="shared" si="686"/>
        <v>0</v>
      </c>
      <c r="W856" s="4" t="e">
        <f t="shared" si="687"/>
        <v>#DIV/0!</v>
      </c>
      <c r="X856" s="14">
        <f t="shared" si="645"/>
        <v>0</v>
      </c>
      <c r="Y856" s="5">
        <f t="shared" si="646"/>
        <v>0</v>
      </c>
      <c r="Z856" s="2">
        <f t="shared" si="647"/>
        <v>0</v>
      </c>
      <c r="AA856" s="4">
        <f t="shared" si="648"/>
        <v>0</v>
      </c>
      <c r="AB856" s="13">
        <f t="shared" si="649"/>
        <v>0</v>
      </c>
      <c r="AC856" s="10">
        <f>SUM($E$4:E856)</f>
        <v>-22024.091160220025</v>
      </c>
      <c r="AD856" s="20">
        <f>SUM($AB$4:AB856)</f>
        <v>13539.766460219998</v>
      </c>
      <c r="AF856" s="28" t="e">
        <f t="shared" si="650"/>
        <v>#DIV/0!</v>
      </c>
      <c r="AG856" s="2" t="e">
        <f t="shared" si="651"/>
        <v>#DIV/0!</v>
      </c>
      <c r="AH856" s="2" t="e">
        <f t="shared" si="652"/>
        <v>#DIV/0!</v>
      </c>
      <c r="AI856" s="2" t="e">
        <f t="shared" si="673"/>
        <v>#DIV/0!</v>
      </c>
      <c r="AJ856" s="2" t="e">
        <f t="shared" si="640"/>
        <v>#DIV/0!</v>
      </c>
      <c r="AK856" s="2" t="e">
        <f t="shared" si="653"/>
        <v>#DIV/0!</v>
      </c>
      <c r="AL856" s="2" t="e">
        <f t="shared" si="654"/>
        <v>#DIV/0!</v>
      </c>
      <c r="AM856" s="2" t="e">
        <f t="shared" si="674"/>
        <v>#DIV/0!</v>
      </c>
      <c r="AN856" s="2">
        <f t="shared" si="655"/>
        <v>0</v>
      </c>
      <c r="AO856" s="2" t="e">
        <f t="shared" si="656"/>
        <v>#DIV/0!</v>
      </c>
      <c r="AP856" s="2" t="e">
        <f t="shared" si="657"/>
        <v>#DIV/0!</v>
      </c>
      <c r="AQ856" s="2" t="e">
        <f t="shared" si="675"/>
        <v>#DIV/0!</v>
      </c>
      <c r="AR856" s="2" t="e">
        <f t="shared" si="641"/>
        <v>#DIV/0!</v>
      </c>
      <c r="AS856" s="2" t="e">
        <f t="shared" si="658"/>
        <v>#DIV/0!</v>
      </c>
      <c r="AT856" s="2" t="e">
        <f t="shared" si="659"/>
        <v>#DIV/0!</v>
      </c>
      <c r="AU856" s="2" t="e">
        <f t="shared" si="676"/>
        <v>#DIV/0!</v>
      </c>
      <c r="AV856" s="2" t="e">
        <f t="shared" si="660"/>
        <v>#DIV/0!</v>
      </c>
      <c r="AW856" s="2" t="e">
        <f t="shared" si="661"/>
        <v>#DIV/0!</v>
      </c>
      <c r="AX856" s="2" t="e">
        <f t="shared" si="662"/>
        <v>#DIV/0!</v>
      </c>
      <c r="AY856" s="2" t="e">
        <f t="shared" si="677"/>
        <v>#DIV/0!</v>
      </c>
      <c r="AZ856" s="2" t="e">
        <f t="shared" si="642"/>
        <v>#DIV/0!</v>
      </c>
      <c r="BA856" s="2" t="e">
        <f t="shared" si="663"/>
        <v>#DIV/0!</v>
      </c>
      <c r="BB856" s="2" t="e">
        <f t="shared" si="664"/>
        <v>#DIV/0!</v>
      </c>
      <c r="BC856" s="2" t="e">
        <f t="shared" si="678"/>
        <v>#DIV/0!</v>
      </c>
      <c r="BD856" s="2">
        <v>0</v>
      </c>
      <c r="BE856" s="2" t="e">
        <f t="shared" si="665"/>
        <v>#DIV/0!</v>
      </c>
      <c r="BF856" s="2" t="e">
        <f t="shared" si="666"/>
        <v>#DIV/0!</v>
      </c>
      <c r="BG856" s="2" t="e">
        <f t="shared" si="679"/>
        <v>#DIV/0!</v>
      </c>
      <c r="BH856" s="2" t="e">
        <f t="shared" si="643"/>
        <v>#DIV/0!</v>
      </c>
      <c r="BI856" s="2" t="e">
        <f t="shared" si="667"/>
        <v>#DIV/0!</v>
      </c>
      <c r="BJ856" s="2" t="e">
        <f t="shared" si="668"/>
        <v>#DIV/0!</v>
      </c>
      <c r="BK856" s="2" t="e">
        <f t="shared" si="680"/>
        <v>#DIV/0!</v>
      </c>
      <c r="BL856" s="2" t="e">
        <f t="shared" si="669"/>
        <v>#DIV/0!</v>
      </c>
      <c r="BM856" s="2" t="e">
        <f t="shared" si="670"/>
        <v>#DIV/0!</v>
      </c>
      <c r="BN856" s="2" t="e">
        <f t="shared" si="681"/>
        <v>#DIV/0!</v>
      </c>
    </row>
    <row r="857" spans="1:66" x14ac:dyDescent="0.25">
      <c r="A857" s="42">
        <v>854</v>
      </c>
      <c r="E857" s="6">
        <f t="shared" si="671"/>
        <v>0</v>
      </c>
      <c r="F857" s="5" t="str">
        <f t="shared" si="682"/>
        <v>Break Even</v>
      </c>
      <c r="G857" s="4">
        <f t="shared" si="683"/>
        <v>0</v>
      </c>
      <c r="N857" s="5">
        <f t="shared" si="684"/>
        <v>0</v>
      </c>
      <c r="O857" s="4" t="e">
        <f t="shared" si="685"/>
        <v>#DIV/0!</v>
      </c>
      <c r="P857" s="5">
        <f t="shared" si="644"/>
        <v>0</v>
      </c>
      <c r="R857" s="2">
        <f t="shared" si="639"/>
        <v>0</v>
      </c>
      <c r="T857" s="2">
        <f t="shared" si="672"/>
        <v>0</v>
      </c>
      <c r="V857" s="5">
        <f t="shared" si="686"/>
        <v>0</v>
      </c>
      <c r="W857" s="4" t="e">
        <f t="shared" si="687"/>
        <v>#DIV/0!</v>
      </c>
      <c r="X857" s="14">
        <f t="shared" si="645"/>
        <v>0</v>
      </c>
      <c r="Y857" s="5">
        <f t="shared" si="646"/>
        <v>0</v>
      </c>
      <c r="Z857" s="2">
        <f t="shared" si="647"/>
        <v>0</v>
      </c>
      <c r="AA857" s="4">
        <f t="shared" si="648"/>
        <v>0</v>
      </c>
      <c r="AB857" s="13">
        <f t="shared" si="649"/>
        <v>0</v>
      </c>
      <c r="AC857" s="10">
        <f>SUM($E$4:E857)</f>
        <v>-22024.091160220025</v>
      </c>
      <c r="AD857" s="20">
        <f>SUM($AB$4:AB857)</f>
        <v>13539.766460219998</v>
      </c>
      <c r="AF857" s="28" t="e">
        <f t="shared" si="650"/>
        <v>#DIV/0!</v>
      </c>
      <c r="AG857" s="2" t="e">
        <f t="shared" si="651"/>
        <v>#DIV/0!</v>
      </c>
      <c r="AH857" s="2" t="e">
        <f t="shared" si="652"/>
        <v>#DIV/0!</v>
      </c>
      <c r="AI857" s="2" t="e">
        <f t="shared" si="673"/>
        <v>#DIV/0!</v>
      </c>
      <c r="AJ857" s="2" t="e">
        <f t="shared" si="640"/>
        <v>#DIV/0!</v>
      </c>
      <c r="AK857" s="2" t="e">
        <f t="shared" si="653"/>
        <v>#DIV/0!</v>
      </c>
      <c r="AL857" s="2" t="e">
        <f t="shared" si="654"/>
        <v>#DIV/0!</v>
      </c>
      <c r="AM857" s="2" t="e">
        <f t="shared" si="674"/>
        <v>#DIV/0!</v>
      </c>
      <c r="AN857" s="2">
        <f t="shared" si="655"/>
        <v>0</v>
      </c>
      <c r="AO857" s="2" t="e">
        <f t="shared" si="656"/>
        <v>#DIV/0!</v>
      </c>
      <c r="AP857" s="2" t="e">
        <f t="shared" si="657"/>
        <v>#DIV/0!</v>
      </c>
      <c r="AQ857" s="2" t="e">
        <f t="shared" si="675"/>
        <v>#DIV/0!</v>
      </c>
      <c r="AR857" s="2" t="e">
        <f t="shared" si="641"/>
        <v>#DIV/0!</v>
      </c>
      <c r="AS857" s="2" t="e">
        <f t="shared" si="658"/>
        <v>#DIV/0!</v>
      </c>
      <c r="AT857" s="2" t="e">
        <f t="shared" si="659"/>
        <v>#DIV/0!</v>
      </c>
      <c r="AU857" s="2" t="e">
        <f t="shared" si="676"/>
        <v>#DIV/0!</v>
      </c>
      <c r="AV857" s="2" t="e">
        <f t="shared" si="660"/>
        <v>#DIV/0!</v>
      </c>
      <c r="AW857" s="2" t="e">
        <f t="shared" si="661"/>
        <v>#DIV/0!</v>
      </c>
      <c r="AX857" s="2" t="e">
        <f t="shared" si="662"/>
        <v>#DIV/0!</v>
      </c>
      <c r="AY857" s="2" t="e">
        <f t="shared" si="677"/>
        <v>#DIV/0!</v>
      </c>
      <c r="AZ857" s="2" t="e">
        <f t="shared" si="642"/>
        <v>#DIV/0!</v>
      </c>
      <c r="BA857" s="2" t="e">
        <f t="shared" si="663"/>
        <v>#DIV/0!</v>
      </c>
      <c r="BB857" s="2" t="e">
        <f t="shared" si="664"/>
        <v>#DIV/0!</v>
      </c>
      <c r="BC857" s="2" t="e">
        <f t="shared" si="678"/>
        <v>#DIV/0!</v>
      </c>
      <c r="BD857" s="2">
        <v>0</v>
      </c>
      <c r="BE857" s="2" t="e">
        <f t="shared" si="665"/>
        <v>#DIV/0!</v>
      </c>
      <c r="BF857" s="2" t="e">
        <f t="shared" si="666"/>
        <v>#DIV/0!</v>
      </c>
      <c r="BG857" s="2" t="e">
        <f t="shared" si="679"/>
        <v>#DIV/0!</v>
      </c>
      <c r="BH857" s="2" t="e">
        <f t="shared" si="643"/>
        <v>#DIV/0!</v>
      </c>
      <c r="BI857" s="2" t="e">
        <f t="shared" si="667"/>
        <v>#DIV/0!</v>
      </c>
      <c r="BJ857" s="2" t="e">
        <f t="shared" si="668"/>
        <v>#DIV/0!</v>
      </c>
      <c r="BK857" s="2" t="e">
        <f t="shared" si="680"/>
        <v>#DIV/0!</v>
      </c>
      <c r="BL857" s="2" t="e">
        <f t="shared" si="669"/>
        <v>#DIV/0!</v>
      </c>
      <c r="BM857" s="2" t="e">
        <f t="shared" si="670"/>
        <v>#DIV/0!</v>
      </c>
      <c r="BN857" s="2" t="e">
        <f t="shared" si="681"/>
        <v>#DIV/0!</v>
      </c>
    </row>
    <row r="858" spans="1:66" x14ac:dyDescent="0.25">
      <c r="A858" s="42">
        <v>855</v>
      </c>
      <c r="E858" s="6">
        <f t="shared" si="671"/>
        <v>0</v>
      </c>
      <c r="F858" s="5" t="str">
        <f t="shared" si="682"/>
        <v>Break Even</v>
      </c>
      <c r="G858" s="4">
        <f t="shared" si="683"/>
        <v>0</v>
      </c>
      <c r="N858" s="5">
        <f t="shared" si="684"/>
        <v>0</v>
      </c>
      <c r="O858" s="4" t="e">
        <f t="shared" si="685"/>
        <v>#DIV/0!</v>
      </c>
      <c r="P858" s="5">
        <f t="shared" si="644"/>
        <v>0</v>
      </c>
      <c r="R858" s="2">
        <f t="shared" si="639"/>
        <v>0</v>
      </c>
      <c r="T858" s="2">
        <f t="shared" si="672"/>
        <v>0</v>
      </c>
      <c r="V858" s="5">
        <f t="shared" si="686"/>
        <v>0</v>
      </c>
      <c r="W858" s="4" t="e">
        <f t="shared" si="687"/>
        <v>#DIV/0!</v>
      </c>
      <c r="X858" s="14">
        <f t="shared" si="645"/>
        <v>0</v>
      </c>
      <c r="Y858" s="5">
        <f t="shared" si="646"/>
        <v>0</v>
      </c>
      <c r="Z858" s="2">
        <f t="shared" si="647"/>
        <v>0</v>
      </c>
      <c r="AA858" s="4">
        <f t="shared" si="648"/>
        <v>0</v>
      </c>
      <c r="AB858" s="13">
        <f t="shared" si="649"/>
        <v>0</v>
      </c>
      <c r="AC858" s="10">
        <f>SUM($E$4:E858)</f>
        <v>-22024.091160220025</v>
      </c>
      <c r="AD858" s="20">
        <f>SUM($AB$4:AB858)</f>
        <v>13539.766460219998</v>
      </c>
      <c r="AF858" s="28" t="e">
        <f t="shared" si="650"/>
        <v>#DIV/0!</v>
      </c>
      <c r="AG858" s="2" t="e">
        <f t="shared" si="651"/>
        <v>#DIV/0!</v>
      </c>
      <c r="AH858" s="2" t="e">
        <f t="shared" si="652"/>
        <v>#DIV/0!</v>
      </c>
      <c r="AI858" s="2" t="e">
        <f t="shared" si="673"/>
        <v>#DIV/0!</v>
      </c>
      <c r="AJ858" s="2" t="e">
        <f t="shared" si="640"/>
        <v>#DIV/0!</v>
      </c>
      <c r="AK858" s="2" t="e">
        <f t="shared" si="653"/>
        <v>#DIV/0!</v>
      </c>
      <c r="AL858" s="2" t="e">
        <f t="shared" si="654"/>
        <v>#DIV/0!</v>
      </c>
      <c r="AM858" s="2" t="e">
        <f t="shared" si="674"/>
        <v>#DIV/0!</v>
      </c>
      <c r="AN858" s="2">
        <f t="shared" si="655"/>
        <v>0</v>
      </c>
      <c r="AO858" s="2" t="e">
        <f t="shared" si="656"/>
        <v>#DIV/0!</v>
      </c>
      <c r="AP858" s="2" t="e">
        <f t="shared" si="657"/>
        <v>#DIV/0!</v>
      </c>
      <c r="AQ858" s="2" t="e">
        <f t="shared" si="675"/>
        <v>#DIV/0!</v>
      </c>
      <c r="AR858" s="2" t="e">
        <f t="shared" si="641"/>
        <v>#DIV/0!</v>
      </c>
      <c r="AS858" s="2" t="e">
        <f t="shared" si="658"/>
        <v>#DIV/0!</v>
      </c>
      <c r="AT858" s="2" t="e">
        <f t="shared" si="659"/>
        <v>#DIV/0!</v>
      </c>
      <c r="AU858" s="2" t="e">
        <f t="shared" si="676"/>
        <v>#DIV/0!</v>
      </c>
      <c r="AV858" s="2" t="e">
        <f t="shared" si="660"/>
        <v>#DIV/0!</v>
      </c>
      <c r="AW858" s="2" t="e">
        <f t="shared" si="661"/>
        <v>#DIV/0!</v>
      </c>
      <c r="AX858" s="2" t="e">
        <f t="shared" si="662"/>
        <v>#DIV/0!</v>
      </c>
      <c r="AY858" s="2" t="e">
        <f t="shared" si="677"/>
        <v>#DIV/0!</v>
      </c>
      <c r="AZ858" s="2" t="e">
        <f t="shared" si="642"/>
        <v>#DIV/0!</v>
      </c>
      <c r="BA858" s="2" t="e">
        <f t="shared" si="663"/>
        <v>#DIV/0!</v>
      </c>
      <c r="BB858" s="2" t="e">
        <f t="shared" si="664"/>
        <v>#DIV/0!</v>
      </c>
      <c r="BC858" s="2" t="e">
        <f t="shared" si="678"/>
        <v>#DIV/0!</v>
      </c>
      <c r="BD858" s="2">
        <v>0</v>
      </c>
      <c r="BE858" s="2" t="e">
        <f t="shared" si="665"/>
        <v>#DIV/0!</v>
      </c>
      <c r="BF858" s="2" t="e">
        <f t="shared" si="666"/>
        <v>#DIV/0!</v>
      </c>
      <c r="BG858" s="2" t="e">
        <f t="shared" si="679"/>
        <v>#DIV/0!</v>
      </c>
      <c r="BH858" s="2" t="e">
        <f t="shared" si="643"/>
        <v>#DIV/0!</v>
      </c>
      <c r="BI858" s="2" t="e">
        <f t="shared" si="667"/>
        <v>#DIV/0!</v>
      </c>
      <c r="BJ858" s="2" t="e">
        <f t="shared" si="668"/>
        <v>#DIV/0!</v>
      </c>
      <c r="BK858" s="2" t="e">
        <f t="shared" si="680"/>
        <v>#DIV/0!</v>
      </c>
      <c r="BL858" s="2" t="e">
        <f t="shared" si="669"/>
        <v>#DIV/0!</v>
      </c>
      <c r="BM858" s="2" t="e">
        <f t="shared" si="670"/>
        <v>#DIV/0!</v>
      </c>
      <c r="BN858" s="2" t="e">
        <f t="shared" si="681"/>
        <v>#DIV/0!</v>
      </c>
    </row>
    <row r="859" spans="1:66" x14ac:dyDescent="0.25">
      <c r="A859" s="42">
        <v>856</v>
      </c>
      <c r="E859" s="6">
        <f t="shared" si="671"/>
        <v>0</v>
      </c>
      <c r="F859" s="5" t="str">
        <f t="shared" si="682"/>
        <v>Break Even</v>
      </c>
      <c r="G859" s="4">
        <f t="shared" si="683"/>
        <v>0</v>
      </c>
      <c r="N859" s="5">
        <f t="shared" si="684"/>
        <v>0</v>
      </c>
      <c r="O859" s="4" t="e">
        <f t="shared" si="685"/>
        <v>#DIV/0!</v>
      </c>
      <c r="P859" s="5">
        <f t="shared" si="644"/>
        <v>0</v>
      </c>
      <c r="R859" s="2">
        <f t="shared" si="639"/>
        <v>0</v>
      </c>
      <c r="T859" s="2">
        <f t="shared" si="672"/>
        <v>0</v>
      </c>
      <c r="V859" s="5">
        <f t="shared" si="686"/>
        <v>0</v>
      </c>
      <c r="W859" s="4" t="e">
        <f t="shared" si="687"/>
        <v>#DIV/0!</v>
      </c>
      <c r="X859" s="14">
        <f t="shared" si="645"/>
        <v>0</v>
      </c>
      <c r="Y859" s="5">
        <f t="shared" si="646"/>
        <v>0</v>
      </c>
      <c r="Z859" s="2">
        <f t="shared" si="647"/>
        <v>0</v>
      </c>
      <c r="AA859" s="4">
        <f t="shared" si="648"/>
        <v>0</v>
      </c>
      <c r="AB859" s="13">
        <f t="shared" si="649"/>
        <v>0</v>
      </c>
      <c r="AC859" s="10">
        <f>SUM($E$4:E859)</f>
        <v>-22024.091160220025</v>
      </c>
      <c r="AD859" s="20">
        <f>SUM($AB$4:AB859)</f>
        <v>13539.766460219998</v>
      </c>
      <c r="AF859" s="28" t="e">
        <f t="shared" si="650"/>
        <v>#DIV/0!</v>
      </c>
      <c r="AG859" s="2" t="e">
        <f t="shared" si="651"/>
        <v>#DIV/0!</v>
      </c>
      <c r="AH859" s="2" t="e">
        <f t="shared" si="652"/>
        <v>#DIV/0!</v>
      </c>
      <c r="AI859" s="2" t="e">
        <f t="shared" si="673"/>
        <v>#DIV/0!</v>
      </c>
      <c r="AJ859" s="2" t="e">
        <f t="shared" si="640"/>
        <v>#DIV/0!</v>
      </c>
      <c r="AK859" s="2" t="e">
        <f t="shared" si="653"/>
        <v>#DIV/0!</v>
      </c>
      <c r="AL859" s="2" t="e">
        <f t="shared" si="654"/>
        <v>#DIV/0!</v>
      </c>
      <c r="AM859" s="2" t="e">
        <f t="shared" si="674"/>
        <v>#DIV/0!</v>
      </c>
      <c r="AN859" s="2">
        <f t="shared" si="655"/>
        <v>0</v>
      </c>
      <c r="AO859" s="2" t="e">
        <f t="shared" si="656"/>
        <v>#DIV/0!</v>
      </c>
      <c r="AP859" s="2" t="e">
        <f t="shared" si="657"/>
        <v>#DIV/0!</v>
      </c>
      <c r="AQ859" s="2" t="e">
        <f t="shared" si="675"/>
        <v>#DIV/0!</v>
      </c>
      <c r="AR859" s="2" t="e">
        <f t="shared" si="641"/>
        <v>#DIV/0!</v>
      </c>
      <c r="AS859" s="2" t="e">
        <f t="shared" si="658"/>
        <v>#DIV/0!</v>
      </c>
      <c r="AT859" s="2" t="e">
        <f t="shared" si="659"/>
        <v>#DIV/0!</v>
      </c>
      <c r="AU859" s="2" t="e">
        <f t="shared" si="676"/>
        <v>#DIV/0!</v>
      </c>
      <c r="AV859" s="2" t="e">
        <f t="shared" si="660"/>
        <v>#DIV/0!</v>
      </c>
      <c r="AW859" s="2" t="e">
        <f t="shared" si="661"/>
        <v>#DIV/0!</v>
      </c>
      <c r="AX859" s="2" t="e">
        <f t="shared" si="662"/>
        <v>#DIV/0!</v>
      </c>
      <c r="AY859" s="2" t="e">
        <f t="shared" si="677"/>
        <v>#DIV/0!</v>
      </c>
      <c r="AZ859" s="2" t="e">
        <f t="shared" si="642"/>
        <v>#DIV/0!</v>
      </c>
      <c r="BA859" s="2" t="e">
        <f t="shared" si="663"/>
        <v>#DIV/0!</v>
      </c>
      <c r="BB859" s="2" t="e">
        <f t="shared" si="664"/>
        <v>#DIV/0!</v>
      </c>
      <c r="BC859" s="2" t="e">
        <f t="shared" si="678"/>
        <v>#DIV/0!</v>
      </c>
      <c r="BD859" s="2">
        <v>0</v>
      </c>
      <c r="BE859" s="2" t="e">
        <f t="shared" si="665"/>
        <v>#DIV/0!</v>
      </c>
      <c r="BF859" s="2" t="e">
        <f t="shared" si="666"/>
        <v>#DIV/0!</v>
      </c>
      <c r="BG859" s="2" t="e">
        <f t="shared" si="679"/>
        <v>#DIV/0!</v>
      </c>
      <c r="BH859" s="2" t="e">
        <f t="shared" si="643"/>
        <v>#DIV/0!</v>
      </c>
      <c r="BI859" s="2" t="e">
        <f t="shared" si="667"/>
        <v>#DIV/0!</v>
      </c>
      <c r="BJ859" s="2" t="e">
        <f t="shared" si="668"/>
        <v>#DIV/0!</v>
      </c>
      <c r="BK859" s="2" t="e">
        <f t="shared" si="680"/>
        <v>#DIV/0!</v>
      </c>
      <c r="BL859" s="2" t="e">
        <f t="shared" si="669"/>
        <v>#DIV/0!</v>
      </c>
      <c r="BM859" s="2" t="e">
        <f t="shared" si="670"/>
        <v>#DIV/0!</v>
      </c>
      <c r="BN859" s="2" t="e">
        <f t="shared" si="681"/>
        <v>#DIV/0!</v>
      </c>
    </row>
    <row r="860" spans="1:66" x14ac:dyDescent="0.25">
      <c r="A860" s="42">
        <v>857</v>
      </c>
      <c r="E860" s="6">
        <f t="shared" si="671"/>
        <v>0</v>
      </c>
      <c r="F860" s="5" t="str">
        <f t="shared" si="682"/>
        <v>Break Even</v>
      </c>
      <c r="G860" s="4">
        <f t="shared" si="683"/>
        <v>0</v>
      </c>
      <c r="N860" s="5">
        <f t="shared" si="684"/>
        <v>0</v>
      </c>
      <c r="O860" s="4" t="e">
        <f t="shared" si="685"/>
        <v>#DIV/0!</v>
      </c>
      <c r="P860" s="5">
        <f t="shared" si="644"/>
        <v>0</v>
      </c>
      <c r="R860" s="2">
        <f t="shared" si="639"/>
        <v>0</v>
      </c>
      <c r="T860" s="2">
        <f t="shared" si="672"/>
        <v>0</v>
      </c>
      <c r="V860" s="5">
        <f t="shared" si="686"/>
        <v>0</v>
      </c>
      <c r="W860" s="4" t="e">
        <f t="shared" si="687"/>
        <v>#DIV/0!</v>
      </c>
      <c r="X860" s="14">
        <f t="shared" si="645"/>
        <v>0</v>
      </c>
      <c r="Y860" s="5">
        <f t="shared" si="646"/>
        <v>0</v>
      </c>
      <c r="Z860" s="2">
        <f t="shared" si="647"/>
        <v>0</v>
      </c>
      <c r="AA860" s="4">
        <f t="shared" si="648"/>
        <v>0</v>
      </c>
      <c r="AB860" s="13">
        <f t="shared" si="649"/>
        <v>0</v>
      </c>
      <c r="AC860" s="10">
        <f>SUM($E$4:E860)</f>
        <v>-22024.091160220025</v>
      </c>
      <c r="AD860" s="20">
        <f>SUM($AB$4:AB860)</f>
        <v>13539.766460219998</v>
      </c>
      <c r="AF860" s="28" t="e">
        <f t="shared" si="650"/>
        <v>#DIV/0!</v>
      </c>
      <c r="AG860" s="2" t="e">
        <f t="shared" si="651"/>
        <v>#DIV/0!</v>
      </c>
      <c r="AH860" s="2" t="e">
        <f t="shared" si="652"/>
        <v>#DIV/0!</v>
      </c>
      <c r="AI860" s="2" t="e">
        <f t="shared" si="673"/>
        <v>#DIV/0!</v>
      </c>
      <c r="AJ860" s="2" t="e">
        <f t="shared" si="640"/>
        <v>#DIV/0!</v>
      </c>
      <c r="AK860" s="2" t="e">
        <f t="shared" si="653"/>
        <v>#DIV/0!</v>
      </c>
      <c r="AL860" s="2" t="e">
        <f t="shared" si="654"/>
        <v>#DIV/0!</v>
      </c>
      <c r="AM860" s="2" t="e">
        <f t="shared" si="674"/>
        <v>#DIV/0!</v>
      </c>
      <c r="AN860" s="2">
        <f t="shared" si="655"/>
        <v>0</v>
      </c>
      <c r="AO860" s="2" t="e">
        <f t="shared" si="656"/>
        <v>#DIV/0!</v>
      </c>
      <c r="AP860" s="2" t="e">
        <f t="shared" si="657"/>
        <v>#DIV/0!</v>
      </c>
      <c r="AQ860" s="2" t="e">
        <f t="shared" si="675"/>
        <v>#DIV/0!</v>
      </c>
      <c r="AR860" s="2" t="e">
        <f t="shared" si="641"/>
        <v>#DIV/0!</v>
      </c>
      <c r="AS860" s="2" t="e">
        <f t="shared" si="658"/>
        <v>#DIV/0!</v>
      </c>
      <c r="AT860" s="2" t="e">
        <f t="shared" si="659"/>
        <v>#DIV/0!</v>
      </c>
      <c r="AU860" s="2" t="e">
        <f t="shared" si="676"/>
        <v>#DIV/0!</v>
      </c>
      <c r="AV860" s="2" t="e">
        <f t="shared" si="660"/>
        <v>#DIV/0!</v>
      </c>
      <c r="AW860" s="2" t="e">
        <f t="shared" si="661"/>
        <v>#DIV/0!</v>
      </c>
      <c r="AX860" s="2" t="e">
        <f t="shared" si="662"/>
        <v>#DIV/0!</v>
      </c>
      <c r="AY860" s="2" t="e">
        <f t="shared" si="677"/>
        <v>#DIV/0!</v>
      </c>
      <c r="AZ860" s="2" t="e">
        <f t="shared" si="642"/>
        <v>#DIV/0!</v>
      </c>
      <c r="BA860" s="2" t="e">
        <f t="shared" si="663"/>
        <v>#DIV/0!</v>
      </c>
      <c r="BB860" s="2" t="e">
        <f t="shared" si="664"/>
        <v>#DIV/0!</v>
      </c>
      <c r="BC860" s="2" t="e">
        <f t="shared" si="678"/>
        <v>#DIV/0!</v>
      </c>
      <c r="BD860" s="2">
        <v>0</v>
      </c>
      <c r="BE860" s="2" t="e">
        <f t="shared" si="665"/>
        <v>#DIV/0!</v>
      </c>
      <c r="BF860" s="2" t="e">
        <f t="shared" si="666"/>
        <v>#DIV/0!</v>
      </c>
      <c r="BG860" s="2" t="e">
        <f t="shared" si="679"/>
        <v>#DIV/0!</v>
      </c>
      <c r="BH860" s="2" t="e">
        <f t="shared" si="643"/>
        <v>#DIV/0!</v>
      </c>
      <c r="BI860" s="2" t="e">
        <f t="shared" si="667"/>
        <v>#DIV/0!</v>
      </c>
      <c r="BJ860" s="2" t="e">
        <f t="shared" si="668"/>
        <v>#DIV/0!</v>
      </c>
      <c r="BK860" s="2" t="e">
        <f t="shared" si="680"/>
        <v>#DIV/0!</v>
      </c>
      <c r="BL860" s="2" t="e">
        <f t="shared" si="669"/>
        <v>#DIV/0!</v>
      </c>
      <c r="BM860" s="2" t="e">
        <f t="shared" si="670"/>
        <v>#DIV/0!</v>
      </c>
      <c r="BN860" s="2" t="e">
        <f t="shared" si="681"/>
        <v>#DIV/0!</v>
      </c>
    </row>
    <row r="861" spans="1:66" x14ac:dyDescent="0.25">
      <c r="A861" s="42">
        <v>858</v>
      </c>
      <c r="E861" s="6">
        <f t="shared" si="671"/>
        <v>0</v>
      </c>
      <c r="F861" s="5" t="str">
        <f t="shared" si="682"/>
        <v>Break Even</v>
      </c>
      <c r="G861" s="4">
        <f t="shared" si="683"/>
        <v>0</v>
      </c>
      <c r="N861" s="5">
        <f t="shared" si="684"/>
        <v>0</v>
      </c>
      <c r="O861" s="4" t="e">
        <f t="shared" si="685"/>
        <v>#DIV/0!</v>
      </c>
      <c r="P861" s="5">
        <f t="shared" si="644"/>
        <v>0</v>
      </c>
      <c r="R861" s="2">
        <f t="shared" si="639"/>
        <v>0</v>
      </c>
      <c r="T861" s="2">
        <f t="shared" si="672"/>
        <v>0</v>
      </c>
      <c r="V861" s="5">
        <f t="shared" si="686"/>
        <v>0</v>
      </c>
      <c r="W861" s="4" t="e">
        <f t="shared" si="687"/>
        <v>#DIV/0!</v>
      </c>
      <c r="X861" s="14">
        <f t="shared" si="645"/>
        <v>0</v>
      </c>
      <c r="Y861" s="5">
        <f t="shared" si="646"/>
        <v>0</v>
      </c>
      <c r="Z861" s="2">
        <f t="shared" si="647"/>
        <v>0</v>
      </c>
      <c r="AA861" s="4">
        <f t="shared" si="648"/>
        <v>0</v>
      </c>
      <c r="AB861" s="13">
        <f t="shared" si="649"/>
        <v>0</v>
      </c>
      <c r="AC861" s="10">
        <f>SUM($E$4:E861)</f>
        <v>-22024.091160220025</v>
      </c>
      <c r="AD861" s="20">
        <f>SUM($AB$4:AB861)</f>
        <v>13539.766460219998</v>
      </c>
      <c r="AF861" s="28" t="e">
        <f t="shared" si="650"/>
        <v>#DIV/0!</v>
      </c>
      <c r="AG861" s="2" t="e">
        <f t="shared" si="651"/>
        <v>#DIV/0!</v>
      </c>
      <c r="AH861" s="2" t="e">
        <f t="shared" si="652"/>
        <v>#DIV/0!</v>
      </c>
      <c r="AI861" s="2" t="e">
        <f t="shared" si="673"/>
        <v>#DIV/0!</v>
      </c>
      <c r="AJ861" s="2" t="e">
        <f t="shared" si="640"/>
        <v>#DIV/0!</v>
      </c>
      <c r="AK861" s="2" t="e">
        <f t="shared" si="653"/>
        <v>#DIV/0!</v>
      </c>
      <c r="AL861" s="2" t="e">
        <f t="shared" si="654"/>
        <v>#DIV/0!</v>
      </c>
      <c r="AM861" s="2" t="e">
        <f t="shared" si="674"/>
        <v>#DIV/0!</v>
      </c>
      <c r="AN861" s="2">
        <f t="shared" si="655"/>
        <v>0</v>
      </c>
      <c r="AO861" s="2" t="e">
        <f t="shared" si="656"/>
        <v>#DIV/0!</v>
      </c>
      <c r="AP861" s="2" t="e">
        <f t="shared" si="657"/>
        <v>#DIV/0!</v>
      </c>
      <c r="AQ861" s="2" t="e">
        <f t="shared" si="675"/>
        <v>#DIV/0!</v>
      </c>
      <c r="AR861" s="2" t="e">
        <f t="shared" si="641"/>
        <v>#DIV/0!</v>
      </c>
      <c r="AS861" s="2" t="e">
        <f t="shared" si="658"/>
        <v>#DIV/0!</v>
      </c>
      <c r="AT861" s="2" t="e">
        <f t="shared" si="659"/>
        <v>#DIV/0!</v>
      </c>
      <c r="AU861" s="2" t="e">
        <f t="shared" si="676"/>
        <v>#DIV/0!</v>
      </c>
      <c r="AV861" s="2" t="e">
        <f t="shared" si="660"/>
        <v>#DIV/0!</v>
      </c>
      <c r="AW861" s="2" t="e">
        <f t="shared" si="661"/>
        <v>#DIV/0!</v>
      </c>
      <c r="AX861" s="2" t="e">
        <f t="shared" si="662"/>
        <v>#DIV/0!</v>
      </c>
      <c r="AY861" s="2" t="e">
        <f t="shared" si="677"/>
        <v>#DIV/0!</v>
      </c>
      <c r="AZ861" s="2" t="e">
        <f t="shared" si="642"/>
        <v>#DIV/0!</v>
      </c>
      <c r="BA861" s="2" t="e">
        <f t="shared" si="663"/>
        <v>#DIV/0!</v>
      </c>
      <c r="BB861" s="2" t="e">
        <f t="shared" si="664"/>
        <v>#DIV/0!</v>
      </c>
      <c r="BC861" s="2" t="e">
        <f t="shared" si="678"/>
        <v>#DIV/0!</v>
      </c>
      <c r="BD861" s="2">
        <v>0</v>
      </c>
      <c r="BE861" s="2" t="e">
        <f t="shared" si="665"/>
        <v>#DIV/0!</v>
      </c>
      <c r="BF861" s="2" t="e">
        <f t="shared" si="666"/>
        <v>#DIV/0!</v>
      </c>
      <c r="BG861" s="2" t="e">
        <f t="shared" si="679"/>
        <v>#DIV/0!</v>
      </c>
      <c r="BH861" s="2" t="e">
        <f t="shared" si="643"/>
        <v>#DIV/0!</v>
      </c>
      <c r="BI861" s="2" t="e">
        <f t="shared" si="667"/>
        <v>#DIV/0!</v>
      </c>
      <c r="BJ861" s="2" t="e">
        <f t="shared" si="668"/>
        <v>#DIV/0!</v>
      </c>
      <c r="BK861" s="2" t="e">
        <f t="shared" si="680"/>
        <v>#DIV/0!</v>
      </c>
      <c r="BL861" s="2" t="e">
        <f t="shared" si="669"/>
        <v>#DIV/0!</v>
      </c>
      <c r="BM861" s="2" t="e">
        <f t="shared" si="670"/>
        <v>#DIV/0!</v>
      </c>
      <c r="BN861" s="2" t="e">
        <f t="shared" si="681"/>
        <v>#DIV/0!</v>
      </c>
    </row>
    <row r="862" spans="1:66" x14ac:dyDescent="0.25">
      <c r="A862" s="42">
        <v>859</v>
      </c>
      <c r="E862" s="6">
        <f t="shared" si="671"/>
        <v>0</v>
      </c>
      <c r="F862" s="5" t="str">
        <f t="shared" si="682"/>
        <v>Break Even</v>
      </c>
      <c r="G862" s="4">
        <f t="shared" si="683"/>
        <v>0</v>
      </c>
      <c r="N862" s="5">
        <f t="shared" si="684"/>
        <v>0</v>
      </c>
      <c r="O862" s="4" t="e">
        <f t="shared" si="685"/>
        <v>#DIV/0!</v>
      </c>
      <c r="P862" s="5">
        <f t="shared" si="644"/>
        <v>0</v>
      </c>
      <c r="R862" s="2">
        <f t="shared" si="639"/>
        <v>0</v>
      </c>
      <c r="T862" s="2">
        <f t="shared" si="672"/>
        <v>0</v>
      </c>
      <c r="V862" s="5">
        <f t="shared" si="686"/>
        <v>0</v>
      </c>
      <c r="W862" s="4" t="e">
        <f t="shared" si="687"/>
        <v>#DIV/0!</v>
      </c>
      <c r="X862" s="14">
        <f t="shared" si="645"/>
        <v>0</v>
      </c>
      <c r="Y862" s="5">
        <f t="shared" si="646"/>
        <v>0</v>
      </c>
      <c r="Z862" s="2">
        <f t="shared" si="647"/>
        <v>0</v>
      </c>
      <c r="AA862" s="4">
        <f t="shared" si="648"/>
        <v>0</v>
      </c>
      <c r="AB862" s="13">
        <f t="shared" si="649"/>
        <v>0</v>
      </c>
      <c r="AC862" s="10">
        <f>SUM($E$4:E862)</f>
        <v>-22024.091160220025</v>
      </c>
      <c r="AD862" s="20">
        <f>SUM($AB$4:AB862)</f>
        <v>13539.766460219998</v>
      </c>
      <c r="AF862" s="28" t="e">
        <f t="shared" si="650"/>
        <v>#DIV/0!</v>
      </c>
      <c r="AG862" s="2" t="e">
        <f t="shared" si="651"/>
        <v>#DIV/0!</v>
      </c>
      <c r="AH862" s="2" t="e">
        <f t="shared" si="652"/>
        <v>#DIV/0!</v>
      </c>
      <c r="AI862" s="2" t="e">
        <f t="shared" si="673"/>
        <v>#DIV/0!</v>
      </c>
      <c r="AJ862" s="2" t="e">
        <f t="shared" si="640"/>
        <v>#DIV/0!</v>
      </c>
      <c r="AK862" s="2" t="e">
        <f t="shared" si="653"/>
        <v>#DIV/0!</v>
      </c>
      <c r="AL862" s="2" t="e">
        <f t="shared" si="654"/>
        <v>#DIV/0!</v>
      </c>
      <c r="AM862" s="2" t="e">
        <f t="shared" si="674"/>
        <v>#DIV/0!</v>
      </c>
      <c r="AN862" s="2">
        <f t="shared" si="655"/>
        <v>0</v>
      </c>
      <c r="AO862" s="2" t="e">
        <f t="shared" si="656"/>
        <v>#DIV/0!</v>
      </c>
      <c r="AP862" s="2" t="e">
        <f t="shared" si="657"/>
        <v>#DIV/0!</v>
      </c>
      <c r="AQ862" s="2" t="e">
        <f t="shared" si="675"/>
        <v>#DIV/0!</v>
      </c>
      <c r="AR862" s="2" t="e">
        <f t="shared" si="641"/>
        <v>#DIV/0!</v>
      </c>
      <c r="AS862" s="2" t="e">
        <f t="shared" si="658"/>
        <v>#DIV/0!</v>
      </c>
      <c r="AT862" s="2" t="e">
        <f t="shared" si="659"/>
        <v>#DIV/0!</v>
      </c>
      <c r="AU862" s="2" t="e">
        <f t="shared" si="676"/>
        <v>#DIV/0!</v>
      </c>
      <c r="AV862" s="2" t="e">
        <f t="shared" si="660"/>
        <v>#DIV/0!</v>
      </c>
      <c r="AW862" s="2" t="e">
        <f t="shared" si="661"/>
        <v>#DIV/0!</v>
      </c>
      <c r="AX862" s="2" t="e">
        <f t="shared" si="662"/>
        <v>#DIV/0!</v>
      </c>
      <c r="AY862" s="2" t="e">
        <f t="shared" si="677"/>
        <v>#DIV/0!</v>
      </c>
      <c r="AZ862" s="2" t="e">
        <f t="shared" si="642"/>
        <v>#DIV/0!</v>
      </c>
      <c r="BA862" s="2" t="e">
        <f t="shared" si="663"/>
        <v>#DIV/0!</v>
      </c>
      <c r="BB862" s="2" t="e">
        <f t="shared" si="664"/>
        <v>#DIV/0!</v>
      </c>
      <c r="BC862" s="2" t="e">
        <f t="shared" si="678"/>
        <v>#DIV/0!</v>
      </c>
      <c r="BD862" s="2">
        <v>0</v>
      </c>
      <c r="BE862" s="2" t="e">
        <f t="shared" si="665"/>
        <v>#DIV/0!</v>
      </c>
      <c r="BF862" s="2" t="e">
        <f t="shared" si="666"/>
        <v>#DIV/0!</v>
      </c>
      <c r="BG862" s="2" t="e">
        <f t="shared" si="679"/>
        <v>#DIV/0!</v>
      </c>
      <c r="BH862" s="2" t="e">
        <f t="shared" si="643"/>
        <v>#DIV/0!</v>
      </c>
      <c r="BI862" s="2" t="e">
        <f t="shared" si="667"/>
        <v>#DIV/0!</v>
      </c>
      <c r="BJ862" s="2" t="e">
        <f t="shared" si="668"/>
        <v>#DIV/0!</v>
      </c>
      <c r="BK862" s="2" t="e">
        <f t="shared" si="680"/>
        <v>#DIV/0!</v>
      </c>
      <c r="BL862" s="2" t="e">
        <f t="shared" si="669"/>
        <v>#DIV/0!</v>
      </c>
      <c r="BM862" s="2" t="e">
        <f t="shared" si="670"/>
        <v>#DIV/0!</v>
      </c>
      <c r="BN862" s="2" t="e">
        <f t="shared" si="681"/>
        <v>#DIV/0!</v>
      </c>
    </row>
    <row r="863" spans="1:66" x14ac:dyDescent="0.25">
      <c r="A863" s="42">
        <v>860</v>
      </c>
      <c r="E863" s="6">
        <f t="shared" si="671"/>
        <v>0</v>
      </c>
      <c r="F863" s="5" t="str">
        <f t="shared" si="682"/>
        <v>Break Even</v>
      </c>
      <c r="G863" s="4">
        <f t="shared" si="683"/>
        <v>0</v>
      </c>
      <c r="N863" s="5">
        <f t="shared" si="684"/>
        <v>0</v>
      </c>
      <c r="O863" s="4" t="e">
        <f t="shared" si="685"/>
        <v>#DIV/0!</v>
      </c>
      <c r="P863" s="5">
        <f t="shared" si="644"/>
        <v>0</v>
      </c>
      <c r="R863" s="2">
        <f t="shared" si="639"/>
        <v>0</v>
      </c>
      <c r="T863" s="2">
        <f t="shared" si="672"/>
        <v>0</v>
      </c>
      <c r="V863" s="5">
        <f t="shared" si="686"/>
        <v>0</v>
      </c>
      <c r="W863" s="4" t="e">
        <f t="shared" si="687"/>
        <v>#DIV/0!</v>
      </c>
      <c r="X863" s="14">
        <f t="shared" si="645"/>
        <v>0</v>
      </c>
      <c r="Y863" s="5">
        <f t="shared" si="646"/>
        <v>0</v>
      </c>
      <c r="Z863" s="2">
        <f t="shared" si="647"/>
        <v>0</v>
      </c>
      <c r="AA863" s="4">
        <f t="shared" si="648"/>
        <v>0</v>
      </c>
      <c r="AB863" s="13">
        <f t="shared" si="649"/>
        <v>0</v>
      </c>
      <c r="AC863" s="10">
        <f>SUM($E$4:E863)</f>
        <v>-22024.091160220025</v>
      </c>
      <c r="AD863" s="20">
        <f>SUM($AB$4:AB863)</f>
        <v>13539.766460219998</v>
      </c>
      <c r="AF863" s="28" t="e">
        <f t="shared" si="650"/>
        <v>#DIV/0!</v>
      </c>
      <c r="AG863" s="2" t="e">
        <f t="shared" si="651"/>
        <v>#DIV/0!</v>
      </c>
      <c r="AH863" s="2" t="e">
        <f t="shared" si="652"/>
        <v>#DIV/0!</v>
      </c>
      <c r="AI863" s="2" t="e">
        <f t="shared" si="673"/>
        <v>#DIV/0!</v>
      </c>
      <c r="AJ863" s="2" t="e">
        <f t="shared" si="640"/>
        <v>#DIV/0!</v>
      </c>
      <c r="AK863" s="2" t="e">
        <f t="shared" si="653"/>
        <v>#DIV/0!</v>
      </c>
      <c r="AL863" s="2" t="e">
        <f t="shared" si="654"/>
        <v>#DIV/0!</v>
      </c>
      <c r="AM863" s="2" t="e">
        <f t="shared" si="674"/>
        <v>#DIV/0!</v>
      </c>
      <c r="AN863" s="2">
        <f t="shared" si="655"/>
        <v>0</v>
      </c>
      <c r="AO863" s="2" t="e">
        <f t="shared" si="656"/>
        <v>#DIV/0!</v>
      </c>
      <c r="AP863" s="2" t="e">
        <f t="shared" si="657"/>
        <v>#DIV/0!</v>
      </c>
      <c r="AQ863" s="2" t="e">
        <f t="shared" si="675"/>
        <v>#DIV/0!</v>
      </c>
      <c r="AR863" s="2" t="e">
        <f t="shared" si="641"/>
        <v>#DIV/0!</v>
      </c>
      <c r="AS863" s="2" t="e">
        <f t="shared" si="658"/>
        <v>#DIV/0!</v>
      </c>
      <c r="AT863" s="2" t="e">
        <f t="shared" si="659"/>
        <v>#DIV/0!</v>
      </c>
      <c r="AU863" s="2" t="e">
        <f t="shared" si="676"/>
        <v>#DIV/0!</v>
      </c>
      <c r="AV863" s="2" t="e">
        <f t="shared" si="660"/>
        <v>#DIV/0!</v>
      </c>
      <c r="AW863" s="2" t="e">
        <f t="shared" si="661"/>
        <v>#DIV/0!</v>
      </c>
      <c r="AX863" s="2" t="e">
        <f t="shared" si="662"/>
        <v>#DIV/0!</v>
      </c>
      <c r="AY863" s="2" t="e">
        <f t="shared" si="677"/>
        <v>#DIV/0!</v>
      </c>
      <c r="AZ863" s="2" t="e">
        <f t="shared" si="642"/>
        <v>#DIV/0!</v>
      </c>
      <c r="BA863" s="2" t="e">
        <f t="shared" si="663"/>
        <v>#DIV/0!</v>
      </c>
      <c r="BB863" s="2" t="e">
        <f t="shared" si="664"/>
        <v>#DIV/0!</v>
      </c>
      <c r="BC863" s="2" t="e">
        <f t="shared" si="678"/>
        <v>#DIV/0!</v>
      </c>
      <c r="BD863" s="2">
        <v>0</v>
      </c>
      <c r="BE863" s="2" t="e">
        <f t="shared" si="665"/>
        <v>#DIV/0!</v>
      </c>
      <c r="BF863" s="2" t="e">
        <f t="shared" si="666"/>
        <v>#DIV/0!</v>
      </c>
      <c r="BG863" s="2" t="e">
        <f t="shared" si="679"/>
        <v>#DIV/0!</v>
      </c>
      <c r="BH863" s="2" t="e">
        <f t="shared" si="643"/>
        <v>#DIV/0!</v>
      </c>
      <c r="BI863" s="2" t="e">
        <f t="shared" si="667"/>
        <v>#DIV/0!</v>
      </c>
      <c r="BJ863" s="2" t="e">
        <f t="shared" si="668"/>
        <v>#DIV/0!</v>
      </c>
      <c r="BK863" s="2" t="e">
        <f t="shared" si="680"/>
        <v>#DIV/0!</v>
      </c>
      <c r="BL863" s="2" t="e">
        <f t="shared" si="669"/>
        <v>#DIV/0!</v>
      </c>
      <c r="BM863" s="2" t="e">
        <f t="shared" si="670"/>
        <v>#DIV/0!</v>
      </c>
      <c r="BN863" s="2" t="e">
        <f t="shared" si="681"/>
        <v>#DIV/0!</v>
      </c>
    </row>
    <row r="864" spans="1:66" x14ac:dyDescent="0.25">
      <c r="A864" s="42">
        <v>861</v>
      </c>
      <c r="E864" s="6">
        <f t="shared" si="671"/>
        <v>0</v>
      </c>
      <c r="F864" s="5" t="str">
        <f t="shared" si="682"/>
        <v>Break Even</v>
      </c>
      <c r="G864" s="4">
        <f t="shared" si="683"/>
        <v>0</v>
      </c>
      <c r="N864" s="5">
        <f t="shared" si="684"/>
        <v>0</v>
      </c>
      <c r="O864" s="4" t="e">
        <f t="shared" si="685"/>
        <v>#DIV/0!</v>
      </c>
      <c r="P864" s="5">
        <f t="shared" si="644"/>
        <v>0</v>
      </c>
      <c r="R864" s="2">
        <f t="shared" si="639"/>
        <v>0</v>
      </c>
      <c r="T864" s="2">
        <f t="shared" si="672"/>
        <v>0</v>
      </c>
      <c r="V864" s="5">
        <f t="shared" si="686"/>
        <v>0</v>
      </c>
      <c r="W864" s="4" t="e">
        <f t="shared" si="687"/>
        <v>#DIV/0!</v>
      </c>
      <c r="X864" s="14">
        <f t="shared" si="645"/>
        <v>0</v>
      </c>
      <c r="Y864" s="5">
        <f t="shared" si="646"/>
        <v>0</v>
      </c>
      <c r="Z864" s="2">
        <f t="shared" si="647"/>
        <v>0</v>
      </c>
      <c r="AA864" s="4">
        <f t="shared" si="648"/>
        <v>0</v>
      </c>
      <c r="AB864" s="13">
        <f t="shared" si="649"/>
        <v>0</v>
      </c>
      <c r="AC864" s="10">
        <f>SUM($E$4:E864)</f>
        <v>-22024.091160220025</v>
      </c>
      <c r="AD864" s="20">
        <f>SUM($AB$4:AB864)</f>
        <v>13539.766460219998</v>
      </c>
      <c r="AF864" s="28" t="e">
        <f t="shared" si="650"/>
        <v>#DIV/0!</v>
      </c>
      <c r="AG864" s="2" t="e">
        <f t="shared" si="651"/>
        <v>#DIV/0!</v>
      </c>
      <c r="AH864" s="2" t="e">
        <f t="shared" si="652"/>
        <v>#DIV/0!</v>
      </c>
      <c r="AI864" s="2" t="e">
        <f t="shared" si="673"/>
        <v>#DIV/0!</v>
      </c>
      <c r="AJ864" s="2" t="e">
        <f t="shared" si="640"/>
        <v>#DIV/0!</v>
      </c>
      <c r="AK864" s="2" t="e">
        <f t="shared" si="653"/>
        <v>#DIV/0!</v>
      </c>
      <c r="AL864" s="2" t="e">
        <f t="shared" si="654"/>
        <v>#DIV/0!</v>
      </c>
      <c r="AM864" s="2" t="e">
        <f t="shared" si="674"/>
        <v>#DIV/0!</v>
      </c>
      <c r="AN864" s="2">
        <f t="shared" si="655"/>
        <v>0</v>
      </c>
      <c r="AO864" s="2" t="e">
        <f t="shared" si="656"/>
        <v>#DIV/0!</v>
      </c>
      <c r="AP864" s="2" t="e">
        <f t="shared" si="657"/>
        <v>#DIV/0!</v>
      </c>
      <c r="AQ864" s="2" t="e">
        <f t="shared" si="675"/>
        <v>#DIV/0!</v>
      </c>
      <c r="AR864" s="2" t="e">
        <f t="shared" si="641"/>
        <v>#DIV/0!</v>
      </c>
      <c r="AS864" s="2" t="e">
        <f t="shared" si="658"/>
        <v>#DIV/0!</v>
      </c>
      <c r="AT864" s="2" t="e">
        <f t="shared" si="659"/>
        <v>#DIV/0!</v>
      </c>
      <c r="AU864" s="2" t="e">
        <f t="shared" si="676"/>
        <v>#DIV/0!</v>
      </c>
      <c r="AV864" s="2" t="e">
        <f t="shared" si="660"/>
        <v>#DIV/0!</v>
      </c>
      <c r="AW864" s="2" t="e">
        <f t="shared" si="661"/>
        <v>#DIV/0!</v>
      </c>
      <c r="AX864" s="2" t="e">
        <f t="shared" si="662"/>
        <v>#DIV/0!</v>
      </c>
      <c r="AY864" s="2" t="e">
        <f t="shared" si="677"/>
        <v>#DIV/0!</v>
      </c>
      <c r="AZ864" s="2" t="e">
        <f t="shared" si="642"/>
        <v>#DIV/0!</v>
      </c>
      <c r="BA864" s="2" t="e">
        <f t="shared" si="663"/>
        <v>#DIV/0!</v>
      </c>
      <c r="BB864" s="2" t="e">
        <f t="shared" si="664"/>
        <v>#DIV/0!</v>
      </c>
      <c r="BC864" s="2" t="e">
        <f t="shared" si="678"/>
        <v>#DIV/0!</v>
      </c>
      <c r="BD864" s="2">
        <v>0</v>
      </c>
      <c r="BE864" s="2" t="e">
        <f t="shared" si="665"/>
        <v>#DIV/0!</v>
      </c>
      <c r="BF864" s="2" t="e">
        <f t="shared" si="666"/>
        <v>#DIV/0!</v>
      </c>
      <c r="BG864" s="2" t="e">
        <f t="shared" si="679"/>
        <v>#DIV/0!</v>
      </c>
      <c r="BH864" s="2" t="e">
        <f t="shared" si="643"/>
        <v>#DIV/0!</v>
      </c>
      <c r="BI864" s="2" t="e">
        <f t="shared" si="667"/>
        <v>#DIV/0!</v>
      </c>
      <c r="BJ864" s="2" t="e">
        <f t="shared" si="668"/>
        <v>#DIV/0!</v>
      </c>
      <c r="BK864" s="2" t="e">
        <f t="shared" si="680"/>
        <v>#DIV/0!</v>
      </c>
      <c r="BL864" s="2" t="e">
        <f t="shared" si="669"/>
        <v>#DIV/0!</v>
      </c>
      <c r="BM864" s="2" t="e">
        <f t="shared" si="670"/>
        <v>#DIV/0!</v>
      </c>
      <c r="BN864" s="2" t="e">
        <f t="shared" si="681"/>
        <v>#DIV/0!</v>
      </c>
    </row>
    <row r="865" spans="1:66" x14ac:dyDescent="0.25">
      <c r="A865" s="42">
        <v>862</v>
      </c>
      <c r="E865" s="6">
        <f t="shared" si="671"/>
        <v>0</v>
      </c>
      <c r="F865" s="5" t="str">
        <f t="shared" si="682"/>
        <v>Break Even</v>
      </c>
      <c r="G865" s="4">
        <f t="shared" si="683"/>
        <v>0</v>
      </c>
      <c r="N865" s="5">
        <f t="shared" si="684"/>
        <v>0</v>
      </c>
      <c r="O865" s="4" t="e">
        <f t="shared" si="685"/>
        <v>#DIV/0!</v>
      </c>
      <c r="P865" s="5">
        <f t="shared" si="644"/>
        <v>0</v>
      </c>
      <c r="R865" s="2">
        <f t="shared" si="639"/>
        <v>0</v>
      </c>
      <c r="T865" s="2">
        <f t="shared" si="672"/>
        <v>0</v>
      </c>
      <c r="V865" s="5">
        <f t="shared" si="686"/>
        <v>0</v>
      </c>
      <c r="W865" s="4" t="e">
        <f t="shared" si="687"/>
        <v>#DIV/0!</v>
      </c>
      <c r="X865" s="14">
        <f t="shared" si="645"/>
        <v>0</v>
      </c>
      <c r="Y865" s="5">
        <f t="shared" si="646"/>
        <v>0</v>
      </c>
      <c r="Z865" s="2">
        <f t="shared" si="647"/>
        <v>0</v>
      </c>
      <c r="AA865" s="4">
        <f t="shared" si="648"/>
        <v>0</v>
      </c>
      <c r="AB865" s="13">
        <f t="shared" si="649"/>
        <v>0</v>
      </c>
      <c r="AC865" s="10">
        <f>SUM($E$4:E865)</f>
        <v>-22024.091160220025</v>
      </c>
      <c r="AD865" s="20">
        <f>SUM($AB$4:AB865)</f>
        <v>13539.766460219998</v>
      </c>
      <c r="AF865" s="28" t="e">
        <f t="shared" si="650"/>
        <v>#DIV/0!</v>
      </c>
      <c r="AG865" s="2" t="e">
        <f t="shared" si="651"/>
        <v>#DIV/0!</v>
      </c>
      <c r="AH865" s="2" t="e">
        <f t="shared" si="652"/>
        <v>#DIV/0!</v>
      </c>
      <c r="AI865" s="2" t="e">
        <f t="shared" si="673"/>
        <v>#DIV/0!</v>
      </c>
      <c r="AJ865" s="2" t="e">
        <f t="shared" si="640"/>
        <v>#DIV/0!</v>
      </c>
      <c r="AK865" s="2" t="e">
        <f t="shared" si="653"/>
        <v>#DIV/0!</v>
      </c>
      <c r="AL865" s="2" t="e">
        <f t="shared" si="654"/>
        <v>#DIV/0!</v>
      </c>
      <c r="AM865" s="2" t="e">
        <f t="shared" si="674"/>
        <v>#DIV/0!</v>
      </c>
      <c r="AN865" s="2">
        <f t="shared" si="655"/>
        <v>0</v>
      </c>
      <c r="AO865" s="2" t="e">
        <f t="shared" si="656"/>
        <v>#DIV/0!</v>
      </c>
      <c r="AP865" s="2" t="e">
        <f t="shared" si="657"/>
        <v>#DIV/0!</v>
      </c>
      <c r="AQ865" s="2" t="e">
        <f t="shared" si="675"/>
        <v>#DIV/0!</v>
      </c>
      <c r="AR865" s="2" t="e">
        <f t="shared" si="641"/>
        <v>#DIV/0!</v>
      </c>
      <c r="AS865" s="2" t="e">
        <f t="shared" si="658"/>
        <v>#DIV/0!</v>
      </c>
      <c r="AT865" s="2" t="e">
        <f t="shared" si="659"/>
        <v>#DIV/0!</v>
      </c>
      <c r="AU865" s="2" t="e">
        <f t="shared" si="676"/>
        <v>#DIV/0!</v>
      </c>
      <c r="AV865" s="2" t="e">
        <f t="shared" si="660"/>
        <v>#DIV/0!</v>
      </c>
      <c r="AW865" s="2" t="e">
        <f t="shared" si="661"/>
        <v>#DIV/0!</v>
      </c>
      <c r="AX865" s="2" t="e">
        <f t="shared" si="662"/>
        <v>#DIV/0!</v>
      </c>
      <c r="AY865" s="2" t="e">
        <f t="shared" si="677"/>
        <v>#DIV/0!</v>
      </c>
      <c r="AZ865" s="2" t="e">
        <f t="shared" si="642"/>
        <v>#DIV/0!</v>
      </c>
      <c r="BA865" s="2" t="e">
        <f t="shared" si="663"/>
        <v>#DIV/0!</v>
      </c>
      <c r="BB865" s="2" t="e">
        <f t="shared" si="664"/>
        <v>#DIV/0!</v>
      </c>
      <c r="BC865" s="2" t="e">
        <f t="shared" si="678"/>
        <v>#DIV/0!</v>
      </c>
      <c r="BD865" s="2">
        <v>0</v>
      </c>
      <c r="BE865" s="2" t="e">
        <f t="shared" si="665"/>
        <v>#DIV/0!</v>
      </c>
      <c r="BF865" s="2" t="e">
        <f t="shared" si="666"/>
        <v>#DIV/0!</v>
      </c>
      <c r="BG865" s="2" t="e">
        <f t="shared" si="679"/>
        <v>#DIV/0!</v>
      </c>
      <c r="BH865" s="2" t="e">
        <f t="shared" si="643"/>
        <v>#DIV/0!</v>
      </c>
      <c r="BI865" s="2" t="e">
        <f t="shared" si="667"/>
        <v>#DIV/0!</v>
      </c>
      <c r="BJ865" s="2" t="e">
        <f t="shared" si="668"/>
        <v>#DIV/0!</v>
      </c>
      <c r="BK865" s="2" t="e">
        <f t="shared" si="680"/>
        <v>#DIV/0!</v>
      </c>
      <c r="BL865" s="2" t="e">
        <f t="shared" si="669"/>
        <v>#DIV/0!</v>
      </c>
      <c r="BM865" s="2" t="e">
        <f t="shared" si="670"/>
        <v>#DIV/0!</v>
      </c>
      <c r="BN865" s="2" t="e">
        <f t="shared" si="681"/>
        <v>#DIV/0!</v>
      </c>
    </row>
    <row r="866" spans="1:66" x14ac:dyDescent="0.25">
      <c r="A866" s="42">
        <v>863</v>
      </c>
      <c r="E866" s="6">
        <f t="shared" si="671"/>
        <v>0</v>
      </c>
      <c r="F866" s="5" t="str">
        <f t="shared" si="682"/>
        <v>Break Even</v>
      </c>
      <c r="G866" s="4">
        <f t="shared" si="683"/>
        <v>0</v>
      </c>
      <c r="N866" s="5">
        <f t="shared" si="684"/>
        <v>0</v>
      </c>
      <c r="O866" s="4" t="e">
        <f t="shared" si="685"/>
        <v>#DIV/0!</v>
      </c>
      <c r="P866" s="5">
        <f t="shared" si="644"/>
        <v>0</v>
      </c>
      <c r="R866" s="2">
        <f t="shared" si="639"/>
        <v>0</v>
      </c>
      <c r="T866" s="2">
        <f t="shared" si="672"/>
        <v>0</v>
      </c>
      <c r="V866" s="5">
        <f t="shared" si="686"/>
        <v>0</v>
      </c>
      <c r="W866" s="4" t="e">
        <f t="shared" si="687"/>
        <v>#DIV/0!</v>
      </c>
      <c r="X866" s="14">
        <f t="shared" si="645"/>
        <v>0</v>
      </c>
      <c r="Y866" s="5">
        <f t="shared" si="646"/>
        <v>0</v>
      </c>
      <c r="Z866" s="2">
        <f t="shared" si="647"/>
        <v>0</v>
      </c>
      <c r="AA866" s="4">
        <f t="shared" si="648"/>
        <v>0</v>
      </c>
      <c r="AB866" s="13">
        <f t="shared" si="649"/>
        <v>0</v>
      </c>
      <c r="AC866" s="10">
        <f>SUM($E$4:E866)</f>
        <v>-22024.091160220025</v>
      </c>
      <c r="AD866" s="20">
        <f>SUM($AB$4:AB866)</f>
        <v>13539.766460219998</v>
      </c>
      <c r="AF866" s="28" t="e">
        <f t="shared" si="650"/>
        <v>#DIV/0!</v>
      </c>
      <c r="AG866" s="2" t="e">
        <f t="shared" si="651"/>
        <v>#DIV/0!</v>
      </c>
      <c r="AH866" s="2" t="e">
        <f t="shared" si="652"/>
        <v>#DIV/0!</v>
      </c>
      <c r="AI866" s="2" t="e">
        <f t="shared" si="673"/>
        <v>#DIV/0!</v>
      </c>
      <c r="AJ866" s="2" t="e">
        <f t="shared" si="640"/>
        <v>#DIV/0!</v>
      </c>
      <c r="AK866" s="2" t="e">
        <f t="shared" si="653"/>
        <v>#DIV/0!</v>
      </c>
      <c r="AL866" s="2" t="e">
        <f t="shared" si="654"/>
        <v>#DIV/0!</v>
      </c>
      <c r="AM866" s="2" t="e">
        <f t="shared" si="674"/>
        <v>#DIV/0!</v>
      </c>
      <c r="AN866" s="2">
        <f t="shared" si="655"/>
        <v>0</v>
      </c>
      <c r="AO866" s="2" t="e">
        <f t="shared" si="656"/>
        <v>#DIV/0!</v>
      </c>
      <c r="AP866" s="2" t="e">
        <f t="shared" si="657"/>
        <v>#DIV/0!</v>
      </c>
      <c r="AQ866" s="2" t="e">
        <f t="shared" si="675"/>
        <v>#DIV/0!</v>
      </c>
      <c r="AR866" s="2" t="e">
        <f t="shared" si="641"/>
        <v>#DIV/0!</v>
      </c>
      <c r="AS866" s="2" t="e">
        <f t="shared" si="658"/>
        <v>#DIV/0!</v>
      </c>
      <c r="AT866" s="2" t="e">
        <f t="shared" si="659"/>
        <v>#DIV/0!</v>
      </c>
      <c r="AU866" s="2" t="e">
        <f t="shared" si="676"/>
        <v>#DIV/0!</v>
      </c>
      <c r="AV866" s="2" t="e">
        <f t="shared" si="660"/>
        <v>#DIV/0!</v>
      </c>
      <c r="AW866" s="2" t="e">
        <f t="shared" si="661"/>
        <v>#DIV/0!</v>
      </c>
      <c r="AX866" s="2" t="e">
        <f t="shared" si="662"/>
        <v>#DIV/0!</v>
      </c>
      <c r="AY866" s="2" t="e">
        <f t="shared" si="677"/>
        <v>#DIV/0!</v>
      </c>
      <c r="AZ866" s="2" t="e">
        <f t="shared" si="642"/>
        <v>#DIV/0!</v>
      </c>
      <c r="BA866" s="2" t="e">
        <f t="shared" si="663"/>
        <v>#DIV/0!</v>
      </c>
      <c r="BB866" s="2" t="e">
        <f t="shared" si="664"/>
        <v>#DIV/0!</v>
      </c>
      <c r="BC866" s="2" t="e">
        <f t="shared" si="678"/>
        <v>#DIV/0!</v>
      </c>
      <c r="BD866" s="2">
        <v>0</v>
      </c>
      <c r="BE866" s="2" t="e">
        <f t="shared" si="665"/>
        <v>#DIV/0!</v>
      </c>
      <c r="BF866" s="2" t="e">
        <f t="shared" si="666"/>
        <v>#DIV/0!</v>
      </c>
      <c r="BG866" s="2" t="e">
        <f t="shared" si="679"/>
        <v>#DIV/0!</v>
      </c>
      <c r="BH866" s="2" t="e">
        <f t="shared" si="643"/>
        <v>#DIV/0!</v>
      </c>
      <c r="BI866" s="2" t="e">
        <f t="shared" si="667"/>
        <v>#DIV/0!</v>
      </c>
      <c r="BJ866" s="2" t="e">
        <f t="shared" si="668"/>
        <v>#DIV/0!</v>
      </c>
      <c r="BK866" s="2" t="e">
        <f t="shared" si="680"/>
        <v>#DIV/0!</v>
      </c>
      <c r="BL866" s="2" t="e">
        <f t="shared" si="669"/>
        <v>#DIV/0!</v>
      </c>
      <c r="BM866" s="2" t="e">
        <f t="shared" si="670"/>
        <v>#DIV/0!</v>
      </c>
      <c r="BN866" s="2" t="e">
        <f t="shared" si="681"/>
        <v>#DIV/0!</v>
      </c>
    </row>
    <row r="867" spans="1:66" x14ac:dyDescent="0.25">
      <c r="A867" s="42">
        <v>864</v>
      </c>
      <c r="E867" s="6">
        <f t="shared" si="671"/>
        <v>0</v>
      </c>
      <c r="F867" s="5" t="str">
        <f t="shared" si="682"/>
        <v>Break Even</v>
      </c>
      <c r="G867" s="4">
        <f t="shared" si="683"/>
        <v>0</v>
      </c>
      <c r="N867" s="5">
        <f t="shared" si="684"/>
        <v>0</v>
      </c>
      <c r="O867" s="4" t="e">
        <f t="shared" si="685"/>
        <v>#DIV/0!</v>
      </c>
      <c r="P867" s="5">
        <f t="shared" si="644"/>
        <v>0</v>
      </c>
      <c r="R867" s="2">
        <f t="shared" si="639"/>
        <v>0</v>
      </c>
      <c r="T867" s="2">
        <f t="shared" si="672"/>
        <v>0</v>
      </c>
      <c r="V867" s="5">
        <f t="shared" si="686"/>
        <v>0</v>
      </c>
      <c r="W867" s="4" t="e">
        <f t="shared" si="687"/>
        <v>#DIV/0!</v>
      </c>
      <c r="X867" s="14">
        <f t="shared" si="645"/>
        <v>0</v>
      </c>
      <c r="Y867" s="5">
        <f t="shared" si="646"/>
        <v>0</v>
      </c>
      <c r="Z867" s="2">
        <f t="shared" si="647"/>
        <v>0</v>
      </c>
      <c r="AA867" s="4">
        <f t="shared" si="648"/>
        <v>0</v>
      </c>
      <c r="AB867" s="13">
        <f t="shared" si="649"/>
        <v>0</v>
      </c>
      <c r="AC867" s="10">
        <f>SUM($E$4:E867)</f>
        <v>-22024.091160220025</v>
      </c>
      <c r="AD867" s="20">
        <f>SUM($AB$4:AB867)</f>
        <v>13539.766460219998</v>
      </c>
      <c r="AF867" s="28" t="e">
        <f t="shared" si="650"/>
        <v>#DIV/0!</v>
      </c>
      <c r="AG867" s="2" t="e">
        <f t="shared" si="651"/>
        <v>#DIV/0!</v>
      </c>
      <c r="AH867" s="2" t="e">
        <f t="shared" si="652"/>
        <v>#DIV/0!</v>
      </c>
      <c r="AI867" s="2" t="e">
        <f t="shared" si="673"/>
        <v>#DIV/0!</v>
      </c>
      <c r="AJ867" s="2" t="e">
        <f t="shared" si="640"/>
        <v>#DIV/0!</v>
      </c>
      <c r="AK867" s="2" t="e">
        <f t="shared" si="653"/>
        <v>#DIV/0!</v>
      </c>
      <c r="AL867" s="2" t="e">
        <f t="shared" si="654"/>
        <v>#DIV/0!</v>
      </c>
      <c r="AM867" s="2" t="e">
        <f t="shared" si="674"/>
        <v>#DIV/0!</v>
      </c>
      <c r="AN867" s="2">
        <f t="shared" si="655"/>
        <v>0</v>
      </c>
      <c r="AO867" s="2" t="e">
        <f t="shared" si="656"/>
        <v>#DIV/0!</v>
      </c>
      <c r="AP867" s="2" t="e">
        <f t="shared" si="657"/>
        <v>#DIV/0!</v>
      </c>
      <c r="AQ867" s="2" t="e">
        <f t="shared" si="675"/>
        <v>#DIV/0!</v>
      </c>
      <c r="AR867" s="2" t="e">
        <f t="shared" si="641"/>
        <v>#DIV/0!</v>
      </c>
      <c r="AS867" s="2" t="e">
        <f t="shared" si="658"/>
        <v>#DIV/0!</v>
      </c>
      <c r="AT867" s="2" t="e">
        <f t="shared" si="659"/>
        <v>#DIV/0!</v>
      </c>
      <c r="AU867" s="2" t="e">
        <f t="shared" si="676"/>
        <v>#DIV/0!</v>
      </c>
      <c r="AV867" s="2" t="e">
        <f t="shared" si="660"/>
        <v>#DIV/0!</v>
      </c>
      <c r="AW867" s="2" t="e">
        <f t="shared" si="661"/>
        <v>#DIV/0!</v>
      </c>
      <c r="AX867" s="2" t="e">
        <f t="shared" si="662"/>
        <v>#DIV/0!</v>
      </c>
      <c r="AY867" s="2" t="e">
        <f t="shared" si="677"/>
        <v>#DIV/0!</v>
      </c>
      <c r="AZ867" s="2" t="e">
        <f t="shared" si="642"/>
        <v>#DIV/0!</v>
      </c>
      <c r="BA867" s="2" t="e">
        <f t="shared" si="663"/>
        <v>#DIV/0!</v>
      </c>
      <c r="BB867" s="2" t="e">
        <f t="shared" si="664"/>
        <v>#DIV/0!</v>
      </c>
      <c r="BC867" s="2" t="e">
        <f t="shared" si="678"/>
        <v>#DIV/0!</v>
      </c>
      <c r="BD867" s="2">
        <v>0</v>
      </c>
      <c r="BE867" s="2" t="e">
        <f t="shared" si="665"/>
        <v>#DIV/0!</v>
      </c>
      <c r="BF867" s="2" t="e">
        <f t="shared" si="666"/>
        <v>#DIV/0!</v>
      </c>
      <c r="BG867" s="2" t="e">
        <f t="shared" si="679"/>
        <v>#DIV/0!</v>
      </c>
      <c r="BH867" s="2" t="e">
        <f t="shared" si="643"/>
        <v>#DIV/0!</v>
      </c>
      <c r="BI867" s="2" t="e">
        <f t="shared" si="667"/>
        <v>#DIV/0!</v>
      </c>
      <c r="BJ867" s="2" t="e">
        <f t="shared" si="668"/>
        <v>#DIV/0!</v>
      </c>
      <c r="BK867" s="2" t="e">
        <f t="shared" si="680"/>
        <v>#DIV/0!</v>
      </c>
      <c r="BL867" s="2" t="e">
        <f t="shared" si="669"/>
        <v>#DIV/0!</v>
      </c>
      <c r="BM867" s="2" t="e">
        <f t="shared" si="670"/>
        <v>#DIV/0!</v>
      </c>
      <c r="BN867" s="2" t="e">
        <f t="shared" si="681"/>
        <v>#DIV/0!</v>
      </c>
    </row>
    <row r="868" spans="1:66" x14ac:dyDescent="0.25">
      <c r="A868" s="42">
        <v>865</v>
      </c>
      <c r="E868" s="6">
        <f t="shared" si="671"/>
        <v>0</v>
      </c>
      <c r="F868" s="5" t="str">
        <f t="shared" si="682"/>
        <v>Break Even</v>
      </c>
      <c r="G868" s="4">
        <f t="shared" si="683"/>
        <v>0</v>
      </c>
      <c r="N868" s="5">
        <f t="shared" si="684"/>
        <v>0</v>
      </c>
      <c r="O868" s="4" t="e">
        <f t="shared" si="685"/>
        <v>#DIV/0!</v>
      </c>
      <c r="P868" s="5">
        <f t="shared" si="644"/>
        <v>0</v>
      </c>
      <c r="R868" s="2">
        <f t="shared" si="639"/>
        <v>0</v>
      </c>
      <c r="T868" s="2">
        <f t="shared" si="672"/>
        <v>0</v>
      </c>
      <c r="V868" s="5">
        <f t="shared" si="686"/>
        <v>0</v>
      </c>
      <c r="W868" s="4" t="e">
        <f t="shared" si="687"/>
        <v>#DIV/0!</v>
      </c>
      <c r="X868" s="14">
        <f t="shared" si="645"/>
        <v>0</v>
      </c>
      <c r="Y868" s="5">
        <f t="shared" si="646"/>
        <v>0</v>
      </c>
      <c r="Z868" s="2">
        <f t="shared" si="647"/>
        <v>0</v>
      </c>
      <c r="AA868" s="4">
        <f t="shared" si="648"/>
        <v>0</v>
      </c>
      <c r="AB868" s="13">
        <f t="shared" si="649"/>
        <v>0</v>
      </c>
      <c r="AC868" s="10">
        <f>SUM($E$4:E868)</f>
        <v>-22024.091160220025</v>
      </c>
      <c r="AD868" s="20">
        <f>SUM($AB$4:AB868)</f>
        <v>13539.766460219998</v>
      </c>
      <c r="AF868" s="28" t="e">
        <f t="shared" si="650"/>
        <v>#DIV/0!</v>
      </c>
      <c r="AG868" s="2" t="e">
        <f t="shared" si="651"/>
        <v>#DIV/0!</v>
      </c>
      <c r="AH868" s="2" t="e">
        <f t="shared" si="652"/>
        <v>#DIV/0!</v>
      </c>
      <c r="AI868" s="2" t="e">
        <f t="shared" si="673"/>
        <v>#DIV/0!</v>
      </c>
      <c r="AJ868" s="2" t="e">
        <f t="shared" si="640"/>
        <v>#DIV/0!</v>
      </c>
      <c r="AK868" s="2" t="e">
        <f t="shared" si="653"/>
        <v>#DIV/0!</v>
      </c>
      <c r="AL868" s="2" t="e">
        <f t="shared" si="654"/>
        <v>#DIV/0!</v>
      </c>
      <c r="AM868" s="2" t="e">
        <f t="shared" si="674"/>
        <v>#DIV/0!</v>
      </c>
      <c r="AN868" s="2">
        <f t="shared" si="655"/>
        <v>0</v>
      </c>
      <c r="AO868" s="2" t="e">
        <f t="shared" si="656"/>
        <v>#DIV/0!</v>
      </c>
      <c r="AP868" s="2" t="e">
        <f t="shared" si="657"/>
        <v>#DIV/0!</v>
      </c>
      <c r="AQ868" s="2" t="e">
        <f t="shared" si="675"/>
        <v>#DIV/0!</v>
      </c>
      <c r="AR868" s="2" t="e">
        <f t="shared" si="641"/>
        <v>#DIV/0!</v>
      </c>
      <c r="AS868" s="2" t="e">
        <f t="shared" si="658"/>
        <v>#DIV/0!</v>
      </c>
      <c r="AT868" s="2" t="e">
        <f t="shared" si="659"/>
        <v>#DIV/0!</v>
      </c>
      <c r="AU868" s="2" t="e">
        <f t="shared" si="676"/>
        <v>#DIV/0!</v>
      </c>
      <c r="AV868" s="2" t="e">
        <f t="shared" si="660"/>
        <v>#DIV/0!</v>
      </c>
      <c r="AW868" s="2" t="e">
        <f t="shared" si="661"/>
        <v>#DIV/0!</v>
      </c>
      <c r="AX868" s="2" t="e">
        <f t="shared" si="662"/>
        <v>#DIV/0!</v>
      </c>
      <c r="AY868" s="2" t="e">
        <f t="shared" si="677"/>
        <v>#DIV/0!</v>
      </c>
      <c r="AZ868" s="2" t="e">
        <f t="shared" si="642"/>
        <v>#DIV/0!</v>
      </c>
      <c r="BA868" s="2" t="e">
        <f t="shared" si="663"/>
        <v>#DIV/0!</v>
      </c>
      <c r="BB868" s="2" t="e">
        <f t="shared" si="664"/>
        <v>#DIV/0!</v>
      </c>
      <c r="BC868" s="2" t="e">
        <f t="shared" si="678"/>
        <v>#DIV/0!</v>
      </c>
      <c r="BD868" s="2">
        <v>0</v>
      </c>
      <c r="BE868" s="2" t="e">
        <f t="shared" si="665"/>
        <v>#DIV/0!</v>
      </c>
      <c r="BF868" s="2" t="e">
        <f t="shared" si="666"/>
        <v>#DIV/0!</v>
      </c>
      <c r="BG868" s="2" t="e">
        <f t="shared" si="679"/>
        <v>#DIV/0!</v>
      </c>
      <c r="BH868" s="2" t="e">
        <f t="shared" si="643"/>
        <v>#DIV/0!</v>
      </c>
      <c r="BI868" s="2" t="e">
        <f t="shared" si="667"/>
        <v>#DIV/0!</v>
      </c>
      <c r="BJ868" s="2" t="e">
        <f t="shared" si="668"/>
        <v>#DIV/0!</v>
      </c>
      <c r="BK868" s="2" t="e">
        <f t="shared" si="680"/>
        <v>#DIV/0!</v>
      </c>
      <c r="BL868" s="2" t="e">
        <f t="shared" si="669"/>
        <v>#DIV/0!</v>
      </c>
      <c r="BM868" s="2" t="e">
        <f t="shared" si="670"/>
        <v>#DIV/0!</v>
      </c>
      <c r="BN868" s="2" t="e">
        <f t="shared" si="681"/>
        <v>#DIV/0!</v>
      </c>
    </row>
    <row r="869" spans="1:66" x14ac:dyDescent="0.25">
      <c r="A869" s="42">
        <v>866</v>
      </c>
      <c r="E869" s="6">
        <f t="shared" si="671"/>
        <v>0</v>
      </c>
      <c r="F869" s="5" t="str">
        <f t="shared" si="682"/>
        <v>Break Even</v>
      </c>
      <c r="G869" s="4">
        <f t="shared" si="683"/>
        <v>0</v>
      </c>
      <c r="N869" s="5">
        <f t="shared" si="684"/>
        <v>0</v>
      </c>
      <c r="O869" s="4" t="e">
        <f t="shared" si="685"/>
        <v>#DIV/0!</v>
      </c>
      <c r="P869" s="5">
        <f t="shared" si="644"/>
        <v>0</v>
      </c>
      <c r="R869" s="2">
        <f t="shared" si="639"/>
        <v>0</v>
      </c>
      <c r="T869" s="2">
        <f t="shared" si="672"/>
        <v>0</v>
      </c>
      <c r="V869" s="5">
        <f t="shared" si="686"/>
        <v>0</v>
      </c>
      <c r="W869" s="4" t="e">
        <f t="shared" si="687"/>
        <v>#DIV/0!</v>
      </c>
      <c r="X869" s="14">
        <f t="shared" si="645"/>
        <v>0</v>
      </c>
      <c r="Y869" s="5">
        <f t="shared" si="646"/>
        <v>0</v>
      </c>
      <c r="Z869" s="2">
        <f t="shared" si="647"/>
        <v>0</v>
      </c>
      <c r="AA869" s="4">
        <f t="shared" si="648"/>
        <v>0</v>
      </c>
      <c r="AB869" s="13">
        <f t="shared" si="649"/>
        <v>0</v>
      </c>
      <c r="AC869" s="10">
        <f>SUM($E$4:E869)</f>
        <v>-22024.091160220025</v>
      </c>
      <c r="AD869" s="20">
        <f>SUM($AB$4:AB869)</f>
        <v>13539.766460219998</v>
      </c>
      <c r="AF869" s="28" t="e">
        <f t="shared" si="650"/>
        <v>#DIV/0!</v>
      </c>
      <c r="AG869" s="2" t="e">
        <f t="shared" si="651"/>
        <v>#DIV/0!</v>
      </c>
      <c r="AH869" s="2" t="e">
        <f t="shared" si="652"/>
        <v>#DIV/0!</v>
      </c>
      <c r="AI869" s="2" t="e">
        <f t="shared" si="673"/>
        <v>#DIV/0!</v>
      </c>
      <c r="AJ869" s="2" t="e">
        <f t="shared" si="640"/>
        <v>#DIV/0!</v>
      </c>
      <c r="AK869" s="2" t="e">
        <f t="shared" si="653"/>
        <v>#DIV/0!</v>
      </c>
      <c r="AL869" s="2" t="e">
        <f t="shared" si="654"/>
        <v>#DIV/0!</v>
      </c>
      <c r="AM869" s="2" t="e">
        <f t="shared" si="674"/>
        <v>#DIV/0!</v>
      </c>
      <c r="AN869" s="2">
        <f t="shared" si="655"/>
        <v>0</v>
      </c>
      <c r="AO869" s="2" t="e">
        <f t="shared" si="656"/>
        <v>#DIV/0!</v>
      </c>
      <c r="AP869" s="2" t="e">
        <f t="shared" si="657"/>
        <v>#DIV/0!</v>
      </c>
      <c r="AQ869" s="2" t="e">
        <f t="shared" si="675"/>
        <v>#DIV/0!</v>
      </c>
      <c r="AR869" s="2" t="e">
        <f t="shared" si="641"/>
        <v>#DIV/0!</v>
      </c>
      <c r="AS869" s="2" t="e">
        <f t="shared" si="658"/>
        <v>#DIV/0!</v>
      </c>
      <c r="AT869" s="2" t="e">
        <f t="shared" si="659"/>
        <v>#DIV/0!</v>
      </c>
      <c r="AU869" s="2" t="e">
        <f t="shared" si="676"/>
        <v>#DIV/0!</v>
      </c>
      <c r="AV869" s="2" t="e">
        <f t="shared" si="660"/>
        <v>#DIV/0!</v>
      </c>
      <c r="AW869" s="2" t="e">
        <f t="shared" si="661"/>
        <v>#DIV/0!</v>
      </c>
      <c r="AX869" s="2" t="e">
        <f t="shared" si="662"/>
        <v>#DIV/0!</v>
      </c>
      <c r="AY869" s="2" t="e">
        <f t="shared" si="677"/>
        <v>#DIV/0!</v>
      </c>
      <c r="AZ869" s="2" t="e">
        <f t="shared" si="642"/>
        <v>#DIV/0!</v>
      </c>
      <c r="BA869" s="2" t="e">
        <f t="shared" si="663"/>
        <v>#DIV/0!</v>
      </c>
      <c r="BB869" s="2" t="e">
        <f t="shared" si="664"/>
        <v>#DIV/0!</v>
      </c>
      <c r="BC869" s="2" t="e">
        <f t="shared" si="678"/>
        <v>#DIV/0!</v>
      </c>
      <c r="BD869" s="2">
        <v>0</v>
      </c>
      <c r="BE869" s="2" t="e">
        <f t="shared" si="665"/>
        <v>#DIV/0!</v>
      </c>
      <c r="BF869" s="2" t="e">
        <f t="shared" si="666"/>
        <v>#DIV/0!</v>
      </c>
      <c r="BG869" s="2" t="e">
        <f t="shared" si="679"/>
        <v>#DIV/0!</v>
      </c>
      <c r="BH869" s="2" t="e">
        <f t="shared" si="643"/>
        <v>#DIV/0!</v>
      </c>
      <c r="BI869" s="2" t="e">
        <f t="shared" si="667"/>
        <v>#DIV/0!</v>
      </c>
      <c r="BJ869" s="2" t="e">
        <f t="shared" si="668"/>
        <v>#DIV/0!</v>
      </c>
      <c r="BK869" s="2" t="e">
        <f t="shared" si="680"/>
        <v>#DIV/0!</v>
      </c>
      <c r="BL869" s="2" t="e">
        <f t="shared" si="669"/>
        <v>#DIV/0!</v>
      </c>
      <c r="BM869" s="2" t="e">
        <f t="shared" si="670"/>
        <v>#DIV/0!</v>
      </c>
      <c r="BN869" s="2" t="e">
        <f t="shared" si="681"/>
        <v>#DIV/0!</v>
      </c>
    </row>
    <row r="870" spans="1:66" x14ac:dyDescent="0.25">
      <c r="A870" s="42">
        <v>867</v>
      </c>
      <c r="E870" s="6">
        <f t="shared" si="671"/>
        <v>0</v>
      </c>
      <c r="F870" s="5" t="str">
        <f t="shared" si="682"/>
        <v>Break Even</v>
      </c>
      <c r="G870" s="4">
        <f t="shared" si="683"/>
        <v>0</v>
      </c>
      <c r="N870" s="5">
        <f t="shared" si="684"/>
        <v>0</v>
      </c>
      <c r="O870" s="4" t="e">
        <f t="shared" si="685"/>
        <v>#DIV/0!</v>
      </c>
      <c r="P870" s="5">
        <f t="shared" si="644"/>
        <v>0</v>
      </c>
      <c r="R870" s="2">
        <f t="shared" si="639"/>
        <v>0</v>
      </c>
      <c r="T870" s="2">
        <f t="shared" si="672"/>
        <v>0</v>
      </c>
      <c r="V870" s="5">
        <f t="shared" si="686"/>
        <v>0</v>
      </c>
      <c r="W870" s="4" t="e">
        <f t="shared" si="687"/>
        <v>#DIV/0!</v>
      </c>
      <c r="X870" s="14">
        <f t="shared" si="645"/>
        <v>0</v>
      </c>
      <c r="Y870" s="5">
        <f t="shared" si="646"/>
        <v>0</v>
      </c>
      <c r="Z870" s="2">
        <f t="shared" si="647"/>
        <v>0</v>
      </c>
      <c r="AA870" s="4">
        <f t="shared" si="648"/>
        <v>0</v>
      </c>
      <c r="AB870" s="13">
        <f t="shared" si="649"/>
        <v>0</v>
      </c>
      <c r="AC870" s="10">
        <f>SUM($E$4:E870)</f>
        <v>-22024.091160220025</v>
      </c>
      <c r="AD870" s="20">
        <f>SUM($AB$4:AB870)</f>
        <v>13539.766460219998</v>
      </c>
      <c r="AF870" s="28" t="e">
        <f t="shared" si="650"/>
        <v>#DIV/0!</v>
      </c>
      <c r="AG870" s="2" t="e">
        <f t="shared" si="651"/>
        <v>#DIV/0!</v>
      </c>
      <c r="AH870" s="2" t="e">
        <f t="shared" si="652"/>
        <v>#DIV/0!</v>
      </c>
      <c r="AI870" s="2" t="e">
        <f t="shared" si="673"/>
        <v>#DIV/0!</v>
      </c>
      <c r="AJ870" s="2" t="e">
        <f t="shared" si="640"/>
        <v>#DIV/0!</v>
      </c>
      <c r="AK870" s="2" t="e">
        <f t="shared" si="653"/>
        <v>#DIV/0!</v>
      </c>
      <c r="AL870" s="2" t="e">
        <f t="shared" si="654"/>
        <v>#DIV/0!</v>
      </c>
      <c r="AM870" s="2" t="e">
        <f t="shared" si="674"/>
        <v>#DIV/0!</v>
      </c>
      <c r="AN870" s="2">
        <f t="shared" si="655"/>
        <v>0</v>
      </c>
      <c r="AO870" s="2" t="e">
        <f t="shared" si="656"/>
        <v>#DIV/0!</v>
      </c>
      <c r="AP870" s="2" t="e">
        <f t="shared" si="657"/>
        <v>#DIV/0!</v>
      </c>
      <c r="AQ870" s="2" t="e">
        <f t="shared" si="675"/>
        <v>#DIV/0!</v>
      </c>
      <c r="AR870" s="2" t="e">
        <f t="shared" si="641"/>
        <v>#DIV/0!</v>
      </c>
      <c r="AS870" s="2" t="e">
        <f t="shared" si="658"/>
        <v>#DIV/0!</v>
      </c>
      <c r="AT870" s="2" t="e">
        <f t="shared" si="659"/>
        <v>#DIV/0!</v>
      </c>
      <c r="AU870" s="2" t="e">
        <f t="shared" si="676"/>
        <v>#DIV/0!</v>
      </c>
      <c r="AV870" s="2" t="e">
        <f t="shared" si="660"/>
        <v>#DIV/0!</v>
      </c>
      <c r="AW870" s="2" t="e">
        <f t="shared" si="661"/>
        <v>#DIV/0!</v>
      </c>
      <c r="AX870" s="2" t="e">
        <f t="shared" si="662"/>
        <v>#DIV/0!</v>
      </c>
      <c r="AY870" s="2" t="e">
        <f t="shared" si="677"/>
        <v>#DIV/0!</v>
      </c>
      <c r="AZ870" s="2" t="e">
        <f t="shared" si="642"/>
        <v>#DIV/0!</v>
      </c>
      <c r="BA870" s="2" t="e">
        <f t="shared" si="663"/>
        <v>#DIV/0!</v>
      </c>
      <c r="BB870" s="2" t="e">
        <f t="shared" si="664"/>
        <v>#DIV/0!</v>
      </c>
      <c r="BC870" s="2" t="e">
        <f t="shared" si="678"/>
        <v>#DIV/0!</v>
      </c>
      <c r="BD870" s="2">
        <v>0</v>
      </c>
      <c r="BE870" s="2" t="e">
        <f t="shared" si="665"/>
        <v>#DIV/0!</v>
      </c>
      <c r="BF870" s="2" t="e">
        <f t="shared" si="666"/>
        <v>#DIV/0!</v>
      </c>
      <c r="BG870" s="2" t="e">
        <f t="shared" si="679"/>
        <v>#DIV/0!</v>
      </c>
      <c r="BH870" s="2" t="e">
        <f t="shared" si="643"/>
        <v>#DIV/0!</v>
      </c>
      <c r="BI870" s="2" t="e">
        <f t="shared" si="667"/>
        <v>#DIV/0!</v>
      </c>
      <c r="BJ870" s="2" t="e">
        <f t="shared" si="668"/>
        <v>#DIV/0!</v>
      </c>
      <c r="BK870" s="2" t="e">
        <f t="shared" si="680"/>
        <v>#DIV/0!</v>
      </c>
      <c r="BL870" s="2" t="e">
        <f t="shared" si="669"/>
        <v>#DIV/0!</v>
      </c>
      <c r="BM870" s="2" t="e">
        <f t="shared" si="670"/>
        <v>#DIV/0!</v>
      </c>
      <c r="BN870" s="2" t="e">
        <f t="shared" si="681"/>
        <v>#DIV/0!</v>
      </c>
    </row>
    <row r="871" spans="1:66" x14ac:dyDescent="0.25">
      <c r="A871" s="42">
        <v>868</v>
      </c>
      <c r="E871" s="6">
        <f t="shared" si="671"/>
        <v>0</v>
      </c>
      <c r="F871" s="5" t="str">
        <f t="shared" si="682"/>
        <v>Break Even</v>
      </c>
      <c r="G871" s="4">
        <f t="shared" si="683"/>
        <v>0</v>
      </c>
      <c r="N871" s="5">
        <f t="shared" si="684"/>
        <v>0</v>
      </c>
      <c r="O871" s="4" t="e">
        <f t="shared" si="685"/>
        <v>#DIV/0!</v>
      </c>
      <c r="P871" s="5">
        <f t="shared" si="644"/>
        <v>0</v>
      </c>
      <c r="R871" s="2">
        <f t="shared" si="639"/>
        <v>0</v>
      </c>
      <c r="T871" s="2">
        <f t="shared" si="672"/>
        <v>0</v>
      </c>
      <c r="V871" s="5">
        <f t="shared" si="686"/>
        <v>0</v>
      </c>
      <c r="W871" s="4" t="e">
        <f t="shared" si="687"/>
        <v>#DIV/0!</v>
      </c>
      <c r="X871" s="14">
        <f t="shared" si="645"/>
        <v>0</v>
      </c>
      <c r="Y871" s="5">
        <f t="shared" si="646"/>
        <v>0</v>
      </c>
      <c r="Z871" s="2">
        <f t="shared" si="647"/>
        <v>0</v>
      </c>
      <c r="AA871" s="4">
        <f t="shared" si="648"/>
        <v>0</v>
      </c>
      <c r="AB871" s="13">
        <f t="shared" si="649"/>
        <v>0</v>
      </c>
      <c r="AC871" s="10">
        <f>SUM($E$4:E871)</f>
        <v>-22024.091160220025</v>
      </c>
      <c r="AD871" s="20">
        <f>SUM($AB$4:AB871)</f>
        <v>13539.766460219998</v>
      </c>
      <c r="AF871" s="28" t="e">
        <f t="shared" si="650"/>
        <v>#DIV/0!</v>
      </c>
      <c r="AG871" s="2" t="e">
        <f t="shared" si="651"/>
        <v>#DIV/0!</v>
      </c>
      <c r="AH871" s="2" t="e">
        <f t="shared" si="652"/>
        <v>#DIV/0!</v>
      </c>
      <c r="AI871" s="2" t="e">
        <f t="shared" si="673"/>
        <v>#DIV/0!</v>
      </c>
      <c r="AJ871" s="2" t="e">
        <f t="shared" si="640"/>
        <v>#DIV/0!</v>
      </c>
      <c r="AK871" s="2" t="e">
        <f t="shared" si="653"/>
        <v>#DIV/0!</v>
      </c>
      <c r="AL871" s="2" t="e">
        <f t="shared" si="654"/>
        <v>#DIV/0!</v>
      </c>
      <c r="AM871" s="2" t="e">
        <f t="shared" si="674"/>
        <v>#DIV/0!</v>
      </c>
      <c r="AN871" s="2">
        <f t="shared" si="655"/>
        <v>0</v>
      </c>
      <c r="AO871" s="2" t="e">
        <f t="shared" si="656"/>
        <v>#DIV/0!</v>
      </c>
      <c r="AP871" s="2" t="e">
        <f t="shared" si="657"/>
        <v>#DIV/0!</v>
      </c>
      <c r="AQ871" s="2" t="e">
        <f t="shared" si="675"/>
        <v>#DIV/0!</v>
      </c>
      <c r="AR871" s="2" t="e">
        <f t="shared" si="641"/>
        <v>#DIV/0!</v>
      </c>
      <c r="AS871" s="2" t="e">
        <f t="shared" si="658"/>
        <v>#DIV/0!</v>
      </c>
      <c r="AT871" s="2" t="e">
        <f t="shared" si="659"/>
        <v>#DIV/0!</v>
      </c>
      <c r="AU871" s="2" t="e">
        <f t="shared" si="676"/>
        <v>#DIV/0!</v>
      </c>
      <c r="AV871" s="2" t="e">
        <f t="shared" si="660"/>
        <v>#DIV/0!</v>
      </c>
      <c r="AW871" s="2" t="e">
        <f t="shared" si="661"/>
        <v>#DIV/0!</v>
      </c>
      <c r="AX871" s="2" t="e">
        <f t="shared" si="662"/>
        <v>#DIV/0!</v>
      </c>
      <c r="AY871" s="2" t="e">
        <f t="shared" si="677"/>
        <v>#DIV/0!</v>
      </c>
      <c r="AZ871" s="2" t="e">
        <f t="shared" si="642"/>
        <v>#DIV/0!</v>
      </c>
      <c r="BA871" s="2" t="e">
        <f t="shared" si="663"/>
        <v>#DIV/0!</v>
      </c>
      <c r="BB871" s="2" t="e">
        <f t="shared" si="664"/>
        <v>#DIV/0!</v>
      </c>
      <c r="BC871" s="2" t="e">
        <f t="shared" si="678"/>
        <v>#DIV/0!</v>
      </c>
      <c r="BD871" s="2">
        <v>0</v>
      </c>
      <c r="BE871" s="2" t="e">
        <f t="shared" si="665"/>
        <v>#DIV/0!</v>
      </c>
      <c r="BF871" s="2" t="e">
        <f t="shared" si="666"/>
        <v>#DIV/0!</v>
      </c>
      <c r="BG871" s="2" t="e">
        <f t="shared" si="679"/>
        <v>#DIV/0!</v>
      </c>
      <c r="BH871" s="2" t="e">
        <f t="shared" si="643"/>
        <v>#DIV/0!</v>
      </c>
      <c r="BI871" s="2" t="e">
        <f t="shared" si="667"/>
        <v>#DIV/0!</v>
      </c>
      <c r="BJ871" s="2" t="e">
        <f t="shared" si="668"/>
        <v>#DIV/0!</v>
      </c>
      <c r="BK871" s="2" t="e">
        <f t="shared" si="680"/>
        <v>#DIV/0!</v>
      </c>
      <c r="BL871" s="2" t="e">
        <f t="shared" si="669"/>
        <v>#DIV/0!</v>
      </c>
      <c r="BM871" s="2" t="e">
        <f t="shared" si="670"/>
        <v>#DIV/0!</v>
      </c>
      <c r="BN871" s="2" t="e">
        <f t="shared" si="681"/>
        <v>#DIV/0!</v>
      </c>
    </row>
    <row r="872" spans="1:66" x14ac:dyDescent="0.25">
      <c r="A872" s="42">
        <v>869</v>
      </c>
      <c r="E872" s="6">
        <f t="shared" si="671"/>
        <v>0</v>
      </c>
      <c r="F872" s="5" t="str">
        <f t="shared" si="682"/>
        <v>Break Even</v>
      </c>
      <c r="G872" s="4">
        <f t="shared" si="683"/>
        <v>0</v>
      </c>
      <c r="N872" s="5">
        <f t="shared" si="684"/>
        <v>0</v>
      </c>
      <c r="O872" s="4" t="e">
        <f t="shared" si="685"/>
        <v>#DIV/0!</v>
      </c>
      <c r="P872" s="5">
        <f t="shared" si="644"/>
        <v>0</v>
      </c>
      <c r="R872" s="2">
        <f t="shared" ref="R872:R935" si="688">J872</f>
        <v>0</v>
      </c>
      <c r="T872" s="2">
        <f t="shared" si="672"/>
        <v>0</v>
      </c>
      <c r="V872" s="5">
        <f t="shared" si="686"/>
        <v>0</v>
      </c>
      <c r="W872" s="4" t="e">
        <f t="shared" si="687"/>
        <v>#DIV/0!</v>
      </c>
      <c r="X872" s="14">
        <f t="shared" si="645"/>
        <v>0</v>
      </c>
      <c r="Y872" s="5">
        <f t="shared" si="646"/>
        <v>0</v>
      </c>
      <c r="Z872" s="2">
        <f t="shared" si="647"/>
        <v>0</v>
      </c>
      <c r="AA872" s="4">
        <f t="shared" si="648"/>
        <v>0</v>
      </c>
      <c r="AB872" s="13">
        <f t="shared" si="649"/>
        <v>0</v>
      </c>
      <c r="AC872" s="10">
        <f>SUM($E$4:E872)</f>
        <v>-22024.091160220025</v>
      </c>
      <c r="AD872" s="20">
        <f>SUM($AB$4:AB872)</f>
        <v>13539.766460219998</v>
      </c>
      <c r="AF872" s="28" t="e">
        <f t="shared" si="650"/>
        <v>#DIV/0!</v>
      </c>
      <c r="AG872" s="2" t="e">
        <f t="shared" si="651"/>
        <v>#DIV/0!</v>
      </c>
      <c r="AH872" s="2" t="e">
        <f t="shared" si="652"/>
        <v>#DIV/0!</v>
      </c>
      <c r="AI872" s="2" t="e">
        <f t="shared" si="673"/>
        <v>#DIV/0!</v>
      </c>
      <c r="AJ872" s="2" t="e">
        <f t="shared" si="640"/>
        <v>#DIV/0!</v>
      </c>
      <c r="AK872" s="2" t="e">
        <f t="shared" si="653"/>
        <v>#DIV/0!</v>
      </c>
      <c r="AL872" s="2" t="e">
        <f t="shared" si="654"/>
        <v>#DIV/0!</v>
      </c>
      <c r="AM872" s="2" t="e">
        <f t="shared" si="674"/>
        <v>#DIV/0!</v>
      </c>
      <c r="AN872" s="2">
        <f t="shared" si="655"/>
        <v>0</v>
      </c>
      <c r="AO872" s="2" t="e">
        <f t="shared" si="656"/>
        <v>#DIV/0!</v>
      </c>
      <c r="AP872" s="2" t="e">
        <f t="shared" si="657"/>
        <v>#DIV/0!</v>
      </c>
      <c r="AQ872" s="2" t="e">
        <f t="shared" si="675"/>
        <v>#DIV/0!</v>
      </c>
      <c r="AR872" s="2" t="e">
        <f t="shared" si="641"/>
        <v>#DIV/0!</v>
      </c>
      <c r="AS872" s="2" t="e">
        <f t="shared" si="658"/>
        <v>#DIV/0!</v>
      </c>
      <c r="AT872" s="2" t="e">
        <f t="shared" si="659"/>
        <v>#DIV/0!</v>
      </c>
      <c r="AU872" s="2" t="e">
        <f t="shared" si="676"/>
        <v>#DIV/0!</v>
      </c>
      <c r="AV872" s="2" t="e">
        <f t="shared" si="660"/>
        <v>#DIV/0!</v>
      </c>
      <c r="AW872" s="2" t="e">
        <f t="shared" si="661"/>
        <v>#DIV/0!</v>
      </c>
      <c r="AX872" s="2" t="e">
        <f t="shared" si="662"/>
        <v>#DIV/0!</v>
      </c>
      <c r="AY872" s="2" t="e">
        <f t="shared" si="677"/>
        <v>#DIV/0!</v>
      </c>
      <c r="AZ872" s="2" t="e">
        <f t="shared" si="642"/>
        <v>#DIV/0!</v>
      </c>
      <c r="BA872" s="2" t="e">
        <f t="shared" si="663"/>
        <v>#DIV/0!</v>
      </c>
      <c r="BB872" s="2" t="e">
        <f t="shared" si="664"/>
        <v>#DIV/0!</v>
      </c>
      <c r="BC872" s="2" t="e">
        <f t="shared" si="678"/>
        <v>#DIV/0!</v>
      </c>
      <c r="BD872" s="2">
        <v>0</v>
      </c>
      <c r="BE872" s="2" t="e">
        <f t="shared" si="665"/>
        <v>#DIV/0!</v>
      </c>
      <c r="BF872" s="2" t="e">
        <f t="shared" si="666"/>
        <v>#DIV/0!</v>
      </c>
      <c r="BG872" s="2" t="e">
        <f t="shared" si="679"/>
        <v>#DIV/0!</v>
      </c>
      <c r="BH872" s="2" t="e">
        <f t="shared" si="643"/>
        <v>#DIV/0!</v>
      </c>
      <c r="BI872" s="2" t="e">
        <f t="shared" si="667"/>
        <v>#DIV/0!</v>
      </c>
      <c r="BJ872" s="2" t="e">
        <f t="shared" si="668"/>
        <v>#DIV/0!</v>
      </c>
      <c r="BK872" s="2" t="e">
        <f t="shared" si="680"/>
        <v>#DIV/0!</v>
      </c>
      <c r="BL872" s="2" t="e">
        <f t="shared" si="669"/>
        <v>#DIV/0!</v>
      </c>
      <c r="BM872" s="2" t="e">
        <f t="shared" si="670"/>
        <v>#DIV/0!</v>
      </c>
      <c r="BN872" s="2" t="e">
        <f t="shared" si="681"/>
        <v>#DIV/0!</v>
      </c>
    </row>
    <row r="873" spans="1:66" x14ac:dyDescent="0.25">
      <c r="A873" s="42">
        <v>870</v>
      </c>
      <c r="E873" s="6">
        <f t="shared" si="671"/>
        <v>0</v>
      </c>
      <c r="F873" s="5" t="str">
        <f t="shared" si="682"/>
        <v>Break Even</v>
      </c>
      <c r="G873" s="4">
        <f t="shared" si="683"/>
        <v>0</v>
      </c>
      <c r="N873" s="5">
        <f t="shared" si="684"/>
        <v>0</v>
      </c>
      <c r="O873" s="4" t="e">
        <f t="shared" si="685"/>
        <v>#DIV/0!</v>
      </c>
      <c r="P873" s="5">
        <f t="shared" si="644"/>
        <v>0</v>
      </c>
      <c r="R873" s="2">
        <f t="shared" si="688"/>
        <v>0</v>
      </c>
      <c r="T873" s="2">
        <f t="shared" si="672"/>
        <v>0</v>
      </c>
      <c r="V873" s="5">
        <f t="shared" si="686"/>
        <v>0</v>
      </c>
      <c r="W873" s="4" t="e">
        <f t="shared" si="687"/>
        <v>#DIV/0!</v>
      </c>
      <c r="X873" s="14">
        <f t="shared" si="645"/>
        <v>0</v>
      </c>
      <c r="Y873" s="5">
        <f t="shared" si="646"/>
        <v>0</v>
      </c>
      <c r="Z873" s="2">
        <f t="shared" si="647"/>
        <v>0</v>
      </c>
      <c r="AA873" s="4">
        <f t="shared" si="648"/>
        <v>0</v>
      </c>
      <c r="AB873" s="13">
        <f t="shared" si="649"/>
        <v>0</v>
      </c>
      <c r="AC873" s="10">
        <f>SUM($E$4:E873)</f>
        <v>-22024.091160220025</v>
      </c>
      <c r="AD873" s="20">
        <f>SUM($AB$4:AB873)</f>
        <v>13539.766460219998</v>
      </c>
      <c r="AF873" s="28" t="e">
        <f t="shared" si="650"/>
        <v>#DIV/0!</v>
      </c>
      <c r="AG873" s="2" t="e">
        <f t="shared" si="651"/>
        <v>#DIV/0!</v>
      </c>
      <c r="AH873" s="2" t="e">
        <f t="shared" si="652"/>
        <v>#DIV/0!</v>
      </c>
      <c r="AI873" s="2" t="e">
        <f t="shared" si="673"/>
        <v>#DIV/0!</v>
      </c>
      <c r="AJ873" s="2" t="e">
        <f t="shared" si="640"/>
        <v>#DIV/0!</v>
      </c>
      <c r="AK873" s="2" t="e">
        <f t="shared" si="653"/>
        <v>#DIV/0!</v>
      </c>
      <c r="AL873" s="2" t="e">
        <f t="shared" si="654"/>
        <v>#DIV/0!</v>
      </c>
      <c r="AM873" s="2" t="e">
        <f t="shared" si="674"/>
        <v>#DIV/0!</v>
      </c>
      <c r="AN873" s="2">
        <f t="shared" si="655"/>
        <v>0</v>
      </c>
      <c r="AO873" s="2" t="e">
        <f t="shared" si="656"/>
        <v>#DIV/0!</v>
      </c>
      <c r="AP873" s="2" t="e">
        <f t="shared" si="657"/>
        <v>#DIV/0!</v>
      </c>
      <c r="AQ873" s="2" t="e">
        <f t="shared" si="675"/>
        <v>#DIV/0!</v>
      </c>
      <c r="AR873" s="2" t="e">
        <f t="shared" si="641"/>
        <v>#DIV/0!</v>
      </c>
      <c r="AS873" s="2" t="e">
        <f t="shared" si="658"/>
        <v>#DIV/0!</v>
      </c>
      <c r="AT873" s="2" t="e">
        <f t="shared" si="659"/>
        <v>#DIV/0!</v>
      </c>
      <c r="AU873" s="2" t="e">
        <f t="shared" si="676"/>
        <v>#DIV/0!</v>
      </c>
      <c r="AV873" s="2" t="e">
        <f t="shared" si="660"/>
        <v>#DIV/0!</v>
      </c>
      <c r="AW873" s="2" t="e">
        <f t="shared" si="661"/>
        <v>#DIV/0!</v>
      </c>
      <c r="AX873" s="2" t="e">
        <f t="shared" si="662"/>
        <v>#DIV/0!</v>
      </c>
      <c r="AY873" s="2" t="e">
        <f t="shared" si="677"/>
        <v>#DIV/0!</v>
      </c>
      <c r="AZ873" s="2" t="e">
        <f t="shared" si="642"/>
        <v>#DIV/0!</v>
      </c>
      <c r="BA873" s="2" t="e">
        <f t="shared" si="663"/>
        <v>#DIV/0!</v>
      </c>
      <c r="BB873" s="2" t="e">
        <f t="shared" si="664"/>
        <v>#DIV/0!</v>
      </c>
      <c r="BC873" s="2" t="e">
        <f t="shared" si="678"/>
        <v>#DIV/0!</v>
      </c>
      <c r="BD873" s="2">
        <v>0</v>
      </c>
      <c r="BE873" s="2" t="e">
        <f t="shared" si="665"/>
        <v>#DIV/0!</v>
      </c>
      <c r="BF873" s="2" t="e">
        <f t="shared" si="666"/>
        <v>#DIV/0!</v>
      </c>
      <c r="BG873" s="2" t="e">
        <f t="shared" si="679"/>
        <v>#DIV/0!</v>
      </c>
      <c r="BH873" s="2" t="e">
        <f t="shared" si="643"/>
        <v>#DIV/0!</v>
      </c>
      <c r="BI873" s="2" t="e">
        <f t="shared" si="667"/>
        <v>#DIV/0!</v>
      </c>
      <c r="BJ873" s="2" t="e">
        <f t="shared" si="668"/>
        <v>#DIV/0!</v>
      </c>
      <c r="BK873" s="2" t="e">
        <f t="shared" si="680"/>
        <v>#DIV/0!</v>
      </c>
      <c r="BL873" s="2" t="e">
        <f t="shared" si="669"/>
        <v>#DIV/0!</v>
      </c>
      <c r="BM873" s="2" t="e">
        <f t="shared" si="670"/>
        <v>#DIV/0!</v>
      </c>
      <c r="BN873" s="2" t="e">
        <f t="shared" si="681"/>
        <v>#DIV/0!</v>
      </c>
    </row>
    <row r="874" spans="1:66" x14ac:dyDescent="0.25">
      <c r="A874" s="42">
        <v>871</v>
      </c>
      <c r="E874" s="6">
        <f t="shared" si="671"/>
        <v>0</v>
      </c>
      <c r="F874" s="5" t="str">
        <f t="shared" si="682"/>
        <v>Break Even</v>
      </c>
      <c r="G874" s="4">
        <f t="shared" si="683"/>
        <v>0</v>
      </c>
      <c r="N874" s="5">
        <f t="shared" si="684"/>
        <v>0</v>
      </c>
      <c r="O874" s="4" t="e">
        <f t="shared" si="685"/>
        <v>#DIV/0!</v>
      </c>
      <c r="P874" s="5">
        <f t="shared" si="644"/>
        <v>0</v>
      </c>
      <c r="R874" s="2">
        <f t="shared" si="688"/>
        <v>0</v>
      </c>
      <c r="T874" s="2">
        <f t="shared" si="672"/>
        <v>0</v>
      </c>
      <c r="V874" s="5">
        <f t="shared" si="686"/>
        <v>0</v>
      </c>
      <c r="W874" s="4" t="e">
        <f t="shared" si="687"/>
        <v>#DIV/0!</v>
      </c>
      <c r="X874" s="14">
        <f t="shared" si="645"/>
        <v>0</v>
      </c>
      <c r="Y874" s="5">
        <f t="shared" si="646"/>
        <v>0</v>
      </c>
      <c r="Z874" s="2">
        <f t="shared" si="647"/>
        <v>0</v>
      </c>
      <c r="AA874" s="4">
        <f t="shared" si="648"/>
        <v>0</v>
      </c>
      <c r="AB874" s="13">
        <f t="shared" si="649"/>
        <v>0</v>
      </c>
      <c r="AC874" s="10">
        <f>SUM($E$4:E874)</f>
        <v>-22024.091160220025</v>
      </c>
      <c r="AD874" s="20">
        <f>SUM($AB$4:AB874)</f>
        <v>13539.766460219998</v>
      </c>
      <c r="AF874" s="28" t="e">
        <f t="shared" si="650"/>
        <v>#DIV/0!</v>
      </c>
      <c r="AG874" s="2" t="e">
        <f t="shared" si="651"/>
        <v>#DIV/0!</v>
      </c>
      <c r="AH874" s="2" t="e">
        <f t="shared" si="652"/>
        <v>#DIV/0!</v>
      </c>
      <c r="AI874" s="2" t="e">
        <f t="shared" si="673"/>
        <v>#DIV/0!</v>
      </c>
      <c r="AJ874" s="2" t="e">
        <f t="shared" si="640"/>
        <v>#DIV/0!</v>
      </c>
      <c r="AK874" s="2" t="e">
        <f t="shared" si="653"/>
        <v>#DIV/0!</v>
      </c>
      <c r="AL874" s="2" t="e">
        <f t="shared" si="654"/>
        <v>#DIV/0!</v>
      </c>
      <c r="AM874" s="2" t="e">
        <f t="shared" si="674"/>
        <v>#DIV/0!</v>
      </c>
      <c r="AN874" s="2">
        <f t="shared" si="655"/>
        <v>0</v>
      </c>
      <c r="AO874" s="2" t="e">
        <f t="shared" si="656"/>
        <v>#DIV/0!</v>
      </c>
      <c r="AP874" s="2" t="e">
        <f t="shared" si="657"/>
        <v>#DIV/0!</v>
      </c>
      <c r="AQ874" s="2" t="e">
        <f t="shared" si="675"/>
        <v>#DIV/0!</v>
      </c>
      <c r="AR874" s="2" t="e">
        <f t="shared" si="641"/>
        <v>#DIV/0!</v>
      </c>
      <c r="AS874" s="2" t="e">
        <f t="shared" si="658"/>
        <v>#DIV/0!</v>
      </c>
      <c r="AT874" s="2" t="e">
        <f t="shared" si="659"/>
        <v>#DIV/0!</v>
      </c>
      <c r="AU874" s="2" t="e">
        <f t="shared" si="676"/>
        <v>#DIV/0!</v>
      </c>
      <c r="AV874" s="2" t="e">
        <f t="shared" si="660"/>
        <v>#DIV/0!</v>
      </c>
      <c r="AW874" s="2" t="e">
        <f t="shared" si="661"/>
        <v>#DIV/0!</v>
      </c>
      <c r="AX874" s="2" t="e">
        <f t="shared" si="662"/>
        <v>#DIV/0!</v>
      </c>
      <c r="AY874" s="2" t="e">
        <f t="shared" si="677"/>
        <v>#DIV/0!</v>
      </c>
      <c r="AZ874" s="2" t="e">
        <f t="shared" si="642"/>
        <v>#DIV/0!</v>
      </c>
      <c r="BA874" s="2" t="e">
        <f t="shared" si="663"/>
        <v>#DIV/0!</v>
      </c>
      <c r="BB874" s="2" t="e">
        <f t="shared" si="664"/>
        <v>#DIV/0!</v>
      </c>
      <c r="BC874" s="2" t="e">
        <f t="shared" si="678"/>
        <v>#DIV/0!</v>
      </c>
      <c r="BD874" s="2">
        <v>0</v>
      </c>
      <c r="BE874" s="2" t="e">
        <f t="shared" si="665"/>
        <v>#DIV/0!</v>
      </c>
      <c r="BF874" s="2" t="e">
        <f t="shared" si="666"/>
        <v>#DIV/0!</v>
      </c>
      <c r="BG874" s="2" t="e">
        <f t="shared" si="679"/>
        <v>#DIV/0!</v>
      </c>
      <c r="BH874" s="2" t="e">
        <f t="shared" si="643"/>
        <v>#DIV/0!</v>
      </c>
      <c r="BI874" s="2" t="e">
        <f t="shared" si="667"/>
        <v>#DIV/0!</v>
      </c>
      <c r="BJ874" s="2" t="e">
        <f t="shared" si="668"/>
        <v>#DIV/0!</v>
      </c>
      <c r="BK874" s="2" t="e">
        <f t="shared" si="680"/>
        <v>#DIV/0!</v>
      </c>
      <c r="BL874" s="2" t="e">
        <f t="shared" si="669"/>
        <v>#DIV/0!</v>
      </c>
      <c r="BM874" s="2" t="e">
        <f t="shared" si="670"/>
        <v>#DIV/0!</v>
      </c>
      <c r="BN874" s="2" t="e">
        <f t="shared" si="681"/>
        <v>#DIV/0!</v>
      </c>
    </row>
    <row r="875" spans="1:66" x14ac:dyDescent="0.25">
      <c r="A875" s="42">
        <v>872</v>
      </c>
      <c r="E875" s="6">
        <f t="shared" si="671"/>
        <v>0</v>
      </c>
      <c r="F875" s="5" t="str">
        <f t="shared" si="682"/>
        <v>Break Even</v>
      </c>
      <c r="G875" s="4">
        <f t="shared" si="683"/>
        <v>0</v>
      </c>
      <c r="N875" s="5">
        <f t="shared" si="684"/>
        <v>0</v>
      </c>
      <c r="O875" s="4" t="e">
        <f t="shared" si="685"/>
        <v>#DIV/0!</v>
      </c>
      <c r="P875" s="5">
        <f t="shared" si="644"/>
        <v>0</v>
      </c>
      <c r="R875" s="2">
        <f t="shared" si="688"/>
        <v>0</v>
      </c>
      <c r="T875" s="2">
        <f t="shared" si="672"/>
        <v>0</v>
      </c>
      <c r="V875" s="5">
        <f t="shared" si="686"/>
        <v>0</v>
      </c>
      <c r="W875" s="4" t="e">
        <f t="shared" si="687"/>
        <v>#DIV/0!</v>
      </c>
      <c r="X875" s="14">
        <f t="shared" si="645"/>
        <v>0</v>
      </c>
      <c r="Y875" s="5">
        <f t="shared" si="646"/>
        <v>0</v>
      </c>
      <c r="Z875" s="2">
        <f t="shared" si="647"/>
        <v>0</v>
      </c>
      <c r="AA875" s="4">
        <f t="shared" si="648"/>
        <v>0</v>
      </c>
      <c r="AB875" s="13">
        <f t="shared" si="649"/>
        <v>0</v>
      </c>
      <c r="AC875" s="10">
        <f>SUM($E$4:E875)</f>
        <v>-22024.091160220025</v>
      </c>
      <c r="AD875" s="20">
        <f>SUM($AB$4:AB875)</f>
        <v>13539.766460219998</v>
      </c>
      <c r="AF875" s="28" t="e">
        <f t="shared" si="650"/>
        <v>#DIV/0!</v>
      </c>
      <c r="AG875" s="2" t="e">
        <f t="shared" si="651"/>
        <v>#DIV/0!</v>
      </c>
      <c r="AH875" s="2" t="e">
        <f t="shared" si="652"/>
        <v>#DIV/0!</v>
      </c>
      <c r="AI875" s="2" t="e">
        <f t="shared" si="673"/>
        <v>#DIV/0!</v>
      </c>
      <c r="AJ875" s="2" t="e">
        <f t="shared" si="640"/>
        <v>#DIV/0!</v>
      </c>
      <c r="AK875" s="2" t="e">
        <f t="shared" si="653"/>
        <v>#DIV/0!</v>
      </c>
      <c r="AL875" s="2" t="e">
        <f t="shared" si="654"/>
        <v>#DIV/0!</v>
      </c>
      <c r="AM875" s="2" t="e">
        <f t="shared" si="674"/>
        <v>#DIV/0!</v>
      </c>
      <c r="AN875" s="2">
        <f t="shared" si="655"/>
        <v>0</v>
      </c>
      <c r="AO875" s="2" t="e">
        <f t="shared" si="656"/>
        <v>#DIV/0!</v>
      </c>
      <c r="AP875" s="2" t="e">
        <f t="shared" si="657"/>
        <v>#DIV/0!</v>
      </c>
      <c r="AQ875" s="2" t="e">
        <f t="shared" si="675"/>
        <v>#DIV/0!</v>
      </c>
      <c r="AR875" s="2" t="e">
        <f t="shared" si="641"/>
        <v>#DIV/0!</v>
      </c>
      <c r="AS875" s="2" t="e">
        <f t="shared" si="658"/>
        <v>#DIV/0!</v>
      </c>
      <c r="AT875" s="2" t="e">
        <f t="shared" si="659"/>
        <v>#DIV/0!</v>
      </c>
      <c r="AU875" s="2" t="e">
        <f t="shared" si="676"/>
        <v>#DIV/0!</v>
      </c>
      <c r="AV875" s="2" t="e">
        <f t="shared" si="660"/>
        <v>#DIV/0!</v>
      </c>
      <c r="AW875" s="2" t="e">
        <f t="shared" si="661"/>
        <v>#DIV/0!</v>
      </c>
      <c r="AX875" s="2" t="e">
        <f t="shared" si="662"/>
        <v>#DIV/0!</v>
      </c>
      <c r="AY875" s="2" t="e">
        <f t="shared" si="677"/>
        <v>#DIV/0!</v>
      </c>
      <c r="AZ875" s="2" t="e">
        <f t="shared" si="642"/>
        <v>#DIV/0!</v>
      </c>
      <c r="BA875" s="2" t="e">
        <f t="shared" si="663"/>
        <v>#DIV/0!</v>
      </c>
      <c r="BB875" s="2" t="e">
        <f t="shared" si="664"/>
        <v>#DIV/0!</v>
      </c>
      <c r="BC875" s="2" t="e">
        <f t="shared" si="678"/>
        <v>#DIV/0!</v>
      </c>
      <c r="BD875" s="2">
        <v>0</v>
      </c>
      <c r="BE875" s="2" t="e">
        <f t="shared" si="665"/>
        <v>#DIV/0!</v>
      </c>
      <c r="BF875" s="2" t="e">
        <f t="shared" si="666"/>
        <v>#DIV/0!</v>
      </c>
      <c r="BG875" s="2" t="e">
        <f t="shared" si="679"/>
        <v>#DIV/0!</v>
      </c>
      <c r="BH875" s="2" t="e">
        <f t="shared" si="643"/>
        <v>#DIV/0!</v>
      </c>
      <c r="BI875" s="2" t="e">
        <f t="shared" si="667"/>
        <v>#DIV/0!</v>
      </c>
      <c r="BJ875" s="2" t="e">
        <f t="shared" si="668"/>
        <v>#DIV/0!</v>
      </c>
      <c r="BK875" s="2" t="e">
        <f t="shared" si="680"/>
        <v>#DIV/0!</v>
      </c>
      <c r="BL875" s="2" t="e">
        <f t="shared" si="669"/>
        <v>#DIV/0!</v>
      </c>
      <c r="BM875" s="2" t="e">
        <f t="shared" si="670"/>
        <v>#DIV/0!</v>
      </c>
      <c r="BN875" s="2" t="e">
        <f t="shared" si="681"/>
        <v>#DIV/0!</v>
      </c>
    </row>
    <row r="876" spans="1:66" x14ac:dyDescent="0.25">
      <c r="A876" s="42">
        <v>873</v>
      </c>
      <c r="E876" s="6">
        <f t="shared" si="671"/>
        <v>0</v>
      </c>
      <c r="F876" s="5" t="str">
        <f t="shared" si="682"/>
        <v>Break Even</v>
      </c>
      <c r="G876" s="4">
        <f t="shared" si="683"/>
        <v>0</v>
      </c>
      <c r="N876" s="5">
        <f t="shared" si="684"/>
        <v>0</v>
      </c>
      <c r="O876" s="4" t="e">
        <f t="shared" si="685"/>
        <v>#DIV/0!</v>
      </c>
      <c r="P876" s="5">
        <f t="shared" si="644"/>
        <v>0</v>
      </c>
      <c r="R876" s="2">
        <f t="shared" si="688"/>
        <v>0</v>
      </c>
      <c r="T876" s="2">
        <f t="shared" si="672"/>
        <v>0</v>
      </c>
      <c r="V876" s="5">
        <f t="shared" si="686"/>
        <v>0</v>
      </c>
      <c r="W876" s="4" t="e">
        <f t="shared" si="687"/>
        <v>#DIV/0!</v>
      </c>
      <c r="X876" s="14">
        <f t="shared" si="645"/>
        <v>0</v>
      </c>
      <c r="Y876" s="5">
        <f t="shared" si="646"/>
        <v>0</v>
      </c>
      <c r="Z876" s="2">
        <f t="shared" si="647"/>
        <v>0</v>
      </c>
      <c r="AA876" s="4">
        <f t="shared" si="648"/>
        <v>0</v>
      </c>
      <c r="AB876" s="13">
        <f t="shared" si="649"/>
        <v>0</v>
      </c>
      <c r="AC876" s="10">
        <f>SUM($E$4:E876)</f>
        <v>-22024.091160220025</v>
      </c>
      <c r="AD876" s="20">
        <f>SUM($AB$4:AB876)</f>
        <v>13539.766460219998</v>
      </c>
      <c r="AF876" s="28" t="e">
        <f t="shared" si="650"/>
        <v>#DIV/0!</v>
      </c>
      <c r="AG876" s="2" t="e">
        <f t="shared" si="651"/>
        <v>#DIV/0!</v>
      </c>
      <c r="AH876" s="2" t="e">
        <f t="shared" si="652"/>
        <v>#DIV/0!</v>
      </c>
      <c r="AI876" s="2" t="e">
        <f t="shared" si="673"/>
        <v>#DIV/0!</v>
      </c>
      <c r="AJ876" s="2" t="e">
        <f t="shared" si="640"/>
        <v>#DIV/0!</v>
      </c>
      <c r="AK876" s="2" t="e">
        <f t="shared" si="653"/>
        <v>#DIV/0!</v>
      </c>
      <c r="AL876" s="2" t="e">
        <f t="shared" si="654"/>
        <v>#DIV/0!</v>
      </c>
      <c r="AM876" s="2" t="e">
        <f t="shared" si="674"/>
        <v>#DIV/0!</v>
      </c>
      <c r="AN876" s="2">
        <f t="shared" si="655"/>
        <v>0</v>
      </c>
      <c r="AO876" s="2" t="e">
        <f t="shared" si="656"/>
        <v>#DIV/0!</v>
      </c>
      <c r="AP876" s="2" t="e">
        <f t="shared" si="657"/>
        <v>#DIV/0!</v>
      </c>
      <c r="AQ876" s="2" t="e">
        <f t="shared" si="675"/>
        <v>#DIV/0!</v>
      </c>
      <c r="AR876" s="2" t="e">
        <f t="shared" si="641"/>
        <v>#DIV/0!</v>
      </c>
      <c r="AS876" s="2" t="e">
        <f t="shared" si="658"/>
        <v>#DIV/0!</v>
      </c>
      <c r="AT876" s="2" t="e">
        <f t="shared" si="659"/>
        <v>#DIV/0!</v>
      </c>
      <c r="AU876" s="2" t="e">
        <f t="shared" si="676"/>
        <v>#DIV/0!</v>
      </c>
      <c r="AV876" s="2" t="e">
        <f t="shared" si="660"/>
        <v>#DIV/0!</v>
      </c>
      <c r="AW876" s="2" t="e">
        <f t="shared" si="661"/>
        <v>#DIV/0!</v>
      </c>
      <c r="AX876" s="2" t="e">
        <f t="shared" si="662"/>
        <v>#DIV/0!</v>
      </c>
      <c r="AY876" s="2" t="e">
        <f t="shared" si="677"/>
        <v>#DIV/0!</v>
      </c>
      <c r="AZ876" s="2" t="e">
        <f t="shared" si="642"/>
        <v>#DIV/0!</v>
      </c>
      <c r="BA876" s="2" t="e">
        <f t="shared" si="663"/>
        <v>#DIV/0!</v>
      </c>
      <c r="BB876" s="2" t="e">
        <f t="shared" si="664"/>
        <v>#DIV/0!</v>
      </c>
      <c r="BC876" s="2" t="e">
        <f t="shared" si="678"/>
        <v>#DIV/0!</v>
      </c>
      <c r="BD876" s="2">
        <v>0</v>
      </c>
      <c r="BE876" s="2" t="e">
        <f t="shared" si="665"/>
        <v>#DIV/0!</v>
      </c>
      <c r="BF876" s="2" t="e">
        <f t="shared" si="666"/>
        <v>#DIV/0!</v>
      </c>
      <c r="BG876" s="2" t="e">
        <f t="shared" si="679"/>
        <v>#DIV/0!</v>
      </c>
      <c r="BH876" s="2" t="e">
        <f t="shared" si="643"/>
        <v>#DIV/0!</v>
      </c>
      <c r="BI876" s="2" t="e">
        <f t="shared" si="667"/>
        <v>#DIV/0!</v>
      </c>
      <c r="BJ876" s="2" t="e">
        <f t="shared" si="668"/>
        <v>#DIV/0!</v>
      </c>
      <c r="BK876" s="2" t="e">
        <f t="shared" si="680"/>
        <v>#DIV/0!</v>
      </c>
      <c r="BL876" s="2" t="e">
        <f t="shared" si="669"/>
        <v>#DIV/0!</v>
      </c>
      <c r="BM876" s="2" t="e">
        <f t="shared" si="670"/>
        <v>#DIV/0!</v>
      </c>
      <c r="BN876" s="2" t="e">
        <f t="shared" si="681"/>
        <v>#DIV/0!</v>
      </c>
    </row>
    <row r="877" spans="1:66" x14ac:dyDescent="0.25">
      <c r="A877" s="42">
        <v>874</v>
      </c>
      <c r="E877" s="6">
        <f t="shared" si="671"/>
        <v>0</v>
      </c>
      <c r="F877" s="5" t="str">
        <f t="shared" si="682"/>
        <v>Break Even</v>
      </c>
      <c r="G877" s="4">
        <f t="shared" si="683"/>
        <v>0</v>
      </c>
      <c r="N877" s="5">
        <f t="shared" si="684"/>
        <v>0</v>
      </c>
      <c r="O877" s="4" t="e">
        <f t="shared" si="685"/>
        <v>#DIV/0!</v>
      </c>
      <c r="P877" s="5">
        <f t="shared" si="644"/>
        <v>0</v>
      </c>
      <c r="R877" s="2">
        <f t="shared" si="688"/>
        <v>0</v>
      </c>
      <c r="T877" s="2">
        <f t="shared" si="672"/>
        <v>0</v>
      </c>
      <c r="V877" s="5">
        <f t="shared" si="686"/>
        <v>0</v>
      </c>
      <c r="W877" s="4" t="e">
        <f t="shared" si="687"/>
        <v>#DIV/0!</v>
      </c>
      <c r="X877" s="14">
        <f t="shared" si="645"/>
        <v>0</v>
      </c>
      <c r="Y877" s="5">
        <f t="shared" si="646"/>
        <v>0</v>
      </c>
      <c r="Z877" s="2">
        <f t="shared" si="647"/>
        <v>0</v>
      </c>
      <c r="AA877" s="4">
        <f t="shared" si="648"/>
        <v>0</v>
      </c>
      <c r="AB877" s="13">
        <f t="shared" si="649"/>
        <v>0</v>
      </c>
      <c r="AC877" s="10">
        <f>SUM($E$4:E877)</f>
        <v>-22024.091160220025</v>
      </c>
      <c r="AD877" s="20">
        <f>SUM($AB$4:AB877)</f>
        <v>13539.766460219998</v>
      </c>
      <c r="AF877" s="28" t="e">
        <f t="shared" si="650"/>
        <v>#DIV/0!</v>
      </c>
      <c r="AG877" s="2" t="e">
        <f t="shared" si="651"/>
        <v>#DIV/0!</v>
      </c>
      <c r="AH877" s="2" t="e">
        <f t="shared" si="652"/>
        <v>#DIV/0!</v>
      </c>
      <c r="AI877" s="2" t="e">
        <f t="shared" si="673"/>
        <v>#DIV/0!</v>
      </c>
      <c r="AJ877" s="2" t="e">
        <f t="shared" si="640"/>
        <v>#DIV/0!</v>
      </c>
      <c r="AK877" s="2" t="e">
        <f t="shared" si="653"/>
        <v>#DIV/0!</v>
      </c>
      <c r="AL877" s="2" t="e">
        <f t="shared" si="654"/>
        <v>#DIV/0!</v>
      </c>
      <c r="AM877" s="2" t="e">
        <f t="shared" si="674"/>
        <v>#DIV/0!</v>
      </c>
      <c r="AN877" s="2">
        <f t="shared" si="655"/>
        <v>0</v>
      </c>
      <c r="AO877" s="2" t="e">
        <f t="shared" si="656"/>
        <v>#DIV/0!</v>
      </c>
      <c r="AP877" s="2" t="e">
        <f t="shared" si="657"/>
        <v>#DIV/0!</v>
      </c>
      <c r="AQ877" s="2" t="e">
        <f t="shared" si="675"/>
        <v>#DIV/0!</v>
      </c>
      <c r="AR877" s="2" t="e">
        <f t="shared" si="641"/>
        <v>#DIV/0!</v>
      </c>
      <c r="AS877" s="2" t="e">
        <f t="shared" si="658"/>
        <v>#DIV/0!</v>
      </c>
      <c r="AT877" s="2" t="e">
        <f t="shared" si="659"/>
        <v>#DIV/0!</v>
      </c>
      <c r="AU877" s="2" t="e">
        <f t="shared" si="676"/>
        <v>#DIV/0!</v>
      </c>
      <c r="AV877" s="2" t="e">
        <f t="shared" si="660"/>
        <v>#DIV/0!</v>
      </c>
      <c r="AW877" s="2" t="e">
        <f t="shared" si="661"/>
        <v>#DIV/0!</v>
      </c>
      <c r="AX877" s="2" t="e">
        <f t="shared" si="662"/>
        <v>#DIV/0!</v>
      </c>
      <c r="AY877" s="2" t="e">
        <f t="shared" si="677"/>
        <v>#DIV/0!</v>
      </c>
      <c r="AZ877" s="2" t="e">
        <f t="shared" si="642"/>
        <v>#DIV/0!</v>
      </c>
      <c r="BA877" s="2" t="e">
        <f t="shared" si="663"/>
        <v>#DIV/0!</v>
      </c>
      <c r="BB877" s="2" t="e">
        <f t="shared" si="664"/>
        <v>#DIV/0!</v>
      </c>
      <c r="BC877" s="2" t="e">
        <f t="shared" si="678"/>
        <v>#DIV/0!</v>
      </c>
      <c r="BD877" s="2">
        <v>0</v>
      </c>
      <c r="BE877" s="2" t="e">
        <f t="shared" si="665"/>
        <v>#DIV/0!</v>
      </c>
      <c r="BF877" s="2" t="e">
        <f t="shared" si="666"/>
        <v>#DIV/0!</v>
      </c>
      <c r="BG877" s="2" t="e">
        <f t="shared" si="679"/>
        <v>#DIV/0!</v>
      </c>
      <c r="BH877" s="2" t="e">
        <f t="shared" si="643"/>
        <v>#DIV/0!</v>
      </c>
      <c r="BI877" s="2" t="e">
        <f t="shared" si="667"/>
        <v>#DIV/0!</v>
      </c>
      <c r="BJ877" s="2" t="e">
        <f t="shared" si="668"/>
        <v>#DIV/0!</v>
      </c>
      <c r="BK877" s="2" t="e">
        <f t="shared" si="680"/>
        <v>#DIV/0!</v>
      </c>
      <c r="BL877" s="2" t="e">
        <f t="shared" si="669"/>
        <v>#DIV/0!</v>
      </c>
      <c r="BM877" s="2" t="e">
        <f t="shared" si="670"/>
        <v>#DIV/0!</v>
      </c>
      <c r="BN877" s="2" t="e">
        <f t="shared" si="681"/>
        <v>#DIV/0!</v>
      </c>
    </row>
    <row r="878" spans="1:66" x14ac:dyDescent="0.25">
      <c r="A878" s="42">
        <v>875</v>
      </c>
      <c r="E878" s="6">
        <f t="shared" si="671"/>
        <v>0</v>
      </c>
      <c r="F878" s="5" t="str">
        <f t="shared" si="682"/>
        <v>Break Even</v>
      </c>
      <c r="G878" s="4">
        <f t="shared" si="683"/>
        <v>0</v>
      </c>
      <c r="N878" s="5">
        <f t="shared" si="684"/>
        <v>0</v>
      </c>
      <c r="O878" s="4" t="e">
        <f t="shared" si="685"/>
        <v>#DIV/0!</v>
      </c>
      <c r="P878" s="5">
        <f t="shared" si="644"/>
        <v>0</v>
      </c>
      <c r="R878" s="2">
        <f t="shared" si="688"/>
        <v>0</v>
      </c>
      <c r="T878" s="2">
        <f t="shared" si="672"/>
        <v>0</v>
      </c>
      <c r="V878" s="5">
        <f t="shared" si="686"/>
        <v>0</v>
      </c>
      <c r="W878" s="4" t="e">
        <f t="shared" si="687"/>
        <v>#DIV/0!</v>
      </c>
      <c r="X878" s="14">
        <f t="shared" si="645"/>
        <v>0</v>
      </c>
      <c r="Y878" s="5">
        <f t="shared" si="646"/>
        <v>0</v>
      </c>
      <c r="Z878" s="2">
        <f t="shared" si="647"/>
        <v>0</v>
      </c>
      <c r="AA878" s="4">
        <f t="shared" si="648"/>
        <v>0</v>
      </c>
      <c r="AB878" s="13">
        <f t="shared" si="649"/>
        <v>0</v>
      </c>
      <c r="AC878" s="10">
        <f>SUM($E$4:E878)</f>
        <v>-22024.091160220025</v>
      </c>
      <c r="AD878" s="20">
        <f>SUM($AB$4:AB878)</f>
        <v>13539.766460219998</v>
      </c>
      <c r="AF878" s="28" t="e">
        <f t="shared" si="650"/>
        <v>#DIV/0!</v>
      </c>
      <c r="AG878" s="2" t="e">
        <f t="shared" si="651"/>
        <v>#DIV/0!</v>
      </c>
      <c r="AH878" s="2" t="e">
        <f t="shared" si="652"/>
        <v>#DIV/0!</v>
      </c>
      <c r="AI878" s="2" t="e">
        <f t="shared" si="673"/>
        <v>#DIV/0!</v>
      </c>
      <c r="AJ878" s="2" t="e">
        <f t="shared" ref="AJ878:AJ941" si="689">0.18*AI878</f>
        <v>#DIV/0!</v>
      </c>
      <c r="AK878" s="2" t="e">
        <f t="shared" si="653"/>
        <v>#DIV/0!</v>
      </c>
      <c r="AL878" s="2" t="e">
        <f t="shared" si="654"/>
        <v>#DIV/0!</v>
      </c>
      <c r="AM878" s="2" t="e">
        <f t="shared" si="674"/>
        <v>#DIV/0!</v>
      </c>
      <c r="AN878" s="2">
        <f t="shared" si="655"/>
        <v>0</v>
      </c>
      <c r="AO878" s="2" t="e">
        <f t="shared" si="656"/>
        <v>#DIV/0!</v>
      </c>
      <c r="AP878" s="2" t="e">
        <f t="shared" si="657"/>
        <v>#DIV/0!</v>
      </c>
      <c r="AQ878" s="2" t="e">
        <f t="shared" si="675"/>
        <v>#DIV/0!</v>
      </c>
      <c r="AR878" s="2" t="e">
        <f t="shared" ref="AR878:AR941" si="690">0.18*AQ878</f>
        <v>#DIV/0!</v>
      </c>
      <c r="AS878" s="2" t="e">
        <f t="shared" si="658"/>
        <v>#DIV/0!</v>
      </c>
      <c r="AT878" s="2" t="e">
        <f t="shared" si="659"/>
        <v>#DIV/0!</v>
      </c>
      <c r="AU878" s="2" t="e">
        <f t="shared" si="676"/>
        <v>#DIV/0!</v>
      </c>
      <c r="AV878" s="2" t="e">
        <f t="shared" si="660"/>
        <v>#DIV/0!</v>
      </c>
      <c r="AW878" s="2" t="e">
        <f t="shared" si="661"/>
        <v>#DIV/0!</v>
      </c>
      <c r="AX878" s="2" t="e">
        <f t="shared" si="662"/>
        <v>#DIV/0!</v>
      </c>
      <c r="AY878" s="2" t="e">
        <f t="shared" si="677"/>
        <v>#DIV/0!</v>
      </c>
      <c r="AZ878" s="2" t="e">
        <f t="shared" ref="AZ878:AZ941" si="691">0.18*AY878</f>
        <v>#DIV/0!</v>
      </c>
      <c r="BA878" s="2" t="e">
        <f t="shared" si="663"/>
        <v>#DIV/0!</v>
      </c>
      <c r="BB878" s="2" t="e">
        <f t="shared" si="664"/>
        <v>#DIV/0!</v>
      </c>
      <c r="BC878" s="2" t="e">
        <f t="shared" si="678"/>
        <v>#DIV/0!</v>
      </c>
      <c r="BD878" s="2">
        <v>0</v>
      </c>
      <c r="BE878" s="2" t="e">
        <f t="shared" si="665"/>
        <v>#DIV/0!</v>
      </c>
      <c r="BF878" s="2" t="e">
        <f t="shared" si="666"/>
        <v>#DIV/0!</v>
      </c>
      <c r="BG878" s="2" t="e">
        <f t="shared" si="679"/>
        <v>#DIV/0!</v>
      </c>
      <c r="BH878" s="2" t="e">
        <f t="shared" ref="BH878:BH941" si="692">0.18*BG878</f>
        <v>#DIV/0!</v>
      </c>
      <c r="BI878" s="2" t="e">
        <f t="shared" si="667"/>
        <v>#DIV/0!</v>
      </c>
      <c r="BJ878" s="2" t="e">
        <f t="shared" si="668"/>
        <v>#DIV/0!</v>
      </c>
      <c r="BK878" s="2" t="e">
        <f t="shared" si="680"/>
        <v>#DIV/0!</v>
      </c>
      <c r="BL878" s="2" t="e">
        <f t="shared" si="669"/>
        <v>#DIV/0!</v>
      </c>
      <c r="BM878" s="2" t="e">
        <f t="shared" si="670"/>
        <v>#DIV/0!</v>
      </c>
      <c r="BN878" s="2" t="e">
        <f t="shared" si="681"/>
        <v>#DIV/0!</v>
      </c>
    </row>
    <row r="879" spans="1:66" x14ac:dyDescent="0.25">
      <c r="A879" s="42">
        <v>876</v>
      </c>
      <c r="E879" s="6">
        <f t="shared" si="671"/>
        <v>0</v>
      </c>
      <c r="F879" s="5" t="str">
        <f t="shared" si="682"/>
        <v>Break Even</v>
      </c>
      <c r="G879" s="4">
        <f t="shared" si="683"/>
        <v>0</v>
      </c>
      <c r="N879" s="5">
        <f t="shared" si="684"/>
        <v>0</v>
      </c>
      <c r="O879" s="4" t="e">
        <f t="shared" si="685"/>
        <v>#DIV/0!</v>
      </c>
      <c r="P879" s="5">
        <f t="shared" si="644"/>
        <v>0</v>
      </c>
      <c r="R879" s="2">
        <f t="shared" si="688"/>
        <v>0</v>
      </c>
      <c r="T879" s="2">
        <f t="shared" si="672"/>
        <v>0</v>
      </c>
      <c r="V879" s="5">
        <f t="shared" si="686"/>
        <v>0</v>
      </c>
      <c r="W879" s="4" t="e">
        <f t="shared" si="687"/>
        <v>#DIV/0!</v>
      </c>
      <c r="X879" s="14">
        <f t="shared" si="645"/>
        <v>0</v>
      </c>
      <c r="Y879" s="5">
        <f t="shared" si="646"/>
        <v>0</v>
      </c>
      <c r="Z879" s="2">
        <f t="shared" si="647"/>
        <v>0</v>
      </c>
      <c r="AA879" s="4">
        <f t="shared" si="648"/>
        <v>0</v>
      </c>
      <c r="AB879" s="13">
        <f t="shared" si="649"/>
        <v>0</v>
      </c>
      <c r="AC879" s="10">
        <f>SUM($E$4:E879)</f>
        <v>-22024.091160220025</v>
      </c>
      <c r="AD879" s="20">
        <f>SUM($AB$4:AB879)</f>
        <v>13539.766460219998</v>
      </c>
      <c r="AF879" s="28" t="e">
        <f t="shared" si="650"/>
        <v>#DIV/0!</v>
      </c>
      <c r="AG879" s="2" t="e">
        <f t="shared" si="651"/>
        <v>#DIV/0!</v>
      </c>
      <c r="AH879" s="2" t="e">
        <f t="shared" si="652"/>
        <v>#DIV/0!</v>
      </c>
      <c r="AI879" s="2" t="e">
        <f t="shared" si="673"/>
        <v>#DIV/0!</v>
      </c>
      <c r="AJ879" s="2" t="e">
        <f t="shared" si="689"/>
        <v>#DIV/0!</v>
      </c>
      <c r="AK879" s="2" t="e">
        <f t="shared" si="653"/>
        <v>#DIV/0!</v>
      </c>
      <c r="AL879" s="2" t="e">
        <f t="shared" si="654"/>
        <v>#DIV/0!</v>
      </c>
      <c r="AM879" s="2" t="e">
        <f t="shared" si="674"/>
        <v>#DIV/0!</v>
      </c>
      <c r="AN879" s="2">
        <f t="shared" si="655"/>
        <v>0</v>
      </c>
      <c r="AO879" s="2" t="e">
        <f t="shared" si="656"/>
        <v>#DIV/0!</v>
      </c>
      <c r="AP879" s="2" t="e">
        <f t="shared" si="657"/>
        <v>#DIV/0!</v>
      </c>
      <c r="AQ879" s="2" t="e">
        <f t="shared" si="675"/>
        <v>#DIV/0!</v>
      </c>
      <c r="AR879" s="2" t="e">
        <f t="shared" si="690"/>
        <v>#DIV/0!</v>
      </c>
      <c r="AS879" s="2" t="e">
        <f t="shared" si="658"/>
        <v>#DIV/0!</v>
      </c>
      <c r="AT879" s="2" t="e">
        <f t="shared" si="659"/>
        <v>#DIV/0!</v>
      </c>
      <c r="AU879" s="2" t="e">
        <f t="shared" si="676"/>
        <v>#DIV/0!</v>
      </c>
      <c r="AV879" s="2" t="e">
        <f t="shared" si="660"/>
        <v>#DIV/0!</v>
      </c>
      <c r="AW879" s="2" t="e">
        <f t="shared" si="661"/>
        <v>#DIV/0!</v>
      </c>
      <c r="AX879" s="2" t="e">
        <f t="shared" si="662"/>
        <v>#DIV/0!</v>
      </c>
      <c r="AY879" s="2" t="e">
        <f t="shared" si="677"/>
        <v>#DIV/0!</v>
      </c>
      <c r="AZ879" s="2" t="e">
        <f t="shared" si="691"/>
        <v>#DIV/0!</v>
      </c>
      <c r="BA879" s="2" t="e">
        <f t="shared" si="663"/>
        <v>#DIV/0!</v>
      </c>
      <c r="BB879" s="2" t="e">
        <f t="shared" si="664"/>
        <v>#DIV/0!</v>
      </c>
      <c r="BC879" s="2" t="e">
        <f t="shared" si="678"/>
        <v>#DIV/0!</v>
      </c>
      <c r="BD879" s="2">
        <v>0</v>
      </c>
      <c r="BE879" s="2" t="e">
        <f t="shared" si="665"/>
        <v>#DIV/0!</v>
      </c>
      <c r="BF879" s="2" t="e">
        <f t="shared" si="666"/>
        <v>#DIV/0!</v>
      </c>
      <c r="BG879" s="2" t="e">
        <f t="shared" si="679"/>
        <v>#DIV/0!</v>
      </c>
      <c r="BH879" s="2" t="e">
        <f t="shared" si="692"/>
        <v>#DIV/0!</v>
      </c>
      <c r="BI879" s="2" t="e">
        <f t="shared" si="667"/>
        <v>#DIV/0!</v>
      </c>
      <c r="BJ879" s="2" t="e">
        <f t="shared" si="668"/>
        <v>#DIV/0!</v>
      </c>
      <c r="BK879" s="2" t="e">
        <f t="shared" si="680"/>
        <v>#DIV/0!</v>
      </c>
      <c r="BL879" s="2" t="e">
        <f t="shared" si="669"/>
        <v>#DIV/0!</v>
      </c>
      <c r="BM879" s="2" t="e">
        <f t="shared" si="670"/>
        <v>#DIV/0!</v>
      </c>
      <c r="BN879" s="2" t="e">
        <f t="shared" si="681"/>
        <v>#DIV/0!</v>
      </c>
    </row>
    <row r="880" spans="1:66" x14ac:dyDescent="0.25">
      <c r="A880" s="42">
        <v>877</v>
      </c>
      <c r="E880" s="6">
        <f t="shared" si="671"/>
        <v>0</v>
      </c>
      <c r="F880" s="5" t="str">
        <f t="shared" si="682"/>
        <v>Break Even</v>
      </c>
      <c r="G880" s="4">
        <f t="shared" si="683"/>
        <v>0</v>
      </c>
      <c r="N880" s="5">
        <f t="shared" si="684"/>
        <v>0</v>
      </c>
      <c r="O880" s="4" t="e">
        <f t="shared" si="685"/>
        <v>#DIV/0!</v>
      </c>
      <c r="P880" s="5">
        <f t="shared" si="644"/>
        <v>0</v>
      </c>
      <c r="R880" s="2">
        <f t="shared" si="688"/>
        <v>0</v>
      </c>
      <c r="T880" s="2">
        <f t="shared" si="672"/>
        <v>0</v>
      </c>
      <c r="V880" s="5">
        <f t="shared" si="686"/>
        <v>0</v>
      </c>
      <c r="W880" s="4" t="e">
        <f t="shared" si="687"/>
        <v>#DIV/0!</v>
      </c>
      <c r="X880" s="14">
        <f t="shared" si="645"/>
        <v>0</v>
      </c>
      <c r="Y880" s="5">
        <f t="shared" si="646"/>
        <v>0</v>
      </c>
      <c r="Z880" s="2">
        <f t="shared" si="647"/>
        <v>0</v>
      </c>
      <c r="AA880" s="4">
        <f t="shared" si="648"/>
        <v>0</v>
      </c>
      <c r="AB880" s="13">
        <f t="shared" si="649"/>
        <v>0</v>
      </c>
      <c r="AC880" s="10">
        <f>SUM($E$4:E880)</f>
        <v>-22024.091160220025</v>
      </c>
      <c r="AD880" s="20">
        <f>SUM($AB$4:AB880)</f>
        <v>13539.766460219998</v>
      </c>
      <c r="AF880" s="28" t="e">
        <f t="shared" si="650"/>
        <v>#DIV/0!</v>
      </c>
      <c r="AG880" s="2" t="e">
        <f t="shared" si="651"/>
        <v>#DIV/0!</v>
      </c>
      <c r="AH880" s="2" t="e">
        <f t="shared" si="652"/>
        <v>#DIV/0!</v>
      </c>
      <c r="AI880" s="2" t="e">
        <f t="shared" si="673"/>
        <v>#DIV/0!</v>
      </c>
      <c r="AJ880" s="2" t="e">
        <f t="shared" si="689"/>
        <v>#DIV/0!</v>
      </c>
      <c r="AK880" s="2" t="e">
        <f t="shared" si="653"/>
        <v>#DIV/0!</v>
      </c>
      <c r="AL880" s="2" t="e">
        <f t="shared" si="654"/>
        <v>#DIV/0!</v>
      </c>
      <c r="AM880" s="2" t="e">
        <f t="shared" si="674"/>
        <v>#DIV/0!</v>
      </c>
      <c r="AN880" s="2">
        <f t="shared" si="655"/>
        <v>0</v>
      </c>
      <c r="AO880" s="2" t="e">
        <f t="shared" si="656"/>
        <v>#DIV/0!</v>
      </c>
      <c r="AP880" s="2" t="e">
        <f t="shared" si="657"/>
        <v>#DIV/0!</v>
      </c>
      <c r="AQ880" s="2" t="e">
        <f t="shared" si="675"/>
        <v>#DIV/0!</v>
      </c>
      <c r="AR880" s="2" t="e">
        <f t="shared" si="690"/>
        <v>#DIV/0!</v>
      </c>
      <c r="AS880" s="2" t="e">
        <f t="shared" si="658"/>
        <v>#DIV/0!</v>
      </c>
      <c r="AT880" s="2" t="e">
        <f t="shared" si="659"/>
        <v>#DIV/0!</v>
      </c>
      <c r="AU880" s="2" t="e">
        <f t="shared" si="676"/>
        <v>#DIV/0!</v>
      </c>
      <c r="AV880" s="2" t="e">
        <f t="shared" si="660"/>
        <v>#DIV/0!</v>
      </c>
      <c r="AW880" s="2" t="e">
        <f t="shared" si="661"/>
        <v>#DIV/0!</v>
      </c>
      <c r="AX880" s="2" t="e">
        <f t="shared" si="662"/>
        <v>#DIV/0!</v>
      </c>
      <c r="AY880" s="2" t="e">
        <f t="shared" si="677"/>
        <v>#DIV/0!</v>
      </c>
      <c r="AZ880" s="2" t="e">
        <f t="shared" si="691"/>
        <v>#DIV/0!</v>
      </c>
      <c r="BA880" s="2" t="e">
        <f t="shared" si="663"/>
        <v>#DIV/0!</v>
      </c>
      <c r="BB880" s="2" t="e">
        <f t="shared" si="664"/>
        <v>#DIV/0!</v>
      </c>
      <c r="BC880" s="2" t="e">
        <f t="shared" si="678"/>
        <v>#DIV/0!</v>
      </c>
      <c r="BD880" s="2">
        <v>0</v>
      </c>
      <c r="BE880" s="2" t="e">
        <f t="shared" si="665"/>
        <v>#DIV/0!</v>
      </c>
      <c r="BF880" s="2" t="e">
        <f t="shared" si="666"/>
        <v>#DIV/0!</v>
      </c>
      <c r="BG880" s="2" t="e">
        <f t="shared" si="679"/>
        <v>#DIV/0!</v>
      </c>
      <c r="BH880" s="2" t="e">
        <f t="shared" si="692"/>
        <v>#DIV/0!</v>
      </c>
      <c r="BI880" s="2" t="e">
        <f t="shared" si="667"/>
        <v>#DIV/0!</v>
      </c>
      <c r="BJ880" s="2" t="e">
        <f t="shared" si="668"/>
        <v>#DIV/0!</v>
      </c>
      <c r="BK880" s="2" t="e">
        <f t="shared" si="680"/>
        <v>#DIV/0!</v>
      </c>
      <c r="BL880" s="2" t="e">
        <f t="shared" si="669"/>
        <v>#DIV/0!</v>
      </c>
      <c r="BM880" s="2" t="e">
        <f t="shared" si="670"/>
        <v>#DIV/0!</v>
      </c>
      <c r="BN880" s="2" t="e">
        <f t="shared" si="681"/>
        <v>#DIV/0!</v>
      </c>
    </row>
    <row r="881" spans="1:66" x14ac:dyDescent="0.25">
      <c r="A881" s="42">
        <v>878</v>
      </c>
      <c r="E881" s="6">
        <f t="shared" si="671"/>
        <v>0</v>
      </c>
      <c r="F881" s="5" t="str">
        <f t="shared" si="682"/>
        <v>Break Even</v>
      </c>
      <c r="G881" s="4">
        <f t="shared" si="683"/>
        <v>0</v>
      </c>
      <c r="N881" s="5">
        <f t="shared" si="684"/>
        <v>0</v>
      </c>
      <c r="O881" s="4" t="e">
        <f t="shared" si="685"/>
        <v>#DIV/0!</v>
      </c>
      <c r="P881" s="5">
        <f t="shared" si="644"/>
        <v>0</v>
      </c>
      <c r="R881" s="2">
        <f t="shared" si="688"/>
        <v>0</v>
      </c>
      <c r="T881" s="2">
        <f t="shared" si="672"/>
        <v>0</v>
      </c>
      <c r="V881" s="5">
        <f t="shared" si="686"/>
        <v>0</v>
      </c>
      <c r="W881" s="4" t="e">
        <f t="shared" si="687"/>
        <v>#DIV/0!</v>
      </c>
      <c r="X881" s="14">
        <f t="shared" si="645"/>
        <v>0</v>
      </c>
      <c r="Y881" s="5">
        <f t="shared" si="646"/>
        <v>0</v>
      </c>
      <c r="Z881" s="2">
        <f t="shared" si="647"/>
        <v>0</v>
      </c>
      <c r="AA881" s="4">
        <f t="shared" si="648"/>
        <v>0</v>
      </c>
      <c r="AB881" s="13">
        <f t="shared" si="649"/>
        <v>0</v>
      </c>
      <c r="AC881" s="10">
        <f>SUM($E$4:E881)</f>
        <v>-22024.091160220025</v>
      </c>
      <c r="AD881" s="20">
        <f>SUM($AB$4:AB881)</f>
        <v>13539.766460219998</v>
      </c>
      <c r="AF881" s="28" t="e">
        <f t="shared" si="650"/>
        <v>#DIV/0!</v>
      </c>
      <c r="AG881" s="2" t="e">
        <f t="shared" si="651"/>
        <v>#DIV/0!</v>
      </c>
      <c r="AH881" s="2" t="e">
        <f t="shared" si="652"/>
        <v>#DIV/0!</v>
      </c>
      <c r="AI881" s="2" t="e">
        <f t="shared" si="673"/>
        <v>#DIV/0!</v>
      </c>
      <c r="AJ881" s="2" t="e">
        <f t="shared" si="689"/>
        <v>#DIV/0!</v>
      </c>
      <c r="AK881" s="2" t="e">
        <f t="shared" si="653"/>
        <v>#DIV/0!</v>
      </c>
      <c r="AL881" s="2" t="e">
        <f t="shared" si="654"/>
        <v>#DIV/0!</v>
      </c>
      <c r="AM881" s="2" t="e">
        <f t="shared" si="674"/>
        <v>#DIV/0!</v>
      </c>
      <c r="AN881" s="2">
        <f t="shared" si="655"/>
        <v>0</v>
      </c>
      <c r="AO881" s="2" t="e">
        <f t="shared" si="656"/>
        <v>#DIV/0!</v>
      </c>
      <c r="AP881" s="2" t="e">
        <f t="shared" si="657"/>
        <v>#DIV/0!</v>
      </c>
      <c r="AQ881" s="2" t="e">
        <f t="shared" si="675"/>
        <v>#DIV/0!</v>
      </c>
      <c r="AR881" s="2" t="e">
        <f t="shared" si="690"/>
        <v>#DIV/0!</v>
      </c>
      <c r="AS881" s="2" t="e">
        <f t="shared" si="658"/>
        <v>#DIV/0!</v>
      </c>
      <c r="AT881" s="2" t="e">
        <f t="shared" si="659"/>
        <v>#DIV/0!</v>
      </c>
      <c r="AU881" s="2" t="e">
        <f t="shared" si="676"/>
        <v>#DIV/0!</v>
      </c>
      <c r="AV881" s="2" t="e">
        <f t="shared" si="660"/>
        <v>#DIV/0!</v>
      </c>
      <c r="AW881" s="2" t="e">
        <f t="shared" si="661"/>
        <v>#DIV/0!</v>
      </c>
      <c r="AX881" s="2" t="e">
        <f t="shared" si="662"/>
        <v>#DIV/0!</v>
      </c>
      <c r="AY881" s="2" t="e">
        <f t="shared" si="677"/>
        <v>#DIV/0!</v>
      </c>
      <c r="AZ881" s="2" t="e">
        <f t="shared" si="691"/>
        <v>#DIV/0!</v>
      </c>
      <c r="BA881" s="2" t="e">
        <f t="shared" si="663"/>
        <v>#DIV/0!</v>
      </c>
      <c r="BB881" s="2" t="e">
        <f t="shared" si="664"/>
        <v>#DIV/0!</v>
      </c>
      <c r="BC881" s="2" t="e">
        <f t="shared" si="678"/>
        <v>#DIV/0!</v>
      </c>
      <c r="BD881" s="2">
        <v>0</v>
      </c>
      <c r="BE881" s="2" t="e">
        <f t="shared" si="665"/>
        <v>#DIV/0!</v>
      </c>
      <c r="BF881" s="2" t="e">
        <f t="shared" si="666"/>
        <v>#DIV/0!</v>
      </c>
      <c r="BG881" s="2" t="e">
        <f t="shared" si="679"/>
        <v>#DIV/0!</v>
      </c>
      <c r="BH881" s="2" t="e">
        <f t="shared" si="692"/>
        <v>#DIV/0!</v>
      </c>
      <c r="BI881" s="2" t="e">
        <f t="shared" si="667"/>
        <v>#DIV/0!</v>
      </c>
      <c r="BJ881" s="2" t="e">
        <f t="shared" si="668"/>
        <v>#DIV/0!</v>
      </c>
      <c r="BK881" s="2" t="e">
        <f t="shared" si="680"/>
        <v>#DIV/0!</v>
      </c>
      <c r="BL881" s="2" t="e">
        <f t="shared" si="669"/>
        <v>#DIV/0!</v>
      </c>
      <c r="BM881" s="2" t="e">
        <f t="shared" si="670"/>
        <v>#DIV/0!</v>
      </c>
      <c r="BN881" s="2" t="e">
        <f t="shared" si="681"/>
        <v>#DIV/0!</v>
      </c>
    </row>
    <row r="882" spans="1:66" x14ac:dyDescent="0.25">
      <c r="A882" s="42">
        <v>879</v>
      </c>
      <c r="E882" s="6">
        <f t="shared" si="671"/>
        <v>0</v>
      </c>
      <c r="F882" s="5" t="str">
        <f t="shared" si="682"/>
        <v>Break Even</v>
      </c>
      <c r="G882" s="4">
        <f t="shared" si="683"/>
        <v>0</v>
      </c>
      <c r="N882" s="5">
        <f t="shared" si="684"/>
        <v>0</v>
      </c>
      <c r="O882" s="4" t="e">
        <f t="shared" si="685"/>
        <v>#DIV/0!</v>
      </c>
      <c r="P882" s="5">
        <f t="shared" si="644"/>
        <v>0</v>
      </c>
      <c r="R882" s="2">
        <f t="shared" si="688"/>
        <v>0</v>
      </c>
      <c r="T882" s="2">
        <f t="shared" si="672"/>
        <v>0</v>
      </c>
      <c r="V882" s="5">
        <f t="shared" si="686"/>
        <v>0</v>
      </c>
      <c r="W882" s="4" t="e">
        <f t="shared" si="687"/>
        <v>#DIV/0!</v>
      </c>
      <c r="X882" s="14">
        <f t="shared" si="645"/>
        <v>0</v>
      </c>
      <c r="Y882" s="5">
        <f t="shared" si="646"/>
        <v>0</v>
      </c>
      <c r="Z882" s="2">
        <f t="shared" si="647"/>
        <v>0</v>
      </c>
      <c r="AA882" s="4">
        <f t="shared" si="648"/>
        <v>0</v>
      </c>
      <c r="AB882" s="13">
        <f t="shared" si="649"/>
        <v>0</v>
      </c>
      <c r="AC882" s="10">
        <f>SUM($E$4:E882)</f>
        <v>-22024.091160220025</v>
      </c>
      <c r="AD882" s="20">
        <f>SUM($AB$4:AB882)</f>
        <v>13539.766460219998</v>
      </c>
      <c r="AF882" s="28" t="e">
        <f t="shared" si="650"/>
        <v>#DIV/0!</v>
      </c>
      <c r="AG882" s="2" t="e">
        <f t="shared" si="651"/>
        <v>#DIV/0!</v>
      </c>
      <c r="AH882" s="2" t="e">
        <f t="shared" si="652"/>
        <v>#DIV/0!</v>
      </c>
      <c r="AI882" s="2" t="e">
        <f t="shared" si="673"/>
        <v>#DIV/0!</v>
      </c>
      <c r="AJ882" s="2" t="e">
        <f t="shared" si="689"/>
        <v>#DIV/0!</v>
      </c>
      <c r="AK882" s="2" t="e">
        <f t="shared" si="653"/>
        <v>#DIV/0!</v>
      </c>
      <c r="AL882" s="2" t="e">
        <f t="shared" si="654"/>
        <v>#DIV/0!</v>
      </c>
      <c r="AM882" s="2" t="e">
        <f t="shared" si="674"/>
        <v>#DIV/0!</v>
      </c>
      <c r="AN882" s="2">
        <f t="shared" si="655"/>
        <v>0</v>
      </c>
      <c r="AO882" s="2" t="e">
        <f t="shared" si="656"/>
        <v>#DIV/0!</v>
      </c>
      <c r="AP882" s="2" t="e">
        <f t="shared" si="657"/>
        <v>#DIV/0!</v>
      </c>
      <c r="AQ882" s="2" t="e">
        <f t="shared" si="675"/>
        <v>#DIV/0!</v>
      </c>
      <c r="AR882" s="2" t="e">
        <f t="shared" si="690"/>
        <v>#DIV/0!</v>
      </c>
      <c r="AS882" s="2" t="e">
        <f t="shared" si="658"/>
        <v>#DIV/0!</v>
      </c>
      <c r="AT882" s="2" t="e">
        <f t="shared" si="659"/>
        <v>#DIV/0!</v>
      </c>
      <c r="AU882" s="2" t="e">
        <f t="shared" si="676"/>
        <v>#DIV/0!</v>
      </c>
      <c r="AV882" s="2" t="e">
        <f t="shared" si="660"/>
        <v>#DIV/0!</v>
      </c>
      <c r="AW882" s="2" t="e">
        <f t="shared" si="661"/>
        <v>#DIV/0!</v>
      </c>
      <c r="AX882" s="2" t="e">
        <f t="shared" si="662"/>
        <v>#DIV/0!</v>
      </c>
      <c r="AY882" s="2" t="e">
        <f t="shared" si="677"/>
        <v>#DIV/0!</v>
      </c>
      <c r="AZ882" s="2" t="e">
        <f t="shared" si="691"/>
        <v>#DIV/0!</v>
      </c>
      <c r="BA882" s="2" t="e">
        <f t="shared" si="663"/>
        <v>#DIV/0!</v>
      </c>
      <c r="BB882" s="2" t="e">
        <f t="shared" si="664"/>
        <v>#DIV/0!</v>
      </c>
      <c r="BC882" s="2" t="e">
        <f t="shared" si="678"/>
        <v>#DIV/0!</v>
      </c>
      <c r="BD882" s="2">
        <v>0</v>
      </c>
      <c r="BE882" s="2" t="e">
        <f t="shared" si="665"/>
        <v>#DIV/0!</v>
      </c>
      <c r="BF882" s="2" t="e">
        <f t="shared" si="666"/>
        <v>#DIV/0!</v>
      </c>
      <c r="BG882" s="2" t="e">
        <f t="shared" si="679"/>
        <v>#DIV/0!</v>
      </c>
      <c r="BH882" s="2" t="e">
        <f t="shared" si="692"/>
        <v>#DIV/0!</v>
      </c>
      <c r="BI882" s="2" t="e">
        <f t="shared" si="667"/>
        <v>#DIV/0!</v>
      </c>
      <c r="BJ882" s="2" t="e">
        <f t="shared" si="668"/>
        <v>#DIV/0!</v>
      </c>
      <c r="BK882" s="2" t="e">
        <f t="shared" si="680"/>
        <v>#DIV/0!</v>
      </c>
      <c r="BL882" s="2" t="e">
        <f t="shared" si="669"/>
        <v>#DIV/0!</v>
      </c>
      <c r="BM882" s="2" t="e">
        <f t="shared" si="670"/>
        <v>#DIV/0!</v>
      </c>
      <c r="BN882" s="2" t="e">
        <f t="shared" si="681"/>
        <v>#DIV/0!</v>
      </c>
    </row>
    <row r="883" spans="1:66" x14ac:dyDescent="0.25">
      <c r="A883" s="42">
        <v>880</v>
      </c>
      <c r="E883" s="6">
        <f t="shared" si="671"/>
        <v>0</v>
      </c>
      <c r="F883" s="5" t="str">
        <f t="shared" si="682"/>
        <v>Break Even</v>
      </c>
      <c r="G883" s="4">
        <f t="shared" si="683"/>
        <v>0</v>
      </c>
      <c r="N883" s="5">
        <f t="shared" si="684"/>
        <v>0</v>
      </c>
      <c r="O883" s="4" t="e">
        <f t="shared" si="685"/>
        <v>#DIV/0!</v>
      </c>
      <c r="P883" s="5">
        <f t="shared" si="644"/>
        <v>0</v>
      </c>
      <c r="R883" s="2">
        <f t="shared" si="688"/>
        <v>0</v>
      </c>
      <c r="T883" s="2">
        <f t="shared" si="672"/>
        <v>0</v>
      </c>
      <c r="V883" s="5">
        <f t="shared" si="686"/>
        <v>0</v>
      </c>
      <c r="W883" s="4" t="e">
        <f t="shared" si="687"/>
        <v>#DIV/0!</v>
      </c>
      <c r="X883" s="14">
        <f t="shared" si="645"/>
        <v>0</v>
      </c>
      <c r="Y883" s="5">
        <f t="shared" si="646"/>
        <v>0</v>
      </c>
      <c r="Z883" s="2">
        <f t="shared" si="647"/>
        <v>0</v>
      </c>
      <c r="AA883" s="4">
        <f t="shared" si="648"/>
        <v>0</v>
      </c>
      <c r="AB883" s="13">
        <f t="shared" si="649"/>
        <v>0</v>
      </c>
      <c r="AC883" s="10">
        <f>SUM($E$4:E883)</f>
        <v>-22024.091160220025</v>
      </c>
      <c r="AD883" s="20">
        <f>SUM($AB$4:AB883)</f>
        <v>13539.766460219998</v>
      </c>
      <c r="AF883" s="28" t="e">
        <f t="shared" si="650"/>
        <v>#DIV/0!</v>
      </c>
      <c r="AG883" s="2" t="e">
        <f t="shared" si="651"/>
        <v>#DIV/0!</v>
      </c>
      <c r="AH883" s="2" t="e">
        <f t="shared" si="652"/>
        <v>#DIV/0!</v>
      </c>
      <c r="AI883" s="2" t="e">
        <f t="shared" si="673"/>
        <v>#DIV/0!</v>
      </c>
      <c r="AJ883" s="2" t="e">
        <f t="shared" si="689"/>
        <v>#DIV/0!</v>
      </c>
      <c r="AK883" s="2" t="e">
        <f t="shared" si="653"/>
        <v>#DIV/0!</v>
      </c>
      <c r="AL883" s="2" t="e">
        <f t="shared" si="654"/>
        <v>#DIV/0!</v>
      </c>
      <c r="AM883" s="2" t="e">
        <f t="shared" si="674"/>
        <v>#DIV/0!</v>
      </c>
      <c r="AN883" s="2">
        <f t="shared" si="655"/>
        <v>0</v>
      </c>
      <c r="AO883" s="2" t="e">
        <f t="shared" si="656"/>
        <v>#DIV/0!</v>
      </c>
      <c r="AP883" s="2" t="e">
        <f t="shared" si="657"/>
        <v>#DIV/0!</v>
      </c>
      <c r="AQ883" s="2" t="e">
        <f t="shared" si="675"/>
        <v>#DIV/0!</v>
      </c>
      <c r="AR883" s="2" t="e">
        <f t="shared" si="690"/>
        <v>#DIV/0!</v>
      </c>
      <c r="AS883" s="2" t="e">
        <f t="shared" si="658"/>
        <v>#DIV/0!</v>
      </c>
      <c r="AT883" s="2" t="e">
        <f t="shared" si="659"/>
        <v>#DIV/0!</v>
      </c>
      <c r="AU883" s="2" t="e">
        <f t="shared" si="676"/>
        <v>#DIV/0!</v>
      </c>
      <c r="AV883" s="2" t="e">
        <f t="shared" si="660"/>
        <v>#DIV/0!</v>
      </c>
      <c r="AW883" s="2" t="e">
        <f t="shared" si="661"/>
        <v>#DIV/0!</v>
      </c>
      <c r="AX883" s="2" t="e">
        <f t="shared" si="662"/>
        <v>#DIV/0!</v>
      </c>
      <c r="AY883" s="2" t="e">
        <f t="shared" si="677"/>
        <v>#DIV/0!</v>
      </c>
      <c r="AZ883" s="2" t="e">
        <f t="shared" si="691"/>
        <v>#DIV/0!</v>
      </c>
      <c r="BA883" s="2" t="e">
        <f t="shared" si="663"/>
        <v>#DIV/0!</v>
      </c>
      <c r="BB883" s="2" t="e">
        <f t="shared" si="664"/>
        <v>#DIV/0!</v>
      </c>
      <c r="BC883" s="2" t="e">
        <f t="shared" si="678"/>
        <v>#DIV/0!</v>
      </c>
      <c r="BD883" s="2">
        <v>0</v>
      </c>
      <c r="BE883" s="2" t="e">
        <f t="shared" si="665"/>
        <v>#DIV/0!</v>
      </c>
      <c r="BF883" s="2" t="e">
        <f t="shared" si="666"/>
        <v>#DIV/0!</v>
      </c>
      <c r="BG883" s="2" t="e">
        <f t="shared" si="679"/>
        <v>#DIV/0!</v>
      </c>
      <c r="BH883" s="2" t="e">
        <f t="shared" si="692"/>
        <v>#DIV/0!</v>
      </c>
      <c r="BI883" s="2" t="e">
        <f t="shared" si="667"/>
        <v>#DIV/0!</v>
      </c>
      <c r="BJ883" s="2" t="e">
        <f t="shared" si="668"/>
        <v>#DIV/0!</v>
      </c>
      <c r="BK883" s="2" t="e">
        <f t="shared" si="680"/>
        <v>#DIV/0!</v>
      </c>
      <c r="BL883" s="2" t="e">
        <f t="shared" si="669"/>
        <v>#DIV/0!</v>
      </c>
      <c r="BM883" s="2" t="e">
        <f t="shared" si="670"/>
        <v>#DIV/0!</v>
      </c>
      <c r="BN883" s="2" t="e">
        <f t="shared" si="681"/>
        <v>#DIV/0!</v>
      </c>
    </row>
    <row r="884" spans="1:66" x14ac:dyDescent="0.25">
      <c r="A884" s="42">
        <v>881</v>
      </c>
      <c r="E884" s="6">
        <f t="shared" si="671"/>
        <v>0</v>
      </c>
      <c r="F884" s="5" t="str">
        <f t="shared" si="682"/>
        <v>Break Even</v>
      </c>
      <c r="G884" s="4">
        <f t="shared" si="683"/>
        <v>0</v>
      </c>
      <c r="N884" s="5">
        <f t="shared" si="684"/>
        <v>0</v>
      </c>
      <c r="O884" s="4" t="e">
        <f t="shared" si="685"/>
        <v>#DIV/0!</v>
      </c>
      <c r="P884" s="5">
        <f t="shared" si="644"/>
        <v>0</v>
      </c>
      <c r="R884" s="2">
        <f t="shared" si="688"/>
        <v>0</v>
      </c>
      <c r="T884" s="2">
        <f t="shared" si="672"/>
        <v>0</v>
      </c>
      <c r="V884" s="5">
        <f t="shared" si="686"/>
        <v>0</v>
      </c>
      <c r="W884" s="4" t="e">
        <f t="shared" si="687"/>
        <v>#DIV/0!</v>
      </c>
      <c r="X884" s="14">
        <f t="shared" si="645"/>
        <v>0</v>
      </c>
      <c r="Y884" s="5">
        <f t="shared" si="646"/>
        <v>0</v>
      </c>
      <c r="Z884" s="2">
        <f t="shared" si="647"/>
        <v>0</v>
      </c>
      <c r="AA884" s="4">
        <f t="shared" si="648"/>
        <v>0</v>
      </c>
      <c r="AB884" s="13">
        <f t="shared" si="649"/>
        <v>0</v>
      </c>
      <c r="AC884" s="10">
        <f>SUM($E$4:E884)</f>
        <v>-22024.091160220025</v>
      </c>
      <c r="AD884" s="20">
        <f>SUM($AB$4:AB884)</f>
        <v>13539.766460219998</v>
      </c>
      <c r="AF884" s="28" t="e">
        <f t="shared" si="650"/>
        <v>#DIV/0!</v>
      </c>
      <c r="AG884" s="2" t="e">
        <f t="shared" si="651"/>
        <v>#DIV/0!</v>
      </c>
      <c r="AH884" s="2" t="e">
        <f t="shared" si="652"/>
        <v>#DIV/0!</v>
      </c>
      <c r="AI884" s="2" t="e">
        <f t="shared" si="673"/>
        <v>#DIV/0!</v>
      </c>
      <c r="AJ884" s="2" t="e">
        <f t="shared" si="689"/>
        <v>#DIV/0!</v>
      </c>
      <c r="AK884" s="2" t="e">
        <f t="shared" si="653"/>
        <v>#DIV/0!</v>
      </c>
      <c r="AL884" s="2" t="e">
        <f t="shared" si="654"/>
        <v>#DIV/0!</v>
      </c>
      <c r="AM884" s="2" t="e">
        <f t="shared" si="674"/>
        <v>#DIV/0!</v>
      </c>
      <c r="AN884" s="2">
        <f t="shared" si="655"/>
        <v>0</v>
      </c>
      <c r="AO884" s="2" t="e">
        <f t="shared" si="656"/>
        <v>#DIV/0!</v>
      </c>
      <c r="AP884" s="2" t="e">
        <f t="shared" si="657"/>
        <v>#DIV/0!</v>
      </c>
      <c r="AQ884" s="2" t="e">
        <f t="shared" si="675"/>
        <v>#DIV/0!</v>
      </c>
      <c r="AR884" s="2" t="e">
        <f t="shared" si="690"/>
        <v>#DIV/0!</v>
      </c>
      <c r="AS884" s="2" t="e">
        <f t="shared" si="658"/>
        <v>#DIV/0!</v>
      </c>
      <c r="AT884" s="2" t="e">
        <f t="shared" si="659"/>
        <v>#DIV/0!</v>
      </c>
      <c r="AU884" s="2" t="e">
        <f t="shared" si="676"/>
        <v>#DIV/0!</v>
      </c>
      <c r="AV884" s="2" t="e">
        <f t="shared" si="660"/>
        <v>#DIV/0!</v>
      </c>
      <c r="AW884" s="2" t="e">
        <f t="shared" si="661"/>
        <v>#DIV/0!</v>
      </c>
      <c r="AX884" s="2" t="e">
        <f t="shared" si="662"/>
        <v>#DIV/0!</v>
      </c>
      <c r="AY884" s="2" t="e">
        <f t="shared" si="677"/>
        <v>#DIV/0!</v>
      </c>
      <c r="AZ884" s="2" t="e">
        <f t="shared" si="691"/>
        <v>#DIV/0!</v>
      </c>
      <c r="BA884" s="2" t="e">
        <f t="shared" si="663"/>
        <v>#DIV/0!</v>
      </c>
      <c r="BB884" s="2" t="e">
        <f t="shared" si="664"/>
        <v>#DIV/0!</v>
      </c>
      <c r="BC884" s="2" t="e">
        <f t="shared" si="678"/>
        <v>#DIV/0!</v>
      </c>
      <c r="BD884" s="2">
        <v>0</v>
      </c>
      <c r="BE884" s="2" t="e">
        <f t="shared" si="665"/>
        <v>#DIV/0!</v>
      </c>
      <c r="BF884" s="2" t="e">
        <f t="shared" si="666"/>
        <v>#DIV/0!</v>
      </c>
      <c r="BG884" s="2" t="e">
        <f t="shared" si="679"/>
        <v>#DIV/0!</v>
      </c>
      <c r="BH884" s="2" t="e">
        <f t="shared" si="692"/>
        <v>#DIV/0!</v>
      </c>
      <c r="BI884" s="2" t="e">
        <f t="shared" si="667"/>
        <v>#DIV/0!</v>
      </c>
      <c r="BJ884" s="2" t="e">
        <f t="shared" si="668"/>
        <v>#DIV/0!</v>
      </c>
      <c r="BK884" s="2" t="e">
        <f t="shared" si="680"/>
        <v>#DIV/0!</v>
      </c>
      <c r="BL884" s="2" t="e">
        <f t="shared" si="669"/>
        <v>#DIV/0!</v>
      </c>
      <c r="BM884" s="2" t="e">
        <f t="shared" si="670"/>
        <v>#DIV/0!</v>
      </c>
      <c r="BN884" s="2" t="e">
        <f t="shared" si="681"/>
        <v>#DIV/0!</v>
      </c>
    </row>
    <row r="885" spans="1:66" x14ac:dyDescent="0.25">
      <c r="A885" s="42">
        <v>882</v>
      </c>
      <c r="E885" s="6">
        <f t="shared" si="671"/>
        <v>0</v>
      </c>
      <c r="F885" s="5" t="str">
        <f t="shared" si="682"/>
        <v>Break Even</v>
      </c>
      <c r="G885" s="4">
        <f t="shared" si="683"/>
        <v>0</v>
      </c>
      <c r="N885" s="5">
        <f t="shared" si="684"/>
        <v>0</v>
      </c>
      <c r="O885" s="4" t="e">
        <f t="shared" si="685"/>
        <v>#DIV/0!</v>
      </c>
      <c r="P885" s="5">
        <f t="shared" si="644"/>
        <v>0</v>
      </c>
      <c r="R885" s="2">
        <f t="shared" si="688"/>
        <v>0</v>
      </c>
      <c r="T885" s="2">
        <f t="shared" si="672"/>
        <v>0</v>
      </c>
      <c r="V885" s="5">
        <f t="shared" si="686"/>
        <v>0</v>
      </c>
      <c r="W885" s="4" t="e">
        <f t="shared" si="687"/>
        <v>#DIV/0!</v>
      </c>
      <c r="X885" s="14">
        <f t="shared" si="645"/>
        <v>0</v>
      </c>
      <c r="Y885" s="5">
        <f t="shared" si="646"/>
        <v>0</v>
      </c>
      <c r="Z885" s="2">
        <f t="shared" si="647"/>
        <v>0</v>
      </c>
      <c r="AA885" s="4">
        <f t="shared" si="648"/>
        <v>0</v>
      </c>
      <c r="AB885" s="13">
        <f t="shared" si="649"/>
        <v>0</v>
      </c>
      <c r="AC885" s="10">
        <f>SUM($E$4:E885)</f>
        <v>-22024.091160220025</v>
      </c>
      <c r="AD885" s="20">
        <f>SUM($AB$4:AB885)</f>
        <v>13539.766460219998</v>
      </c>
      <c r="AF885" s="28" t="e">
        <f t="shared" si="650"/>
        <v>#DIV/0!</v>
      </c>
      <c r="AG885" s="2" t="e">
        <f t="shared" si="651"/>
        <v>#DIV/0!</v>
      </c>
      <c r="AH885" s="2" t="e">
        <f t="shared" si="652"/>
        <v>#DIV/0!</v>
      </c>
      <c r="AI885" s="2" t="e">
        <f t="shared" si="673"/>
        <v>#DIV/0!</v>
      </c>
      <c r="AJ885" s="2" t="e">
        <f t="shared" si="689"/>
        <v>#DIV/0!</v>
      </c>
      <c r="AK885" s="2" t="e">
        <f t="shared" si="653"/>
        <v>#DIV/0!</v>
      </c>
      <c r="AL885" s="2" t="e">
        <f t="shared" si="654"/>
        <v>#DIV/0!</v>
      </c>
      <c r="AM885" s="2" t="e">
        <f t="shared" si="674"/>
        <v>#DIV/0!</v>
      </c>
      <c r="AN885" s="2">
        <f t="shared" si="655"/>
        <v>0</v>
      </c>
      <c r="AO885" s="2" t="e">
        <f t="shared" si="656"/>
        <v>#DIV/0!</v>
      </c>
      <c r="AP885" s="2" t="e">
        <f t="shared" si="657"/>
        <v>#DIV/0!</v>
      </c>
      <c r="AQ885" s="2" t="e">
        <f t="shared" si="675"/>
        <v>#DIV/0!</v>
      </c>
      <c r="AR885" s="2" t="e">
        <f t="shared" si="690"/>
        <v>#DIV/0!</v>
      </c>
      <c r="AS885" s="2" t="e">
        <f t="shared" si="658"/>
        <v>#DIV/0!</v>
      </c>
      <c r="AT885" s="2" t="e">
        <f t="shared" si="659"/>
        <v>#DIV/0!</v>
      </c>
      <c r="AU885" s="2" t="e">
        <f t="shared" si="676"/>
        <v>#DIV/0!</v>
      </c>
      <c r="AV885" s="2" t="e">
        <f t="shared" si="660"/>
        <v>#DIV/0!</v>
      </c>
      <c r="AW885" s="2" t="e">
        <f t="shared" si="661"/>
        <v>#DIV/0!</v>
      </c>
      <c r="AX885" s="2" t="e">
        <f t="shared" si="662"/>
        <v>#DIV/0!</v>
      </c>
      <c r="AY885" s="2" t="e">
        <f t="shared" si="677"/>
        <v>#DIV/0!</v>
      </c>
      <c r="AZ885" s="2" t="e">
        <f t="shared" si="691"/>
        <v>#DIV/0!</v>
      </c>
      <c r="BA885" s="2" t="e">
        <f t="shared" si="663"/>
        <v>#DIV/0!</v>
      </c>
      <c r="BB885" s="2" t="e">
        <f t="shared" si="664"/>
        <v>#DIV/0!</v>
      </c>
      <c r="BC885" s="2" t="e">
        <f t="shared" si="678"/>
        <v>#DIV/0!</v>
      </c>
      <c r="BD885" s="2">
        <v>0</v>
      </c>
      <c r="BE885" s="2" t="e">
        <f t="shared" si="665"/>
        <v>#DIV/0!</v>
      </c>
      <c r="BF885" s="2" t="e">
        <f t="shared" si="666"/>
        <v>#DIV/0!</v>
      </c>
      <c r="BG885" s="2" t="e">
        <f t="shared" si="679"/>
        <v>#DIV/0!</v>
      </c>
      <c r="BH885" s="2" t="e">
        <f t="shared" si="692"/>
        <v>#DIV/0!</v>
      </c>
      <c r="BI885" s="2" t="e">
        <f t="shared" si="667"/>
        <v>#DIV/0!</v>
      </c>
      <c r="BJ885" s="2" t="e">
        <f t="shared" si="668"/>
        <v>#DIV/0!</v>
      </c>
      <c r="BK885" s="2" t="e">
        <f t="shared" si="680"/>
        <v>#DIV/0!</v>
      </c>
      <c r="BL885" s="2" t="e">
        <f t="shared" si="669"/>
        <v>#DIV/0!</v>
      </c>
      <c r="BM885" s="2" t="e">
        <f t="shared" si="670"/>
        <v>#DIV/0!</v>
      </c>
      <c r="BN885" s="2" t="e">
        <f t="shared" si="681"/>
        <v>#DIV/0!</v>
      </c>
    </row>
    <row r="886" spans="1:66" x14ac:dyDescent="0.25">
      <c r="A886" s="42">
        <v>883</v>
      </c>
      <c r="E886" s="6">
        <f t="shared" si="671"/>
        <v>0</v>
      </c>
      <c r="F886" s="5" t="str">
        <f t="shared" si="682"/>
        <v>Break Even</v>
      </c>
      <c r="G886" s="4">
        <f t="shared" si="683"/>
        <v>0</v>
      </c>
      <c r="N886" s="5">
        <f t="shared" si="684"/>
        <v>0</v>
      </c>
      <c r="O886" s="4" t="e">
        <f t="shared" si="685"/>
        <v>#DIV/0!</v>
      </c>
      <c r="P886" s="5">
        <f t="shared" si="644"/>
        <v>0</v>
      </c>
      <c r="R886" s="2">
        <f t="shared" si="688"/>
        <v>0</v>
      </c>
      <c r="T886" s="2">
        <f t="shared" si="672"/>
        <v>0</v>
      </c>
      <c r="V886" s="5">
        <f t="shared" si="686"/>
        <v>0</v>
      </c>
      <c r="W886" s="4" t="e">
        <f t="shared" si="687"/>
        <v>#DIV/0!</v>
      </c>
      <c r="X886" s="14">
        <f t="shared" si="645"/>
        <v>0</v>
      </c>
      <c r="Y886" s="5">
        <f t="shared" si="646"/>
        <v>0</v>
      </c>
      <c r="Z886" s="2">
        <f t="shared" si="647"/>
        <v>0</v>
      </c>
      <c r="AA886" s="4">
        <f t="shared" si="648"/>
        <v>0</v>
      </c>
      <c r="AB886" s="13">
        <f t="shared" si="649"/>
        <v>0</v>
      </c>
      <c r="AC886" s="10">
        <f>SUM($E$4:E886)</f>
        <v>-22024.091160220025</v>
      </c>
      <c r="AD886" s="20">
        <f>SUM($AB$4:AB886)</f>
        <v>13539.766460219998</v>
      </c>
      <c r="AF886" s="28" t="e">
        <f t="shared" si="650"/>
        <v>#DIV/0!</v>
      </c>
      <c r="AG886" s="2" t="e">
        <f t="shared" si="651"/>
        <v>#DIV/0!</v>
      </c>
      <c r="AH886" s="2" t="e">
        <f t="shared" si="652"/>
        <v>#DIV/0!</v>
      </c>
      <c r="AI886" s="2" t="e">
        <f t="shared" si="673"/>
        <v>#DIV/0!</v>
      </c>
      <c r="AJ886" s="2" t="e">
        <f t="shared" si="689"/>
        <v>#DIV/0!</v>
      </c>
      <c r="AK886" s="2" t="e">
        <f t="shared" si="653"/>
        <v>#DIV/0!</v>
      </c>
      <c r="AL886" s="2" t="e">
        <f t="shared" si="654"/>
        <v>#DIV/0!</v>
      </c>
      <c r="AM886" s="2" t="e">
        <f t="shared" si="674"/>
        <v>#DIV/0!</v>
      </c>
      <c r="AN886" s="2">
        <f t="shared" si="655"/>
        <v>0</v>
      </c>
      <c r="AO886" s="2" t="e">
        <f t="shared" si="656"/>
        <v>#DIV/0!</v>
      </c>
      <c r="AP886" s="2" t="e">
        <f t="shared" si="657"/>
        <v>#DIV/0!</v>
      </c>
      <c r="AQ886" s="2" t="e">
        <f t="shared" si="675"/>
        <v>#DIV/0!</v>
      </c>
      <c r="AR886" s="2" t="e">
        <f t="shared" si="690"/>
        <v>#DIV/0!</v>
      </c>
      <c r="AS886" s="2" t="e">
        <f t="shared" si="658"/>
        <v>#DIV/0!</v>
      </c>
      <c r="AT886" s="2" t="e">
        <f t="shared" si="659"/>
        <v>#DIV/0!</v>
      </c>
      <c r="AU886" s="2" t="e">
        <f t="shared" si="676"/>
        <v>#DIV/0!</v>
      </c>
      <c r="AV886" s="2" t="e">
        <f t="shared" si="660"/>
        <v>#DIV/0!</v>
      </c>
      <c r="AW886" s="2" t="e">
        <f t="shared" si="661"/>
        <v>#DIV/0!</v>
      </c>
      <c r="AX886" s="2" t="e">
        <f t="shared" si="662"/>
        <v>#DIV/0!</v>
      </c>
      <c r="AY886" s="2" t="e">
        <f t="shared" si="677"/>
        <v>#DIV/0!</v>
      </c>
      <c r="AZ886" s="2" t="e">
        <f t="shared" si="691"/>
        <v>#DIV/0!</v>
      </c>
      <c r="BA886" s="2" t="e">
        <f t="shared" si="663"/>
        <v>#DIV/0!</v>
      </c>
      <c r="BB886" s="2" t="e">
        <f t="shared" si="664"/>
        <v>#DIV/0!</v>
      </c>
      <c r="BC886" s="2" t="e">
        <f t="shared" si="678"/>
        <v>#DIV/0!</v>
      </c>
      <c r="BD886" s="2">
        <v>0</v>
      </c>
      <c r="BE886" s="2" t="e">
        <f t="shared" si="665"/>
        <v>#DIV/0!</v>
      </c>
      <c r="BF886" s="2" t="e">
        <f t="shared" si="666"/>
        <v>#DIV/0!</v>
      </c>
      <c r="BG886" s="2" t="e">
        <f t="shared" si="679"/>
        <v>#DIV/0!</v>
      </c>
      <c r="BH886" s="2" t="e">
        <f t="shared" si="692"/>
        <v>#DIV/0!</v>
      </c>
      <c r="BI886" s="2" t="e">
        <f t="shared" si="667"/>
        <v>#DIV/0!</v>
      </c>
      <c r="BJ886" s="2" t="e">
        <f t="shared" si="668"/>
        <v>#DIV/0!</v>
      </c>
      <c r="BK886" s="2" t="e">
        <f t="shared" si="680"/>
        <v>#DIV/0!</v>
      </c>
      <c r="BL886" s="2" t="e">
        <f t="shared" si="669"/>
        <v>#DIV/0!</v>
      </c>
      <c r="BM886" s="2" t="e">
        <f t="shared" si="670"/>
        <v>#DIV/0!</v>
      </c>
      <c r="BN886" s="2" t="e">
        <f t="shared" si="681"/>
        <v>#DIV/0!</v>
      </c>
    </row>
    <row r="887" spans="1:66" x14ac:dyDescent="0.25">
      <c r="A887" s="42">
        <v>884</v>
      </c>
      <c r="E887" s="6">
        <f t="shared" si="671"/>
        <v>0</v>
      </c>
      <c r="F887" s="5" t="str">
        <f t="shared" si="682"/>
        <v>Break Even</v>
      </c>
      <c r="G887" s="4">
        <f t="shared" si="683"/>
        <v>0</v>
      </c>
      <c r="N887" s="5">
        <f t="shared" si="684"/>
        <v>0</v>
      </c>
      <c r="O887" s="4" t="e">
        <f t="shared" si="685"/>
        <v>#DIV/0!</v>
      </c>
      <c r="P887" s="5">
        <f t="shared" si="644"/>
        <v>0</v>
      </c>
      <c r="R887" s="2">
        <f t="shared" si="688"/>
        <v>0</v>
      </c>
      <c r="T887" s="2">
        <f t="shared" si="672"/>
        <v>0</v>
      </c>
      <c r="V887" s="5">
        <f t="shared" si="686"/>
        <v>0</v>
      </c>
      <c r="W887" s="4" t="e">
        <f t="shared" si="687"/>
        <v>#DIV/0!</v>
      </c>
      <c r="X887" s="14">
        <f t="shared" si="645"/>
        <v>0</v>
      </c>
      <c r="Y887" s="5">
        <f t="shared" si="646"/>
        <v>0</v>
      </c>
      <c r="Z887" s="2">
        <f t="shared" si="647"/>
        <v>0</v>
      </c>
      <c r="AA887" s="4">
        <f t="shared" si="648"/>
        <v>0</v>
      </c>
      <c r="AB887" s="13">
        <f t="shared" si="649"/>
        <v>0</v>
      </c>
      <c r="AC887" s="10">
        <f>SUM($E$4:E887)</f>
        <v>-22024.091160220025</v>
      </c>
      <c r="AD887" s="20">
        <f>SUM($AB$4:AB887)</f>
        <v>13539.766460219998</v>
      </c>
      <c r="AF887" s="28" t="e">
        <f t="shared" si="650"/>
        <v>#DIV/0!</v>
      </c>
      <c r="AG887" s="2" t="e">
        <f t="shared" si="651"/>
        <v>#DIV/0!</v>
      </c>
      <c r="AH887" s="2" t="e">
        <f t="shared" si="652"/>
        <v>#DIV/0!</v>
      </c>
      <c r="AI887" s="2" t="e">
        <f t="shared" si="673"/>
        <v>#DIV/0!</v>
      </c>
      <c r="AJ887" s="2" t="e">
        <f t="shared" si="689"/>
        <v>#DIV/0!</v>
      </c>
      <c r="AK887" s="2" t="e">
        <f t="shared" si="653"/>
        <v>#DIV/0!</v>
      </c>
      <c r="AL887" s="2" t="e">
        <f t="shared" si="654"/>
        <v>#DIV/0!</v>
      </c>
      <c r="AM887" s="2" t="e">
        <f t="shared" si="674"/>
        <v>#DIV/0!</v>
      </c>
      <c r="AN887" s="2">
        <f t="shared" si="655"/>
        <v>0</v>
      </c>
      <c r="AO887" s="2" t="e">
        <f t="shared" si="656"/>
        <v>#DIV/0!</v>
      </c>
      <c r="AP887" s="2" t="e">
        <f t="shared" si="657"/>
        <v>#DIV/0!</v>
      </c>
      <c r="AQ887" s="2" t="e">
        <f t="shared" si="675"/>
        <v>#DIV/0!</v>
      </c>
      <c r="AR887" s="2" t="e">
        <f t="shared" si="690"/>
        <v>#DIV/0!</v>
      </c>
      <c r="AS887" s="2" t="e">
        <f t="shared" si="658"/>
        <v>#DIV/0!</v>
      </c>
      <c r="AT887" s="2" t="e">
        <f t="shared" si="659"/>
        <v>#DIV/0!</v>
      </c>
      <c r="AU887" s="2" t="e">
        <f t="shared" si="676"/>
        <v>#DIV/0!</v>
      </c>
      <c r="AV887" s="2" t="e">
        <f t="shared" si="660"/>
        <v>#DIV/0!</v>
      </c>
      <c r="AW887" s="2" t="e">
        <f t="shared" si="661"/>
        <v>#DIV/0!</v>
      </c>
      <c r="AX887" s="2" t="e">
        <f t="shared" si="662"/>
        <v>#DIV/0!</v>
      </c>
      <c r="AY887" s="2" t="e">
        <f t="shared" si="677"/>
        <v>#DIV/0!</v>
      </c>
      <c r="AZ887" s="2" t="e">
        <f t="shared" si="691"/>
        <v>#DIV/0!</v>
      </c>
      <c r="BA887" s="2" t="e">
        <f t="shared" si="663"/>
        <v>#DIV/0!</v>
      </c>
      <c r="BB887" s="2" t="e">
        <f t="shared" si="664"/>
        <v>#DIV/0!</v>
      </c>
      <c r="BC887" s="2" t="e">
        <f t="shared" si="678"/>
        <v>#DIV/0!</v>
      </c>
      <c r="BD887" s="2">
        <v>0</v>
      </c>
      <c r="BE887" s="2" t="e">
        <f t="shared" si="665"/>
        <v>#DIV/0!</v>
      </c>
      <c r="BF887" s="2" t="e">
        <f t="shared" si="666"/>
        <v>#DIV/0!</v>
      </c>
      <c r="BG887" s="2" t="e">
        <f t="shared" si="679"/>
        <v>#DIV/0!</v>
      </c>
      <c r="BH887" s="2" t="e">
        <f t="shared" si="692"/>
        <v>#DIV/0!</v>
      </c>
      <c r="BI887" s="2" t="e">
        <f t="shared" si="667"/>
        <v>#DIV/0!</v>
      </c>
      <c r="BJ887" s="2" t="e">
        <f t="shared" si="668"/>
        <v>#DIV/0!</v>
      </c>
      <c r="BK887" s="2" t="e">
        <f t="shared" si="680"/>
        <v>#DIV/0!</v>
      </c>
      <c r="BL887" s="2" t="e">
        <f t="shared" si="669"/>
        <v>#DIV/0!</v>
      </c>
      <c r="BM887" s="2" t="e">
        <f t="shared" si="670"/>
        <v>#DIV/0!</v>
      </c>
      <c r="BN887" s="2" t="e">
        <f t="shared" si="681"/>
        <v>#DIV/0!</v>
      </c>
    </row>
    <row r="888" spans="1:66" x14ac:dyDescent="0.25">
      <c r="A888" s="42">
        <v>885</v>
      </c>
      <c r="E888" s="6">
        <f t="shared" si="671"/>
        <v>0</v>
      </c>
      <c r="F888" s="5" t="str">
        <f t="shared" si="682"/>
        <v>Break Even</v>
      </c>
      <c r="G888" s="4">
        <f t="shared" si="683"/>
        <v>0</v>
      </c>
      <c r="N888" s="5">
        <f t="shared" si="684"/>
        <v>0</v>
      </c>
      <c r="O888" s="4" t="e">
        <f t="shared" si="685"/>
        <v>#DIV/0!</v>
      </c>
      <c r="P888" s="5">
        <f t="shared" si="644"/>
        <v>0</v>
      </c>
      <c r="R888" s="2">
        <f t="shared" si="688"/>
        <v>0</v>
      </c>
      <c r="T888" s="2">
        <f t="shared" si="672"/>
        <v>0</v>
      </c>
      <c r="V888" s="5">
        <f t="shared" si="686"/>
        <v>0</v>
      </c>
      <c r="W888" s="4" t="e">
        <f t="shared" si="687"/>
        <v>#DIV/0!</v>
      </c>
      <c r="X888" s="14">
        <f t="shared" si="645"/>
        <v>0</v>
      </c>
      <c r="Y888" s="5">
        <f t="shared" si="646"/>
        <v>0</v>
      </c>
      <c r="Z888" s="2">
        <f t="shared" si="647"/>
        <v>0</v>
      </c>
      <c r="AA888" s="4">
        <f t="shared" si="648"/>
        <v>0</v>
      </c>
      <c r="AB888" s="13">
        <f t="shared" si="649"/>
        <v>0</v>
      </c>
      <c r="AC888" s="10">
        <f>SUM($E$4:E888)</f>
        <v>-22024.091160220025</v>
      </c>
      <c r="AD888" s="20">
        <f>SUM($AB$4:AB888)</f>
        <v>13539.766460219998</v>
      </c>
      <c r="AF888" s="28" t="e">
        <f t="shared" si="650"/>
        <v>#DIV/0!</v>
      </c>
      <c r="AG888" s="2" t="e">
        <f t="shared" si="651"/>
        <v>#DIV/0!</v>
      </c>
      <c r="AH888" s="2" t="e">
        <f t="shared" si="652"/>
        <v>#DIV/0!</v>
      </c>
      <c r="AI888" s="2" t="e">
        <f t="shared" si="673"/>
        <v>#DIV/0!</v>
      </c>
      <c r="AJ888" s="2" t="e">
        <f t="shared" si="689"/>
        <v>#DIV/0!</v>
      </c>
      <c r="AK888" s="2" t="e">
        <f t="shared" si="653"/>
        <v>#DIV/0!</v>
      </c>
      <c r="AL888" s="2" t="e">
        <f t="shared" si="654"/>
        <v>#DIV/0!</v>
      </c>
      <c r="AM888" s="2" t="e">
        <f t="shared" si="674"/>
        <v>#DIV/0!</v>
      </c>
      <c r="AN888" s="2">
        <f t="shared" si="655"/>
        <v>0</v>
      </c>
      <c r="AO888" s="2" t="e">
        <f t="shared" si="656"/>
        <v>#DIV/0!</v>
      </c>
      <c r="AP888" s="2" t="e">
        <f t="shared" si="657"/>
        <v>#DIV/0!</v>
      </c>
      <c r="AQ888" s="2" t="e">
        <f t="shared" si="675"/>
        <v>#DIV/0!</v>
      </c>
      <c r="AR888" s="2" t="e">
        <f t="shared" si="690"/>
        <v>#DIV/0!</v>
      </c>
      <c r="AS888" s="2" t="e">
        <f t="shared" si="658"/>
        <v>#DIV/0!</v>
      </c>
      <c r="AT888" s="2" t="e">
        <f t="shared" si="659"/>
        <v>#DIV/0!</v>
      </c>
      <c r="AU888" s="2" t="e">
        <f t="shared" si="676"/>
        <v>#DIV/0!</v>
      </c>
      <c r="AV888" s="2" t="e">
        <f t="shared" si="660"/>
        <v>#DIV/0!</v>
      </c>
      <c r="AW888" s="2" t="e">
        <f t="shared" si="661"/>
        <v>#DIV/0!</v>
      </c>
      <c r="AX888" s="2" t="e">
        <f t="shared" si="662"/>
        <v>#DIV/0!</v>
      </c>
      <c r="AY888" s="2" t="e">
        <f t="shared" si="677"/>
        <v>#DIV/0!</v>
      </c>
      <c r="AZ888" s="2" t="e">
        <f t="shared" si="691"/>
        <v>#DIV/0!</v>
      </c>
      <c r="BA888" s="2" t="e">
        <f t="shared" si="663"/>
        <v>#DIV/0!</v>
      </c>
      <c r="BB888" s="2" t="e">
        <f t="shared" si="664"/>
        <v>#DIV/0!</v>
      </c>
      <c r="BC888" s="2" t="e">
        <f t="shared" si="678"/>
        <v>#DIV/0!</v>
      </c>
      <c r="BD888" s="2">
        <v>0</v>
      </c>
      <c r="BE888" s="2" t="e">
        <f t="shared" si="665"/>
        <v>#DIV/0!</v>
      </c>
      <c r="BF888" s="2" t="e">
        <f t="shared" si="666"/>
        <v>#DIV/0!</v>
      </c>
      <c r="BG888" s="2" t="e">
        <f t="shared" si="679"/>
        <v>#DIV/0!</v>
      </c>
      <c r="BH888" s="2" t="e">
        <f t="shared" si="692"/>
        <v>#DIV/0!</v>
      </c>
      <c r="BI888" s="2" t="e">
        <f t="shared" si="667"/>
        <v>#DIV/0!</v>
      </c>
      <c r="BJ888" s="2" t="e">
        <f t="shared" si="668"/>
        <v>#DIV/0!</v>
      </c>
      <c r="BK888" s="2" t="e">
        <f t="shared" si="680"/>
        <v>#DIV/0!</v>
      </c>
      <c r="BL888" s="2" t="e">
        <f t="shared" si="669"/>
        <v>#DIV/0!</v>
      </c>
      <c r="BM888" s="2" t="e">
        <f t="shared" si="670"/>
        <v>#DIV/0!</v>
      </c>
      <c r="BN888" s="2" t="e">
        <f t="shared" si="681"/>
        <v>#DIV/0!</v>
      </c>
    </row>
    <row r="889" spans="1:66" x14ac:dyDescent="0.25">
      <c r="A889" s="42">
        <v>886</v>
      </c>
      <c r="E889" s="6">
        <f t="shared" si="671"/>
        <v>0</v>
      </c>
      <c r="F889" s="5" t="str">
        <f t="shared" si="682"/>
        <v>Break Even</v>
      </c>
      <c r="G889" s="4">
        <f t="shared" si="683"/>
        <v>0</v>
      </c>
      <c r="N889" s="5">
        <f t="shared" si="684"/>
        <v>0</v>
      </c>
      <c r="O889" s="4" t="e">
        <f t="shared" si="685"/>
        <v>#DIV/0!</v>
      </c>
      <c r="P889" s="5">
        <f t="shared" si="644"/>
        <v>0</v>
      </c>
      <c r="R889" s="2">
        <f t="shared" si="688"/>
        <v>0</v>
      </c>
      <c r="T889" s="2">
        <f t="shared" si="672"/>
        <v>0</v>
      </c>
      <c r="V889" s="5">
        <f t="shared" si="686"/>
        <v>0</v>
      </c>
      <c r="W889" s="4" t="e">
        <f t="shared" si="687"/>
        <v>#DIV/0!</v>
      </c>
      <c r="X889" s="14">
        <f t="shared" si="645"/>
        <v>0</v>
      </c>
      <c r="Y889" s="5">
        <f t="shared" si="646"/>
        <v>0</v>
      </c>
      <c r="Z889" s="2">
        <f t="shared" si="647"/>
        <v>0</v>
      </c>
      <c r="AA889" s="4">
        <f t="shared" si="648"/>
        <v>0</v>
      </c>
      <c r="AB889" s="13">
        <f t="shared" si="649"/>
        <v>0</v>
      </c>
      <c r="AC889" s="10">
        <f>SUM($E$4:E889)</f>
        <v>-22024.091160220025</v>
      </c>
      <c r="AD889" s="20">
        <f>SUM($AB$4:AB889)</f>
        <v>13539.766460219998</v>
      </c>
      <c r="AF889" s="28" t="e">
        <f t="shared" si="650"/>
        <v>#DIV/0!</v>
      </c>
      <c r="AG889" s="2" t="e">
        <f t="shared" si="651"/>
        <v>#DIV/0!</v>
      </c>
      <c r="AH889" s="2" t="e">
        <f t="shared" si="652"/>
        <v>#DIV/0!</v>
      </c>
      <c r="AI889" s="2" t="e">
        <f t="shared" si="673"/>
        <v>#DIV/0!</v>
      </c>
      <c r="AJ889" s="2" t="e">
        <f t="shared" si="689"/>
        <v>#DIV/0!</v>
      </c>
      <c r="AK889" s="2" t="e">
        <f t="shared" si="653"/>
        <v>#DIV/0!</v>
      </c>
      <c r="AL889" s="2" t="e">
        <f t="shared" si="654"/>
        <v>#DIV/0!</v>
      </c>
      <c r="AM889" s="2" t="e">
        <f t="shared" si="674"/>
        <v>#DIV/0!</v>
      </c>
      <c r="AN889" s="2">
        <f t="shared" si="655"/>
        <v>0</v>
      </c>
      <c r="AO889" s="2" t="e">
        <f t="shared" si="656"/>
        <v>#DIV/0!</v>
      </c>
      <c r="AP889" s="2" t="e">
        <f t="shared" si="657"/>
        <v>#DIV/0!</v>
      </c>
      <c r="AQ889" s="2" t="e">
        <f t="shared" si="675"/>
        <v>#DIV/0!</v>
      </c>
      <c r="AR889" s="2" t="e">
        <f t="shared" si="690"/>
        <v>#DIV/0!</v>
      </c>
      <c r="AS889" s="2" t="e">
        <f t="shared" si="658"/>
        <v>#DIV/0!</v>
      </c>
      <c r="AT889" s="2" t="e">
        <f t="shared" si="659"/>
        <v>#DIV/0!</v>
      </c>
      <c r="AU889" s="2" t="e">
        <f t="shared" si="676"/>
        <v>#DIV/0!</v>
      </c>
      <c r="AV889" s="2" t="e">
        <f t="shared" si="660"/>
        <v>#DIV/0!</v>
      </c>
      <c r="AW889" s="2" t="e">
        <f t="shared" si="661"/>
        <v>#DIV/0!</v>
      </c>
      <c r="AX889" s="2" t="e">
        <f t="shared" si="662"/>
        <v>#DIV/0!</v>
      </c>
      <c r="AY889" s="2" t="e">
        <f t="shared" si="677"/>
        <v>#DIV/0!</v>
      </c>
      <c r="AZ889" s="2" t="e">
        <f t="shared" si="691"/>
        <v>#DIV/0!</v>
      </c>
      <c r="BA889" s="2" t="e">
        <f t="shared" si="663"/>
        <v>#DIV/0!</v>
      </c>
      <c r="BB889" s="2" t="e">
        <f t="shared" si="664"/>
        <v>#DIV/0!</v>
      </c>
      <c r="BC889" s="2" t="e">
        <f t="shared" si="678"/>
        <v>#DIV/0!</v>
      </c>
      <c r="BD889" s="2">
        <v>0</v>
      </c>
      <c r="BE889" s="2" t="e">
        <f t="shared" si="665"/>
        <v>#DIV/0!</v>
      </c>
      <c r="BF889" s="2" t="e">
        <f t="shared" si="666"/>
        <v>#DIV/0!</v>
      </c>
      <c r="BG889" s="2" t="e">
        <f t="shared" si="679"/>
        <v>#DIV/0!</v>
      </c>
      <c r="BH889" s="2" t="e">
        <f t="shared" si="692"/>
        <v>#DIV/0!</v>
      </c>
      <c r="BI889" s="2" t="e">
        <f t="shared" si="667"/>
        <v>#DIV/0!</v>
      </c>
      <c r="BJ889" s="2" t="e">
        <f t="shared" si="668"/>
        <v>#DIV/0!</v>
      </c>
      <c r="BK889" s="2" t="e">
        <f t="shared" si="680"/>
        <v>#DIV/0!</v>
      </c>
      <c r="BL889" s="2" t="e">
        <f t="shared" si="669"/>
        <v>#DIV/0!</v>
      </c>
      <c r="BM889" s="2" t="e">
        <f t="shared" si="670"/>
        <v>#DIV/0!</v>
      </c>
      <c r="BN889" s="2" t="e">
        <f t="shared" si="681"/>
        <v>#DIV/0!</v>
      </c>
    </row>
    <row r="890" spans="1:66" x14ac:dyDescent="0.25">
      <c r="A890" s="42">
        <v>887</v>
      </c>
      <c r="E890" s="6">
        <f t="shared" si="671"/>
        <v>0</v>
      </c>
      <c r="F890" s="5" t="str">
        <f t="shared" si="682"/>
        <v>Break Even</v>
      </c>
      <c r="G890" s="4">
        <f t="shared" si="683"/>
        <v>0</v>
      </c>
      <c r="N890" s="5">
        <f t="shared" si="684"/>
        <v>0</v>
      </c>
      <c r="O890" s="4" t="e">
        <f t="shared" si="685"/>
        <v>#DIV/0!</v>
      </c>
      <c r="P890" s="5">
        <f t="shared" si="644"/>
        <v>0</v>
      </c>
      <c r="R890" s="2">
        <f t="shared" si="688"/>
        <v>0</v>
      </c>
      <c r="T890" s="2">
        <f t="shared" si="672"/>
        <v>0</v>
      </c>
      <c r="V890" s="5">
        <f t="shared" si="686"/>
        <v>0</v>
      </c>
      <c r="W890" s="4" t="e">
        <f t="shared" si="687"/>
        <v>#DIV/0!</v>
      </c>
      <c r="X890" s="14">
        <f t="shared" si="645"/>
        <v>0</v>
      </c>
      <c r="Y890" s="5">
        <f t="shared" si="646"/>
        <v>0</v>
      </c>
      <c r="Z890" s="2">
        <f t="shared" si="647"/>
        <v>0</v>
      </c>
      <c r="AA890" s="4">
        <f t="shared" si="648"/>
        <v>0</v>
      </c>
      <c r="AB890" s="13">
        <f t="shared" si="649"/>
        <v>0</v>
      </c>
      <c r="AC890" s="10">
        <f>SUM($E$4:E890)</f>
        <v>-22024.091160220025</v>
      </c>
      <c r="AD890" s="20">
        <f>SUM($AB$4:AB890)</f>
        <v>13539.766460219998</v>
      </c>
      <c r="AF890" s="28" t="e">
        <f t="shared" si="650"/>
        <v>#DIV/0!</v>
      </c>
      <c r="AG890" s="2" t="e">
        <f t="shared" si="651"/>
        <v>#DIV/0!</v>
      </c>
      <c r="AH890" s="2" t="e">
        <f t="shared" si="652"/>
        <v>#DIV/0!</v>
      </c>
      <c r="AI890" s="2" t="e">
        <f t="shared" si="673"/>
        <v>#DIV/0!</v>
      </c>
      <c r="AJ890" s="2" t="e">
        <f t="shared" si="689"/>
        <v>#DIV/0!</v>
      </c>
      <c r="AK890" s="2" t="e">
        <f t="shared" si="653"/>
        <v>#DIV/0!</v>
      </c>
      <c r="AL890" s="2" t="e">
        <f t="shared" si="654"/>
        <v>#DIV/0!</v>
      </c>
      <c r="AM890" s="2" t="e">
        <f t="shared" si="674"/>
        <v>#DIV/0!</v>
      </c>
      <c r="AN890" s="2">
        <f t="shared" si="655"/>
        <v>0</v>
      </c>
      <c r="AO890" s="2" t="e">
        <f t="shared" si="656"/>
        <v>#DIV/0!</v>
      </c>
      <c r="AP890" s="2" t="e">
        <f t="shared" si="657"/>
        <v>#DIV/0!</v>
      </c>
      <c r="AQ890" s="2" t="e">
        <f t="shared" si="675"/>
        <v>#DIV/0!</v>
      </c>
      <c r="AR890" s="2" t="e">
        <f t="shared" si="690"/>
        <v>#DIV/0!</v>
      </c>
      <c r="AS890" s="2" t="e">
        <f t="shared" si="658"/>
        <v>#DIV/0!</v>
      </c>
      <c r="AT890" s="2" t="e">
        <f t="shared" si="659"/>
        <v>#DIV/0!</v>
      </c>
      <c r="AU890" s="2" t="e">
        <f t="shared" si="676"/>
        <v>#DIV/0!</v>
      </c>
      <c r="AV890" s="2" t="e">
        <f t="shared" si="660"/>
        <v>#DIV/0!</v>
      </c>
      <c r="AW890" s="2" t="e">
        <f t="shared" si="661"/>
        <v>#DIV/0!</v>
      </c>
      <c r="AX890" s="2" t="e">
        <f t="shared" si="662"/>
        <v>#DIV/0!</v>
      </c>
      <c r="AY890" s="2" t="e">
        <f t="shared" si="677"/>
        <v>#DIV/0!</v>
      </c>
      <c r="AZ890" s="2" t="e">
        <f t="shared" si="691"/>
        <v>#DIV/0!</v>
      </c>
      <c r="BA890" s="2" t="e">
        <f t="shared" si="663"/>
        <v>#DIV/0!</v>
      </c>
      <c r="BB890" s="2" t="e">
        <f t="shared" si="664"/>
        <v>#DIV/0!</v>
      </c>
      <c r="BC890" s="2" t="e">
        <f t="shared" si="678"/>
        <v>#DIV/0!</v>
      </c>
      <c r="BD890" s="2">
        <v>0</v>
      </c>
      <c r="BE890" s="2" t="e">
        <f t="shared" si="665"/>
        <v>#DIV/0!</v>
      </c>
      <c r="BF890" s="2" t="e">
        <f t="shared" si="666"/>
        <v>#DIV/0!</v>
      </c>
      <c r="BG890" s="2" t="e">
        <f t="shared" si="679"/>
        <v>#DIV/0!</v>
      </c>
      <c r="BH890" s="2" t="e">
        <f t="shared" si="692"/>
        <v>#DIV/0!</v>
      </c>
      <c r="BI890" s="2" t="e">
        <f t="shared" si="667"/>
        <v>#DIV/0!</v>
      </c>
      <c r="BJ890" s="2" t="e">
        <f t="shared" si="668"/>
        <v>#DIV/0!</v>
      </c>
      <c r="BK890" s="2" t="e">
        <f t="shared" si="680"/>
        <v>#DIV/0!</v>
      </c>
      <c r="BL890" s="2" t="e">
        <f t="shared" si="669"/>
        <v>#DIV/0!</v>
      </c>
      <c r="BM890" s="2" t="e">
        <f t="shared" si="670"/>
        <v>#DIV/0!</v>
      </c>
      <c r="BN890" s="2" t="e">
        <f t="shared" si="681"/>
        <v>#DIV/0!</v>
      </c>
    </row>
    <row r="891" spans="1:66" x14ac:dyDescent="0.25">
      <c r="A891" s="42">
        <v>888</v>
      </c>
      <c r="E891" s="6">
        <f t="shared" si="671"/>
        <v>0</v>
      </c>
      <c r="F891" s="5" t="str">
        <f t="shared" si="682"/>
        <v>Break Even</v>
      </c>
      <c r="G891" s="4">
        <f t="shared" si="683"/>
        <v>0</v>
      </c>
      <c r="N891" s="5">
        <f t="shared" si="684"/>
        <v>0</v>
      </c>
      <c r="O891" s="4" t="e">
        <f t="shared" si="685"/>
        <v>#DIV/0!</v>
      </c>
      <c r="P891" s="5">
        <f t="shared" si="644"/>
        <v>0</v>
      </c>
      <c r="R891" s="2">
        <f t="shared" si="688"/>
        <v>0</v>
      </c>
      <c r="T891" s="2">
        <f t="shared" si="672"/>
        <v>0</v>
      </c>
      <c r="V891" s="5">
        <f t="shared" si="686"/>
        <v>0</v>
      </c>
      <c r="W891" s="4" t="e">
        <f t="shared" si="687"/>
        <v>#DIV/0!</v>
      </c>
      <c r="X891" s="14">
        <f t="shared" si="645"/>
        <v>0</v>
      </c>
      <c r="Y891" s="5">
        <f t="shared" si="646"/>
        <v>0</v>
      </c>
      <c r="Z891" s="2">
        <f t="shared" si="647"/>
        <v>0</v>
      </c>
      <c r="AA891" s="4">
        <f t="shared" si="648"/>
        <v>0</v>
      </c>
      <c r="AB891" s="13">
        <f t="shared" si="649"/>
        <v>0</v>
      </c>
      <c r="AC891" s="10">
        <f>SUM($E$4:E891)</f>
        <v>-22024.091160220025</v>
      </c>
      <c r="AD891" s="20">
        <f>SUM($AB$4:AB891)</f>
        <v>13539.766460219998</v>
      </c>
      <c r="AF891" s="28" t="e">
        <f t="shared" si="650"/>
        <v>#DIV/0!</v>
      </c>
      <c r="AG891" s="2" t="e">
        <f t="shared" si="651"/>
        <v>#DIV/0!</v>
      </c>
      <c r="AH891" s="2" t="e">
        <f t="shared" si="652"/>
        <v>#DIV/0!</v>
      </c>
      <c r="AI891" s="2" t="e">
        <f t="shared" si="673"/>
        <v>#DIV/0!</v>
      </c>
      <c r="AJ891" s="2" t="e">
        <f t="shared" si="689"/>
        <v>#DIV/0!</v>
      </c>
      <c r="AK891" s="2" t="e">
        <f t="shared" si="653"/>
        <v>#DIV/0!</v>
      </c>
      <c r="AL891" s="2" t="e">
        <f t="shared" si="654"/>
        <v>#DIV/0!</v>
      </c>
      <c r="AM891" s="2" t="e">
        <f t="shared" si="674"/>
        <v>#DIV/0!</v>
      </c>
      <c r="AN891" s="2">
        <f t="shared" si="655"/>
        <v>0</v>
      </c>
      <c r="AO891" s="2" t="e">
        <f t="shared" si="656"/>
        <v>#DIV/0!</v>
      </c>
      <c r="AP891" s="2" t="e">
        <f t="shared" si="657"/>
        <v>#DIV/0!</v>
      </c>
      <c r="AQ891" s="2" t="e">
        <f t="shared" si="675"/>
        <v>#DIV/0!</v>
      </c>
      <c r="AR891" s="2" t="e">
        <f t="shared" si="690"/>
        <v>#DIV/0!</v>
      </c>
      <c r="AS891" s="2" t="e">
        <f t="shared" si="658"/>
        <v>#DIV/0!</v>
      </c>
      <c r="AT891" s="2" t="e">
        <f t="shared" si="659"/>
        <v>#DIV/0!</v>
      </c>
      <c r="AU891" s="2" t="e">
        <f t="shared" si="676"/>
        <v>#DIV/0!</v>
      </c>
      <c r="AV891" s="2" t="e">
        <f t="shared" si="660"/>
        <v>#DIV/0!</v>
      </c>
      <c r="AW891" s="2" t="e">
        <f t="shared" si="661"/>
        <v>#DIV/0!</v>
      </c>
      <c r="AX891" s="2" t="e">
        <f t="shared" si="662"/>
        <v>#DIV/0!</v>
      </c>
      <c r="AY891" s="2" t="e">
        <f t="shared" si="677"/>
        <v>#DIV/0!</v>
      </c>
      <c r="AZ891" s="2" t="e">
        <f t="shared" si="691"/>
        <v>#DIV/0!</v>
      </c>
      <c r="BA891" s="2" t="e">
        <f t="shared" si="663"/>
        <v>#DIV/0!</v>
      </c>
      <c r="BB891" s="2" t="e">
        <f t="shared" si="664"/>
        <v>#DIV/0!</v>
      </c>
      <c r="BC891" s="2" t="e">
        <f t="shared" si="678"/>
        <v>#DIV/0!</v>
      </c>
      <c r="BD891" s="2">
        <v>0</v>
      </c>
      <c r="BE891" s="2" t="e">
        <f t="shared" si="665"/>
        <v>#DIV/0!</v>
      </c>
      <c r="BF891" s="2" t="e">
        <f t="shared" si="666"/>
        <v>#DIV/0!</v>
      </c>
      <c r="BG891" s="2" t="e">
        <f t="shared" si="679"/>
        <v>#DIV/0!</v>
      </c>
      <c r="BH891" s="2" t="e">
        <f t="shared" si="692"/>
        <v>#DIV/0!</v>
      </c>
      <c r="BI891" s="2" t="e">
        <f t="shared" si="667"/>
        <v>#DIV/0!</v>
      </c>
      <c r="BJ891" s="2" t="e">
        <f t="shared" si="668"/>
        <v>#DIV/0!</v>
      </c>
      <c r="BK891" s="2" t="e">
        <f t="shared" si="680"/>
        <v>#DIV/0!</v>
      </c>
      <c r="BL891" s="2" t="e">
        <f t="shared" si="669"/>
        <v>#DIV/0!</v>
      </c>
      <c r="BM891" s="2" t="e">
        <f t="shared" si="670"/>
        <v>#DIV/0!</v>
      </c>
      <c r="BN891" s="2" t="e">
        <f t="shared" si="681"/>
        <v>#DIV/0!</v>
      </c>
    </row>
    <row r="892" spans="1:66" x14ac:dyDescent="0.25">
      <c r="A892" s="42">
        <v>889</v>
      </c>
      <c r="E892" s="6">
        <f t="shared" si="671"/>
        <v>0</v>
      </c>
      <c r="F892" s="5" t="str">
        <f t="shared" si="682"/>
        <v>Break Even</v>
      </c>
      <c r="G892" s="4">
        <f t="shared" si="683"/>
        <v>0</v>
      </c>
      <c r="N892" s="5">
        <f t="shared" si="684"/>
        <v>0</v>
      </c>
      <c r="O892" s="4" t="e">
        <f t="shared" si="685"/>
        <v>#DIV/0!</v>
      </c>
      <c r="P892" s="5">
        <f t="shared" si="644"/>
        <v>0</v>
      </c>
      <c r="R892" s="2">
        <f t="shared" si="688"/>
        <v>0</v>
      </c>
      <c r="T892" s="2">
        <f t="shared" si="672"/>
        <v>0</v>
      </c>
      <c r="V892" s="5">
        <f t="shared" si="686"/>
        <v>0</v>
      </c>
      <c r="W892" s="4" t="e">
        <f t="shared" si="687"/>
        <v>#DIV/0!</v>
      </c>
      <c r="X892" s="14">
        <f t="shared" si="645"/>
        <v>0</v>
      </c>
      <c r="Y892" s="5">
        <f t="shared" si="646"/>
        <v>0</v>
      </c>
      <c r="Z892" s="2">
        <f t="shared" si="647"/>
        <v>0</v>
      </c>
      <c r="AA892" s="4">
        <f t="shared" si="648"/>
        <v>0</v>
      </c>
      <c r="AB892" s="13">
        <f t="shared" si="649"/>
        <v>0</v>
      </c>
      <c r="AC892" s="10">
        <f>SUM($E$4:E892)</f>
        <v>-22024.091160220025</v>
      </c>
      <c r="AD892" s="20">
        <f>SUM($AB$4:AB892)</f>
        <v>13539.766460219998</v>
      </c>
      <c r="AF892" s="28" t="e">
        <f t="shared" si="650"/>
        <v>#DIV/0!</v>
      </c>
      <c r="AG892" s="2" t="e">
        <f t="shared" si="651"/>
        <v>#DIV/0!</v>
      </c>
      <c r="AH892" s="2" t="e">
        <f t="shared" si="652"/>
        <v>#DIV/0!</v>
      </c>
      <c r="AI892" s="2" t="e">
        <f t="shared" si="673"/>
        <v>#DIV/0!</v>
      </c>
      <c r="AJ892" s="2" t="e">
        <f t="shared" si="689"/>
        <v>#DIV/0!</v>
      </c>
      <c r="AK892" s="2" t="e">
        <f t="shared" si="653"/>
        <v>#DIV/0!</v>
      </c>
      <c r="AL892" s="2" t="e">
        <f t="shared" si="654"/>
        <v>#DIV/0!</v>
      </c>
      <c r="AM892" s="2" t="e">
        <f t="shared" si="674"/>
        <v>#DIV/0!</v>
      </c>
      <c r="AN892" s="2">
        <f t="shared" si="655"/>
        <v>0</v>
      </c>
      <c r="AO892" s="2" t="e">
        <f t="shared" si="656"/>
        <v>#DIV/0!</v>
      </c>
      <c r="AP892" s="2" t="e">
        <f t="shared" si="657"/>
        <v>#DIV/0!</v>
      </c>
      <c r="AQ892" s="2" t="e">
        <f t="shared" si="675"/>
        <v>#DIV/0!</v>
      </c>
      <c r="AR892" s="2" t="e">
        <f t="shared" si="690"/>
        <v>#DIV/0!</v>
      </c>
      <c r="AS892" s="2" t="e">
        <f t="shared" si="658"/>
        <v>#DIV/0!</v>
      </c>
      <c r="AT892" s="2" t="e">
        <f t="shared" si="659"/>
        <v>#DIV/0!</v>
      </c>
      <c r="AU892" s="2" t="e">
        <f t="shared" si="676"/>
        <v>#DIV/0!</v>
      </c>
      <c r="AV892" s="2" t="e">
        <f t="shared" si="660"/>
        <v>#DIV/0!</v>
      </c>
      <c r="AW892" s="2" t="e">
        <f t="shared" si="661"/>
        <v>#DIV/0!</v>
      </c>
      <c r="AX892" s="2" t="e">
        <f t="shared" si="662"/>
        <v>#DIV/0!</v>
      </c>
      <c r="AY892" s="2" t="e">
        <f t="shared" si="677"/>
        <v>#DIV/0!</v>
      </c>
      <c r="AZ892" s="2" t="e">
        <f t="shared" si="691"/>
        <v>#DIV/0!</v>
      </c>
      <c r="BA892" s="2" t="e">
        <f t="shared" si="663"/>
        <v>#DIV/0!</v>
      </c>
      <c r="BB892" s="2" t="e">
        <f t="shared" si="664"/>
        <v>#DIV/0!</v>
      </c>
      <c r="BC892" s="2" t="e">
        <f t="shared" si="678"/>
        <v>#DIV/0!</v>
      </c>
      <c r="BD892" s="2">
        <v>0</v>
      </c>
      <c r="BE892" s="2" t="e">
        <f t="shared" si="665"/>
        <v>#DIV/0!</v>
      </c>
      <c r="BF892" s="2" t="e">
        <f t="shared" si="666"/>
        <v>#DIV/0!</v>
      </c>
      <c r="BG892" s="2" t="e">
        <f t="shared" si="679"/>
        <v>#DIV/0!</v>
      </c>
      <c r="BH892" s="2" t="e">
        <f t="shared" si="692"/>
        <v>#DIV/0!</v>
      </c>
      <c r="BI892" s="2" t="e">
        <f t="shared" si="667"/>
        <v>#DIV/0!</v>
      </c>
      <c r="BJ892" s="2" t="e">
        <f t="shared" si="668"/>
        <v>#DIV/0!</v>
      </c>
      <c r="BK892" s="2" t="e">
        <f t="shared" si="680"/>
        <v>#DIV/0!</v>
      </c>
      <c r="BL892" s="2" t="e">
        <f t="shared" si="669"/>
        <v>#DIV/0!</v>
      </c>
      <c r="BM892" s="2" t="e">
        <f t="shared" si="670"/>
        <v>#DIV/0!</v>
      </c>
      <c r="BN892" s="2" t="e">
        <f t="shared" si="681"/>
        <v>#DIV/0!</v>
      </c>
    </row>
    <row r="893" spans="1:66" x14ac:dyDescent="0.25">
      <c r="A893" s="42">
        <v>890</v>
      </c>
      <c r="E893" s="6">
        <f t="shared" si="671"/>
        <v>0</v>
      </c>
      <c r="F893" s="5" t="str">
        <f t="shared" si="682"/>
        <v>Break Even</v>
      </c>
      <c r="G893" s="4">
        <f t="shared" si="683"/>
        <v>0</v>
      </c>
      <c r="N893" s="5">
        <f t="shared" si="684"/>
        <v>0</v>
      </c>
      <c r="O893" s="4" t="e">
        <f t="shared" si="685"/>
        <v>#DIV/0!</v>
      </c>
      <c r="P893" s="5">
        <f t="shared" si="644"/>
        <v>0</v>
      </c>
      <c r="R893" s="2">
        <f t="shared" si="688"/>
        <v>0</v>
      </c>
      <c r="T893" s="2">
        <f t="shared" si="672"/>
        <v>0</v>
      </c>
      <c r="V893" s="5">
        <f t="shared" si="686"/>
        <v>0</v>
      </c>
      <c r="W893" s="4" t="e">
        <f t="shared" si="687"/>
        <v>#DIV/0!</v>
      </c>
      <c r="X893" s="14">
        <f t="shared" si="645"/>
        <v>0</v>
      </c>
      <c r="Y893" s="5">
        <f t="shared" si="646"/>
        <v>0</v>
      </c>
      <c r="Z893" s="2">
        <f t="shared" si="647"/>
        <v>0</v>
      </c>
      <c r="AA893" s="4">
        <f t="shared" si="648"/>
        <v>0</v>
      </c>
      <c r="AB893" s="13">
        <f t="shared" si="649"/>
        <v>0</v>
      </c>
      <c r="AC893" s="10">
        <f>SUM($E$4:E893)</f>
        <v>-22024.091160220025</v>
      </c>
      <c r="AD893" s="20">
        <f>SUM($AB$4:AB893)</f>
        <v>13539.766460219998</v>
      </c>
      <c r="AF893" s="28" t="e">
        <f t="shared" si="650"/>
        <v>#DIV/0!</v>
      </c>
      <c r="AG893" s="2" t="e">
        <f t="shared" si="651"/>
        <v>#DIV/0!</v>
      </c>
      <c r="AH893" s="2" t="e">
        <f t="shared" si="652"/>
        <v>#DIV/0!</v>
      </c>
      <c r="AI893" s="2" t="e">
        <f t="shared" si="673"/>
        <v>#DIV/0!</v>
      </c>
      <c r="AJ893" s="2" t="e">
        <f t="shared" si="689"/>
        <v>#DIV/0!</v>
      </c>
      <c r="AK893" s="2" t="e">
        <f t="shared" si="653"/>
        <v>#DIV/0!</v>
      </c>
      <c r="AL893" s="2" t="e">
        <f t="shared" si="654"/>
        <v>#DIV/0!</v>
      </c>
      <c r="AM893" s="2" t="e">
        <f t="shared" si="674"/>
        <v>#DIV/0!</v>
      </c>
      <c r="AN893" s="2">
        <f t="shared" si="655"/>
        <v>0</v>
      </c>
      <c r="AO893" s="2" t="e">
        <f t="shared" si="656"/>
        <v>#DIV/0!</v>
      </c>
      <c r="AP893" s="2" t="e">
        <f t="shared" si="657"/>
        <v>#DIV/0!</v>
      </c>
      <c r="AQ893" s="2" t="e">
        <f t="shared" si="675"/>
        <v>#DIV/0!</v>
      </c>
      <c r="AR893" s="2" t="e">
        <f t="shared" si="690"/>
        <v>#DIV/0!</v>
      </c>
      <c r="AS893" s="2" t="e">
        <f t="shared" si="658"/>
        <v>#DIV/0!</v>
      </c>
      <c r="AT893" s="2" t="e">
        <f t="shared" si="659"/>
        <v>#DIV/0!</v>
      </c>
      <c r="AU893" s="2" t="e">
        <f t="shared" si="676"/>
        <v>#DIV/0!</v>
      </c>
      <c r="AV893" s="2" t="e">
        <f t="shared" si="660"/>
        <v>#DIV/0!</v>
      </c>
      <c r="AW893" s="2" t="e">
        <f t="shared" si="661"/>
        <v>#DIV/0!</v>
      </c>
      <c r="AX893" s="2" t="e">
        <f t="shared" si="662"/>
        <v>#DIV/0!</v>
      </c>
      <c r="AY893" s="2" t="e">
        <f t="shared" si="677"/>
        <v>#DIV/0!</v>
      </c>
      <c r="AZ893" s="2" t="e">
        <f t="shared" si="691"/>
        <v>#DIV/0!</v>
      </c>
      <c r="BA893" s="2" t="e">
        <f t="shared" si="663"/>
        <v>#DIV/0!</v>
      </c>
      <c r="BB893" s="2" t="e">
        <f t="shared" si="664"/>
        <v>#DIV/0!</v>
      </c>
      <c r="BC893" s="2" t="e">
        <f t="shared" si="678"/>
        <v>#DIV/0!</v>
      </c>
      <c r="BD893" s="2">
        <v>0</v>
      </c>
      <c r="BE893" s="2" t="e">
        <f t="shared" si="665"/>
        <v>#DIV/0!</v>
      </c>
      <c r="BF893" s="2" t="e">
        <f t="shared" si="666"/>
        <v>#DIV/0!</v>
      </c>
      <c r="BG893" s="2" t="e">
        <f t="shared" si="679"/>
        <v>#DIV/0!</v>
      </c>
      <c r="BH893" s="2" t="e">
        <f t="shared" si="692"/>
        <v>#DIV/0!</v>
      </c>
      <c r="BI893" s="2" t="e">
        <f t="shared" si="667"/>
        <v>#DIV/0!</v>
      </c>
      <c r="BJ893" s="2" t="e">
        <f t="shared" si="668"/>
        <v>#DIV/0!</v>
      </c>
      <c r="BK893" s="2" t="e">
        <f t="shared" si="680"/>
        <v>#DIV/0!</v>
      </c>
      <c r="BL893" s="2" t="e">
        <f t="shared" si="669"/>
        <v>#DIV/0!</v>
      </c>
      <c r="BM893" s="2" t="e">
        <f t="shared" si="670"/>
        <v>#DIV/0!</v>
      </c>
      <c r="BN893" s="2" t="e">
        <f t="shared" si="681"/>
        <v>#DIV/0!</v>
      </c>
    </row>
    <row r="894" spans="1:66" x14ac:dyDescent="0.25">
      <c r="A894" s="42">
        <v>891</v>
      </c>
      <c r="E894" s="6">
        <f t="shared" si="671"/>
        <v>0</v>
      </c>
      <c r="F894" s="5" t="str">
        <f t="shared" si="682"/>
        <v>Break Even</v>
      </c>
      <c r="G894" s="4">
        <f t="shared" si="683"/>
        <v>0</v>
      </c>
      <c r="N894" s="5">
        <f t="shared" si="684"/>
        <v>0</v>
      </c>
      <c r="O894" s="4" t="e">
        <f t="shared" si="685"/>
        <v>#DIV/0!</v>
      </c>
      <c r="P894" s="5">
        <f t="shared" si="644"/>
        <v>0</v>
      </c>
      <c r="R894" s="2">
        <f t="shared" si="688"/>
        <v>0</v>
      </c>
      <c r="T894" s="2">
        <f t="shared" si="672"/>
        <v>0</v>
      </c>
      <c r="V894" s="5">
        <f t="shared" si="686"/>
        <v>0</v>
      </c>
      <c r="W894" s="4" t="e">
        <f t="shared" si="687"/>
        <v>#DIV/0!</v>
      </c>
      <c r="X894" s="14">
        <f t="shared" si="645"/>
        <v>0</v>
      </c>
      <c r="Y894" s="5">
        <f t="shared" si="646"/>
        <v>0</v>
      </c>
      <c r="Z894" s="2">
        <f t="shared" si="647"/>
        <v>0</v>
      </c>
      <c r="AA894" s="4">
        <f t="shared" si="648"/>
        <v>0</v>
      </c>
      <c r="AB894" s="13">
        <f t="shared" si="649"/>
        <v>0</v>
      </c>
      <c r="AC894" s="10">
        <f>SUM($E$4:E894)</f>
        <v>-22024.091160220025</v>
      </c>
      <c r="AD894" s="20">
        <f>SUM($AB$4:AB894)</f>
        <v>13539.766460219998</v>
      </c>
      <c r="AF894" s="28" t="e">
        <f t="shared" si="650"/>
        <v>#DIV/0!</v>
      </c>
      <c r="AG894" s="2" t="e">
        <f t="shared" si="651"/>
        <v>#DIV/0!</v>
      </c>
      <c r="AH894" s="2" t="e">
        <f t="shared" si="652"/>
        <v>#DIV/0!</v>
      </c>
      <c r="AI894" s="2" t="e">
        <f t="shared" si="673"/>
        <v>#DIV/0!</v>
      </c>
      <c r="AJ894" s="2" t="e">
        <f t="shared" si="689"/>
        <v>#DIV/0!</v>
      </c>
      <c r="AK894" s="2" t="e">
        <f t="shared" si="653"/>
        <v>#DIV/0!</v>
      </c>
      <c r="AL894" s="2" t="e">
        <f t="shared" si="654"/>
        <v>#DIV/0!</v>
      </c>
      <c r="AM894" s="2" t="e">
        <f t="shared" si="674"/>
        <v>#DIV/0!</v>
      </c>
      <c r="AN894" s="2">
        <f t="shared" si="655"/>
        <v>0</v>
      </c>
      <c r="AO894" s="2" t="e">
        <f t="shared" si="656"/>
        <v>#DIV/0!</v>
      </c>
      <c r="AP894" s="2" t="e">
        <f t="shared" si="657"/>
        <v>#DIV/0!</v>
      </c>
      <c r="AQ894" s="2" t="e">
        <f t="shared" si="675"/>
        <v>#DIV/0!</v>
      </c>
      <c r="AR894" s="2" t="e">
        <f t="shared" si="690"/>
        <v>#DIV/0!</v>
      </c>
      <c r="AS894" s="2" t="e">
        <f t="shared" si="658"/>
        <v>#DIV/0!</v>
      </c>
      <c r="AT894" s="2" t="e">
        <f t="shared" si="659"/>
        <v>#DIV/0!</v>
      </c>
      <c r="AU894" s="2" t="e">
        <f t="shared" si="676"/>
        <v>#DIV/0!</v>
      </c>
      <c r="AV894" s="2" t="e">
        <f t="shared" si="660"/>
        <v>#DIV/0!</v>
      </c>
      <c r="AW894" s="2" t="e">
        <f t="shared" si="661"/>
        <v>#DIV/0!</v>
      </c>
      <c r="AX894" s="2" t="e">
        <f t="shared" si="662"/>
        <v>#DIV/0!</v>
      </c>
      <c r="AY894" s="2" t="e">
        <f t="shared" si="677"/>
        <v>#DIV/0!</v>
      </c>
      <c r="AZ894" s="2" t="e">
        <f t="shared" si="691"/>
        <v>#DIV/0!</v>
      </c>
      <c r="BA894" s="2" t="e">
        <f t="shared" si="663"/>
        <v>#DIV/0!</v>
      </c>
      <c r="BB894" s="2" t="e">
        <f t="shared" si="664"/>
        <v>#DIV/0!</v>
      </c>
      <c r="BC894" s="2" t="e">
        <f t="shared" si="678"/>
        <v>#DIV/0!</v>
      </c>
      <c r="BD894" s="2">
        <v>0</v>
      </c>
      <c r="BE894" s="2" t="e">
        <f t="shared" si="665"/>
        <v>#DIV/0!</v>
      </c>
      <c r="BF894" s="2" t="e">
        <f t="shared" si="666"/>
        <v>#DIV/0!</v>
      </c>
      <c r="BG894" s="2" t="e">
        <f t="shared" si="679"/>
        <v>#DIV/0!</v>
      </c>
      <c r="BH894" s="2" t="e">
        <f t="shared" si="692"/>
        <v>#DIV/0!</v>
      </c>
      <c r="BI894" s="2" t="e">
        <f t="shared" si="667"/>
        <v>#DIV/0!</v>
      </c>
      <c r="BJ894" s="2" t="e">
        <f t="shared" si="668"/>
        <v>#DIV/0!</v>
      </c>
      <c r="BK894" s="2" t="e">
        <f t="shared" si="680"/>
        <v>#DIV/0!</v>
      </c>
      <c r="BL894" s="2" t="e">
        <f t="shared" si="669"/>
        <v>#DIV/0!</v>
      </c>
      <c r="BM894" s="2" t="e">
        <f t="shared" si="670"/>
        <v>#DIV/0!</v>
      </c>
      <c r="BN894" s="2" t="e">
        <f t="shared" si="681"/>
        <v>#DIV/0!</v>
      </c>
    </row>
    <row r="895" spans="1:66" x14ac:dyDescent="0.25">
      <c r="A895" s="42">
        <v>892</v>
      </c>
      <c r="E895" s="6">
        <f t="shared" si="671"/>
        <v>0</v>
      </c>
      <c r="F895" s="5" t="str">
        <f t="shared" si="682"/>
        <v>Break Even</v>
      </c>
      <c r="G895" s="4">
        <f t="shared" si="683"/>
        <v>0</v>
      </c>
      <c r="N895" s="5">
        <f t="shared" si="684"/>
        <v>0</v>
      </c>
      <c r="O895" s="4" t="e">
        <f t="shared" si="685"/>
        <v>#DIV/0!</v>
      </c>
      <c r="P895" s="5">
        <f t="shared" si="644"/>
        <v>0</v>
      </c>
      <c r="R895" s="2">
        <f t="shared" si="688"/>
        <v>0</v>
      </c>
      <c r="T895" s="2">
        <f t="shared" si="672"/>
        <v>0</v>
      </c>
      <c r="V895" s="5">
        <f t="shared" si="686"/>
        <v>0</v>
      </c>
      <c r="W895" s="4" t="e">
        <f t="shared" si="687"/>
        <v>#DIV/0!</v>
      </c>
      <c r="X895" s="14">
        <f t="shared" si="645"/>
        <v>0</v>
      </c>
      <c r="Y895" s="5">
        <f t="shared" si="646"/>
        <v>0</v>
      </c>
      <c r="Z895" s="2">
        <f t="shared" si="647"/>
        <v>0</v>
      </c>
      <c r="AA895" s="4">
        <f t="shared" si="648"/>
        <v>0</v>
      </c>
      <c r="AB895" s="13">
        <f t="shared" si="649"/>
        <v>0</v>
      </c>
      <c r="AC895" s="10">
        <f>SUM($E$4:E895)</f>
        <v>-22024.091160220025</v>
      </c>
      <c r="AD895" s="20">
        <f>SUM($AB$4:AB895)</f>
        <v>13539.766460219998</v>
      </c>
      <c r="AF895" s="28" t="e">
        <f t="shared" si="650"/>
        <v>#DIV/0!</v>
      </c>
      <c r="AG895" s="2" t="e">
        <f t="shared" si="651"/>
        <v>#DIV/0!</v>
      </c>
      <c r="AH895" s="2" t="e">
        <f t="shared" si="652"/>
        <v>#DIV/0!</v>
      </c>
      <c r="AI895" s="2" t="e">
        <f t="shared" si="673"/>
        <v>#DIV/0!</v>
      </c>
      <c r="AJ895" s="2" t="e">
        <f t="shared" si="689"/>
        <v>#DIV/0!</v>
      </c>
      <c r="AK895" s="2" t="e">
        <f t="shared" si="653"/>
        <v>#DIV/0!</v>
      </c>
      <c r="AL895" s="2" t="e">
        <f t="shared" si="654"/>
        <v>#DIV/0!</v>
      </c>
      <c r="AM895" s="2" t="e">
        <f t="shared" si="674"/>
        <v>#DIV/0!</v>
      </c>
      <c r="AN895" s="2">
        <f t="shared" si="655"/>
        <v>0</v>
      </c>
      <c r="AO895" s="2" t="e">
        <f t="shared" si="656"/>
        <v>#DIV/0!</v>
      </c>
      <c r="AP895" s="2" t="e">
        <f t="shared" si="657"/>
        <v>#DIV/0!</v>
      </c>
      <c r="AQ895" s="2" t="e">
        <f t="shared" si="675"/>
        <v>#DIV/0!</v>
      </c>
      <c r="AR895" s="2" t="e">
        <f t="shared" si="690"/>
        <v>#DIV/0!</v>
      </c>
      <c r="AS895" s="2" t="e">
        <f t="shared" si="658"/>
        <v>#DIV/0!</v>
      </c>
      <c r="AT895" s="2" t="e">
        <f t="shared" si="659"/>
        <v>#DIV/0!</v>
      </c>
      <c r="AU895" s="2" t="e">
        <f t="shared" si="676"/>
        <v>#DIV/0!</v>
      </c>
      <c r="AV895" s="2" t="e">
        <f t="shared" si="660"/>
        <v>#DIV/0!</v>
      </c>
      <c r="AW895" s="2" t="e">
        <f t="shared" si="661"/>
        <v>#DIV/0!</v>
      </c>
      <c r="AX895" s="2" t="e">
        <f t="shared" si="662"/>
        <v>#DIV/0!</v>
      </c>
      <c r="AY895" s="2" t="e">
        <f t="shared" si="677"/>
        <v>#DIV/0!</v>
      </c>
      <c r="AZ895" s="2" t="e">
        <f t="shared" si="691"/>
        <v>#DIV/0!</v>
      </c>
      <c r="BA895" s="2" t="e">
        <f t="shared" si="663"/>
        <v>#DIV/0!</v>
      </c>
      <c r="BB895" s="2" t="e">
        <f t="shared" si="664"/>
        <v>#DIV/0!</v>
      </c>
      <c r="BC895" s="2" t="e">
        <f t="shared" si="678"/>
        <v>#DIV/0!</v>
      </c>
      <c r="BD895" s="2">
        <v>0</v>
      </c>
      <c r="BE895" s="2" t="e">
        <f t="shared" si="665"/>
        <v>#DIV/0!</v>
      </c>
      <c r="BF895" s="2" t="e">
        <f t="shared" si="666"/>
        <v>#DIV/0!</v>
      </c>
      <c r="BG895" s="2" t="e">
        <f t="shared" si="679"/>
        <v>#DIV/0!</v>
      </c>
      <c r="BH895" s="2" t="e">
        <f t="shared" si="692"/>
        <v>#DIV/0!</v>
      </c>
      <c r="BI895" s="2" t="e">
        <f t="shared" si="667"/>
        <v>#DIV/0!</v>
      </c>
      <c r="BJ895" s="2" t="e">
        <f t="shared" si="668"/>
        <v>#DIV/0!</v>
      </c>
      <c r="BK895" s="2" t="e">
        <f t="shared" si="680"/>
        <v>#DIV/0!</v>
      </c>
      <c r="BL895" s="2" t="e">
        <f t="shared" si="669"/>
        <v>#DIV/0!</v>
      </c>
      <c r="BM895" s="2" t="e">
        <f t="shared" si="670"/>
        <v>#DIV/0!</v>
      </c>
      <c r="BN895" s="2" t="e">
        <f t="shared" si="681"/>
        <v>#DIV/0!</v>
      </c>
    </row>
    <row r="896" spans="1:66" x14ac:dyDescent="0.25">
      <c r="A896" s="42">
        <v>893</v>
      </c>
      <c r="E896" s="6">
        <f t="shared" si="671"/>
        <v>0</v>
      </c>
      <c r="F896" s="5" t="str">
        <f t="shared" si="682"/>
        <v>Break Even</v>
      </c>
      <c r="G896" s="4">
        <f t="shared" si="683"/>
        <v>0</v>
      </c>
      <c r="N896" s="5">
        <f t="shared" si="684"/>
        <v>0</v>
      </c>
      <c r="O896" s="4" t="e">
        <f t="shared" si="685"/>
        <v>#DIV/0!</v>
      </c>
      <c r="P896" s="5">
        <f t="shared" si="644"/>
        <v>0</v>
      </c>
      <c r="R896" s="2">
        <f t="shared" si="688"/>
        <v>0</v>
      </c>
      <c r="T896" s="2">
        <f t="shared" si="672"/>
        <v>0</v>
      </c>
      <c r="V896" s="5">
        <f t="shared" si="686"/>
        <v>0</v>
      </c>
      <c r="W896" s="4" t="e">
        <f t="shared" si="687"/>
        <v>#DIV/0!</v>
      </c>
      <c r="X896" s="14">
        <f t="shared" si="645"/>
        <v>0</v>
      </c>
      <c r="Y896" s="5">
        <f t="shared" si="646"/>
        <v>0</v>
      </c>
      <c r="Z896" s="2">
        <f t="shared" si="647"/>
        <v>0</v>
      </c>
      <c r="AA896" s="4">
        <f t="shared" si="648"/>
        <v>0</v>
      </c>
      <c r="AB896" s="13">
        <f t="shared" si="649"/>
        <v>0</v>
      </c>
      <c r="AC896" s="10">
        <f>SUM($E$4:E896)</f>
        <v>-22024.091160220025</v>
      </c>
      <c r="AD896" s="20">
        <f>SUM($AB$4:AB896)</f>
        <v>13539.766460219998</v>
      </c>
      <c r="AF896" s="28" t="e">
        <f t="shared" si="650"/>
        <v>#DIV/0!</v>
      </c>
      <c r="AG896" s="2" t="e">
        <f t="shared" si="651"/>
        <v>#DIV/0!</v>
      </c>
      <c r="AH896" s="2" t="e">
        <f t="shared" si="652"/>
        <v>#DIV/0!</v>
      </c>
      <c r="AI896" s="2" t="e">
        <f t="shared" si="673"/>
        <v>#DIV/0!</v>
      </c>
      <c r="AJ896" s="2" t="e">
        <f t="shared" si="689"/>
        <v>#DIV/0!</v>
      </c>
      <c r="AK896" s="2" t="e">
        <f t="shared" si="653"/>
        <v>#DIV/0!</v>
      </c>
      <c r="AL896" s="2" t="e">
        <f t="shared" si="654"/>
        <v>#DIV/0!</v>
      </c>
      <c r="AM896" s="2" t="e">
        <f t="shared" si="674"/>
        <v>#DIV/0!</v>
      </c>
      <c r="AN896" s="2">
        <f t="shared" si="655"/>
        <v>0</v>
      </c>
      <c r="AO896" s="2" t="e">
        <f t="shared" si="656"/>
        <v>#DIV/0!</v>
      </c>
      <c r="AP896" s="2" t="e">
        <f t="shared" si="657"/>
        <v>#DIV/0!</v>
      </c>
      <c r="AQ896" s="2" t="e">
        <f t="shared" si="675"/>
        <v>#DIV/0!</v>
      </c>
      <c r="AR896" s="2" t="e">
        <f t="shared" si="690"/>
        <v>#DIV/0!</v>
      </c>
      <c r="AS896" s="2" t="e">
        <f t="shared" si="658"/>
        <v>#DIV/0!</v>
      </c>
      <c r="AT896" s="2" t="e">
        <f t="shared" si="659"/>
        <v>#DIV/0!</v>
      </c>
      <c r="AU896" s="2" t="e">
        <f t="shared" si="676"/>
        <v>#DIV/0!</v>
      </c>
      <c r="AV896" s="2" t="e">
        <f t="shared" si="660"/>
        <v>#DIV/0!</v>
      </c>
      <c r="AW896" s="2" t="e">
        <f t="shared" si="661"/>
        <v>#DIV/0!</v>
      </c>
      <c r="AX896" s="2" t="e">
        <f t="shared" si="662"/>
        <v>#DIV/0!</v>
      </c>
      <c r="AY896" s="2" t="e">
        <f t="shared" si="677"/>
        <v>#DIV/0!</v>
      </c>
      <c r="AZ896" s="2" t="e">
        <f t="shared" si="691"/>
        <v>#DIV/0!</v>
      </c>
      <c r="BA896" s="2" t="e">
        <f t="shared" si="663"/>
        <v>#DIV/0!</v>
      </c>
      <c r="BB896" s="2" t="e">
        <f t="shared" si="664"/>
        <v>#DIV/0!</v>
      </c>
      <c r="BC896" s="2" t="e">
        <f t="shared" si="678"/>
        <v>#DIV/0!</v>
      </c>
      <c r="BD896" s="2">
        <v>0</v>
      </c>
      <c r="BE896" s="2" t="e">
        <f t="shared" si="665"/>
        <v>#DIV/0!</v>
      </c>
      <c r="BF896" s="2" t="e">
        <f t="shared" si="666"/>
        <v>#DIV/0!</v>
      </c>
      <c r="BG896" s="2" t="e">
        <f t="shared" si="679"/>
        <v>#DIV/0!</v>
      </c>
      <c r="BH896" s="2" t="e">
        <f t="shared" si="692"/>
        <v>#DIV/0!</v>
      </c>
      <c r="BI896" s="2" t="e">
        <f t="shared" si="667"/>
        <v>#DIV/0!</v>
      </c>
      <c r="BJ896" s="2" t="e">
        <f t="shared" si="668"/>
        <v>#DIV/0!</v>
      </c>
      <c r="BK896" s="2" t="e">
        <f t="shared" si="680"/>
        <v>#DIV/0!</v>
      </c>
      <c r="BL896" s="2" t="e">
        <f t="shared" si="669"/>
        <v>#DIV/0!</v>
      </c>
      <c r="BM896" s="2" t="e">
        <f t="shared" si="670"/>
        <v>#DIV/0!</v>
      </c>
      <c r="BN896" s="2" t="e">
        <f t="shared" si="681"/>
        <v>#DIV/0!</v>
      </c>
    </row>
    <row r="897" spans="1:66" x14ac:dyDescent="0.25">
      <c r="A897" s="42">
        <v>894</v>
      </c>
      <c r="E897" s="6">
        <f t="shared" si="671"/>
        <v>0</v>
      </c>
      <c r="F897" s="5" t="str">
        <f t="shared" si="682"/>
        <v>Break Even</v>
      </c>
      <c r="G897" s="4">
        <f t="shared" si="683"/>
        <v>0</v>
      </c>
      <c r="N897" s="5">
        <f t="shared" si="684"/>
        <v>0</v>
      </c>
      <c r="O897" s="4" t="e">
        <f t="shared" si="685"/>
        <v>#DIV/0!</v>
      </c>
      <c r="P897" s="5">
        <f t="shared" si="644"/>
        <v>0</v>
      </c>
      <c r="R897" s="2">
        <f t="shared" si="688"/>
        <v>0</v>
      </c>
      <c r="T897" s="2">
        <f t="shared" si="672"/>
        <v>0</v>
      </c>
      <c r="V897" s="5">
        <f t="shared" si="686"/>
        <v>0</v>
      </c>
      <c r="W897" s="4" t="e">
        <f t="shared" si="687"/>
        <v>#DIV/0!</v>
      </c>
      <c r="X897" s="14">
        <f t="shared" si="645"/>
        <v>0</v>
      </c>
      <c r="Y897" s="5">
        <f t="shared" si="646"/>
        <v>0</v>
      </c>
      <c r="Z897" s="2">
        <f t="shared" si="647"/>
        <v>0</v>
      </c>
      <c r="AA897" s="4">
        <f t="shared" si="648"/>
        <v>0</v>
      </c>
      <c r="AB897" s="13">
        <f t="shared" si="649"/>
        <v>0</v>
      </c>
      <c r="AC897" s="10">
        <f>SUM($E$4:E897)</f>
        <v>-22024.091160220025</v>
      </c>
      <c r="AD897" s="20">
        <f>SUM($AB$4:AB897)</f>
        <v>13539.766460219998</v>
      </c>
      <c r="AF897" s="28" t="e">
        <f t="shared" si="650"/>
        <v>#DIV/0!</v>
      </c>
      <c r="AG897" s="2" t="e">
        <f t="shared" si="651"/>
        <v>#DIV/0!</v>
      </c>
      <c r="AH897" s="2" t="e">
        <f t="shared" si="652"/>
        <v>#DIV/0!</v>
      </c>
      <c r="AI897" s="2" t="e">
        <f t="shared" si="673"/>
        <v>#DIV/0!</v>
      </c>
      <c r="AJ897" s="2" t="e">
        <f t="shared" si="689"/>
        <v>#DIV/0!</v>
      </c>
      <c r="AK897" s="2" t="e">
        <f t="shared" si="653"/>
        <v>#DIV/0!</v>
      </c>
      <c r="AL897" s="2" t="e">
        <f t="shared" si="654"/>
        <v>#DIV/0!</v>
      </c>
      <c r="AM897" s="2" t="e">
        <f t="shared" si="674"/>
        <v>#DIV/0!</v>
      </c>
      <c r="AN897" s="2">
        <f t="shared" si="655"/>
        <v>0</v>
      </c>
      <c r="AO897" s="2" t="e">
        <f t="shared" si="656"/>
        <v>#DIV/0!</v>
      </c>
      <c r="AP897" s="2" t="e">
        <f t="shared" si="657"/>
        <v>#DIV/0!</v>
      </c>
      <c r="AQ897" s="2" t="e">
        <f t="shared" si="675"/>
        <v>#DIV/0!</v>
      </c>
      <c r="AR897" s="2" t="e">
        <f t="shared" si="690"/>
        <v>#DIV/0!</v>
      </c>
      <c r="AS897" s="2" t="e">
        <f t="shared" si="658"/>
        <v>#DIV/0!</v>
      </c>
      <c r="AT897" s="2" t="e">
        <f t="shared" si="659"/>
        <v>#DIV/0!</v>
      </c>
      <c r="AU897" s="2" t="e">
        <f t="shared" si="676"/>
        <v>#DIV/0!</v>
      </c>
      <c r="AV897" s="2" t="e">
        <f t="shared" si="660"/>
        <v>#DIV/0!</v>
      </c>
      <c r="AW897" s="2" t="e">
        <f t="shared" si="661"/>
        <v>#DIV/0!</v>
      </c>
      <c r="AX897" s="2" t="e">
        <f t="shared" si="662"/>
        <v>#DIV/0!</v>
      </c>
      <c r="AY897" s="2" t="e">
        <f t="shared" si="677"/>
        <v>#DIV/0!</v>
      </c>
      <c r="AZ897" s="2" t="e">
        <f t="shared" si="691"/>
        <v>#DIV/0!</v>
      </c>
      <c r="BA897" s="2" t="e">
        <f t="shared" si="663"/>
        <v>#DIV/0!</v>
      </c>
      <c r="BB897" s="2" t="e">
        <f t="shared" si="664"/>
        <v>#DIV/0!</v>
      </c>
      <c r="BC897" s="2" t="e">
        <f t="shared" si="678"/>
        <v>#DIV/0!</v>
      </c>
      <c r="BD897" s="2">
        <v>0</v>
      </c>
      <c r="BE897" s="2" t="e">
        <f t="shared" si="665"/>
        <v>#DIV/0!</v>
      </c>
      <c r="BF897" s="2" t="e">
        <f t="shared" si="666"/>
        <v>#DIV/0!</v>
      </c>
      <c r="BG897" s="2" t="e">
        <f t="shared" si="679"/>
        <v>#DIV/0!</v>
      </c>
      <c r="BH897" s="2" t="e">
        <f t="shared" si="692"/>
        <v>#DIV/0!</v>
      </c>
      <c r="BI897" s="2" t="e">
        <f t="shared" si="667"/>
        <v>#DIV/0!</v>
      </c>
      <c r="BJ897" s="2" t="e">
        <f t="shared" si="668"/>
        <v>#DIV/0!</v>
      </c>
      <c r="BK897" s="2" t="e">
        <f t="shared" si="680"/>
        <v>#DIV/0!</v>
      </c>
      <c r="BL897" s="2" t="e">
        <f t="shared" si="669"/>
        <v>#DIV/0!</v>
      </c>
      <c r="BM897" s="2" t="e">
        <f t="shared" si="670"/>
        <v>#DIV/0!</v>
      </c>
      <c r="BN897" s="2" t="e">
        <f t="shared" si="681"/>
        <v>#DIV/0!</v>
      </c>
    </row>
    <row r="898" spans="1:66" x14ac:dyDescent="0.25">
      <c r="A898" s="42">
        <v>895</v>
      </c>
      <c r="E898" s="6">
        <f t="shared" si="671"/>
        <v>0</v>
      </c>
      <c r="F898" s="5" t="str">
        <f t="shared" si="682"/>
        <v>Break Even</v>
      </c>
      <c r="G898" s="4">
        <f t="shared" si="683"/>
        <v>0</v>
      </c>
      <c r="N898" s="5">
        <f t="shared" si="684"/>
        <v>0</v>
      </c>
      <c r="O898" s="4" t="e">
        <f t="shared" si="685"/>
        <v>#DIV/0!</v>
      </c>
      <c r="P898" s="5">
        <f t="shared" si="644"/>
        <v>0</v>
      </c>
      <c r="R898" s="2">
        <f t="shared" si="688"/>
        <v>0</v>
      </c>
      <c r="T898" s="2">
        <f t="shared" si="672"/>
        <v>0</v>
      </c>
      <c r="V898" s="5">
        <f t="shared" si="686"/>
        <v>0</v>
      </c>
      <c r="W898" s="4" t="e">
        <f t="shared" si="687"/>
        <v>#DIV/0!</v>
      </c>
      <c r="X898" s="14">
        <f t="shared" si="645"/>
        <v>0</v>
      </c>
      <c r="Y898" s="5">
        <f t="shared" si="646"/>
        <v>0</v>
      </c>
      <c r="Z898" s="2">
        <f t="shared" si="647"/>
        <v>0</v>
      </c>
      <c r="AA898" s="4">
        <f t="shared" si="648"/>
        <v>0</v>
      </c>
      <c r="AB898" s="13">
        <f t="shared" si="649"/>
        <v>0</v>
      </c>
      <c r="AC898" s="10">
        <f>SUM($E$4:E898)</f>
        <v>-22024.091160220025</v>
      </c>
      <c r="AD898" s="20">
        <f>SUM($AB$4:AB898)</f>
        <v>13539.766460219998</v>
      </c>
      <c r="AF898" s="28" t="e">
        <f t="shared" si="650"/>
        <v>#DIV/0!</v>
      </c>
      <c r="AG898" s="2" t="e">
        <f t="shared" si="651"/>
        <v>#DIV/0!</v>
      </c>
      <c r="AH898" s="2" t="e">
        <f t="shared" si="652"/>
        <v>#DIV/0!</v>
      </c>
      <c r="AI898" s="2" t="e">
        <f t="shared" si="673"/>
        <v>#DIV/0!</v>
      </c>
      <c r="AJ898" s="2" t="e">
        <f t="shared" si="689"/>
        <v>#DIV/0!</v>
      </c>
      <c r="AK898" s="2" t="e">
        <f t="shared" si="653"/>
        <v>#DIV/0!</v>
      </c>
      <c r="AL898" s="2" t="e">
        <f t="shared" si="654"/>
        <v>#DIV/0!</v>
      </c>
      <c r="AM898" s="2" t="e">
        <f t="shared" si="674"/>
        <v>#DIV/0!</v>
      </c>
      <c r="AN898" s="2">
        <f t="shared" si="655"/>
        <v>0</v>
      </c>
      <c r="AO898" s="2" t="e">
        <f t="shared" si="656"/>
        <v>#DIV/0!</v>
      </c>
      <c r="AP898" s="2" t="e">
        <f t="shared" si="657"/>
        <v>#DIV/0!</v>
      </c>
      <c r="AQ898" s="2" t="e">
        <f t="shared" si="675"/>
        <v>#DIV/0!</v>
      </c>
      <c r="AR898" s="2" t="e">
        <f t="shared" si="690"/>
        <v>#DIV/0!</v>
      </c>
      <c r="AS898" s="2" t="e">
        <f t="shared" si="658"/>
        <v>#DIV/0!</v>
      </c>
      <c r="AT898" s="2" t="e">
        <f t="shared" si="659"/>
        <v>#DIV/0!</v>
      </c>
      <c r="AU898" s="2" t="e">
        <f t="shared" si="676"/>
        <v>#DIV/0!</v>
      </c>
      <c r="AV898" s="2" t="e">
        <f t="shared" si="660"/>
        <v>#DIV/0!</v>
      </c>
      <c r="AW898" s="2" t="e">
        <f t="shared" si="661"/>
        <v>#DIV/0!</v>
      </c>
      <c r="AX898" s="2" t="e">
        <f t="shared" si="662"/>
        <v>#DIV/0!</v>
      </c>
      <c r="AY898" s="2" t="e">
        <f t="shared" si="677"/>
        <v>#DIV/0!</v>
      </c>
      <c r="AZ898" s="2" t="e">
        <f t="shared" si="691"/>
        <v>#DIV/0!</v>
      </c>
      <c r="BA898" s="2" t="e">
        <f t="shared" si="663"/>
        <v>#DIV/0!</v>
      </c>
      <c r="BB898" s="2" t="e">
        <f t="shared" si="664"/>
        <v>#DIV/0!</v>
      </c>
      <c r="BC898" s="2" t="e">
        <f t="shared" si="678"/>
        <v>#DIV/0!</v>
      </c>
      <c r="BD898" s="2">
        <v>0</v>
      </c>
      <c r="BE898" s="2" t="e">
        <f t="shared" si="665"/>
        <v>#DIV/0!</v>
      </c>
      <c r="BF898" s="2" t="e">
        <f t="shared" si="666"/>
        <v>#DIV/0!</v>
      </c>
      <c r="BG898" s="2" t="e">
        <f t="shared" si="679"/>
        <v>#DIV/0!</v>
      </c>
      <c r="BH898" s="2" t="e">
        <f t="shared" si="692"/>
        <v>#DIV/0!</v>
      </c>
      <c r="BI898" s="2" t="e">
        <f t="shared" si="667"/>
        <v>#DIV/0!</v>
      </c>
      <c r="BJ898" s="2" t="e">
        <f t="shared" si="668"/>
        <v>#DIV/0!</v>
      </c>
      <c r="BK898" s="2" t="e">
        <f t="shared" si="680"/>
        <v>#DIV/0!</v>
      </c>
      <c r="BL898" s="2" t="e">
        <f t="shared" si="669"/>
        <v>#DIV/0!</v>
      </c>
      <c r="BM898" s="2" t="e">
        <f t="shared" si="670"/>
        <v>#DIV/0!</v>
      </c>
      <c r="BN898" s="2" t="e">
        <f t="shared" si="681"/>
        <v>#DIV/0!</v>
      </c>
    </row>
    <row r="899" spans="1:66" x14ac:dyDescent="0.25">
      <c r="A899" s="42">
        <v>896</v>
      </c>
      <c r="E899" s="6">
        <f t="shared" si="671"/>
        <v>0</v>
      </c>
      <c r="F899" s="5" t="str">
        <f t="shared" si="682"/>
        <v>Break Even</v>
      </c>
      <c r="G899" s="4">
        <f t="shared" si="683"/>
        <v>0</v>
      </c>
      <c r="N899" s="5">
        <f t="shared" si="684"/>
        <v>0</v>
      </c>
      <c r="O899" s="4" t="e">
        <f t="shared" si="685"/>
        <v>#DIV/0!</v>
      </c>
      <c r="P899" s="5">
        <f t="shared" si="644"/>
        <v>0</v>
      </c>
      <c r="R899" s="2">
        <f t="shared" si="688"/>
        <v>0</v>
      </c>
      <c r="T899" s="2">
        <f t="shared" si="672"/>
        <v>0</v>
      </c>
      <c r="V899" s="5">
        <f t="shared" si="686"/>
        <v>0</v>
      </c>
      <c r="W899" s="4" t="e">
        <f t="shared" si="687"/>
        <v>#DIV/0!</v>
      </c>
      <c r="X899" s="14">
        <f t="shared" si="645"/>
        <v>0</v>
      </c>
      <c r="Y899" s="5">
        <f t="shared" si="646"/>
        <v>0</v>
      </c>
      <c r="Z899" s="2">
        <f t="shared" si="647"/>
        <v>0</v>
      </c>
      <c r="AA899" s="4">
        <f t="shared" si="648"/>
        <v>0</v>
      </c>
      <c r="AB899" s="13">
        <f t="shared" si="649"/>
        <v>0</v>
      </c>
      <c r="AC899" s="10">
        <f>SUM($E$4:E899)</f>
        <v>-22024.091160220025</v>
      </c>
      <c r="AD899" s="20">
        <f>SUM($AB$4:AB899)</f>
        <v>13539.766460219998</v>
      </c>
      <c r="AF899" s="28" t="e">
        <f t="shared" si="650"/>
        <v>#DIV/0!</v>
      </c>
      <c r="AG899" s="2" t="e">
        <f t="shared" si="651"/>
        <v>#DIV/0!</v>
      </c>
      <c r="AH899" s="2" t="e">
        <f t="shared" si="652"/>
        <v>#DIV/0!</v>
      </c>
      <c r="AI899" s="2" t="e">
        <f t="shared" si="673"/>
        <v>#DIV/0!</v>
      </c>
      <c r="AJ899" s="2" t="e">
        <f t="shared" si="689"/>
        <v>#DIV/0!</v>
      </c>
      <c r="AK899" s="2" t="e">
        <f t="shared" si="653"/>
        <v>#DIV/0!</v>
      </c>
      <c r="AL899" s="2" t="e">
        <f t="shared" si="654"/>
        <v>#DIV/0!</v>
      </c>
      <c r="AM899" s="2" t="e">
        <f t="shared" si="674"/>
        <v>#DIV/0!</v>
      </c>
      <c r="AN899" s="2">
        <f t="shared" si="655"/>
        <v>0</v>
      </c>
      <c r="AO899" s="2" t="e">
        <f t="shared" si="656"/>
        <v>#DIV/0!</v>
      </c>
      <c r="AP899" s="2" t="e">
        <f t="shared" si="657"/>
        <v>#DIV/0!</v>
      </c>
      <c r="AQ899" s="2" t="e">
        <f t="shared" si="675"/>
        <v>#DIV/0!</v>
      </c>
      <c r="AR899" s="2" t="e">
        <f t="shared" si="690"/>
        <v>#DIV/0!</v>
      </c>
      <c r="AS899" s="2" t="e">
        <f t="shared" si="658"/>
        <v>#DIV/0!</v>
      </c>
      <c r="AT899" s="2" t="e">
        <f t="shared" si="659"/>
        <v>#DIV/0!</v>
      </c>
      <c r="AU899" s="2" t="e">
        <f t="shared" si="676"/>
        <v>#DIV/0!</v>
      </c>
      <c r="AV899" s="2" t="e">
        <f t="shared" si="660"/>
        <v>#DIV/0!</v>
      </c>
      <c r="AW899" s="2" t="e">
        <f t="shared" si="661"/>
        <v>#DIV/0!</v>
      </c>
      <c r="AX899" s="2" t="e">
        <f t="shared" si="662"/>
        <v>#DIV/0!</v>
      </c>
      <c r="AY899" s="2" t="e">
        <f t="shared" si="677"/>
        <v>#DIV/0!</v>
      </c>
      <c r="AZ899" s="2" t="e">
        <f t="shared" si="691"/>
        <v>#DIV/0!</v>
      </c>
      <c r="BA899" s="2" t="e">
        <f t="shared" si="663"/>
        <v>#DIV/0!</v>
      </c>
      <c r="BB899" s="2" t="e">
        <f t="shared" si="664"/>
        <v>#DIV/0!</v>
      </c>
      <c r="BC899" s="2" t="e">
        <f t="shared" si="678"/>
        <v>#DIV/0!</v>
      </c>
      <c r="BD899" s="2">
        <v>0</v>
      </c>
      <c r="BE899" s="2" t="e">
        <f t="shared" si="665"/>
        <v>#DIV/0!</v>
      </c>
      <c r="BF899" s="2" t="e">
        <f t="shared" si="666"/>
        <v>#DIV/0!</v>
      </c>
      <c r="BG899" s="2" t="e">
        <f t="shared" si="679"/>
        <v>#DIV/0!</v>
      </c>
      <c r="BH899" s="2" t="e">
        <f t="shared" si="692"/>
        <v>#DIV/0!</v>
      </c>
      <c r="BI899" s="2" t="e">
        <f t="shared" si="667"/>
        <v>#DIV/0!</v>
      </c>
      <c r="BJ899" s="2" t="e">
        <f t="shared" si="668"/>
        <v>#DIV/0!</v>
      </c>
      <c r="BK899" s="2" t="e">
        <f t="shared" si="680"/>
        <v>#DIV/0!</v>
      </c>
      <c r="BL899" s="2" t="e">
        <f t="shared" si="669"/>
        <v>#DIV/0!</v>
      </c>
      <c r="BM899" s="2" t="e">
        <f t="shared" si="670"/>
        <v>#DIV/0!</v>
      </c>
      <c r="BN899" s="2" t="e">
        <f t="shared" si="681"/>
        <v>#DIV/0!</v>
      </c>
    </row>
    <row r="900" spans="1:66" x14ac:dyDescent="0.25">
      <c r="A900" s="42">
        <v>897</v>
      </c>
      <c r="E900" s="6">
        <f t="shared" si="671"/>
        <v>0</v>
      </c>
      <c r="F900" s="5" t="str">
        <f t="shared" si="682"/>
        <v>Break Even</v>
      </c>
      <c r="G900" s="4">
        <f t="shared" si="683"/>
        <v>0</v>
      </c>
      <c r="N900" s="5">
        <f t="shared" si="684"/>
        <v>0</v>
      </c>
      <c r="O900" s="4" t="e">
        <f t="shared" si="685"/>
        <v>#DIV/0!</v>
      </c>
      <c r="P900" s="5">
        <f t="shared" ref="P900:P963" si="693">H900</f>
        <v>0</v>
      </c>
      <c r="R900" s="2">
        <f t="shared" si="688"/>
        <v>0</v>
      </c>
      <c r="T900" s="2">
        <f t="shared" si="672"/>
        <v>0</v>
      </c>
      <c r="V900" s="5">
        <f t="shared" si="686"/>
        <v>0</v>
      </c>
      <c r="W900" s="4" t="e">
        <f t="shared" si="687"/>
        <v>#DIV/0!</v>
      </c>
      <c r="X900" s="14">
        <f t="shared" ref="X900:X963" si="694">MAX(Q900,S900,U900)-MIN(I900,K900,M900)</f>
        <v>0</v>
      </c>
      <c r="Y900" s="5">
        <f t="shared" ref="Y900:Y963" si="695">P900*(Q900-I900)</f>
        <v>0</v>
      </c>
      <c r="Z900" s="2">
        <f t="shared" ref="Z900:Z963" si="696">R900*(S900-K900)</f>
        <v>0</v>
      </c>
      <c r="AA900" s="4">
        <f t="shared" ref="AA900:AA963" si="697">T900*(U900-M900)</f>
        <v>0</v>
      </c>
      <c r="AB900" s="13">
        <f t="shared" ref="AB900:AB963" si="698">IF(C900="EQ Intraday",AM900,IF(C900="Index Option",AU900,IF(C900="Index Future",BC900,IF(C900="EQ Delivery",BK900,IF(C900="Stock Option",AU900,IF(C900="Stock Future",BC900,IF(C900="",0,"Error")))))))</f>
        <v>0</v>
      </c>
      <c r="AC900" s="10">
        <f>SUM($E$4:E900)</f>
        <v>-22024.091160220025</v>
      </c>
      <c r="AD900" s="20">
        <f>SUM($AB$4:AB900)</f>
        <v>13539.766460219998</v>
      </c>
      <c r="AF900" s="28" t="e">
        <f t="shared" ref="AF900:AF963" si="699">MIN(IF(ISBLANK(U900)=FALSE,120,IF(ISBLANK(S900)=FALSE,80,40)),(((V900*W900)+(N900*O900))*0.0001))</f>
        <v>#DIV/0!</v>
      </c>
      <c r="AG900" s="2" t="e">
        <f t="shared" ref="AG900:AG963" si="700">(0.00025*V900*W900)</f>
        <v>#DIV/0!</v>
      </c>
      <c r="AH900" s="2" t="e">
        <f t="shared" ref="AH900:AH963" si="701">(0.0000325*((V900*W900)+(N900*O900)))</f>
        <v>#DIV/0!</v>
      </c>
      <c r="AI900" s="2" t="e">
        <f t="shared" si="673"/>
        <v>#DIV/0!</v>
      </c>
      <c r="AJ900" s="2" t="e">
        <f t="shared" si="689"/>
        <v>#DIV/0!</v>
      </c>
      <c r="AK900" s="2" t="e">
        <f t="shared" ref="AK900:AK963" si="702">(((V900*W900)+(N900*O900))/10000000)*20</f>
        <v>#DIV/0!</v>
      </c>
      <c r="AL900" s="2" t="e">
        <f t="shared" ref="AL900:AL963" si="703">0.00006*((V900*W900)+(N900*O900))</f>
        <v>#DIV/0!</v>
      </c>
      <c r="AM900" s="2" t="e">
        <f t="shared" si="674"/>
        <v>#DIV/0!</v>
      </c>
      <c r="AN900" s="2">
        <f t="shared" ref="AN900:AN963" si="704">COUNT(H900,J900,L900)*40</f>
        <v>0</v>
      </c>
      <c r="AO900" s="2" t="e">
        <f t="shared" ref="AO900:AO963" si="705">0.0005*V900*W900</f>
        <v>#DIV/0!</v>
      </c>
      <c r="AP900" s="2" t="e">
        <f t="shared" ref="AP900:AP963" si="706">0.00053*((N900*O900)+(V900*W900))</f>
        <v>#DIV/0!</v>
      </c>
      <c r="AQ900" s="2" t="e">
        <f t="shared" si="675"/>
        <v>#DIV/0!</v>
      </c>
      <c r="AR900" s="2" t="e">
        <f t="shared" si="690"/>
        <v>#DIV/0!</v>
      </c>
      <c r="AS900" s="2" t="e">
        <f t="shared" ref="AS900:AS963" si="707">(((V900*W900)+(N900*O900))/10000000)*20</f>
        <v>#DIV/0!</v>
      </c>
      <c r="AT900" s="2" t="e">
        <f t="shared" ref="AT900:AT963" si="708">0.00006*((V900*W900)+(N900*O900))</f>
        <v>#DIV/0!</v>
      </c>
      <c r="AU900" s="2" t="e">
        <f t="shared" si="676"/>
        <v>#DIV/0!</v>
      </c>
      <c r="AV900" s="2" t="e">
        <f t="shared" ref="AV900:AV963" si="709">MIN(IF(ISBLANK(U900)=FALSE,120,IF(ISBLANK(S900)=FALSE,80,40)),(((V900*W900)+(N900*O900))*0.0001))</f>
        <v>#DIV/0!</v>
      </c>
      <c r="AW900" s="2" t="e">
        <f t="shared" ref="AW900:AW963" si="710">0.0001*V900*W900</f>
        <v>#DIV/0!</v>
      </c>
      <c r="AX900" s="2" t="e">
        <f t="shared" ref="AX900:AX963" si="711">0.000021*((N900*O900)+(V900*W900))</f>
        <v>#DIV/0!</v>
      </c>
      <c r="AY900" s="2" t="e">
        <f t="shared" si="677"/>
        <v>#DIV/0!</v>
      </c>
      <c r="AZ900" s="2" t="e">
        <f t="shared" si="691"/>
        <v>#DIV/0!</v>
      </c>
      <c r="BA900" s="2" t="e">
        <f t="shared" ref="BA900:BA963" si="712">(((V900*W900)+(N900*O900))/10000000)*20</f>
        <v>#DIV/0!</v>
      </c>
      <c r="BB900" s="2" t="e">
        <f t="shared" ref="BB900:BB963" si="713">0.00006*((V900*W900)+(N900*O900))</f>
        <v>#DIV/0!</v>
      </c>
      <c r="BC900" s="2" t="e">
        <f t="shared" si="678"/>
        <v>#DIV/0!</v>
      </c>
      <c r="BD900" s="2">
        <v>0</v>
      </c>
      <c r="BE900" s="2" t="e">
        <f t="shared" ref="BE900:BE963" si="714">0.001*((N900*O900)+(V900*W900))</f>
        <v>#DIV/0!</v>
      </c>
      <c r="BF900" s="2" t="e">
        <f t="shared" ref="BF900:BF963" si="715">(0.0000325*((V900*W900)+(N900*O900)))</f>
        <v>#DIV/0!</v>
      </c>
      <c r="BG900" s="2" t="e">
        <f t="shared" si="679"/>
        <v>#DIV/0!</v>
      </c>
      <c r="BH900" s="2" t="e">
        <f t="shared" si="692"/>
        <v>#DIV/0!</v>
      </c>
      <c r="BI900" s="2" t="e">
        <f t="shared" ref="BI900:BI963" si="716">(((V900*W900)+(N900*O900))/10000000)*20</f>
        <v>#DIV/0!</v>
      </c>
      <c r="BJ900" s="2" t="e">
        <f t="shared" ref="BJ900:BJ963" si="717">0.00006*((V900*W900)+(N900*O900))</f>
        <v>#DIV/0!</v>
      </c>
      <c r="BK900" s="2" t="e">
        <f t="shared" si="680"/>
        <v>#DIV/0!</v>
      </c>
      <c r="BL900" s="2" t="e">
        <f t="shared" ref="BL900:BL963" si="718">N900*O900</f>
        <v>#DIV/0!</v>
      </c>
      <c r="BM900" s="2" t="e">
        <f t="shared" ref="BM900:BM963" si="719">V900*W900</f>
        <v>#DIV/0!</v>
      </c>
      <c r="BN900" s="2" t="e">
        <f t="shared" si="681"/>
        <v>#DIV/0!</v>
      </c>
    </row>
    <row r="901" spans="1:66" x14ac:dyDescent="0.25">
      <c r="A901" s="42">
        <v>898</v>
      </c>
      <c r="E901" s="6">
        <f t="shared" ref="E901:E964" si="720">G901-AB901</f>
        <v>0</v>
      </c>
      <c r="F901" s="5" t="str">
        <f t="shared" si="682"/>
        <v>Break Even</v>
      </c>
      <c r="G901" s="4">
        <f t="shared" si="683"/>
        <v>0</v>
      </c>
      <c r="N901" s="5">
        <f t="shared" si="684"/>
        <v>0</v>
      </c>
      <c r="O901" s="4" t="e">
        <f t="shared" si="685"/>
        <v>#DIV/0!</v>
      </c>
      <c r="P901" s="5">
        <f t="shared" si="693"/>
        <v>0</v>
      </c>
      <c r="R901" s="2">
        <f t="shared" si="688"/>
        <v>0</v>
      </c>
      <c r="T901" s="2">
        <f t="shared" ref="T901:T964" si="721">L901</f>
        <v>0</v>
      </c>
      <c r="V901" s="5">
        <f t="shared" si="686"/>
        <v>0</v>
      </c>
      <c r="W901" s="4" t="e">
        <f t="shared" si="687"/>
        <v>#DIV/0!</v>
      </c>
      <c r="X901" s="14">
        <f t="shared" si="694"/>
        <v>0</v>
      </c>
      <c r="Y901" s="5">
        <f t="shared" si="695"/>
        <v>0</v>
      </c>
      <c r="Z901" s="2">
        <f t="shared" si="696"/>
        <v>0</v>
      </c>
      <c r="AA901" s="4">
        <f t="shared" si="697"/>
        <v>0</v>
      </c>
      <c r="AB901" s="13">
        <f t="shared" si="698"/>
        <v>0</v>
      </c>
      <c r="AC901" s="10">
        <f>SUM($E$4:E901)</f>
        <v>-22024.091160220025</v>
      </c>
      <c r="AD901" s="20">
        <f>SUM($AB$4:AB901)</f>
        <v>13539.766460219998</v>
      </c>
      <c r="AF901" s="28" t="e">
        <f t="shared" si="699"/>
        <v>#DIV/0!</v>
      </c>
      <c r="AG901" s="2" t="e">
        <f t="shared" si="700"/>
        <v>#DIV/0!</v>
      </c>
      <c r="AH901" s="2" t="e">
        <f t="shared" si="701"/>
        <v>#DIV/0!</v>
      </c>
      <c r="AI901" s="2" t="e">
        <f t="shared" ref="AI901:AI964" si="722">AH901+AF901</f>
        <v>#DIV/0!</v>
      </c>
      <c r="AJ901" s="2" t="e">
        <f t="shared" si="689"/>
        <v>#DIV/0!</v>
      </c>
      <c r="AK901" s="2" t="e">
        <f t="shared" si="702"/>
        <v>#DIV/0!</v>
      </c>
      <c r="AL901" s="2" t="e">
        <f t="shared" si="703"/>
        <v>#DIV/0!</v>
      </c>
      <c r="AM901" s="2" t="e">
        <f t="shared" ref="AM901:AM964" si="723">SUM(AF901:AH901,AJ901:AL901)</f>
        <v>#DIV/0!</v>
      </c>
      <c r="AN901" s="2">
        <f t="shared" si="704"/>
        <v>0</v>
      </c>
      <c r="AO901" s="2" t="e">
        <f t="shared" si="705"/>
        <v>#DIV/0!</v>
      </c>
      <c r="AP901" s="2" t="e">
        <f t="shared" si="706"/>
        <v>#DIV/0!</v>
      </c>
      <c r="AQ901" s="2" t="e">
        <f t="shared" ref="AQ901:AQ964" si="724">AN901+AP901</f>
        <v>#DIV/0!</v>
      </c>
      <c r="AR901" s="2" t="e">
        <f t="shared" si="690"/>
        <v>#DIV/0!</v>
      </c>
      <c r="AS901" s="2" t="e">
        <f t="shared" si="707"/>
        <v>#DIV/0!</v>
      </c>
      <c r="AT901" s="2" t="e">
        <f t="shared" si="708"/>
        <v>#DIV/0!</v>
      </c>
      <c r="AU901" s="2" t="e">
        <f t="shared" ref="AU901:AU964" si="725">SUM(AN901:AP901,AR901:AT901)</f>
        <v>#DIV/0!</v>
      </c>
      <c r="AV901" s="2" t="e">
        <f t="shared" si="709"/>
        <v>#DIV/0!</v>
      </c>
      <c r="AW901" s="2" t="e">
        <f t="shared" si="710"/>
        <v>#DIV/0!</v>
      </c>
      <c r="AX901" s="2" t="e">
        <f t="shared" si="711"/>
        <v>#DIV/0!</v>
      </c>
      <c r="AY901" s="2" t="e">
        <f t="shared" ref="AY901:AY964" si="726">AV901+AX901</f>
        <v>#DIV/0!</v>
      </c>
      <c r="AZ901" s="2" t="e">
        <f t="shared" si="691"/>
        <v>#DIV/0!</v>
      </c>
      <c r="BA901" s="2" t="e">
        <f t="shared" si="712"/>
        <v>#DIV/0!</v>
      </c>
      <c r="BB901" s="2" t="e">
        <f t="shared" si="713"/>
        <v>#DIV/0!</v>
      </c>
      <c r="BC901" s="2" t="e">
        <f t="shared" ref="BC901:BC964" si="727">SUM(AV901:AX901,AZ901:BB901)</f>
        <v>#DIV/0!</v>
      </c>
      <c r="BD901" s="2">
        <v>0</v>
      </c>
      <c r="BE901" s="2" t="e">
        <f t="shared" si="714"/>
        <v>#DIV/0!</v>
      </c>
      <c r="BF901" s="2" t="e">
        <f t="shared" si="715"/>
        <v>#DIV/0!</v>
      </c>
      <c r="BG901" s="2" t="e">
        <f t="shared" ref="BG901:BG964" si="728">BD901+BF901</f>
        <v>#DIV/0!</v>
      </c>
      <c r="BH901" s="2" t="e">
        <f t="shared" si="692"/>
        <v>#DIV/0!</v>
      </c>
      <c r="BI901" s="2" t="e">
        <f t="shared" si="716"/>
        <v>#DIV/0!</v>
      </c>
      <c r="BJ901" s="2" t="e">
        <f t="shared" si="717"/>
        <v>#DIV/0!</v>
      </c>
      <c r="BK901" s="2" t="e">
        <f t="shared" ref="BK901:BK964" si="729">SUM(BD901:BF901,BH901:BJ901)</f>
        <v>#DIV/0!</v>
      </c>
      <c r="BL901" s="2" t="e">
        <f t="shared" si="718"/>
        <v>#DIV/0!</v>
      </c>
      <c r="BM901" s="2" t="e">
        <f t="shared" si="719"/>
        <v>#DIV/0!</v>
      </c>
      <c r="BN901" s="2" t="e">
        <f t="shared" ref="BN901:BN964" si="730">BM901+BL901</f>
        <v>#DIV/0!</v>
      </c>
    </row>
    <row r="902" spans="1:66" x14ac:dyDescent="0.25">
      <c r="A902" s="42">
        <v>899</v>
      </c>
      <c r="E902" s="6">
        <f t="shared" si="720"/>
        <v>0</v>
      </c>
      <c r="F902" s="5" t="str">
        <f t="shared" ref="F902:F965" si="731">IF(G902&gt;0,"Win",IF(G902=0,"Break Even","Loss"))</f>
        <v>Break Even</v>
      </c>
      <c r="G902" s="4">
        <f t="shared" ref="G902:G965" si="732">SUM(Y902,Z902,AA902)</f>
        <v>0</v>
      </c>
      <c r="N902" s="5">
        <f t="shared" ref="N902:N965" si="733">SUM(H902,J902,L902)</f>
        <v>0</v>
      </c>
      <c r="O902" s="4" t="e">
        <f t="shared" ref="O902:O965" si="734">AVERAGE(M902,K902,I902)</f>
        <v>#DIV/0!</v>
      </c>
      <c r="P902" s="5">
        <f t="shared" si="693"/>
        <v>0</v>
      </c>
      <c r="R902" s="2">
        <f t="shared" si="688"/>
        <v>0</v>
      </c>
      <c r="T902" s="2">
        <f t="shared" si="721"/>
        <v>0</v>
      </c>
      <c r="V902" s="5">
        <f t="shared" ref="V902:V965" si="735">SUM(P902,R902,T902)</f>
        <v>0</v>
      </c>
      <c r="W902" s="4" t="e">
        <f t="shared" ref="W902:W965" si="736">AVERAGE(Q902,S902,U902)</f>
        <v>#DIV/0!</v>
      </c>
      <c r="X902" s="14">
        <f t="shared" si="694"/>
        <v>0</v>
      </c>
      <c r="Y902" s="5">
        <f t="shared" si="695"/>
        <v>0</v>
      </c>
      <c r="Z902" s="2">
        <f t="shared" si="696"/>
        <v>0</v>
      </c>
      <c r="AA902" s="4">
        <f t="shared" si="697"/>
        <v>0</v>
      </c>
      <c r="AB902" s="13">
        <f t="shared" si="698"/>
        <v>0</v>
      </c>
      <c r="AC902" s="10">
        <f>SUM($E$4:E902)</f>
        <v>-22024.091160220025</v>
      </c>
      <c r="AD902" s="20">
        <f>SUM($AB$4:AB902)</f>
        <v>13539.766460219998</v>
      </c>
      <c r="AF902" s="28" t="e">
        <f t="shared" si="699"/>
        <v>#DIV/0!</v>
      </c>
      <c r="AG902" s="2" t="e">
        <f t="shared" si="700"/>
        <v>#DIV/0!</v>
      </c>
      <c r="AH902" s="2" t="e">
        <f t="shared" si="701"/>
        <v>#DIV/0!</v>
      </c>
      <c r="AI902" s="2" t="e">
        <f t="shared" si="722"/>
        <v>#DIV/0!</v>
      </c>
      <c r="AJ902" s="2" t="e">
        <f t="shared" si="689"/>
        <v>#DIV/0!</v>
      </c>
      <c r="AK902" s="2" t="e">
        <f t="shared" si="702"/>
        <v>#DIV/0!</v>
      </c>
      <c r="AL902" s="2" t="e">
        <f t="shared" si="703"/>
        <v>#DIV/0!</v>
      </c>
      <c r="AM902" s="2" t="e">
        <f t="shared" si="723"/>
        <v>#DIV/0!</v>
      </c>
      <c r="AN902" s="2">
        <f t="shared" si="704"/>
        <v>0</v>
      </c>
      <c r="AO902" s="2" t="e">
        <f t="shared" si="705"/>
        <v>#DIV/0!</v>
      </c>
      <c r="AP902" s="2" t="e">
        <f t="shared" si="706"/>
        <v>#DIV/0!</v>
      </c>
      <c r="AQ902" s="2" t="e">
        <f t="shared" si="724"/>
        <v>#DIV/0!</v>
      </c>
      <c r="AR902" s="2" t="e">
        <f t="shared" si="690"/>
        <v>#DIV/0!</v>
      </c>
      <c r="AS902" s="2" t="e">
        <f t="shared" si="707"/>
        <v>#DIV/0!</v>
      </c>
      <c r="AT902" s="2" t="e">
        <f t="shared" si="708"/>
        <v>#DIV/0!</v>
      </c>
      <c r="AU902" s="2" t="e">
        <f t="shared" si="725"/>
        <v>#DIV/0!</v>
      </c>
      <c r="AV902" s="2" t="e">
        <f t="shared" si="709"/>
        <v>#DIV/0!</v>
      </c>
      <c r="AW902" s="2" t="e">
        <f t="shared" si="710"/>
        <v>#DIV/0!</v>
      </c>
      <c r="AX902" s="2" t="e">
        <f t="shared" si="711"/>
        <v>#DIV/0!</v>
      </c>
      <c r="AY902" s="2" t="e">
        <f t="shared" si="726"/>
        <v>#DIV/0!</v>
      </c>
      <c r="AZ902" s="2" t="e">
        <f t="shared" si="691"/>
        <v>#DIV/0!</v>
      </c>
      <c r="BA902" s="2" t="e">
        <f t="shared" si="712"/>
        <v>#DIV/0!</v>
      </c>
      <c r="BB902" s="2" t="e">
        <f t="shared" si="713"/>
        <v>#DIV/0!</v>
      </c>
      <c r="BC902" s="2" t="e">
        <f t="shared" si="727"/>
        <v>#DIV/0!</v>
      </c>
      <c r="BD902" s="2">
        <v>0</v>
      </c>
      <c r="BE902" s="2" t="e">
        <f t="shared" si="714"/>
        <v>#DIV/0!</v>
      </c>
      <c r="BF902" s="2" t="e">
        <f t="shared" si="715"/>
        <v>#DIV/0!</v>
      </c>
      <c r="BG902" s="2" t="e">
        <f t="shared" si="728"/>
        <v>#DIV/0!</v>
      </c>
      <c r="BH902" s="2" t="e">
        <f t="shared" si="692"/>
        <v>#DIV/0!</v>
      </c>
      <c r="BI902" s="2" t="e">
        <f t="shared" si="716"/>
        <v>#DIV/0!</v>
      </c>
      <c r="BJ902" s="2" t="e">
        <f t="shared" si="717"/>
        <v>#DIV/0!</v>
      </c>
      <c r="BK902" s="2" t="e">
        <f t="shared" si="729"/>
        <v>#DIV/0!</v>
      </c>
      <c r="BL902" s="2" t="e">
        <f t="shared" si="718"/>
        <v>#DIV/0!</v>
      </c>
      <c r="BM902" s="2" t="e">
        <f t="shared" si="719"/>
        <v>#DIV/0!</v>
      </c>
      <c r="BN902" s="2" t="e">
        <f t="shared" si="730"/>
        <v>#DIV/0!</v>
      </c>
    </row>
    <row r="903" spans="1:66" x14ac:dyDescent="0.25">
      <c r="A903" s="42">
        <v>900</v>
      </c>
      <c r="E903" s="6">
        <f t="shared" si="720"/>
        <v>0</v>
      </c>
      <c r="F903" s="5" t="str">
        <f t="shared" si="731"/>
        <v>Break Even</v>
      </c>
      <c r="G903" s="4">
        <f t="shared" si="732"/>
        <v>0</v>
      </c>
      <c r="N903" s="5">
        <f t="shared" si="733"/>
        <v>0</v>
      </c>
      <c r="O903" s="4" t="e">
        <f t="shared" si="734"/>
        <v>#DIV/0!</v>
      </c>
      <c r="P903" s="5">
        <f t="shared" si="693"/>
        <v>0</v>
      </c>
      <c r="R903" s="2">
        <f t="shared" si="688"/>
        <v>0</v>
      </c>
      <c r="T903" s="2">
        <f t="shared" si="721"/>
        <v>0</v>
      </c>
      <c r="V903" s="5">
        <f t="shared" si="735"/>
        <v>0</v>
      </c>
      <c r="W903" s="4" t="e">
        <f t="shared" si="736"/>
        <v>#DIV/0!</v>
      </c>
      <c r="X903" s="14">
        <f t="shared" si="694"/>
        <v>0</v>
      </c>
      <c r="Y903" s="5">
        <f t="shared" si="695"/>
        <v>0</v>
      </c>
      <c r="Z903" s="2">
        <f t="shared" si="696"/>
        <v>0</v>
      </c>
      <c r="AA903" s="4">
        <f t="shared" si="697"/>
        <v>0</v>
      </c>
      <c r="AB903" s="13">
        <f t="shared" si="698"/>
        <v>0</v>
      </c>
      <c r="AC903" s="10">
        <f>SUM($E$4:E903)</f>
        <v>-22024.091160220025</v>
      </c>
      <c r="AD903" s="20">
        <f>SUM($AB$4:AB903)</f>
        <v>13539.766460219998</v>
      </c>
      <c r="AF903" s="28" t="e">
        <f t="shared" si="699"/>
        <v>#DIV/0!</v>
      </c>
      <c r="AG903" s="2" t="e">
        <f t="shared" si="700"/>
        <v>#DIV/0!</v>
      </c>
      <c r="AH903" s="2" t="e">
        <f t="shared" si="701"/>
        <v>#DIV/0!</v>
      </c>
      <c r="AI903" s="2" t="e">
        <f t="shared" si="722"/>
        <v>#DIV/0!</v>
      </c>
      <c r="AJ903" s="2" t="e">
        <f t="shared" si="689"/>
        <v>#DIV/0!</v>
      </c>
      <c r="AK903" s="2" t="e">
        <f t="shared" si="702"/>
        <v>#DIV/0!</v>
      </c>
      <c r="AL903" s="2" t="e">
        <f t="shared" si="703"/>
        <v>#DIV/0!</v>
      </c>
      <c r="AM903" s="2" t="e">
        <f t="shared" si="723"/>
        <v>#DIV/0!</v>
      </c>
      <c r="AN903" s="2">
        <f t="shared" si="704"/>
        <v>0</v>
      </c>
      <c r="AO903" s="2" t="e">
        <f t="shared" si="705"/>
        <v>#DIV/0!</v>
      </c>
      <c r="AP903" s="2" t="e">
        <f t="shared" si="706"/>
        <v>#DIV/0!</v>
      </c>
      <c r="AQ903" s="2" t="e">
        <f t="shared" si="724"/>
        <v>#DIV/0!</v>
      </c>
      <c r="AR903" s="2" t="e">
        <f t="shared" si="690"/>
        <v>#DIV/0!</v>
      </c>
      <c r="AS903" s="2" t="e">
        <f t="shared" si="707"/>
        <v>#DIV/0!</v>
      </c>
      <c r="AT903" s="2" t="e">
        <f t="shared" si="708"/>
        <v>#DIV/0!</v>
      </c>
      <c r="AU903" s="2" t="e">
        <f t="shared" si="725"/>
        <v>#DIV/0!</v>
      </c>
      <c r="AV903" s="2" t="e">
        <f t="shared" si="709"/>
        <v>#DIV/0!</v>
      </c>
      <c r="AW903" s="2" t="e">
        <f t="shared" si="710"/>
        <v>#DIV/0!</v>
      </c>
      <c r="AX903" s="2" t="e">
        <f t="shared" si="711"/>
        <v>#DIV/0!</v>
      </c>
      <c r="AY903" s="2" t="e">
        <f t="shared" si="726"/>
        <v>#DIV/0!</v>
      </c>
      <c r="AZ903" s="2" t="e">
        <f t="shared" si="691"/>
        <v>#DIV/0!</v>
      </c>
      <c r="BA903" s="2" t="e">
        <f t="shared" si="712"/>
        <v>#DIV/0!</v>
      </c>
      <c r="BB903" s="2" t="e">
        <f t="shared" si="713"/>
        <v>#DIV/0!</v>
      </c>
      <c r="BC903" s="2" t="e">
        <f t="shared" si="727"/>
        <v>#DIV/0!</v>
      </c>
      <c r="BD903" s="2">
        <v>0</v>
      </c>
      <c r="BE903" s="2" t="e">
        <f t="shared" si="714"/>
        <v>#DIV/0!</v>
      </c>
      <c r="BF903" s="2" t="e">
        <f t="shared" si="715"/>
        <v>#DIV/0!</v>
      </c>
      <c r="BG903" s="2" t="e">
        <f t="shared" si="728"/>
        <v>#DIV/0!</v>
      </c>
      <c r="BH903" s="2" t="e">
        <f t="shared" si="692"/>
        <v>#DIV/0!</v>
      </c>
      <c r="BI903" s="2" t="e">
        <f t="shared" si="716"/>
        <v>#DIV/0!</v>
      </c>
      <c r="BJ903" s="2" t="e">
        <f t="shared" si="717"/>
        <v>#DIV/0!</v>
      </c>
      <c r="BK903" s="2" t="e">
        <f t="shared" si="729"/>
        <v>#DIV/0!</v>
      </c>
      <c r="BL903" s="2" t="e">
        <f t="shared" si="718"/>
        <v>#DIV/0!</v>
      </c>
      <c r="BM903" s="2" t="e">
        <f t="shared" si="719"/>
        <v>#DIV/0!</v>
      </c>
      <c r="BN903" s="2" t="e">
        <f t="shared" si="730"/>
        <v>#DIV/0!</v>
      </c>
    </row>
    <row r="904" spans="1:66" x14ac:dyDescent="0.25">
      <c r="A904" s="42">
        <v>901</v>
      </c>
      <c r="E904" s="6">
        <f t="shared" si="720"/>
        <v>0</v>
      </c>
      <c r="F904" s="5" t="str">
        <f t="shared" si="731"/>
        <v>Break Even</v>
      </c>
      <c r="G904" s="4">
        <f t="shared" si="732"/>
        <v>0</v>
      </c>
      <c r="N904" s="5">
        <f t="shared" si="733"/>
        <v>0</v>
      </c>
      <c r="O904" s="4" t="e">
        <f t="shared" si="734"/>
        <v>#DIV/0!</v>
      </c>
      <c r="P904" s="5">
        <f t="shared" si="693"/>
        <v>0</v>
      </c>
      <c r="R904" s="2">
        <f t="shared" si="688"/>
        <v>0</v>
      </c>
      <c r="T904" s="2">
        <f t="shared" si="721"/>
        <v>0</v>
      </c>
      <c r="V904" s="5">
        <f t="shared" si="735"/>
        <v>0</v>
      </c>
      <c r="W904" s="4" t="e">
        <f t="shared" si="736"/>
        <v>#DIV/0!</v>
      </c>
      <c r="X904" s="14">
        <f t="shared" si="694"/>
        <v>0</v>
      </c>
      <c r="Y904" s="5">
        <f t="shared" si="695"/>
        <v>0</v>
      </c>
      <c r="Z904" s="2">
        <f t="shared" si="696"/>
        <v>0</v>
      </c>
      <c r="AA904" s="4">
        <f t="shared" si="697"/>
        <v>0</v>
      </c>
      <c r="AB904" s="13">
        <f t="shared" si="698"/>
        <v>0</v>
      </c>
      <c r="AC904" s="10">
        <f>SUM($E$4:E904)</f>
        <v>-22024.091160220025</v>
      </c>
      <c r="AD904" s="20">
        <f>SUM($AB$4:AB904)</f>
        <v>13539.766460219998</v>
      </c>
      <c r="AF904" s="28" t="e">
        <f t="shared" si="699"/>
        <v>#DIV/0!</v>
      </c>
      <c r="AG904" s="2" t="e">
        <f t="shared" si="700"/>
        <v>#DIV/0!</v>
      </c>
      <c r="AH904" s="2" t="e">
        <f t="shared" si="701"/>
        <v>#DIV/0!</v>
      </c>
      <c r="AI904" s="2" t="e">
        <f t="shared" si="722"/>
        <v>#DIV/0!</v>
      </c>
      <c r="AJ904" s="2" t="e">
        <f t="shared" si="689"/>
        <v>#DIV/0!</v>
      </c>
      <c r="AK904" s="2" t="e">
        <f t="shared" si="702"/>
        <v>#DIV/0!</v>
      </c>
      <c r="AL904" s="2" t="e">
        <f t="shared" si="703"/>
        <v>#DIV/0!</v>
      </c>
      <c r="AM904" s="2" t="e">
        <f t="shared" si="723"/>
        <v>#DIV/0!</v>
      </c>
      <c r="AN904" s="2">
        <f t="shared" si="704"/>
        <v>0</v>
      </c>
      <c r="AO904" s="2" t="e">
        <f t="shared" si="705"/>
        <v>#DIV/0!</v>
      </c>
      <c r="AP904" s="2" t="e">
        <f t="shared" si="706"/>
        <v>#DIV/0!</v>
      </c>
      <c r="AQ904" s="2" t="e">
        <f t="shared" si="724"/>
        <v>#DIV/0!</v>
      </c>
      <c r="AR904" s="2" t="e">
        <f t="shared" si="690"/>
        <v>#DIV/0!</v>
      </c>
      <c r="AS904" s="2" t="e">
        <f t="shared" si="707"/>
        <v>#DIV/0!</v>
      </c>
      <c r="AT904" s="2" t="e">
        <f t="shared" si="708"/>
        <v>#DIV/0!</v>
      </c>
      <c r="AU904" s="2" t="e">
        <f t="shared" si="725"/>
        <v>#DIV/0!</v>
      </c>
      <c r="AV904" s="2" t="e">
        <f t="shared" si="709"/>
        <v>#DIV/0!</v>
      </c>
      <c r="AW904" s="2" t="e">
        <f t="shared" si="710"/>
        <v>#DIV/0!</v>
      </c>
      <c r="AX904" s="2" t="e">
        <f t="shared" si="711"/>
        <v>#DIV/0!</v>
      </c>
      <c r="AY904" s="2" t="e">
        <f t="shared" si="726"/>
        <v>#DIV/0!</v>
      </c>
      <c r="AZ904" s="2" t="e">
        <f t="shared" si="691"/>
        <v>#DIV/0!</v>
      </c>
      <c r="BA904" s="2" t="e">
        <f t="shared" si="712"/>
        <v>#DIV/0!</v>
      </c>
      <c r="BB904" s="2" t="e">
        <f t="shared" si="713"/>
        <v>#DIV/0!</v>
      </c>
      <c r="BC904" s="2" t="e">
        <f t="shared" si="727"/>
        <v>#DIV/0!</v>
      </c>
      <c r="BD904" s="2">
        <v>0</v>
      </c>
      <c r="BE904" s="2" t="e">
        <f t="shared" si="714"/>
        <v>#DIV/0!</v>
      </c>
      <c r="BF904" s="2" t="e">
        <f t="shared" si="715"/>
        <v>#DIV/0!</v>
      </c>
      <c r="BG904" s="2" t="e">
        <f t="shared" si="728"/>
        <v>#DIV/0!</v>
      </c>
      <c r="BH904" s="2" t="e">
        <f t="shared" si="692"/>
        <v>#DIV/0!</v>
      </c>
      <c r="BI904" s="2" t="e">
        <f t="shared" si="716"/>
        <v>#DIV/0!</v>
      </c>
      <c r="BJ904" s="2" t="e">
        <f t="shared" si="717"/>
        <v>#DIV/0!</v>
      </c>
      <c r="BK904" s="2" t="e">
        <f t="shared" si="729"/>
        <v>#DIV/0!</v>
      </c>
      <c r="BL904" s="2" t="e">
        <f t="shared" si="718"/>
        <v>#DIV/0!</v>
      </c>
      <c r="BM904" s="2" t="e">
        <f t="shared" si="719"/>
        <v>#DIV/0!</v>
      </c>
      <c r="BN904" s="2" t="e">
        <f t="shared" si="730"/>
        <v>#DIV/0!</v>
      </c>
    </row>
    <row r="905" spans="1:66" x14ac:dyDescent="0.25">
      <c r="A905" s="42">
        <v>902</v>
      </c>
      <c r="E905" s="6">
        <f t="shared" si="720"/>
        <v>0</v>
      </c>
      <c r="F905" s="5" t="str">
        <f t="shared" si="731"/>
        <v>Break Even</v>
      </c>
      <c r="G905" s="4">
        <f t="shared" si="732"/>
        <v>0</v>
      </c>
      <c r="N905" s="5">
        <f t="shared" si="733"/>
        <v>0</v>
      </c>
      <c r="O905" s="4" t="e">
        <f t="shared" si="734"/>
        <v>#DIV/0!</v>
      </c>
      <c r="P905" s="5">
        <f t="shared" si="693"/>
        <v>0</v>
      </c>
      <c r="R905" s="2">
        <f t="shared" si="688"/>
        <v>0</v>
      </c>
      <c r="T905" s="2">
        <f t="shared" si="721"/>
        <v>0</v>
      </c>
      <c r="V905" s="5">
        <f t="shared" si="735"/>
        <v>0</v>
      </c>
      <c r="W905" s="4" t="e">
        <f t="shared" si="736"/>
        <v>#DIV/0!</v>
      </c>
      <c r="X905" s="14">
        <f t="shared" si="694"/>
        <v>0</v>
      </c>
      <c r="Y905" s="5">
        <f t="shared" si="695"/>
        <v>0</v>
      </c>
      <c r="Z905" s="2">
        <f t="shared" si="696"/>
        <v>0</v>
      </c>
      <c r="AA905" s="4">
        <f t="shared" si="697"/>
        <v>0</v>
      </c>
      <c r="AB905" s="13">
        <f t="shared" si="698"/>
        <v>0</v>
      </c>
      <c r="AC905" s="10">
        <f>SUM($E$4:E905)</f>
        <v>-22024.091160220025</v>
      </c>
      <c r="AD905" s="20">
        <f>SUM($AB$4:AB905)</f>
        <v>13539.766460219998</v>
      </c>
      <c r="AF905" s="28" t="e">
        <f t="shared" si="699"/>
        <v>#DIV/0!</v>
      </c>
      <c r="AG905" s="2" t="e">
        <f t="shared" si="700"/>
        <v>#DIV/0!</v>
      </c>
      <c r="AH905" s="2" t="e">
        <f t="shared" si="701"/>
        <v>#DIV/0!</v>
      </c>
      <c r="AI905" s="2" t="e">
        <f t="shared" si="722"/>
        <v>#DIV/0!</v>
      </c>
      <c r="AJ905" s="2" t="e">
        <f t="shared" si="689"/>
        <v>#DIV/0!</v>
      </c>
      <c r="AK905" s="2" t="e">
        <f t="shared" si="702"/>
        <v>#DIV/0!</v>
      </c>
      <c r="AL905" s="2" t="e">
        <f t="shared" si="703"/>
        <v>#DIV/0!</v>
      </c>
      <c r="AM905" s="2" t="e">
        <f t="shared" si="723"/>
        <v>#DIV/0!</v>
      </c>
      <c r="AN905" s="2">
        <f t="shared" si="704"/>
        <v>0</v>
      </c>
      <c r="AO905" s="2" t="e">
        <f t="shared" si="705"/>
        <v>#DIV/0!</v>
      </c>
      <c r="AP905" s="2" t="e">
        <f t="shared" si="706"/>
        <v>#DIV/0!</v>
      </c>
      <c r="AQ905" s="2" t="e">
        <f t="shared" si="724"/>
        <v>#DIV/0!</v>
      </c>
      <c r="AR905" s="2" t="e">
        <f t="shared" si="690"/>
        <v>#DIV/0!</v>
      </c>
      <c r="AS905" s="2" t="e">
        <f t="shared" si="707"/>
        <v>#DIV/0!</v>
      </c>
      <c r="AT905" s="2" t="e">
        <f t="shared" si="708"/>
        <v>#DIV/0!</v>
      </c>
      <c r="AU905" s="2" t="e">
        <f t="shared" si="725"/>
        <v>#DIV/0!</v>
      </c>
      <c r="AV905" s="2" t="e">
        <f t="shared" si="709"/>
        <v>#DIV/0!</v>
      </c>
      <c r="AW905" s="2" t="e">
        <f t="shared" si="710"/>
        <v>#DIV/0!</v>
      </c>
      <c r="AX905" s="2" t="e">
        <f t="shared" si="711"/>
        <v>#DIV/0!</v>
      </c>
      <c r="AY905" s="2" t="e">
        <f t="shared" si="726"/>
        <v>#DIV/0!</v>
      </c>
      <c r="AZ905" s="2" t="e">
        <f t="shared" si="691"/>
        <v>#DIV/0!</v>
      </c>
      <c r="BA905" s="2" t="e">
        <f t="shared" si="712"/>
        <v>#DIV/0!</v>
      </c>
      <c r="BB905" s="2" t="e">
        <f t="shared" si="713"/>
        <v>#DIV/0!</v>
      </c>
      <c r="BC905" s="2" t="e">
        <f t="shared" si="727"/>
        <v>#DIV/0!</v>
      </c>
      <c r="BD905" s="2">
        <v>0</v>
      </c>
      <c r="BE905" s="2" t="e">
        <f t="shared" si="714"/>
        <v>#DIV/0!</v>
      </c>
      <c r="BF905" s="2" t="e">
        <f t="shared" si="715"/>
        <v>#DIV/0!</v>
      </c>
      <c r="BG905" s="2" t="e">
        <f t="shared" si="728"/>
        <v>#DIV/0!</v>
      </c>
      <c r="BH905" s="2" t="e">
        <f t="shared" si="692"/>
        <v>#DIV/0!</v>
      </c>
      <c r="BI905" s="2" t="e">
        <f t="shared" si="716"/>
        <v>#DIV/0!</v>
      </c>
      <c r="BJ905" s="2" t="e">
        <f t="shared" si="717"/>
        <v>#DIV/0!</v>
      </c>
      <c r="BK905" s="2" t="e">
        <f t="shared" si="729"/>
        <v>#DIV/0!</v>
      </c>
      <c r="BL905" s="2" t="e">
        <f t="shared" si="718"/>
        <v>#DIV/0!</v>
      </c>
      <c r="BM905" s="2" t="e">
        <f t="shared" si="719"/>
        <v>#DIV/0!</v>
      </c>
      <c r="BN905" s="2" t="e">
        <f t="shared" si="730"/>
        <v>#DIV/0!</v>
      </c>
    </row>
    <row r="906" spans="1:66" x14ac:dyDescent="0.25">
      <c r="A906" s="42">
        <v>903</v>
      </c>
      <c r="E906" s="6">
        <f t="shared" si="720"/>
        <v>0</v>
      </c>
      <c r="F906" s="5" t="str">
        <f t="shared" si="731"/>
        <v>Break Even</v>
      </c>
      <c r="G906" s="4">
        <f t="shared" si="732"/>
        <v>0</v>
      </c>
      <c r="N906" s="5">
        <f t="shared" si="733"/>
        <v>0</v>
      </c>
      <c r="O906" s="4" t="e">
        <f t="shared" si="734"/>
        <v>#DIV/0!</v>
      </c>
      <c r="P906" s="5">
        <f t="shared" si="693"/>
        <v>0</v>
      </c>
      <c r="R906" s="2">
        <f t="shared" si="688"/>
        <v>0</v>
      </c>
      <c r="T906" s="2">
        <f t="shared" si="721"/>
        <v>0</v>
      </c>
      <c r="V906" s="5">
        <f t="shared" si="735"/>
        <v>0</v>
      </c>
      <c r="W906" s="4" t="e">
        <f t="shared" si="736"/>
        <v>#DIV/0!</v>
      </c>
      <c r="X906" s="14">
        <f t="shared" si="694"/>
        <v>0</v>
      </c>
      <c r="Y906" s="5">
        <f t="shared" si="695"/>
        <v>0</v>
      </c>
      <c r="Z906" s="2">
        <f t="shared" si="696"/>
        <v>0</v>
      </c>
      <c r="AA906" s="4">
        <f t="shared" si="697"/>
        <v>0</v>
      </c>
      <c r="AB906" s="13">
        <f t="shared" si="698"/>
        <v>0</v>
      </c>
      <c r="AC906" s="10">
        <f>SUM($E$4:E906)</f>
        <v>-22024.091160220025</v>
      </c>
      <c r="AD906" s="20">
        <f>SUM($AB$4:AB906)</f>
        <v>13539.766460219998</v>
      </c>
      <c r="AF906" s="28" t="e">
        <f t="shared" si="699"/>
        <v>#DIV/0!</v>
      </c>
      <c r="AG906" s="2" t="e">
        <f t="shared" si="700"/>
        <v>#DIV/0!</v>
      </c>
      <c r="AH906" s="2" t="e">
        <f t="shared" si="701"/>
        <v>#DIV/0!</v>
      </c>
      <c r="AI906" s="2" t="e">
        <f t="shared" si="722"/>
        <v>#DIV/0!</v>
      </c>
      <c r="AJ906" s="2" t="e">
        <f t="shared" si="689"/>
        <v>#DIV/0!</v>
      </c>
      <c r="AK906" s="2" t="e">
        <f t="shared" si="702"/>
        <v>#DIV/0!</v>
      </c>
      <c r="AL906" s="2" t="e">
        <f t="shared" si="703"/>
        <v>#DIV/0!</v>
      </c>
      <c r="AM906" s="2" t="e">
        <f t="shared" si="723"/>
        <v>#DIV/0!</v>
      </c>
      <c r="AN906" s="2">
        <f t="shared" si="704"/>
        <v>0</v>
      </c>
      <c r="AO906" s="2" t="e">
        <f t="shared" si="705"/>
        <v>#DIV/0!</v>
      </c>
      <c r="AP906" s="2" t="e">
        <f t="shared" si="706"/>
        <v>#DIV/0!</v>
      </c>
      <c r="AQ906" s="2" t="e">
        <f t="shared" si="724"/>
        <v>#DIV/0!</v>
      </c>
      <c r="AR906" s="2" t="e">
        <f t="shared" si="690"/>
        <v>#DIV/0!</v>
      </c>
      <c r="AS906" s="2" t="e">
        <f t="shared" si="707"/>
        <v>#DIV/0!</v>
      </c>
      <c r="AT906" s="2" t="e">
        <f t="shared" si="708"/>
        <v>#DIV/0!</v>
      </c>
      <c r="AU906" s="2" t="e">
        <f t="shared" si="725"/>
        <v>#DIV/0!</v>
      </c>
      <c r="AV906" s="2" t="e">
        <f t="shared" si="709"/>
        <v>#DIV/0!</v>
      </c>
      <c r="AW906" s="2" t="e">
        <f t="shared" si="710"/>
        <v>#DIV/0!</v>
      </c>
      <c r="AX906" s="2" t="e">
        <f t="shared" si="711"/>
        <v>#DIV/0!</v>
      </c>
      <c r="AY906" s="2" t="e">
        <f t="shared" si="726"/>
        <v>#DIV/0!</v>
      </c>
      <c r="AZ906" s="2" t="e">
        <f t="shared" si="691"/>
        <v>#DIV/0!</v>
      </c>
      <c r="BA906" s="2" t="e">
        <f t="shared" si="712"/>
        <v>#DIV/0!</v>
      </c>
      <c r="BB906" s="2" t="e">
        <f t="shared" si="713"/>
        <v>#DIV/0!</v>
      </c>
      <c r="BC906" s="2" t="e">
        <f t="shared" si="727"/>
        <v>#DIV/0!</v>
      </c>
      <c r="BD906" s="2">
        <v>0</v>
      </c>
      <c r="BE906" s="2" t="e">
        <f t="shared" si="714"/>
        <v>#DIV/0!</v>
      </c>
      <c r="BF906" s="2" t="e">
        <f t="shared" si="715"/>
        <v>#DIV/0!</v>
      </c>
      <c r="BG906" s="2" t="e">
        <f t="shared" si="728"/>
        <v>#DIV/0!</v>
      </c>
      <c r="BH906" s="2" t="e">
        <f t="shared" si="692"/>
        <v>#DIV/0!</v>
      </c>
      <c r="BI906" s="2" t="e">
        <f t="shared" si="716"/>
        <v>#DIV/0!</v>
      </c>
      <c r="BJ906" s="2" t="e">
        <f t="shared" si="717"/>
        <v>#DIV/0!</v>
      </c>
      <c r="BK906" s="2" t="e">
        <f t="shared" si="729"/>
        <v>#DIV/0!</v>
      </c>
      <c r="BL906" s="2" t="e">
        <f t="shared" si="718"/>
        <v>#DIV/0!</v>
      </c>
      <c r="BM906" s="2" t="e">
        <f t="shared" si="719"/>
        <v>#DIV/0!</v>
      </c>
      <c r="BN906" s="2" t="e">
        <f t="shared" si="730"/>
        <v>#DIV/0!</v>
      </c>
    </row>
    <row r="907" spans="1:66" x14ac:dyDescent="0.25">
      <c r="A907" s="42">
        <v>904</v>
      </c>
      <c r="E907" s="6">
        <f t="shared" si="720"/>
        <v>0</v>
      </c>
      <c r="F907" s="5" t="str">
        <f t="shared" si="731"/>
        <v>Break Even</v>
      </c>
      <c r="G907" s="4">
        <f t="shared" si="732"/>
        <v>0</v>
      </c>
      <c r="N907" s="5">
        <f t="shared" si="733"/>
        <v>0</v>
      </c>
      <c r="O907" s="4" t="e">
        <f t="shared" si="734"/>
        <v>#DIV/0!</v>
      </c>
      <c r="P907" s="5">
        <f t="shared" si="693"/>
        <v>0</v>
      </c>
      <c r="R907" s="2">
        <f t="shared" si="688"/>
        <v>0</v>
      </c>
      <c r="T907" s="2">
        <f t="shared" si="721"/>
        <v>0</v>
      </c>
      <c r="V907" s="5">
        <f t="shared" si="735"/>
        <v>0</v>
      </c>
      <c r="W907" s="4" t="e">
        <f t="shared" si="736"/>
        <v>#DIV/0!</v>
      </c>
      <c r="X907" s="14">
        <f t="shared" si="694"/>
        <v>0</v>
      </c>
      <c r="Y907" s="5">
        <f t="shared" si="695"/>
        <v>0</v>
      </c>
      <c r="Z907" s="2">
        <f t="shared" si="696"/>
        <v>0</v>
      </c>
      <c r="AA907" s="4">
        <f t="shared" si="697"/>
        <v>0</v>
      </c>
      <c r="AB907" s="13">
        <f t="shared" si="698"/>
        <v>0</v>
      </c>
      <c r="AC907" s="10">
        <f>SUM($E$4:E907)</f>
        <v>-22024.091160220025</v>
      </c>
      <c r="AD907" s="20">
        <f>SUM($AB$4:AB907)</f>
        <v>13539.766460219998</v>
      </c>
      <c r="AF907" s="28" t="e">
        <f t="shared" si="699"/>
        <v>#DIV/0!</v>
      </c>
      <c r="AG907" s="2" t="e">
        <f t="shared" si="700"/>
        <v>#DIV/0!</v>
      </c>
      <c r="AH907" s="2" t="e">
        <f t="shared" si="701"/>
        <v>#DIV/0!</v>
      </c>
      <c r="AI907" s="2" t="e">
        <f t="shared" si="722"/>
        <v>#DIV/0!</v>
      </c>
      <c r="AJ907" s="2" t="e">
        <f t="shared" si="689"/>
        <v>#DIV/0!</v>
      </c>
      <c r="AK907" s="2" t="e">
        <f t="shared" si="702"/>
        <v>#DIV/0!</v>
      </c>
      <c r="AL907" s="2" t="e">
        <f t="shared" si="703"/>
        <v>#DIV/0!</v>
      </c>
      <c r="AM907" s="2" t="e">
        <f t="shared" si="723"/>
        <v>#DIV/0!</v>
      </c>
      <c r="AN907" s="2">
        <f t="shared" si="704"/>
        <v>0</v>
      </c>
      <c r="AO907" s="2" t="e">
        <f t="shared" si="705"/>
        <v>#DIV/0!</v>
      </c>
      <c r="AP907" s="2" t="e">
        <f t="shared" si="706"/>
        <v>#DIV/0!</v>
      </c>
      <c r="AQ907" s="2" t="e">
        <f t="shared" si="724"/>
        <v>#DIV/0!</v>
      </c>
      <c r="AR907" s="2" t="e">
        <f t="shared" si="690"/>
        <v>#DIV/0!</v>
      </c>
      <c r="AS907" s="2" t="e">
        <f t="shared" si="707"/>
        <v>#DIV/0!</v>
      </c>
      <c r="AT907" s="2" t="e">
        <f t="shared" si="708"/>
        <v>#DIV/0!</v>
      </c>
      <c r="AU907" s="2" t="e">
        <f t="shared" si="725"/>
        <v>#DIV/0!</v>
      </c>
      <c r="AV907" s="2" t="e">
        <f t="shared" si="709"/>
        <v>#DIV/0!</v>
      </c>
      <c r="AW907" s="2" t="e">
        <f t="shared" si="710"/>
        <v>#DIV/0!</v>
      </c>
      <c r="AX907" s="2" t="e">
        <f t="shared" si="711"/>
        <v>#DIV/0!</v>
      </c>
      <c r="AY907" s="2" t="e">
        <f t="shared" si="726"/>
        <v>#DIV/0!</v>
      </c>
      <c r="AZ907" s="2" t="e">
        <f t="shared" si="691"/>
        <v>#DIV/0!</v>
      </c>
      <c r="BA907" s="2" t="e">
        <f t="shared" si="712"/>
        <v>#DIV/0!</v>
      </c>
      <c r="BB907" s="2" t="e">
        <f t="shared" si="713"/>
        <v>#DIV/0!</v>
      </c>
      <c r="BC907" s="2" t="e">
        <f t="shared" si="727"/>
        <v>#DIV/0!</v>
      </c>
      <c r="BD907" s="2">
        <v>0</v>
      </c>
      <c r="BE907" s="2" t="e">
        <f t="shared" si="714"/>
        <v>#DIV/0!</v>
      </c>
      <c r="BF907" s="2" t="e">
        <f t="shared" si="715"/>
        <v>#DIV/0!</v>
      </c>
      <c r="BG907" s="2" t="e">
        <f t="shared" si="728"/>
        <v>#DIV/0!</v>
      </c>
      <c r="BH907" s="2" t="e">
        <f t="shared" si="692"/>
        <v>#DIV/0!</v>
      </c>
      <c r="BI907" s="2" t="e">
        <f t="shared" si="716"/>
        <v>#DIV/0!</v>
      </c>
      <c r="BJ907" s="2" t="e">
        <f t="shared" si="717"/>
        <v>#DIV/0!</v>
      </c>
      <c r="BK907" s="2" t="e">
        <f t="shared" si="729"/>
        <v>#DIV/0!</v>
      </c>
      <c r="BL907" s="2" t="e">
        <f t="shared" si="718"/>
        <v>#DIV/0!</v>
      </c>
      <c r="BM907" s="2" t="e">
        <f t="shared" si="719"/>
        <v>#DIV/0!</v>
      </c>
      <c r="BN907" s="2" t="e">
        <f t="shared" si="730"/>
        <v>#DIV/0!</v>
      </c>
    </row>
    <row r="908" spans="1:66" x14ac:dyDescent="0.25">
      <c r="A908" s="42">
        <v>905</v>
      </c>
      <c r="E908" s="6">
        <f t="shared" si="720"/>
        <v>0</v>
      </c>
      <c r="F908" s="5" t="str">
        <f t="shared" si="731"/>
        <v>Break Even</v>
      </c>
      <c r="G908" s="4">
        <f t="shared" si="732"/>
        <v>0</v>
      </c>
      <c r="N908" s="5">
        <f t="shared" si="733"/>
        <v>0</v>
      </c>
      <c r="O908" s="4" t="e">
        <f t="shared" si="734"/>
        <v>#DIV/0!</v>
      </c>
      <c r="P908" s="5">
        <f t="shared" si="693"/>
        <v>0</v>
      </c>
      <c r="R908" s="2">
        <f t="shared" si="688"/>
        <v>0</v>
      </c>
      <c r="T908" s="2">
        <f t="shared" si="721"/>
        <v>0</v>
      </c>
      <c r="V908" s="5">
        <f t="shared" si="735"/>
        <v>0</v>
      </c>
      <c r="W908" s="4" t="e">
        <f t="shared" si="736"/>
        <v>#DIV/0!</v>
      </c>
      <c r="X908" s="14">
        <f t="shared" si="694"/>
        <v>0</v>
      </c>
      <c r="Y908" s="5">
        <f t="shared" si="695"/>
        <v>0</v>
      </c>
      <c r="Z908" s="2">
        <f t="shared" si="696"/>
        <v>0</v>
      </c>
      <c r="AA908" s="4">
        <f t="shared" si="697"/>
        <v>0</v>
      </c>
      <c r="AB908" s="13">
        <f t="shared" si="698"/>
        <v>0</v>
      </c>
      <c r="AC908" s="10">
        <f>SUM($E$4:E908)</f>
        <v>-22024.091160220025</v>
      </c>
      <c r="AD908" s="20">
        <f>SUM($AB$4:AB908)</f>
        <v>13539.766460219998</v>
      </c>
      <c r="AF908" s="28" t="e">
        <f t="shared" si="699"/>
        <v>#DIV/0!</v>
      </c>
      <c r="AG908" s="2" t="e">
        <f t="shared" si="700"/>
        <v>#DIV/0!</v>
      </c>
      <c r="AH908" s="2" t="e">
        <f t="shared" si="701"/>
        <v>#DIV/0!</v>
      </c>
      <c r="AI908" s="2" t="e">
        <f t="shared" si="722"/>
        <v>#DIV/0!</v>
      </c>
      <c r="AJ908" s="2" t="e">
        <f t="shared" si="689"/>
        <v>#DIV/0!</v>
      </c>
      <c r="AK908" s="2" t="e">
        <f t="shared" si="702"/>
        <v>#DIV/0!</v>
      </c>
      <c r="AL908" s="2" t="e">
        <f t="shared" si="703"/>
        <v>#DIV/0!</v>
      </c>
      <c r="AM908" s="2" t="e">
        <f t="shared" si="723"/>
        <v>#DIV/0!</v>
      </c>
      <c r="AN908" s="2">
        <f t="shared" si="704"/>
        <v>0</v>
      </c>
      <c r="AO908" s="2" t="e">
        <f t="shared" si="705"/>
        <v>#DIV/0!</v>
      </c>
      <c r="AP908" s="2" t="e">
        <f t="shared" si="706"/>
        <v>#DIV/0!</v>
      </c>
      <c r="AQ908" s="2" t="e">
        <f t="shared" si="724"/>
        <v>#DIV/0!</v>
      </c>
      <c r="AR908" s="2" t="e">
        <f t="shared" si="690"/>
        <v>#DIV/0!</v>
      </c>
      <c r="AS908" s="2" t="e">
        <f t="shared" si="707"/>
        <v>#DIV/0!</v>
      </c>
      <c r="AT908" s="2" t="e">
        <f t="shared" si="708"/>
        <v>#DIV/0!</v>
      </c>
      <c r="AU908" s="2" t="e">
        <f t="shared" si="725"/>
        <v>#DIV/0!</v>
      </c>
      <c r="AV908" s="2" t="e">
        <f t="shared" si="709"/>
        <v>#DIV/0!</v>
      </c>
      <c r="AW908" s="2" t="e">
        <f t="shared" si="710"/>
        <v>#DIV/0!</v>
      </c>
      <c r="AX908" s="2" t="e">
        <f t="shared" si="711"/>
        <v>#DIV/0!</v>
      </c>
      <c r="AY908" s="2" t="e">
        <f t="shared" si="726"/>
        <v>#DIV/0!</v>
      </c>
      <c r="AZ908" s="2" t="e">
        <f t="shared" si="691"/>
        <v>#DIV/0!</v>
      </c>
      <c r="BA908" s="2" t="e">
        <f t="shared" si="712"/>
        <v>#DIV/0!</v>
      </c>
      <c r="BB908" s="2" t="e">
        <f t="shared" si="713"/>
        <v>#DIV/0!</v>
      </c>
      <c r="BC908" s="2" t="e">
        <f t="shared" si="727"/>
        <v>#DIV/0!</v>
      </c>
      <c r="BD908" s="2">
        <v>0</v>
      </c>
      <c r="BE908" s="2" t="e">
        <f t="shared" si="714"/>
        <v>#DIV/0!</v>
      </c>
      <c r="BF908" s="2" t="e">
        <f t="shared" si="715"/>
        <v>#DIV/0!</v>
      </c>
      <c r="BG908" s="2" t="e">
        <f t="shared" si="728"/>
        <v>#DIV/0!</v>
      </c>
      <c r="BH908" s="2" t="e">
        <f t="shared" si="692"/>
        <v>#DIV/0!</v>
      </c>
      <c r="BI908" s="2" t="e">
        <f t="shared" si="716"/>
        <v>#DIV/0!</v>
      </c>
      <c r="BJ908" s="2" t="e">
        <f t="shared" si="717"/>
        <v>#DIV/0!</v>
      </c>
      <c r="BK908" s="2" t="e">
        <f t="shared" si="729"/>
        <v>#DIV/0!</v>
      </c>
      <c r="BL908" s="2" t="e">
        <f t="shared" si="718"/>
        <v>#DIV/0!</v>
      </c>
      <c r="BM908" s="2" t="e">
        <f t="shared" si="719"/>
        <v>#DIV/0!</v>
      </c>
      <c r="BN908" s="2" t="e">
        <f t="shared" si="730"/>
        <v>#DIV/0!</v>
      </c>
    </row>
    <row r="909" spans="1:66" x14ac:dyDescent="0.25">
      <c r="A909" s="42">
        <v>906</v>
      </c>
      <c r="E909" s="6">
        <f t="shared" si="720"/>
        <v>0</v>
      </c>
      <c r="F909" s="5" t="str">
        <f t="shared" si="731"/>
        <v>Break Even</v>
      </c>
      <c r="G909" s="4">
        <f t="shared" si="732"/>
        <v>0</v>
      </c>
      <c r="N909" s="5">
        <f t="shared" si="733"/>
        <v>0</v>
      </c>
      <c r="O909" s="4" t="e">
        <f t="shared" si="734"/>
        <v>#DIV/0!</v>
      </c>
      <c r="P909" s="5">
        <f t="shared" si="693"/>
        <v>0</v>
      </c>
      <c r="R909" s="2">
        <f t="shared" si="688"/>
        <v>0</v>
      </c>
      <c r="T909" s="2">
        <f t="shared" si="721"/>
        <v>0</v>
      </c>
      <c r="V909" s="5">
        <f t="shared" si="735"/>
        <v>0</v>
      </c>
      <c r="W909" s="4" t="e">
        <f t="shared" si="736"/>
        <v>#DIV/0!</v>
      </c>
      <c r="X909" s="14">
        <f t="shared" si="694"/>
        <v>0</v>
      </c>
      <c r="Y909" s="5">
        <f t="shared" si="695"/>
        <v>0</v>
      </c>
      <c r="Z909" s="2">
        <f t="shared" si="696"/>
        <v>0</v>
      </c>
      <c r="AA909" s="4">
        <f t="shared" si="697"/>
        <v>0</v>
      </c>
      <c r="AB909" s="13">
        <f t="shared" si="698"/>
        <v>0</v>
      </c>
      <c r="AC909" s="10">
        <f>SUM($E$4:E909)</f>
        <v>-22024.091160220025</v>
      </c>
      <c r="AD909" s="20">
        <f>SUM($AB$4:AB909)</f>
        <v>13539.766460219998</v>
      </c>
      <c r="AF909" s="28" t="e">
        <f t="shared" si="699"/>
        <v>#DIV/0!</v>
      </c>
      <c r="AG909" s="2" t="e">
        <f t="shared" si="700"/>
        <v>#DIV/0!</v>
      </c>
      <c r="AH909" s="2" t="e">
        <f t="shared" si="701"/>
        <v>#DIV/0!</v>
      </c>
      <c r="AI909" s="2" t="e">
        <f t="shared" si="722"/>
        <v>#DIV/0!</v>
      </c>
      <c r="AJ909" s="2" t="e">
        <f t="shared" si="689"/>
        <v>#DIV/0!</v>
      </c>
      <c r="AK909" s="2" t="e">
        <f t="shared" si="702"/>
        <v>#DIV/0!</v>
      </c>
      <c r="AL909" s="2" t="e">
        <f t="shared" si="703"/>
        <v>#DIV/0!</v>
      </c>
      <c r="AM909" s="2" t="e">
        <f t="shared" si="723"/>
        <v>#DIV/0!</v>
      </c>
      <c r="AN909" s="2">
        <f t="shared" si="704"/>
        <v>0</v>
      </c>
      <c r="AO909" s="2" t="e">
        <f t="shared" si="705"/>
        <v>#DIV/0!</v>
      </c>
      <c r="AP909" s="2" t="e">
        <f t="shared" si="706"/>
        <v>#DIV/0!</v>
      </c>
      <c r="AQ909" s="2" t="e">
        <f t="shared" si="724"/>
        <v>#DIV/0!</v>
      </c>
      <c r="AR909" s="2" t="e">
        <f t="shared" si="690"/>
        <v>#DIV/0!</v>
      </c>
      <c r="AS909" s="2" t="e">
        <f t="shared" si="707"/>
        <v>#DIV/0!</v>
      </c>
      <c r="AT909" s="2" t="e">
        <f t="shared" si="708"/>
        <v>#DIV/0!</v>
      </c>
      <c r="AU909" s="2" t="e">
        <f t="shared" si="725"/>
        <v>#DIV/0!</v>
      </c>
      <c r="AV909" s="2" t="e">
        <f t="shared" si="709"/>
        <v>#DIV/0!</v>
      </c>
      <c r="AW909" s="2" t="e">
        <f t="shared" si="710"/>
        <v>#DIV/0!</v>
      </c>
      <c r="AX909" s="2" t="e">
        <f t="shared" si="711"/>
        <v>#DIV/0!</v>
      </c>
      <c r="AY909" s="2" t="e">
        <f t="shared" si="726"/>
        <v>#DIV/0!</v>
      </c>
      <c r="AZ909" s="2" t="e">
        <f t="shared" si="691"/>
        <v>#DIV/0!</v>
      </c>
      <c r="BA909" s="2" t="e">
        <f t="shared" si="712"/>
        <v>#DIV/0!</v>
      </c>
      <c r="BB909" s="2" t="e">
        <f t="shared" si="713"/>
        <v>#DIV/0!</v>
      </c>
      <c r="BC909" s="2" t="e">
        <f t="shared" si="727"/>
        <v>#DIV/0!</v>
      </c>
      <c r="BD909" s="2">
        <v>0</v>
      </c>
      <c r="BE909" s="2" t="e">
        <f t="shared" si="714"/>
        <v>#DIV/0!</v>
      </c>
      <c r="BF909" s="2" t="e">
        <f t="shared" si="715"/>
        <v>#DIV/0!</v>
      </c>
      <c r="BG909" s="2" t="e">
        <f t="shared" si="728"/>
        <v>#DIV/0!</v>
      </c>
      <c r="BH909" s="2" t="e">
        <f t="shared" si="692"/>
        <v>#DIV/0!</v>
      </c>
      <c r="BI909" s="2" t="e">
        <f t="shared" si="716"/>
        <v>#DIV/0!</v>
      </c>
      <c r="BJ909" s="2" t="e">
        <f t="shared" si="717"/>
        <v>#DIV/0!</v>
      </c>
      <c r="BK909" s="2" t="e">
        <f t="shared" si="729"/>
        <v>#DIV/0!</v>
      </c>
      <c r="BL909" s="2" t="e">
        <f t="shared" si="718"/>
        <v>#DIV/0!</v>
      </c>
      <c r="BM909" s="2" t="e">
        <f t="shared" si="719"/>
        <v>#DIV/0!</v>
      </c>
      <c r="BN909" s="2" t="e">
        <f t="shared" si="730"/>
        <v>#DIV/0!</v>
      </c>
    </row>
    <row r="910" spans="1:66" x14ac:dyDescent="0.25">
      <c r="A910" s="42">
        <v>907</v>
      </c>
      <c r="E910" s="6">
        <f t="shared" si="720"/>
        <v>0</v>
      </c>
      <c r="F910" s="5" t="str">
        <f t="shared" si="731"/>
        <v>Break Even</v>
      </c>
      <c r="G910" s="4">
        <f t="shared" si="732"/>
        <v>0</v>
      </c>
      <c r="N910" s="5">
        <f t="shared" si="733"/>
        <v>0</v>
      </c>
      <c r="O910" s="4" t="e">
        <f t="shared" si="734"/>
        <v>#DIV/0!</v>
      </c>
      <c r="P910" s="5">
        <f t="shared" si="693"/>
        <v>0</v>
      </c>
      <c r="R910" s="2">
        <f t="shared" si="688"/>
        <v>0</v>
      </c>
      <c r="T910" s="2">
        <f t="shared" si="721"/>
        <v>0</v>
      </c>
      <c r="V910" s="5">
        <f t="shared" si="735"/>
        <v>0</v>
      </c>
      <c r="W910" s="4" t="e">
        <f t="shared" si="736"/>
        <v>#DIV/0!</v>
      </c>
      <c r="X910" s="14">
        <f t="shared" si="694"/>
        <v>0</v>
      </c>
      <c r="Y910" s="5">
        <f t="shared" si="695"/>
        <v>0</v>
      </c>
      <c r="Z910" s="2">
        <f t="shared" si="696"/>
        <v>0</v>
      </c>
      <c r="AA910" s="4">
        <f t="shared" si="697"/>
        <v>0</v>
      </c>
      <c r="AB910" s="13">
        <f t="shared" si="698"/>
        <v>0</v>
      </c>
      <c r="AC910" s="10">
        <f>SUM($E$4:E910)</f>
        <v>-22024.091160220025</v>
      </c>
      <c r="AD910" s="20">
        <f>SUM($AB$4:AB910)</f>
        <v>13539.766460219998</v>
      </c>
      <c r="AF910" s="28" t="e">
        <f t="shared" si="699"/>
        <v>#DIV/0!</v>
      </c>
      <c r="AG910" s="2" t="e">
        <f t="shared" si="700"/>
        <v>#DIV/0!</v>
      </c>
      <c r="AH910" s="2" t="e">
        <f t="shared" si="701"/>
        <v>#DIV/0!</v>
      </c>
      <c r="AI910" s="2" t="e">
        <f t="shared" si="722"/>
        <v>#DIV/0!</v>
      </c>
      <c r="AJ910" s="2" t="e">
        <f t="shared" si="689"/>
        <v>#DIV/0!</v>
      </c>
      <c r="AK910" s="2" t="e">
        <f t="shared" si="702"/>
        <v>#DIV/0!</v>
      </c>
      <c r="AL910" s="2" t="e">
        <f t="shared" si="703"/>
        <v>#DIV/0!</v>
      </c>
      <c r="AM910" s="2" t="e">
        <f t="shared" si="723"/>
        <v>#DIV/0!</v>
      </c>
      <c r="AN910" s="2">
        <f t="shared" si="704"/>
        <v>0</v>
      </c>
      <c r="AO910" s="2" t="e">
        <f t="shared" si="705"/>
        <v>#DIV/0!</v>
      </c>
      <c r="AP910" s="2" t="e">
        <f t="shared" si="706"/>
        <v>#DIV/0!</v>
      </c>
      <c r="AQ910" s="2" t="e">
        <f t="shared" si="724"/>
        <v>#DIV/0!</v>
      </c>
      <c r="AR910" s="2" t="e">
        <f t="shared" si="690"/>
        <v>#DIV/0!</v>
      </c>
      <c r="AS910" s="2" t="e">
        <f t="shared" si="707"/>
        <v>#DIV/0!</v>
      </c>
      <c r="AT910" s="2" t="e">
        <f t="shared" si="708"/>
        <v>#DIV/0!</v>
      </c>
      <c r="AU910" s="2" t="e">
        <f t="shared" si="725"/>
        <v>#DIV/0!</v>
      </c>
      <c r="AV910" s="2" t="e">
        <f t="shared" si="709"/>
        <v>#DIV/0!</v>
      </c>
      <c r="AW910" s="2" t="e">
        <f t="shared" si="710"/>
        <v>#DIV/0!</v>
      </c>
      <c r="AX910" s="2" t="e">
        <f t="shared" si="711"/>
        <v>#DIV/0!</v>
      </c>
      <c r="AY910" s="2" t="e">
        <f t="shared" si="726"/>
        <v>#DIV/0!</v>
      </c>
      <c r="AZ910" s="2" t="e">
        <f t="shared" si="691"/>
        <v>#DIV/0!</v>
      </c>
      <c r="BA910" s="2" t="e">
        <f t="shared" si="712"/>
        <v>#DIV/0!</v>
      </c>
      <c r="BB910" s="2" t="e">
        <f t="shared" si="713"/>
        <v>#DIV/0!</v>
      </c>
      <c r="BC910" s="2" t="e">
        <f t="shared" si="727"/>
        <v>#DIV/0!</v>
      </c>
      <c r="BD910" s="2">
        <v>0</v>
      </c>
      <c r="BE910" s="2" t="e">
        <f t="shared" si="714"/>
        <v>#DIV/0!</v>
      </c>
      <c r="BF910" s="2" t="e">
        <f t="shared" si="715"/>
        <v>#DIV/0!</v>
      </c>
      <c r="BG910" s="2" t="e">
        <f t="shared" si="728"/>
        <v>#DIV/0!</v>
      </c>
      <c r="BH910" s="2" t="e">
        <f t="shared" si="692"/>
        <v>#DIV/0!</v>
      </c>
      <c r="BI910" s="2" t="e">
        <f t="shared" si="716"/>
        <v>#DIV/0!</v>
      </c>
      <c r="BJ910" s="2" t="e">
        <f t="shared" si="717"/>
        <v>#DIV/0!</v>
      </c>
      <c r="BK910" s="2" t="e">
        <f t="shared" si="729"/>
        <v>#DIV/0!</v>
      </c>
      <c r="BL910" s="2" t="e">
        <f t="shared" si="718"/>
        <v>#DIV/0!</v>
      </c>
      <c r="BM910" s="2" t="e">
        <f t="shared" si="719"/>
        <v>#DIV/0!</v>
      </c>
      <c r="BN910" s="2" t="e">
        <f t="shared" si="730"/>
        <v>#DIV/0!</v>
      </c>
    </row>
    <row r="911" spans="1:66" x14ac:dyDescent="0.25">
      <c r="A911" s="42">
        <v>908</v>
      </c>
      <c r="E911" s="6">
        <f t="shared" si="720"/>
        <v>0</v>
      </c>
      <c r="F911" s="5" t="str">
        <f t="shared" si="731"/>
        <v>Break Even</v>
      </c>
      <c r="G911" s="4">
        <f t="shared" si="732"/>
        <v>0</v>
      </c>
      <c r="N911" s="5">
        <f t="shared" si="733"/>
        <v>0</v>
      </c>
      <c r="O911" s="4" t="e">
        <f t="shared" si="734"/>
        <v>#DIV/0!</v>
      </c>
      <c r="P911" s="5">
        <f t="shared" si="693"/>
        <v>0</v>
      </c>
      <c r="R911" s="2">
        <f t="shared" si="688"/>
        <v>0</v>
      </c>
      <c r="T911" s="2">
        <f t="shared" si="721"/>
        <v>0</v>
      </c>
      <c r="V911" s="5">
        <f t="shared" si="735"/>
        <v>0</v>
      </c>
      <c r="W911" s="4" t="e">
        <f t="shared" si="736"/>
        <v>#DIV/0!</v>
      </c>
      <c r="X911" s="14">
        <f t="shared" si="694"/>
        <v>0</v>
      </c>
      <c r="Y911" s="5">
        <f t="shared" si="695"/>
        <v>0</v>
      </c>
      <c r="Z911" s="2">
        <f t="shared" si="696"/>
        <v>0</v>
      </c>
      <c r="AA911" s="4">
        <f t="shared" si="697"/>
        <v>0</v>
      </c>
      <c r="AB911" s="13">
        <f t="shared" si="698"/>
        <v>0</v>
      </c>
      <c r="AC911" s="10">
        <f>SUM($E$4:E911)</f>
        <v>-22024.091160220025</v>
      </c>
      <c r="AD911" s="20">
        <f>SUM($AB$4:AB911)</f>
        <v>13539.766460219998</v>
      </c>
      <c r="AF911" s="28" t="e">
        <f t="shared" si="699"/>
        <v>#DIV/0!</v>
      </c>
      <c r="AG911" s="2" t="e">
        <f t="shared" si="700"/>
        <v>#DIV/0!</v>
      </c>
      <c r="AH911" s="2" t="e">
        <f t="shared" si="701"/>
        <v>#DIV/0!</v>
      </c>
      <c r="AI911" s="2" t="e">
        <f t="shared" si="722"/>
        <v>#DIV/0!</v>
      </c>
      <c r="AJ911" s="2" t="e">
        <f t="shared" si="689"/>
        <v>#DIV/0!</v>
      </c>
      <c r="AK911" s="2" t="e">
        <f t="shared" si="702"/>
        <v>#DIV/0!</v>
      </c>
      <c r="AL911" s="2" t="e">
        <f t="shared" si="703"/>
        <v>#DIV/0!</v>
      </c>
      <c r="AM911" s="2" t="e">
        <f t="shared" si="723"/>
        <v>#DIV/0!</v>
      </c>
      <c r="AN911" s="2">
        <f t="shared" si="704"/>
        <v>0</v>
      </c>
      <c r="AO911" s="2" t="e">
        <f t="shared" si="705"/>
        <v>#DIV/0!</v>
      </c>
      <c r="AP911" s="2" t="e">
        <f t="shared" si="706"/>
        <v>#DIV/0!</v>
      </c>
      <c r="AQ911" s="2" t="e">
        <f t="shared" si="724"/>
        <v>#DIV/0!</v>
      </c>
      <c r="AR911" s="2" t="e">
        <f t="shared" si="690"/>
        <v>#DIV/0!</v>
      </c>
      <c r="AS911" s="2" t="e">
        <f t="shared" si="707"/>
        <v>#DIV/0!</v>
      </c>
      <c r="AT911" s="2" t="e">
        <f t="shared" si="708"/>
        <v>#DIV/0!</v>
      </c>
      <c r="AU911" s="2" t="e">
        <f t="shared" si="725"/>
        <v>#DIV/0!</v>
      </c>
      <c r="AV911" s="2" t="e">
        <f t="shared" si="709"/>
        <v>#DIV/0!</v>
      </c>
      <c r="AW911" s="2" t="e">
        <f t="shared" si="710"/>
        <v>#DIV/0!</v>
      </c>
      <c r="AX911" s="2" t="e">
        <f t="shared" si="711"/>
        <v>#DIV/0!</v>
      </c>
      <c r="AY911" s="2" t="e">
        <f t="shared" si="726"/>
        <v>#DIV/0!</v>
      </c>
      <c r="AZ911" s="2" t="e">
        <f t="shared" si="691"/>
        <v>#DIV/0!</v>
      </c>
      <c r="BA911" s="2" t="e">
        <f t="shared" si="712"/>
        <v>#DIV/0!</v>
      </c>
      <c r="BB911" s="2" t="e">
        <f t="shared" si="713"/>
        <v>#DIV/0!</v>
      </c>
      <c r="BC911" s="2" t="e">
        <f t="shared" si="727"/>
        <v>#DIV/0!</v>
      </c>
      <c r="BD911" s="2">
        <v>0</v>
      </c>
      <c r="BE911" s="2" t="e">
        <f t="shared" si="714"/>
        <v>#DIV/0!</v>
      </c>
      <c r="BF911" s="2" t="e">
        <f t="shared" si="715"/>
        <v>#DIV/0!</v>
      </c>
      <c r="BG911" s="2" t="e">
        <f t="shared" si="728"/>
        <v>#DIV/0!</v>
      </c>
      <c r="BH911" s="2" t="e">
        <f t="shared" si="692"/>
        <v>#DIV/0!</v>
      </c>
      <c r="BI911" s="2" t="e">
        <f t="shared" si="716"/>
        <v>#DIV/0!</v>
      </c>
      <c r="BJ911" s="2" t="e">
        <f t="shared" si="717"/>
        <v>#DIV/0!</v>
      </c>
      <c r="BK911" s="2" t="e">
        <f t="shared" si="729"/>
        <v>#DIV/0!</v>
      </c>
      <c r="BL911" s="2" t="e">
        <f t="shared" si="718"/>
        <v>#DIV/0!</v>
      </c>
      <c r="BM911" s="2" t="e">
        <f t="shared" si="719"/>
        <v>#DIV/0!</v>
      </c>
      <c r="BN911" s="2" t="e">
        <f t="shared" si="730"/>
        <v>#DIV/0!</v>
      </c>
    </row>
    <row r="912" spans="1:66" x14ac:dyDescent="0.25">
      <c r="A912" s="42">
        <v>909</v>
      </c>
      <c r="E912" s="6">
        <f t="shared" si="720"/>
        <v>0</v>
      </c>
      <c r="F912" s="5" t="str">
        <f t="shared" si="731"/>
        <v>Break Even</v>
      </c>
      <c r="G912" s="4">
        <f t="shared" si="732"/>
        <v>0</v>
      </c>
      <c r="N912" s="5">
        <f t="shared" si="733"/>
        <v>0</v>
      </c>
      <c r="O912" s="4" t="e">
        <f t="shared" si="734"/>
        <v>#DIV/0!</v>
      </c>
      <c r="P912" s="5">
        <f t="shared" si="693"/>
        <v>0</v>
      </c>
      <c r="R912" s="2">
        <f t="shared" si="688"/>
        <v>0</v>
      </c>
      <c r="T912" s="2">
        <f t="shared" si="721"/>
        <v>0</v>
      </c>
      <c r="V912" s="5">
        <f t="shared" si="735"/>
        <v>0</v>
      </c>
      <c r="W912" s="4" t="e">
        <f t="shared" si="736"/>
        <v>#DIV/0!</v>
      </c>
      <c r="X912" s="14">
        <f t="shared" si="694"/>
        <v>0</v>
      </c>
      <c r="Y912" s="5">
        <f t="shared" si="695"/>
        <v>0</v>
      </c>
      <c r="Z912" s="2">
        <f t="shared" si="696"/>
        <v>0</v>
      </c>
      <c r="AA912" s="4">
        <f t="shared" si="697"/>
        <v>0</v>
      </c>
      <c r="AB912" s="13">
        <f t="shared" si="698"/>
        <v>0</v>
      </c>
      <c r="AC912" s="10">
        <f>SUM($E$4:E912)</f>
        <v>-22024.091160220025</v>
      </c>
      <c r="AD912" s="20">
        <f>SUM($AB$4:AB912)</f>
        <v>13539.766460219998</v>
      </c>
      <c r="AF912" s="28" t="e">
        <f t="shared" si="699"/>
        <v>#DIV/0!</v>
      </c>
      <c r="AG912" s="2" t="e">
        <f t="shared" si="700"/>
        <v>#DIV/0!</v>
      </c>
      <c r="AH912" s="2" t="e">
        <f t="shared" si="701"/>
        <v>#DIV/0!</v>
      </c>
      <c r="AI912" s="2" t="e">
        <f t="shared" si="722"/>
        <v>#DIV/0!</v>
      </c>
      <c r="AJ912" s="2" t="e">
        <f t="shared" si="689"/>
        <v>#DIV/0!</v>
      </c>
      <c r="AK912" s="2" t="e">
        <f t="shared" si="702"/>
        <v>#DIV/0!</v>
      </c>
      <c r="AL912" s="2" t="e">
        <f t="shared" si="703"/>
        <v>#DIV/0!</v>
      </c>
      <c r="AM912" s="2" t="e">
        <f t="shared" si="723"/>
        <v>#DIV/0!</v>
      </c>
      <c r="AN912" s="2">
        <f t="shared" si="704"/>
        <v>0</v>
      </c>
      <c r="AO912" s="2" t="e">
        <f t="shared" si="705"/>
        <v>#DIV/0!</v>
      </c>
      <c r="AP912" s="2" t="e">
        <f t="shared" si="706"/>
        <v>#DIV/0!</v>
      </c>
      <c r="AQ912" s="2" t="e">
        <f t="shared" si="724"/>
        <v>#DIV/0!</v>
      </c>
      <c r="AR912" s="2" t="e">
        <f t="shared" si="690"/>
        <v>#DIV/0!</v>
      </c>
      <c r="AS912" s="2" t="e">
        <f t="shared" si="707"/>
        <v>#DIV/0!</v>
      </c>
      <c r="AT912" s="2" t="e">
        <f t="shared" si="708"/>
        <v>#DIV/0!</v>
      </c>
      <c r="AU912" s="2" t="e">
        <f t="shared" si="725"/>
        <v>#DIV/0!</v>
      </c>
      <c r="AV912" s="2" t="e">
        <f t="shared" si="709"/>
        <v>#DIV/0!</v>
      </c>
      <c r="AW912" s="2" t="e">
        <f t="shared" si="710"/>
        <v>#DIV/0!</v>
      </c>
      <c r="AX912" s="2" t="e">
        <f t="shared" si="711"/>
        <v>#DIV/0!</v>
      </c>
      <c r="AY912" s="2" t="e">
        <f t="shared" si="726"/>
        <v>#DIV/0!</v>
      </c>
      <c r="AZ912" s="2" t="e">
        <f t="shared" si="691"/>
        <v>#DIV/0!</v>
      </c>
      <c r="BA912" s="2" t="e">
        <f t="shared" si="712"/>
        <v>#DIV/0!</v>
      </c>
      <c r="BB912" s="2" t="e">
        <f t="shared" si="713"/>
        <v>#DIV/0!</v>
      </c>
      <c r="BC912" s="2" t="e">
        <f t="shared" si="727"/>
        <v>#DIV/0!</v>
      </c>
      <c r="BD912" s="2">
        <v>0</v>
      </c>
      <c r="BE912" s="2" t="e">
        <f t="shared" si="714"/>
        <v>#DIV/0!</v>
      </c>
      <c r="BF912" s="2" t="e">
        <f t="shared" si="715"/>
        <v>#DIV/0!</v>
      </c>
      <c r="BG912" s="2" t="e">
        <f t="shared" si="728"/>
        <v>#DIV/0!</v>
      </c>
      <c r="BH912" s="2" t="e">
        <f t="shared" si="692"/>
        <v>#DIV/0!</v>
      </c>
      <c r="BI912" s="2" t="e">
        <f t="shared" si="716"/>
        <v>#DIV/0!</v>
      </c>
      <c r="BJ912" s="2" t="e">
        <f t="shared" si="717"/>
        <v>#DIV/0!</v>
      </c>
      <c r="BK912" s="2" t="e">
        <f t="shared" si="729"/>
        <v>#DIV/0!</v>
      </c>
      <c r="BL912" s="2" t="e">
        <f t="shared" si="718"/>
        <v>#DIV/0!</v>
      </c>
      <c r="BM912" s="2" t="e">
        <f t="shared" si="719"/>
        <v>#DIV/0!</v>
      </c>
      <c r="BN912" s="2" t="e">
        <f t="shared" si="730"/>
        <v>#DIV/0!</v>
      </c>
    </row>
    <row r="913" spans="1:66" x14ac:dyDescent="0.25">
      <c r="A913" s="42">
        <v>910</v>
      </c>
      <c r="E913" s="6">
        <f t="shared" si="720"/>
        <v>0</v>
      </c>
      <c r="F913" s="5" t="str">
        <f t="shared" si="731"/>
        <v>Break Even</v>
      </c>
      <c r="G913" s="4">
        <f t="shared" si="732"/>
        <v>0</v>
      </c>
      <c r="N913" s="5">
        <f t="shared" si="733"/>
        <v>0</v>
      </c>
      <c r="O913" s="4" t="e">
        <f t="shared" si="734"/>
        <v>#DIV/0!</v>
      </c>
      <c r="P913" s="5">
        <f t="shared" si="693"/>
        <v>0</v>
      </c>
      <c r="R913" s="2">
        <f t="shared" si="688"/>
        <v>0</v>
      </c>
      <c r="T913" s="2">
        <f t="shared" si="721"/>
        <v>0</v>
      </c>
      <c r="V913" s="5">
        <f t="shared" si="735"/>
        <v>0</v>
      </c>
      <c r="W913" s="4" t="e">
        <f t="shared" si="736"/>
        <v>#DIV/0!</v>
      </c>
      <c r="X913" s="14">
        <f t="shared" si="694"/>
        <v>0</v>
      </c>
      <c r="Y913" s="5">
        <f t="shared" si="695"/>
        <v>0</v>
      </c>
      <c r="Z913" s="2">
        <f t="shared" si="696"/>
        <v>0</v>
      </c>
      <c r="AA913" s="4">
        <f t="shared" si="697"/>
        <v>0</v>
      </c>
      <c r="AB913" s="13">
        <f t="shared" si="698"/>
        <v>0</v>
      </c>
      <c r="AC913" s="10">
        <f>SUM($E$4:E913)</f>
        <v>-22024.091160220025</v>
      </c>
      <c r="AD913" s="20">
        <f>SUM($AB$4:AB913)</f>
        <v>13539.766460219998</v>
      </c>
      <c r="AF913" s="28" t="e">
        <f t="shared" si="699"/>
        <v>#DIV/0!</v>
      </c>
      <c r="AG913" s="2" t="e">
        <f t="shared" si="700"/>
        <v>#DIV/0!</v>
      </c>
      <c r="AH913" s="2" t="e">
        <f t="shared" si="701"/>
        <v>#DIV/0!</v>
      </c>
      <c r="AI913" s="2" t="e">
        <f t="shared" si="722"/>
        <v>#DIV/0!</v>
      </c>
      <c r="AJ913" s="2" t="e">
        <f t="shared" si="689"/>
        <v>#DIV/0!</v>
      </c>
      <c r="AK913" s="2" t="e">
        <f t="shared" si="702"/>
        <v>#DIV/0!</v>
      </c>
      <c r="AL913" s="2" t="e">
        <f t="shared" si="703"/>
        <v>#DIV/0!</v>
      </c>
      <c r="AM913" s="2" t="e">
        <f t="shared" si="723"/>
        <v>#DIV/0!</v>
      </c>
      <c r="AN913" s="2">
        <f t="shared" si="704"/>
        <v>0</v>
      </c>
      <c r="AO913" s="2" t="e">
        <f t="shared" si="705"/>
        <v>#DIV/0!</v>
      </c>
      <c r="AP913" s="2" t="e">
        <f t="shared" si="706"/>
        <v>#DIV/0!</v>
      </c>
      <c r="AQ913" s="2" t="e">
        <f t="shared" si="724"/>
        <v>#DIV/0!</v>
      </c>
      <c r="AR913" s="2" t="e">
        <f t="shared" si="690"/>
        <v>#DIV/0!</v>
      </c>
      <c r="AS913" s="2" t="e">
        <f t="shared" si="707"/>
        <v>#DIV/0!</v>
      </c>
      <c r="AT913" s="2" t="e">
        <f t="shared" si="708"/>
        <v>#DIV/0!</v>
      </c>
      <c r="AU913" s="2" t="e">
        <f t="shared" si="725"/>
        <v>#DIV/0!</v>
      </c>
      <c r="AV913" s="2" t="e">
        <f t="shared" si="709"/>
        <v>#DIV/0!</v>
      </c>
      <c r="AW913" s="2" t="e">
        <f t="shared" si="710"/>
        <v>#DIV/0!</v>
      </c>
      <c r="AX913" s="2" t="e">
        <f t="shared" si="711"/>
        <v>#DIV/0!</v>
      </c>
      <c r="AY913" s="2" t="e">
        <f t="shared" si="726"/>
        <v>#DIV/0!</v>
      </c>
      <c r="AZ913" s="2" t="e">
        <f t="shared" si="691"/>
        <v>#DIV/0!</v>
      </c>
      <c r="BA913" s="2" t="e">
        <f t="shared" si="712"/>
        <v>#DIV/0!</v>
      </c>
      <c r="BB913" s="2" t="e">
        <f t="shared" si="713"/>
        <v>#DIV/0!</v>
      </c>
      <c r="BC913" s="2" t="e">
        <f t="shared" si="727"/>
        <v>#DIV/0!</v>
      </c>
      <c r="BD913" s="2">
        <v>0</v>
      </c>
      <c r="BE913" s="2" t="e">
        <f t="shared" si="714"/>
        <v>#DIV/0!</v>
      </c>
      <c r="BF913" s="2" t="e">
        <f t="shared" si="715"/>
        <v>#DIV/0!</v>
      </c>
      <c r="BG913" s="2" t="e">
        <f t="shared" si="728"/>
        <v>#DIV/0!</v>
      </c>
      <c r="BH913" s="2" t="e">
        <f t="shared" si="692"/>
        <v>#DIV/0!</v>
      </c>
      <c r="BI913" s="2" t="e">
        <f t="shared" si="716"/>
        <v>#DIV/0!</v>
      </c>
      <c r="BJ913" s="2" t="e">
        <f t="shared" si="717"/>
        <v>#DIV/0!</v>
      </c>
      <c r="BK913" s="2" t="e">
        <f t="shared" si="729"/>
        <v>#DIV/0!</v>
      </c>
      <c r="BL913" s="2" t="e">
        <f t="shared" si="718"/>
        <v>#DIV/0!</v>
      </c>
      <c r="BM913" s="2" t="e">
        <f t="shared" si="719"/>
        <v>#DIV/0!</v>
      </c>
      <c r="BN913" s="2" t="e">
        <f t="shared" si="730"/>
        <v>#DIV/0!</v>
      </c>
    </row>
    <row r="914" spans="1:66" x14ac:dyDescent="0.25">
      <c r="A914" s="42">
        <v>911</v>
      </c>
      <c r="E914" s="6">
        <f t="shared" si="720"/>
        <v>0</v>
      </c>
      <c r="F914" s="5" t="str">
        <f t="shared" si="731"/>
        <v>Break Even</v>
      </c>
      <c r="G914" s="4">
        <f t="shared" si="732"/>
        <v>0</v>
      </c>
      <c r="N914" s="5">
        <f t="shared" si="733"/>
        <v>0</v>
      </c>
      <c r="O914" s="4" t="e">
        <f t="shared" si="734"/>
        <v>#DIV/0!</v>
      </c>
      <c r="P914" s="5">
        <f t="shared" si="693"/>
        <v>0</v>
      </c>
      <c r="R914" s="2">
        <f t="shared" si="688"/>
        <v>0</v>
      </c>
      <c r="T914" s="2">
        <f t="shared" si="721"/>
        <v>0</v>
      </c>
      <c r="V914" s="5">
        <f t="shared" si="735"/>
        <v>0</v>
      </c>
      <c r="W914" s="4" t="e">
        <f t="shared" si="736"/>
        <v>#DIV/0!</v>
      </c>
      <c r="X914" s="14">
        <f t="shared" si="694"/>
        <v>0</v>
      </c>
      <c r="Y914" s="5">
        <f t="shared" si="695"/>
        <v>0</v>
      </c>
      <c r="Z914" s="2">
        <f t="shared" si="696"/>
        <v>0</v>
      </c>
      <c r="AA914" s="4">
        <f t="shared" si="697"/>
        <v>0</v>
      </c>
      <c r="AB914" s="13">
        <f t="shared" si="698"/>
        <v>0</v>
      </c>
      <c r="AC914" s="10">
        <f>SUM($E$4:E914)</f>
        <v>-22024.091160220025</v>
      </c>
      <c r="AD914" s="20">
        <f>SUM($AB$4:AB914)</f>
        <v>13539.766460219998</v>
      </c>
      <c r="AF914" s="28" t="e">
        <f t="shared" si="699"/>
        <v>#DIV/0!</v>
      </c>
      <c r="AG914" s="2" t="e">
        <f t="shared" si="700"/>
        <v>#DIV/0!</v>
      </c>
      <c r="AH914" s="2" t="e">
        <f t="shared" si="701"/>
        <v>#DIV/0!</v>
      </c>
      <c r="AI914" s="2" t="e">
        <f t="shared" si="722"/>
        <v>#DIV/0!</v>
      </c>
      <c r="AJ914" s="2" t="e">
        <f t="shared" si="689"/>
        <v>#DIV/0!</v>
      </c>
      <c r="AK914" s="2" t="e">
        <f t="shared" si="702"/>
        <v>#DIV/0!</v>
      </c>
      <c r="AL914" s="2" t="e">
        <f t="shared" si="703"/>
        <v>#DIV/0!</v>
      </c>
      <c r="AM914" s="2" t="e">
        <f t="shared" si="723"/>
        <v>#DIV/0!</v>
      </c>
      <c r="AN914" s="2">
        <f t="shared" si="704"/>
        <v>0</v>
      </c>
      <c r="AO914" s="2" t="e">
        <f t="shared" si="705"/>
        <v>#DIV/0!</v>
      </c>
      <c r="AP914" s="2" t="e">
        <f t="shared" si="706"/>
        <v>#DIV/0!</v>
      </c>
      <c r="AQ914" s="2" t="e">
        <f t="shared" si="724"/>
        <v>#DIV/0!</v>
      </c>
      <c r="AR914" s="2" t="e">
        <f t="shared" si="690"/>
        <v>#DIV/0!</v>
      </c>
      <c r="AS914" s="2" t="e">
        <f t="shared" si="707"/>
        <v>#DIV/0!</v>
      </c>
      <c r="AT914" s="2" t="e">
        <f t="shared" si="708"/>
        <v>#DIV/0!</v>
      </c>
      <c r="AU914" s="2" t="e">
        <f t="shared" si="725"/>
        <v>#DIV/0!</v>
      </c>
      <c r="AV914" s="2" t="e">
        <f t="shared" si="709"/>
        <v>#DIV/0!</v>
      </c>
      <c r="AW914" s="2" t="e">
        <f t="shared" si="710"/>
        <v>#DIV/0!</v>
      </c>
      <c r="AX914" s="2" t="e">
        <f t="shared" si="711"/>
        <v>#DIV/0!</v>
      </c>
      <c r="AY914" s="2" t="e">
        <f t="shared" si="726"/>
        <v>#DIV/0!</v>
      </c>
      <c r="AZ914" s="2" t="e">
        <f t="shared" si="691"/>
        <v>#DIV/0!</v>
      </c>
      <c r="BA914" s="2" t="e">
        <f t="shared" si="712"/>
        <v>#DIV/0!</v>
      </c>
      <c r="BB914" s="2" t="e">
        <f t="shared" si="713"/>
        <v>#DIV/0!</v>
      </c>
      <c r="BC914" s="2" t="e">
        <f t="shared" si="727"/>
        <v>#DIV/0!</v>
      </c>
      <c r="BD914" s="2">
        <v>0</v>
      </c>
      <c r="BE914" s="2" t="e">
        <f t="shared" si="714"/>
        <v>#DIV/0!</v>
      </c>
      <c r="BF914" s="2" t="e">
        <f t="shared" si="715"/>
        <v>#DIV/0!</v>
      </c>
      <c r="BG914" s="2" t="e">
        <f t="shared" si="728"/>
        <v>#DIV/0!</v>
      </c>
      <c r="BH914" s="2" t="e">
        <f t="shared" si="692"/>
        <v>#DIV/0!</v>
      </c>
      <c r="BI914" s="2" t="e">
        <f t="shared" si="716"/>
        <v>#DIV/0!</v>
      </c>
      <c r="BJ914" s="2" t="e">
        <f t="shared" si="717"/>
        <v>#DIV/0!</v>
      </c>
      <c r="BK914" s="2" t="e">
        <f t="shared" si="729"/>
        <v>#DIV/0!</v>
      </c>
      <c r="BL914" s="2" t="e">
        <f t="shared" si="718"/>
        <v>#DIV/0!</v>
      </c>
      <c r="BM914" s="2" t="e">
        <f t="shared" si="719"/>
        <v>#DIV/0!</v>
      </c>
      <c r="BN914" s="2" t="e">
        <f t="shared" si="730"/>
        <v>#DIV/0!</v>
      </c>
    </row>
    <row r="915" spans="1:66" x14ac:dyDescent="0.25">
      <c r="A915" s="42">
        <v>912</v>
      </c>
      <c r="E915" s="6">
        <f t="shared" si="720"/>
        <v>0</v>
      </c>
      <c r="F915" s="5" t="str">
        <f t="shared" si="731"/>
        <v>Break Even</v>
      </c>
      <c r="G915" s="4">
        <f t="shared" si="732"/>
        <v>0</v>
      </c>
      <c r="N915" s="5">
        <f t="shared" si="733"/>
        <v>0</v>
      </c>
      <c r="O915" s="4" t="e">
        <f t="shared" si="734"/>
        <v>#DIV/0!</v>
      </c>
      <c r="P915" s="5">
        <f t="shared" si="693"/>
        <v>0</v>
      </c>
      <c r="R915" s="2">
        <f t="shared" si="688"/>
        <v>0</v>
      </c>
      <c r="T915" s="2">
        <f t="shared" si="721"/>
        <v>0</v>
      </c>
      <c r="V915" s="5">
        <f t="shared" si="735"/>
        <v>0</v>
      </c>
      <c r="W915" s="4" t="e">
        <f t="shared" si="736"/>
        <v>#DIV/0!</v>
      </c>
      <c r="X915" s="14">
        <f t="shared" si="694"/>
        <v>0</v>
      </c>
      <c r="Y915" s="5">
        <f t="shared" si="695"/>
        <v>0</v>
      </c>
      <c r="Z915" s="2">
        <f t="shared" si="696"/>
        <v>0</v>
      </c>
      <c r="AA915" s="4">
        <f t="shared" si="697"/>
        <v>0</v>
      </c>
      <c r="AB915" s="13">
        <f t="shared" si="698"/>
        <v>0</v>
      </c>
      <c r="AC915" s="10">
        <f>SUM($E$4:E915)</f>
        <v>-22024.091160220025</v>
      </c>
      <c r="AD915" s="20">
        <f>SUM($AB$4:AB915)</f>
        <v>13539.766460219998</v>
      </c>
      <c r="AF915" s="28" t="e">
        <f t="shared" si="699"/>
        <v>#DIV/0!</v>
      </c>
      <c r="AG915" s="2" t="e">
        <f t="shared" si="700"/>
        <v>#DIV/0!</v>
      </c>
      <c r="AH915" s="2" t="e">
        <f t="shared" si="701"/>
        <v>#DIV/0!</v>
      </c>
      <c r="AI915" s="2" t="e">
        <f t="shared" si="722"/>
        <v>#DIV/0!</v>
      </c>
      <c r="AJ915" s="2" t="e">
        <f t="shared" si="689"/>
        <v>#DIV/0!</v>
      </c>
      <c r="AK915" s="2" t="e">
        <f t="shared" si="702"/>
        <v>#DIV/0!</v>
      </c>
      <c r="AL915" s="2" t="e">
        <f t="shared" si="703"/>
        <v>#DIV/0!</v>
      </c>
      <c r="AM915" s="2" t="e">
        <f t="shared" si="723"/>
        <v>#DIV/0!</v>
      </c>
      <c r="AN915" s="2">
        <f t="shared" si="704"/>
        <v>0</v>
      </c>
      <c r="AO915" s="2" t="e">
        <f t="shared" si="705"/>
        <v>#DIV/0!</v>
      </c>
      <c r="AP915" s="2" t="e">
        <f t="shared" si="706"/>
        <v>#DIV/0!</v>
      </c>
      <c r="AQ915" s="2" t="e">
        <f t="shared" si="724"/>
        <v>#DIV/0!</v>
      </c>
      <c r="AR915" s="2" t="e">
        <f t="shared" si="690"/>
        <v>#DIV/0!</v>
      </c>
      <c r="AS915" s="2" t="e">
        <f t="shared" si="707"/>
        <v>#DIV/0!</v>
      </c>
      <c r="AT915" s="2" t="e">
        <f t="shared" si="708"/>
        <v>#DIV/0!</v>
      </c>
      <c r="AU915" s="2" t="e">
        <f t="shared" si="725"/>
        <v>#DIV/0!</v>
      </c>
      <c r="AV915" s="2" t="e">
        <f t="shared" si="709"/>
        <v>#DIV/0!</v>
      </c>
      <c r="AW915" s="2" t="e">
        <f t="shared" si="710"/>
        <v>#DIV/0!</v>
      </c>
      <c r="AX915" s="2" t="e">
        <f t="shared" si="711"/>
        <v>#DIV/0!</v>
      </c>
      <c r="AY915" s="2" t="e">
        <f t="shared" si="726"/>
        <v>#DIV/0!</v>
      </c>
      <c r="AZ915" s="2" t="e">
        <f t="shared" si="691"/>
        <v>#DIV/0!</v>
      </c>
      <c r="BA915" s="2" t="e">
        <f t="shared" si="712"/>
        <v>#DIV/0!</v>
      </c>
      <c r="BB915" s="2" t="e">
        <f t="shared" si="713"/>
        <v>#DIV/0!</v>
      </c>
      <c r="BC915" s="2" t="e">
        <f t="shared" si="727"/>
        <v>#DIV/0!</v>
      </c>
      <c r="BD915" s="2">
        <v>0</v>
      </c>
      <c r="BE915" s="2" t="e">
        <f t="shared" si="714"/>
        <v>#DIV/0!</v>
      </c>
      <c r="BF915" s="2" t="e">
        <f t="shared" si="715"/>
        <v>#DIV/0!</v>
      </c>
      <c r="BG915" s="2" t="e">
        <f t="shared" si="728"/>
        <v>#DIV/0!</v>
      </c>
      <c r="BH915" s="2" t="e">
        <f t="shared" si="692"/>
        <v>#DIV/0!</v>
      </c>
      <c r="BI915" s="2" t="e">
        <f t="shared" si="716"/>
        <v>#DIV/0!</v>
      </c>
      <c r="BJ915" s="2" t="e">
        <f t="shared" si="717"/>
        <v>#DIV/0!</v>
      </c>
      <c r="BK915" s="2" t="e">
        <f t="shared" si="729"/>
        <v>#DIV/0!</v>
      </c>
      <c r="BL915" s="2" t="e">
        <f t="shared" si="718"/>
        <v>#DIV/0!</v>
      </c>
      <c r="BM915" s="2" t="e">
        <f t="shared" si="719"/>
        <v>#DIV/0!</v>
      </c>
      <c r="BN915" s="2" t="e">
        <f t="shared" si="730"/>
        <v>#DIV/0!</v>
      </c>
    </row>
    <row r="916" spans="1:66" x14ac:dyDescent="0.25">
      <c r="A916" s="42">
        <v>913</v>
      </c>
      <c r="E916" s="6">
        <f t="shared" si="720"/>
        <v>0</v>
      </c>
      <c r="F916" s="5" t="str">
        <f t="shared" si="731"/>
        <v>Break Even</v>
      </c>
      <c r="G916" s="4">
        <f t="shared" si="732"/>
        <v>0</v>
      </c>
      <c r="N916" s="5">
        <f t="shared" si="733"/>
        <v>0</v>
      </c>
      <c r="O916" s="4" t="e">
        <f t="shared" si="734"/>
        <v>#DIV/0!</v>
      </c>
      <c r="P916" s="5">
        <f t="shared" si="693"/>
        <v>0</v>
      </c>
      <c r="R916" s="2">
        <f t="shared" si="688"/>
        <v>0</v>
      </c>
      <c r="T916" s="2">
        <f t="shared" si="721"/>
        <v>0</v>
      </c>
      <c r="V916" s="5">
        <f t="shared" si="735"/>
        <v>0</v>
      </c>
      <c r="W916" s="4" t="e">
        <f t="shared" si="736"/>
        <v>#DIV/0!</v>
      </c>
      <c r="X916" s="14">
        <f t="shared" si="694"/>
        <v>0</v>
      </c>
      <c r="Y916" s="5">
        <f t="shared" si="695"/>
        <v>0</v>
      </c>
      <c r="Z916" s="2">
        <f t="shared" si="696"/>
        <v>0</v>
      </c>
      <c r="AA916" s="4">
        <f t="shared" si="697"/>
        <v>0</v>
      </c>
      <c r="AB916" s="13">
        <f t="shared" si="698"/>
        <v>0</v>
      </c>
      <c r="AC916" s="10">
        <f>SUM($E$4:E916)</f>
        <v>-22024.091160220025</v>
      </c>
      <c r="AD916" s="20">
        <f>SUM($AB$4:AB916)</f>
        <v>13539.766460219998</v>
      </c>
      <c r="AF916" s="28" t="e">
        <f t="shared" si="699"/>
        <v>#DIV/0!</v>
      </c>
      <c r="AG916" s="2" t="e">
        <f t="shared" si="700"/>
        <v>#DIV/0!</v>
      </c>
      <c r="AH916" s="2" t="e">
        <f t="shared" si="701"/>
        <v>#DIV/0!</v>
      </c>
      <c r="AI916" s="2" t="e">
        <f t="shared" si="722"/>
        <v>#DIV/0!</v>
      </c>
      <c r="AJ916" s="2" t="e">
        <f t="shared" si="689"/>
        <v>#DIV/0!</v>
      </c>
      <c r="AK916" s="2" t="e">
        <f t="shared" si="702"/>
        <v>#DIV/0!</v>
      </c>
      <c r="AL916" s="2" t="e">
        <f t="shared" si="703"/>
        <v>#DIV/0!</v>
      </c>
      <c r="AM916" s="2" t="e">
        <f t="shared" si="723"/>
        <v>#DIV/0!</v>
      </c>
      <c r="AN916" s="2">
        <f t="shared" si="704"/>
        <v>0</v>
      </c>
      <c r="AO916" s="2" t="e">
        <f t="shared" si="705"/>
        <v>#DIV/0!</v>
      </c>
      <c r="AP916" s="2" t="e">
        <f t="shared" si="706"/>
        <v>#DIV/0!</v>
      </c>
      <c r="AQ916" s="2" t="e">
        <f t="shared" si="724"/>
        <v>#DIV/0!</v>
      </c>
      <c r="AR916" s="2" t="e">
        <f t="shared" si="690"/>
        <v>#DIV/0!</v>
      </c>
      <c r="AS916" s="2" t="e">
        <f t="shared" si="707"/>
        <v>#DIV/0!</v>
      </c>
      <c r="AT916" s="2" t="e">
        <f t="shared" si="708"/>
        <v>#DIV/0!</v>
      </c>
      <c r="AU916" s="2" t="e">
        <f t="shared" si="725"/>
        <v>#DIV/0!</v>
      </c>
      <c r="AV916" s="2" t="e">
        <f t="shared" si="709"/>
        <v>#DIV/0!</v>
      </c>
      <c r="AW916" s="2" t="e">
        <f t="shared" si="710"/>
        <v>#DIV/0!</v>
      </c>
      <c r="AX916" s="2" t="e">
        <f t="shared" si="711"/>
        <v>#DIV/0!</v>
      </c>
      <c r="AY916" s="2" t="e">
        <f t="shared" si="726"/>
        <v>#DIV/0!</v>
      </c>
      <c r="AZ916" s="2" t="e">
        <f t="shared" si="691"/>
        <v>#DIV/0!</v>
      </c>
      <c r="BA916" s="2" t="e">
        <f t="shared" si="712"/>
        <v>#DIV/0!</v>
      </c>
      <c r="BB916" s="2" t="e">
        <f t="shared" si="713"/>
        <v>#DIV/0!</v>
      </c>
      <c r="BC916" s="2" t="e">
        <f t="shared" si="727"/>
        <v>#DIV/0!</v>
      </c>
      <c r="BD916" s="2">
        <v>0</v>
      </c>
      <c r="BE916" s="2" t="e">
        <f t="shared" si="714"/>
        <v>#DIV/0!</v>
      </c>
      <c r="BF916" s="2" t="e">
        <f t="shared" si="715"/>
        <v>#DIV/0!</v>
      </c>
      <c r="BG916" s="2" t="e">
        <f t="shared" si="728"/>
        <v>#DIV/0!</v>
      </c>
      <c r="BH916" s="2" t="e">
        <f t="shared" si="692"/>
        <v>#DIV/0!</v>
      </c>
      <c r="BI916" s="2" t="e">
        <f t="shared" si="716"/>
        <v>#DIV/0!</v>
      </c>
      <c r="BJ916" s="2" t="e">
        <f t="shared" si="717"/>
        <v>#DIV/0!</v>
      </c>
      <c r="BK916" s="2" t="e">
        <f t="shared" si="729"/>
        <v>#DIV/0!</v>
      </c>
      <c r="BL916" s="2" t="e">
        <f t="shared" si="718"/>
        <v>#DIV/0!</v>
      </c>
      <c r="BM916" s="2" t="e">
        <f t="shared" si="719"/>
        <v>#DIV/0!</v>
      </c>
      <c r="BN916" s="2" t="e">
        <f t="shared" si="730"/>
        <v>#DIV/0!</v>
      </c>
    </row>
    <row r="917" spans="1:66" x14ac:dyDescent="0.25">
      <c r="A917" s="42">
        <v>914</v>
      </c>
      <c r="E917" s="6">
        <f t="shared" si="720"/>
        <v>0</v>
      </c>
      <c r="F917" s="5" t="str">
        <f t="shared" si="731"/>
        <v>Break Even</v>
      </c>
      <c r="G917" s="4">
        <f t="shared" si="732"/>
        <v>0</v>
      </c>
      <c r="N917" s="5">
        <f t="shared" si="733"/>
        <v>0</v>
      </c>
      <c r="O917" s="4" t="e">
        <f t="shared" si="734"/>
        <v>#DIV/0!</v>
      </c>
      <c r="P917" s="5">
        <f t="shared" si="693"/>
        <v>0</v>
      </c>
      <c r="R917" s="2">
        <f t="shared" si="688"/>
        <v>0</v>
      </c>
      <c r="T917" s="2">
        <f t="shared" si="721"/>
        <v>0</v>
      </c>
      <c r="V917" s="5">
        <f t="shared" si="735"/>
        <v>0</v>
      </c>
      <c r="W917" s="4" t="e">
        <f t="shared" si="736"/>
        <v>#DIV/0!</v>
      </c>
      <c r="X917" s="14">
        <f t="shared" si="694"/>
        <v>0</v>
      </c>
      <c r="Y917" s="5">
        <f t="shared" si="695"/>
        <v>0</v>
      </c>
      <c r="Z917" s="2">
        <f t="shared" si="696"/>
        <v>0</v>
      </c>
      <c r="AA917" s="4">
        <f t="shared" si="697"/>
        <v>0</v>
      </c>
      <c r="AB917" s="13">
        <f t="shared" si="698"/>
        <v>0</v>
      </c>
      <c r="AC917" s="10">
        <f>SUM($E$4:E917)</f>
        <v>-22024.091160220025</v>
      </c>
      <c r="AD917" s="20">
        <f>SUM($AB$4:AB917)</f>
        <v>13539.766460219998</v>
      </c>
      <c r="AF917" s="28" t="e">
        <f t="shared" si="699"/>
        <v>#DIV/0!</v>
      </c>
      <c r="AG917" s="2" t="e">
        <f t="shared" si="700"/>
        <v>#DIV/0!</v>
      </c>
      <c r="AH917" s="2" t="e">
        <f t="shared" si="701"/>
        <v>#DIV/0!</v>
      </c>
      <c r="AI917" s="2" t="e">
        <f t="shared" si="722"/>
        <v>#DIV/0!</v>
      </c>
      <c r="AJ917" s="2" t="e">
        <f t="shared" si="689"/>
        <v>#DIV/0!</v>
      </c>
      <c r="AK917" s="2" t="e">
        <f t="shared" si="702"/>
        <v>#DIV/0!</v>
      </c>
      <c r="AL917" s="2" t="e">
        <f t="shared" si="703"/>
        <v>#DIV/0!</v>
      </c>
      <c r="AM917" s="2" t="e">
        <f t="shared" si="723"/>
        <v>#DIV/0!</v>
      </c>
      <c r="AN917" s="2">
        <f t="shared" si="704"/>
        <v>0</v>
      </c>
      <c r="AO917" s="2" t="e">
        <f t="shared" si="705"/>
        <v>#DIV/0!</v>
      </c>
      <c r="AP917" s="2" t="e">
        <f t="shared" si="706"/>
        <v>#DIV/0!</v>
      </c>
      <c r="AQ917" s="2" t="e">
        <f t="shared" si="724"/>
        <v>#DIV/0!</v>
      </c>
      <c r="AR917" s="2" t="e">
        <f t="shared" si="690"/>
        <v>#DIV/0!</v>
      </c>
      <c r="AS917" s="2" t="e">
        <f t="shared" si="707"/>
        <v>#DIV/0!</v>
      </c>
      <c r="AT917" s="2" t="e">
        <f t="shared" si="708"/>
        <v>#DIV/0!</v>
      </c>
      <c r="AU917" s="2" t="e">
        <f t="shared" si="725"/>
        <v>#DIV/0!</v>
      </c>
      <c r="AV917" s="2" t="e">
        <f t="shared" si="709"/>
        <v>#DIV/0!</v>
      </c>
      <c r="AW917" s="2" t="e">
        <f t="shared" si="710"/>
        <v>#DIV/0!</v>
      </c>
      <c r="AX917" s="2" t="e">
        <f t="shared" si="711"/>
        <v>#DIV/0!</v>
      </c>
      <c r="AY917" s="2" t="e">
        <f t="shared" si="726"/>
        <v>#DIV/0!</v>
      </c>
      <c r="AZ917" s="2" t="e">
        <f t="shared" si="691"/>
        <v>#DIV/0!</v>
      </c>
      <c r="BA917" s="2" t="e">
        <f t="shared" si="712"/>
        <v>#DIV/0!</v>
      </c>
      <c r="BB917" s="2" t="e">
        <f t="shared" si="713"/>
        <v>#DIV/0!</v>
      </c>
      <c r="BC917" s="2" t="e">
        <f t="shared" si="727"/>
        <v>#DIV/0!</v>
      </c>
      <c r="BD917" s="2">
        <v>0</v>
      </c>
      <c r="BE917" s="2" t="e">
        <f t="shared" si="714"/>
        <v>#DIV/0!</v>
      </c>
      <c r="BF917" s="2" t="e">
        <f t="shared" si="715"/>
        <v>#DIV/0!</v>
      </c>
      <c r="BG917" s="2" t="e">
        <f t="shared" si="728"/>
        <v>#DIV/0!</v>
      </c>
      <c r="BH917" s="2" t="e">
        <f t="shared" si="692"/>
        <v>#DIV/0!</v>
      </c>
      <c r="BI917" s="2" t="e">
        <f t="shared" si="716"/>
        <v>#DIV/0!</v>
      </c>
      <c r="BJ917" s="2" t="e">
        <f t="shared" si="717"/>
        <v>#DIV/0!</v>
      </c>
      <c r="BK917" s="2" t="e">
        <f t="shared" si="729"/>
        <v>#DIV/0!</v>
      </c>
      <c r="BL917" s="2" t="e">
        <f t="shared" si="718"/>
        <v>#DIV/0!</v>
      </c>
      <c r="BM917" s="2" t="e">
        <f t="shared" si="719"/>
        <v>#DIV/0!</v>
      </c>
      <c r="BN917" s="2" t="e">
        <f t="shared" si="730"/>
        <v>#DIV/0!</v>
      </c>
    </row>
    <row r="918" spans="1:66" x14ac:dyDescent="0.25">
      <c r="A918" s="42">
        <v>915</v>
      </c>
      <c r="E918" s="6">
        <f t="shared" si="720"/>
        <v>0</v>
      </c>
      <c r="F918" s="5" t="str">
        <f t="shared" si="731"/>
        <v>Break Even</v>
      </c>
      <c r="G918" s="4">
        <f t="shared" si="732"/>
        <v>0</v>
      </c>
      <c r="N918" s="5">
        <f t="shared" si="733"/>
        <v>0</v>
      </c>
      <c r="O918" s="4" t="e">
        <f t="shared" si="734"/>
        <v>#DIV/0!</v>
      </c>
      <c r="P918" s="5">
        <f t="shared" si="693"/>
        <v>0</v>
      </c>
      <c r="R918" s="2">
        <f t="shared" si="688"/>
        <v>0</v>
      </c>
      <c r="T918" s="2">
        <f t="shared" si="721"/>
        <v>0</v>
      </c>
      <c r="V918" s="5">
        <f t="shared" si="735"/>
        <v>0</v>
      </c>
      <c r="W918" s="4" t="e">
        <f t="shared" si="736"/>
        <v>#DIV/0!</v>
      </c>
      <c r="X918" s="14">
        <f t="shared" si="694"/>
        <v>0</v>
      </c>
      <c r="Y918" s="5">
        <f t="shared" si="695"/>
        <v>0</v>
      </c>
      <c r="Z918" s="2">
        <f t="shared" si="696"/>
        <v>0</v>
      </c>
      <c r="AA918" s="4">
        <f t="shared" si="697"/>
        <v>0</v>
      </c>
      <c r="AB918" s="13">
        <f t="shared" si="698"/>
        <v>0</v>
      </c>
      <c r="AC918" s="10">
        <f>SUM($E$4:E918)</f>
        <v>-22024.091160220025</v>
      </c>
      <c r="AD918" s="20">
        <f>SUM($AB$4:AB918)</f>
        <v>13539.766460219998</v>
      </c>
      <c r="AF918" s="28" t="e">
        <f t="shared" si="699"/>
        <v>#DIV/0!</v>
      </c>
      <c r="AG918" s="2" t="e">
        <f t="shared" si="700"/>
        <v>#DIV/0!</v>
      </c>
      <c r="AH918" s="2" t="e">
        <f t="shared" si="701"/>
        <v>#DIV/0!</v>
      </c>
      <c r="AI918" s="2" t="e">
        <f t="shared" si="722"/>
        <v>#DIV/0!</v>
      </c>
      <c r="AJ918" s="2" t="e">
        <f t="shared" si="689"/>
        <v>#DIV/0!</v>
      </c>
      <c r="AK918" s="2" t="e">
        <f t="shared" si="702"/>
        <v>#DIV/0!</v>
      </c>
      <c r="AL918" s="2" t="e">
        <f t="shared" si="703"/>
        <v>#DIV/0!</v>
      </c>
      <c r="AM918" s="2" t="e">
        <f t="shared" si="723"/>
        <v>#DIV/0!</v>
      </c>
      <c r="AN918" s="2">
        <f t="shared" si="704"/>
        <v>0</v>
      </c>
      <c r="AO918" s="2" t="e">
        <f t="shared" si="705"/>
        <v>#DIV/0!</v>
      </c>
      <c r="AP918" s="2" t="e">
        <f t="shared" si="706"/>
        <v>#DIV/0!</v>
      </c>
      <c r="AQ918" s="2" t="e">
        <f t="shared" si="724"/>
        <v>#DIV/0!</v>
      </c>
      <c r="AR918" s="2" t="e">
        <f t="shared" si="690"/>
        <v>#DIV/0!</v>
      </c>
      <c r="AS918" s="2" t="e">
        <f t="shared" si="707"/>
        <v>#DIV/0!</v>
      </c>
      <c r="AT918" s="2" t="e">
        <f t="shared" si="708"/>
        <v>#DIV/0!</v>
      </c>
      <c r="AU918" s="2" t="e">
        <f t="shared" si="725"/>
        <v>#DIV/0!</v>
      </c>
      <c r="AV918" s="2" t="e">
        <f t="shared" si="709"/>
        <v>#DIV/0!</v>
      </c>
      <c r="AW918" s="2" t="e">
        <f t="shared" si="710"/>
        <v>#DIV/0!</v>
      </c>
      <c r="AX918" s="2" t="e">
        <f t="shared" si="711"/>
        <v>#DIV/0!</v>
      </c>
      <c r="AY918" s="2" t="e">
        <f t="shared" si="726"/>
        <v>#DIV/0!</v>
      </c>
      <c r="AZ918" s="2" t="e">
        <f t="shared" si="691"/>
        <v>#DIV/0!</v>
      </c>
      <c r="BA918" s="2" t="e">
        <f t="shared" si="712"/>
        <v>#DIV/0!</v>
      </c>
      <c r="BB918" s="2" t="e">
        <f t="shared" si="713"/>
        <v>#DIV/0!</v>
      </c>
      <c r="BC918" s="2" t="e">
        <f t="shared" si="727"/>
        <v>#DIV/0!</v>
      </c>
      <c r="BD918" s="2">
        <v>0</v>
      </c>
      <c r="BE918" s="2" t="e">
        <f t="shared" si="714"/>
        <v>#DIV/0!</v>
      </c>
      <c r="BF918" s="2" t="e">
        <f t="shared" si="715"/>
        <v>#DIV/0!</v>
      </c>
      <c r="BG918" s="2" t="e">
        <f t="shared" si="728"/>
        <v>#DIV/0!</v>
      </c>
      <c r="BH918" s="2" t="e">
        <f t="shared" si="692"/>
        <v>#DIV/0!</v>
      </c>
      <c r="BI918" s="2" t="e">
        <f t="shared" si="716"/>
        <v>#DIV/0!</v>
      </c>
      <c r="BJ918" s="2" t="e">
        <f t="shared" si="717"/>
        <v>#DIV/0!</v>
      </c>
      <c r="BK918" s="2" t="e">
        <f t="shared" si="729"/>
        <v>#DIV/0!</v>
      </c>
      <c r="BL918" s="2" t="e">
        <f t="shared" si="718"/>
        <v>#DIV/0!</v>
      </c>
      <c r="BM918" s="2" t="e">
        <f t="shared" si="719"/>
        <v>#DIV/0!</v>
      </c>
      <c r="BN918" s="2" t="e">
        <f t="shared" si="730"/>
        <v>#DIV/0!</v>
      </c>
    </row>
    <row r="919" spans="1:66" x14ac:dyDescent="0.25">
      <c r="A919" s="42">
        <v>916</v>
      </c>
      <c r="E919" s="6">
        <f t="shared" si="720"/>
        <v>0</v>
      </c>
      <c r="F919" s="5" t="str">
        <f t="shared" si="731"/>
        <v>Break Even</v>
      </c>
      <c r="G919" s="4">
        <f t="shared" si="732"/>
        <v>0</v>
      </c>
      <c r="N919" s="5">
        <f t="shared" si="733"/>
        <v>0</v>
      </c>
      <c r="O919" s="4" t="e">
        <f t="shared" si="734"/>
        <v>#DIV/0!</v>
      </c>
      <c r="P919" s="5">
        <f t="shared" si="693"/>
        <v>0</v>
      </c>
      <c r="R919" s="2">
        <f t="shared" si="688"/>
        <v>0</v>
      </c>
      <c r="T919" s="2">
        <f t="shared" si="721"/>
        <v>0</v>
      </c>
      <c r="V919" s="5">
        <f t="shared" si="735"/>
        <v>0</v>
      </c>
      <c r="W919" s="4" t="e">
        <f t="shared" si="736"/>
        <v>#DIV/0!</v>
      </c>
      <c r="X919" s="14">
        <f t="shared" si="694"/>
        <v>0</v>
      </c>
      <c r="Y919" s="5">
        <f t="shared" si="695"/>
        <v>0</v>
      </c>
      <c r="Z919" s="2">
        <f t="shared" si="696"/>
        <v>0</v>
      </c>
      <c r="AA919" s="4">
        <f t="shared" si="697"/>
        <v>0</v>
      </c>
      <c r="AB919" s="13">
        <f t="shared" si="698"/>
        <v>0</v>
      </c>
      <c r="AC919" s="10">
        <f>SUM($E$4:E919)</f>
        <v>-22024.091160220025</v>
      </c>
      <c r="AD919" s="20">
        <f>SUM($AB$4:AB919)</f>
        <v>13539.766460219998</v>
      </c>
      <c r="AF919" s="28" t="e">
        <f t="shared" si="699"/>
        <v>#DIV/0!</v>
      </c>
      <c r="AG919" s="2" t="e">
        <f t="shared" si="700"/>
        <v>#DIV/0!</v>
      </c>
      <c r="AH919" s="2" t="e">
        <f t="shared" si="701"/>
        <v>#DIV/0!</v>
      </c>
      <c r="AI919" s="2" t="e">
        <f t="shared" si="722"/>
        <v>#DIV/0!</v>
      </c>
      <c r="AJ919" s="2" t="e">
        <f t="shared" si="689"/>
        <v>#DIV/0!</v>
      </c>
      <c r="AK919" s="2" t="e">
        <f t="shared" si="702"/>
        <v>#DIV/0!</v>
      </c>
      <c r="AL919" s="2" t="e">
        <f t="shared" si="703"/>
        <v>#DIV/0!</v>
      </c>
      <c r="AM919" s="2" t="e">
        <f t="shared" si="723"/>
        <v>#DIV/0!</v>
      </c>
      <c r="AN919" s="2">
        <f t="shared" si="704"/>
        <v>0</v>
      </c>
      <c r="AO919" s="2" t="e">
        <f t="shared" si="705"/>
        <v>#DIV/0!</v>
      </c>
      <c r="AP919" s="2" t="e">
        <f t="shared" si="706"/>
        <v>#DIV/0!</v>
      </c>
      <c r="AQ919" s="2" t="e">
        <f t="shared" si="724"/>
        <v>#DIV/0!</v>
      </c>
      <c r="AR919" s="2" t="e">
        <f t="shared" si="690"/>
        <v>#DIV/0!</v>
      </c>
      <c r="AS919" s="2" t="e">
        <f t="shared" si="707"/>
        <v>#DIV/0!</v>
      </c>
      <c r="AT919" s="2" t="e">
        <f t="shared" si="708"/>
        <v>#DIV/0!</v>
      </c>
      <c r="AU919" s="2" t="e">
        <f t="shared" si="725"/>
        <v>#DIV/0!</v>
      </c>
      <c r="AV919" s="2" t="e">
        <f t="shared" si="709"/>
        <v>#DIV/0!</v>
      </c>
      <c r="AW919" s="2" t="e">
        <f t="shared" si="710"/>
        <v>#DIV/0!</v>
      </c>
      <c r="AX919" s="2" t="e">
        <f t="shared" si="711"/>
        <v>#DIV/0!</v>
      </c>
      <c r="AY919" s="2" t="e">
        <f t="shared" si="726"/>
        <v>#DIV/0!</v>
      </c>
      <c r="AZ919" s="2" t="e">
        <f t="shared" si="691"/>
        <v>#DIV/0!</v>
      </c>
      <c r="BA919" s="2" t="e">
        <f t="shared" si="712"/>
        <v>#DIV/0!</v>
      </c>
      <c r="BB919" s="2" t="e">
        <f t="shared" si="713"/>
        <v>#DIV/0!</v>
      </c>
      <c r="BC919" s="2" t="e">
        <f t="shared" si="727"/>
        <v>#DIV/0!</v>
      </c>
      <c r="BD919" s="2">
        <v>0</v>
      </c>
      <c r="BE919" s="2" t="e">
        <f t="shared" si="714"/>
        <v>#DIV/0!</v>
      </c>
      <c r="BF919" s="2" t="e">
        <f t="shared" si="715"/>
        <v>#DIV/0!</v>
      </c>
      <c r="BG919" s="2" t="e">
        <f t="shared" si="728"/>
        <v>#DIV/0!</v>
      </c>
      <c r="BH919" s="2" t="e">
        <f t="shared" si="692"/>
        <v>#DIV/0!</v>
      </c>
      <c r="BI919" s="2" t="e">
        <f t="shared" si="716"/>
        <v>#DIV/0!</v>
      </c>
      <c r="BJ919" s="2" t="e">
        <f t="shared" si="717"/>
        <v>#DIV/0!</v>
      </c>
      <c r="BK919" s="2" t="e">
        <f t="shared" si="729"/>
        <v>#DIV/0!</v>
      </c>
      <c r="BL919" s="2" t="e">
        <f t="shared" si="718"/>
        <v>#DIV/0!</v>
      </c>
      <c r="BM919" s="2" t="e">
        <f t="shared" si="719"/>
        <v>#DIV/0!</v>
      </c>
      <c r="BN919" s="2" t="e">
        <f t="shared" si="730"/>
        <v>#DIV/0!</v>
      </c>
    </row>
    <row r="920" spans="1:66" x14ac:dyDescent="0.25">
      <c r="A920" s="42">
        <v>917</v>
      </c>
      <c r="E920" s="6">
        <f t="shared" si="720"/>
        <v>0</v>
      </c>
      <c r="F920" s="5" t="str">
        <f t="shared" si="731"/>
        <v>Break Even</v>
      </c>
      <c r="G920" s="4">
        <f t="shared" si="732"/>
        <v>0</v>
      </c>
      <c r="N920" s="5">
        <f t="shared" si="733"/>
        <v>0</v>
      </c>
      <c r="O920" s="4" t="e">
        <f t="shared" si="734"/>
        <v>#DIV/0!</v>
      </c>
      <c r="P920" s="5">
        <f t="shared" si="693"/>
        <v>0</v>
      </c>
      <c r="R920" s="2">
        <f t="shared" si="688"/>
        <v>0</v>
      </c>
      <c r="T920" s="2">
        <f t="shared" si="721"/>
        <v>0</v>
      </c>
      <c r="V920" s="5">
        <f t="shared" si="735"/>
        <v>0</v>
      </c>
      <c r="W920" s="4" t="e">
        <f t="shared" si="736"/>
        <v>#DIV/0!</v>
      </c>
      <c r="X920" s="14">
        <f t="shared" si="694"/>
        <v>0</v>
      </c>
      <c r="Y920" s="5">
        <f t="shared" si="695"/>
        <v>0</v>
      </c>
      <c r="Z920" s="2">
        <f t="shared" si="696"/>
        <v>0</v>
      </c>
      <c r="AA920" s="4">
        <f t="shared" si="697"/>
        <v>0</v>
      </c>
      <c r="AB920" s="13">
        <f t="shared" si="698"/>
        <v>0</v>
      </c>
      <c r="AC920" s="10">
        <f>SUM($E$4:E920)</f>
        <v>-22024.091160220025</v>
      </c>
      <c r="AD920" s="20">
        <f>SUM($AB$4:AB920)</f>
        <v>13539.766460219998</v>
      </c>
      <c r="AF920" s="28" t="e">
        <f t="shared" si="699"/>
        <v>#DIV/0!</v>
      </c>
      <c r="AG920" s="2" t="e">
        <f t="shared" si="700"/>
        <v>#DIV/0!</v>
      </c>
      <c r="AH920" s="2" t="e">
        <f t="shared" si="701"/>
        <v>#DIV/0!</v>
      </c>
      <c r="AI920" s="2" t="e">
        <f t="shared" si="722"/>
        <v>#DIV/0!</v>
      </c>
      <c r="AJ920" s="2" t="e">
        <f t="shared" si="689"/>
        <v>#DIV/0!</v>
      </c>
      <c r="AK920" s="2" t="e">
        <f t="shared" si="702"/>
        <v>#DIV/0!</v>
      </c>
      <c r="AL920" s="2" t="e">
        <f t="shared" si="703"/>
        <v>#DIV/0!</v>
      </c>
      <c r="AM920" s="2" t="e">
        <f t="shared" si="723"/>
        <v>#DIV/0!</v>
      </c>
      <c r="AN920" s="2">
        <f t="shared" si="704"/>
        <v>0</v>
      </c>
      <c r="AO920" s="2" t="e">
        <f t="shared" si="705"/>
        <v>#DIV/0!</v>
      </c>
      <c r="AP920" s="2" t="e">
        <f t="shared" si="706"/>
        <v>#DIV/0!</v>
      </c>
      <c r="AQ920" s="2" t="e">
        <f t="shared" si="724"/>
        <v>#DIV/0!</v>
      </c>
      <c r="AR920" s="2" t="e">
        <f t="shared" si="690"/>
        <v>#DIV/0!</v>
      </c>
      <c r="AS920" s="2" t="e">
        <f t="shared" si="707"/>
        <v>#DIV/0!</v>
      </c>
      <c r="AT920" s="2" t="e">
        <f t="shared" si="708"/>
        <v>#DIV/0!</v>
      </c>
      <c r="AU920" s="2" t="e">
        <f t="shared" si="725"/>
        <v>#DIV/0!</v>
      </c>
      <c r="AV920" s="2" t="e">
        <f t="shared" si="709"/>
        <v>#DIV/0!</v>
      </c>
      <c r="AW920" s="2" t="e">
        <f t="shared" si="710"/>
        <v>#DIV/0!</v>
      </c>
      <c r="AX920" s="2" t="e">
        <f t="shared" si="711"/>
        <v>#DIV/0!</v>
      </c>
      <c r="AY920" s="2" t="e">
        <f t="shared" si="726"/>
        <v>#DIV/0!</v>
      </c>
      <c r="AZ920" s="2" t="e">
        <f t="shared" si="691"/>
        <v>#DIV/0!</v>
      </c>
      <c r="BA920" s="2" t="e">
        <f t="shared" si="712"/>
        <v>#DIV/0!</v>
      </c>
      <c r="BB920" s="2" t="e">
        <f t="shared" si="713"/>
        <v>#DIV/0!</v>
      </c>
      <c r="BC920" s="2" t="e">
        <f t="shared" si="727"/>
        <v>#DIV/0!</v>
      </c>
      <c r="BD920" s="2">
        <v>0</v>
      </c>
      <c r="BE920" s="2" t="e">
        <f t="shared" si="714"/>
        <v>#DIV/0!</v>
      </c>
      <c r="BF920" s="2" t="e">
        <f t="shared" si="715"/>
        <v>#DIV/0!</v>
      </c>
      <c r="BG920" s="2" t="e">
        <f t="shared" si="728"/>
        <v>#DIV/0!</v>
      </c>
      <c r="BH920" s="2" t="e">
        <f t="shared" si="692"/>
        <v>#DIV/0!</v>
      </c>
      <c r="BI920" s="2" t="e">
        <f t="shared" si="716"/>
        <v>#DIV/0!</v>
      </c>
      <c r="BJ920" s="2" t="e">
        <f t="shared" si="717"/>
        <v>#DIV/0!</v>
      </c>
      <c r="BK920" s="2" t="e">
        <f t="shared" si="729"/>
        <v>#DIV/0!</v>
      </c>
      <c r="BL920" s="2" t="e">
        <f t="shared" si="718"/>
        <v>#DIV/0!</v>
      </c>
      <c r="BM920" s="2" t="e">
        <f t="shared" si="719"/>
        <v>#DIV/0!</v>
      </c>
      <c r="BN920" s="2" t="e">
        <f t="shared" si="730"/>
        <v>#DIV/0!</v>
      </c>
    </row>
    <row r="921" spans="1:66" x14ac:dyDescent="0.25">
      <c r="A921" s="42">
        <v>918</v>
      </c>
      <c r="E921" s="6">
        <f t="shared" si="720"/>
        <v>0</v>
      </c>
      <c r="F921" s="5" t="str">
        <f t="shared" si="731"/>
        <v>Break Even</v>
      </c>
      <c r="G921" s="4">
        <f t="shared" si="732"/>
        <v>0</v>
      </c>
      <c r="N921" s="5">
        <f t="shared" si="733"/>
        <v>0</v>
      </c>
      <c r="O921" s="4" t="e">
        <f t="shared" si="734"/>
        <v>#DIV/0!</v>
      </c>
      <c r="P921" s="5">
        <f t="shared" si="693"/>
        <v>0</v>
      </c>
      <c r="R921" s="2">
        <f t="shared" si="688"/>
        <v>0</v>
      </c>
      <c r="T921" s="2">
        <f t="shared" si="721"/>
        <v>0</v>
      </c>
      <c r="V921" s="5">
        <f t="shared" si="735"/>
        <v>0</v>
      </c>
      <c r="W921" s="4" t="e">
        <f t="shared" si="736"/>
        <v>#DIV/0!</v>
      </c>
      <c r="X921" s="14">
        <f t="shared" si="694"/>
        <v>0</v>
      </c>
      <c r="Y921" s="5">
        <f t="shared" si="695"/>
        <v>0</v>
      </c>
      <c r="Z921" s="2">
        <f t="shared" si="696"/>
        <v>0</v>
      </c>
      <c r="AA921" s="4">
        <f t="shared" si="697"/>
        <v>0</v>
      </c>
      <c r="AB921" s="13">
        <f t="shared" si="698"/>
        <v>0</v>
      </c>
      <c r="AC921" s="10">
        <f>SUM($E$4:E921)</f>
        <v>-22024.091160220025</v>
      </c>
      <c r="AD921" s="20">
        <f>SUM($AB$4:AB921)</f>
        <v>13539.766460219998</v>
      </c>
      <c r="AF921" s="28" t="e">
        <f t="shared" si="699"/>
        <v>#DIV/0!</v>
      </c>
      <c r="AG921" s="2" t="e">
        <f t="shared" si="700"/>
        <v>#DIV/0!</v>
      </c>
      <c r="AH921" s="2" t="e">
        <f t="shared" si="701"/>
        <v>#DIV/0!</v>
      </c>
      <c r="AI921" s="2" t="e">
        <f t="shared" si="722"/>
        <v>#DIV/0!</v>
      </c>
      <c r="AJ921" s="2" t="e">
        <f t="shared" si="689"/>
        <v>#DIV/0!</v>
      </c>
      <c r="AK921" s="2" t="e">
        <f t="shared" si="702"/>
        <v>#DIV/0!</v>
      </c>
      <c r="AL921" s="2" t="e">
        <f t="shared" si="703"/>
        <v>#DIV/0!</v>
      </c>
      <c r="AM921" s="2" t="e">
        <f t="shared" si="723"/>
        <v>#DIV/0!</v>
      </c>
      <c r="AN921" s="2">
        <f t="shared" si="704"/>
        <v>0</v>
      </c>
      <c r="AO921" s="2" t="e">
        <f t="shared" si="705"/>
        <v>#DIV/0!</v>
      </c>
      <c r="AP921" s="2" t="e">
        <f t="shared" si="706"/>
        <v>#DIV/0!</v>
      </c>
      <c r="AQ921" s="2" t="e">
        <f t="shared" si="724"/>
        <v>#DIV/0!</v>
      </c>
      <c r="AR921" s="2" t="e">
        <f t="shared" si="690"/>
        <v>#DIV/0!</v>
      </c>
      <c r="AS921" s="2" t="e">
        <f t="shared" si="707"/>
        <v>#DIV/0!</v>
      </c>
      <c r="AT921" s="2" t="e">
        <f t="shared" si="708"/>
        <v>#DIV/0!</v>
      </c>
      <c r="AU921" s="2" t="e">
        <f t="shared" si="725"/>
        <v>#DIV/0!</v>
      </c>
      <c r="AV921" s="2" t="e">
        <f t="shared" si="709"/>
        <v>#DIV/0!</v>
      </c>
      <c r="AW921" s="2" t="e">
        <f t="shared" si="710"/>
        <v>#DIV/0!</v>
      </c>
      <c r="AX921" s="2" t="e">
        <f t="shared" si="711"/>
        <v>#DIV/0!</v>
      </c>
      <c r="AY921" s="2" t="e">
        <f t="shared" si="726"/>
        <v>#DIV/0!</v>
      </c>
      <c r="AZ921" s="2" t="e">
        <f t="shared" si="691"/>
        <v>#DIV/0!</v>
      </c>
      <c r="BA921" s="2" t="e">
        <f t="shared" si="712"/>
        <v>#DIV/0!</v>
      </c>
      <c r="BB921" s="2" t="e">
        <f t="shared" si="713"/>
        <v>#DIV/0!</v>
      </c>
      <c r="BC921" s="2" t="e">
        <f t="shared" si="727"/>
        <v>#DIV/0!</v>
      </c>
      <c r="BD921" s="2">
        <v>0</v>
      </c>
      <c r="BE921" s="2" t="e">
        <f t="shared" si="714"/>
        <v>#DIV/0!</v>
      </c>
      <c r="BF921" s="2" t="e">
        <f t="shared" si="715"/>
        <v>#DIV/0!</v>
      </c>
      <c r="BG921" s="2" t="e">
        <f t="shared" si="728"/>
        <v>#DIV/0!</v>
      </c>
      <c r="BH921" s="2" t="e">
        <f t="shared" si="692"/>
        <v>#DIV/0!</v>
      </c>
      <c r="BI921" s="2" t="e">
        <f t="shared" si="716"/>
        <v>#DIV/0!</v>
      </c>
      <c r="BJ921" s="2" t="e">
        <f t="shared" si="717"/>
        <v>#DIV/0!</v>
      </c>
      <c r="BK921" s="2" t="e">
        <f t="shared" si="729"/>
        <v>#DIV/0!</v>
      </c>
      <c r="BL921" s="2" t="e">
        <f t="shared" si="718"/>
        <v>#DIV/0!</v>
      </c>
      <c r="BM921" s="2" t="e">
        <f t="shared" si="719"/>
        <v>#DIV/0!</v>
      </c>
      <c r="BN921" s="2" t="e">
        <f t="shared" si="730"/>
        <v>#DIV/0!</v>
      </c>
    </row>
    <row r="922" spans="1:66" x14ac:dyDescent="0.25">
      <c r="A922" s="42">
        <v>919</v>
      </c>
      <c r="E922" s="6">
        <f t="shared" si="720"/>
        <v>0</v>
      </c>
      <c r="F922" s="5" t="str">
        <f t="shared" si="731"/>
        <v>Break Even</v>
      </c>
      <c r="G922" s="4">
        <f t="shared" si="732"/>
        <v>0</v>
      </c>
      <c r="N922" s="5">
        <f t="shared" si="733"/>
        <v>0</v>
      </c>
      <c r="O922" s="4" t="e">
        <f t="shared" si="734"/>
        <v>#DIV/0!</v>
      </c>
      <c r="P922" s="5">
        <f t="shared" si="693"/>
        <v>0</v>
      </c>
      <c r="R922" s="2">
        <f t="shared" si="688"/>
        <v>0</v>
      </c>
      <c r="T922" s="2">
        <f t="shared" si="721"/>
        <v>0</v>
      </c>
      <c r="V922" s="5">
        <f t="shared" si="735"/>
        <v>0</v>
      </c>
      <c r="W922" s="4" t="e">
        <f t="shared" si="736"/>
        <v>#DIV/0!</v>
      </c>
      <c r="X922" s="14">
        <f t="shared" si="694"/>
        <v>0</v>
      </c>
      <c r="Y922" s="5">
        <f t="shared" si="695"/>
        <v>0</v>
      </c>
      <c r="Z922" s="2">
        <f t="shared" si="696"/>
        <v>0</v>
      </c>
      <c r="AA922" s="4">
        <f t="shared" si="697"/>
        <v>0</v>
      </c>
      <c r="AB922" s="13">
        <f t="shared" si="698"/>
        <v>0</v>
      </c>
      <c r="AC922" s="10">
        <f>SUM($E$4:E922)</f>
        <v>-22024.091160220025</v>
      </c>
      <c r="AD922" s="20">
        <f>SUM($AB$4:AB922)</f>
        <v>13539.766460219998</v>
      </c>
      <c r="AF922" s="28" t="e">
        <f t="shared" si="699"/>
        <v>#DIV/0!</v>
      </c>
      <c r="AG922" s="2" t="e">
        <f t="shared" si="700"/>
        <v>#DIV/0!</v>
      </c>
      <c r="AH922" s="2" t="e">
        <f t="shared" si="701"/>
        <v>#DIV/0!</v>
      </c>
      <c r="AI922" s="2" t="e">
        <f t="shared" si="722"/>
        <v>#DIV/0!</v>
      </c>
      <c r="AJ922" s="2" t="e">
        <f t="shared" si="689"/>
        <v>#DIV/0!</v>
      </c>
      <c r="AK922" s="2" t="e">
        <f t="shared" si="702"/>
        <v>#DIV/0!</v>
      </c>
      <c r="AL922" s="2" t="e">
        <f t="shared" si="703"/>
        <v>#DIV/0!</v>
      </c>
      <c r="AM922" s="2" t="e">
        <f t="shared" si="723"/>
        <v>#DIV/0!</v>
      </c>
      <c r="AN922" s="2">
        <f t="shared" si="704"/>
        <v>0</v>
      </c>
      <c r="AO922" s="2" t="e">
        <f t="shared" si="705"/>
        <v>#DIV/0!</v>
      </c>
      <c r="AP922" s="2" t="e">
        <f t="shared" si="706"/>
        <v>#DIV/0!</v>
      </c>
      <c r="AQ922" s="2" t="e">
        <f t="shared" si="724"/>
        <v>#DIV/0!</v>
      </c>
      <c r="AR922" s="2" t="e">
        <f t="shared" si="690"/>
        <v>#DIV/0!</v>
      </c>
      <c r="AS922" s="2" t="e">
        <f t="shared" si="707"/>
        <v>#DIV/0!</v>
      </c>
      <c r="AT922" s="2" t="e">
        <f t="shared" si="708"/>
        <v>#DIV/0!</v>
      </c>
      <c r="AU922" s="2" t="e">
        <f t="shared" si="725"/>
        <v>#DIV/0!</v>
      </c>
      <c r="AV922" s="2" t="e">
        <f t="shared" si="709"/>
        <v>#DIV/0!</v>
      </c>
      <c r="AW922" s="2" t="e">
        <f t="shared" si="710"/>
        <v>#DIV/0!</v>
      </c>
      <c r="AX922" s="2" t="e">
        <f t="shared" si="711"/>
        <v>#DIV/0!</v>
      </c>
      <c r="AY922" s="2" t="e">
        <f t="shared" si="726"/>
        <v>#DIV/0!</v>
      </c>
      <c r="AZ922" s="2" t="e">
        <f t="shared" si="691"/>
        <v>#DIV/0!</v>
      </c>
      <c r="BA922" s="2" t="e">
        <f t="shared" si="712"/>
        <v>#DIV/0!</v>
      </c>
      <c r="BB922" s="2" t="e">
        <f t="shared" si="713"/>
        <v>#DIV/0!</v>
      </c>
      <c r="BC922" s="2" t="e">
        <f t="shared" si="727"/>
        <v>#DIV/0!</v>
      </c>
      <c r="BD922" s="2">
        <v>0</v>
      </c>
      <c r="BE922" s="2" t="e">
        <f t="shared" si="714"/>
        <v>#DIV/0!</v>
      </c>
      <c r="BF922" s="2" t="e">
        <f t="shared" si="715"/>
        <v>#DIV/0!</v>
      </c>
      <c r="BG922" s="2" t="e">
        <f t="shared" si="728"/>
        <v>#DIV/0!</v>
      </c>
      <c r="BH922" s="2" t="e">
        <f t="shared" si="692"/>
        <v>#DIV/0!</v>
      </c>
      <c r="BI922" s="2" t="e">
        <f t="shared" si="716"/>
        <v>#DIV/0!</v>
      </c>
      <c r="BJ922" s="2" t="e">
        <f t="shared" si="717"/>
        <v>#DIV/0!</v>
      </c>
      <c r="BK922" s="2" t="e">
        <f t="shared" si="729"/>
        <v>#DIV/0!</v>
      </c>
      <c r="BL922" s="2" t="e">
        <f t="shared" si="718"/>
        <v>#DIV/0!</v>
      </c>
      <c r="BM922" s="2" t="e">
        <f t="shared" si="719"/>
        <v>#DIV/0!</v>
      </c>
      <c r="BN922" s="2" t="e">
        <f t="shared" si="730"/>
        <v>#DIV/0!</v>
      </c>
    </row>
    <row r="923" spans="1:66" x14ac:dyDescent="0.25">
      <c r="A923" s="42">
        <v>920</v>
      </c>
      <c r="E923" s="6">
        <f t="shared" si="720"/>
        <v>0</v>
      </c>
      <c r="F923" s="5" t="str">
        <f t="shared" si="731"/>
        <v>Break Even</v>
      </c>
      <c r="G923" s="4">
        <f t="shared" si="732"/>
        <v>0</v>
      </c>
      <c r="N923" s="5">
        <f t="shared" si="733"/>
        <v>0</v>
      </c>
      <c r="O923" s="4" t="e">
        <f t="shared" si="734"/>
        <v>#DIV/0!</v>
      </c>
      <c r="P923" s="5">
        <f t="shared" si="693"/>
        <v>0</v>
      </c>
      <c r="R923" s="2">
        <f t="shared" si="688"/>
        <v>0</v>
      </c>
      <c r="T923" s="2">
        <f t="shared" si="721"/>
        <v>0</v>
      </c>
      <c r="V923" s="5">
        <f t="shared" si="735"/>
        <v>0</v>
      </c>
      <c r="W923" s="4" t="e">
        <f t="shared" si="736"/>
        <v>#DIV/0!</v>
      </c>
      <c r="X923" s="14">
        <f t="shared" si="694"/>
        <v>0</v>
      </c>
      <c r="Y923" s="5">
        <f t="shared" si="695"/>
        <v>0</v>
      </c>
      <c r="Z923" s="2">
        <f t="shared" si="696"/>
        <v>0</v>
      </c>
      <c r="AA923" s="4">
        <f t="shared" si="697"/>
        <v>0</v>
      </c>
      <c r="AB923" s="13">
        <f t="shared" si="698"/>
        <v>0</v>
      </c>
      <c r="AC923" s="10">
        <f>SUM($E$4:E923)</f>
        <v>-22024.091160220025</v>
      </c>
      <c r="AD923" s="20">
        <f>SUM($AB$4:AB923)</f>
        <v>13539.766460219998</v>
      </c>
      <c r="AF923" s="28" t="e">
        <f t="shared" si="699"/>
        <v>#DIV/0!</v>
      </c>
      <c r="AG923" s="2" t="e">
        <f t="shared" si="700"/>
        <v>#DIV/0!</v>
      </c>
      <c r="AH923" s="2" t="e">
        <f t="shared" si="701"/>
        <v>#DIV/0!</v>
      </c>
      <c r="AI923" s="2" t="e">
        <f t="shared" si="722"/>
        <v>#DIV/0!</v>
      </c>
      <c r="AJ923" s="2" t="e">
        <f t="shared" si="689"/>
        <v>#DIV/0!</v>
      </c>
      <c r="AK923" s="2" t="e">
        <f t="shared" si="702"/>
        <v>#DIV/0!</v>
      </c>
      <c r="AL923" s="2" t="e">
        <f t="shared" si="703"/>
        <v>#DIV/0!</v>
      </c>
      <c r="AM923" s="2" t="e">
        <f t="shared" si="723"/>
        <v>#DIV/0!</v>
      </c>
      <c r="AN923" s="2">
        <f t="shared" si="704"/>
        <v>0</v>
      </c>
      <c r="AO923" s="2" t="e">
        <f t="shared" si="705"/>
        <v>#DIV/0!</v>
      </c>
      <c r="AP923" s="2" t="e">
        <f t="shared" si="706"/>
        <v>#DIV/0!</v>
      </c>
      <c r="AQ923" s="2" t="e">
        <f t="shared" si="724"/>
        <v>#DIV/0!</v>
      </c>
      <c r="AR923" s="2" t="e">
        <f t="shared" si="690"/>
        <v>#DIV/0!</v>
      </c>
      <c r="AS923" s="2" t="e">
        <f t="shared" si="707"/>
        <v>#DIV/0!</v>
      </c>
      <c r="AT923" s="2" t="e">
        <f t="shared" si="708"/>
        <v>#DIV/0!</v>
      </c>
      <c r="AU923" s="2" t="e">
        <f t="shared" si="725"/>
        <v>#DIV/0!</v>
      </c>
      <c r="AV923" s="2" t="e">
        <f t="shared" si="709"/>
        <v>#DIV/0!</v>
      </c>
      <c r="AW923" s="2" t="e">
        <f t="shared" si="710"/>
        <v>#DIV/0!</v>
      </c>
      <c r="AX923" s="2" t="e">
        <f t="shared" si="711"/>
        <v>#DIV/0!</v>
      </c>
      <c r="AY923" s="2" t="e">
        <f t="shared" si="726"/>
        <v>#DIV/0!</v>
      </c>
      <c r="AZ923" s="2" t="e">
        <f t="shared" si="691"/>
        <v>#DIV/0!</v>
      </c>
      <c r="BA923" s="2" t="e">
        <f t="shared" si="712"/>
        <v>#DIV/0!</v>
      </c>
      <c r="BB923" s="2" t="e">
        <f t="shared" si="713"/>
        <v>#DIV/0!</v>
      </c>
      <c r="BC923" s="2" t="e">
        <f t="shared" si="727"/>
        <v>#DIV/0!</v>
      </c>
      <c r="BD923" s="2">
        <v>0</v>
      </c>
      <c r="BE923" s="2" t="e">
        <f t="shared" si="714"/>
        <v>#DIV/0!</v>
      </c>
      <c r="BF923" s="2" t="e">
        <f t="shared" si="715"/>
        <v>#DIV/0!</v>
      </c>
      <c r="BG923" s="2" t="e">
        <f t="shared" si="728"/>
        <v>#DIV/0!</v>
      </c>
      <c r="BH923" s="2" t="e">
        <f t="shared" si="692"/>
        <v>#DIV/0!</v>
      </c>
      <c r="BI923" s="2" t="e">
        <f t="shared" si="716"/>
        <v>#DIV/0!</v>
      </c>
      <c r="BJ923" s="2" t="e">
        <f t="shared" si="717"/>
        <v>#DIV/0!</v>
      </c>
      <c r="BK923" s="2" t="e">
        <f t="shared" si="729"/>
        <v>#DIV/0!</v>
      </c>
      <c r="BL923" s="2" t="e">
        <f t="shared" si="718"/>
        <v>#DIV/0!</v>
      </c>
      <c r="BM923" s="2" t="e">
        <f t="shared" si="719"/>
        <v>#DIV/0!</v>
      </c>
      <c r="BN923" s="2" t="e">
        <f t="shared" si="730"/>
        <v>#DIV/0!</v>
      </c>
    </row>
    <row r="924" spans="1:66" x14ac:dyDescent="0.25">
      <c r="A924" s="42">
        <v>921</v>
      </c>
      <c r="E924" s="6">
        <f t="shared" si="720"/>
        <v>0</v>
      </c>
      <c r="F924" s="5" t="str">
        <f t="shared" si="731"/>
        <v>Break Even</v>
      </c>
      <c r="G924" s="4">
        <f t="shared" si="732"/>
        <v>0</v>
      </c>
      <c r="N924" s="5">
        <f t="shared" si="733"/>
        <v>0</v>
      </c>
      <c r="O924" s="4" t="e">
        <f t="shared" si="734"/>
        <v>#DIV/0!</v>
      </c>
      <c r="P924" s="5">
        <f t="shared" si="693"/>
        <v>0</v>
      </c>
      <c r="R924" s="2">
        <f t="shared" si="688"/>
        <v>0</v>
      </c>
      <c r="T924" s="2">
        <f t="shared" si="721"/>
        <v>0</v>
      </c>
      <c r="V924" s="5">
        <f t="shared" si="735"/>
        <v>0</v>
      </c>
      <c r="W924" s="4" t="e">
        <f t="shared" si="736"/>
        <v>#DIV/0!</v>
      </c>
      <c r="X924" s="14">
        <f t="shared" si="694"/>
        <v>0</v>
      </c>
      <c r="Y924" s="5">
        <f t="shared" si="695"/>
        <v>0</v>
      </c>
      <c r="Z924" s="2">
        <f t="shared" si="696"/>
        <v>0</v>
      </c>
      <c r="AA924" s="4">
        <f t="shared" si="697"/>
        <v>0</v>
      </c>
      <c r="AB924" s="13">
        <f t="shared" si="698"/>
        <v>0</v>
      </c>
      <c r="AC924" s="10">
        <f>SUM($E$4:E924)</f>
        <v>-22024.091160220025</v>
      </c>
      <c r="AD924" s="20">
        <f>SUM($AB$4:AB924)</f>
        <v>13539.766460219998</v>
      </c>
      <c r="AF924" s="28" t="e">
        <f t="shared" si="699"/>
        <v>#DIV/0!</v>
      </c>
      <c r="AG924" s="2" t="e">
        <f t="shared" si="700"/>
        <v>#DIV/0!</v>
      </c>
      <c r="AH924" s="2" t="e">
        <f t="shared" si="701"/>
        <v>#DIV/0!</v>
      </c>
      <c r="AI924" s="2" t="e">
        <f t="shared" si="722"/>
        <v>#DIV/0!</v>
      </c>
      <c r="AJ924" s="2" t="e">
        <f t="shared" si="689"/>
        <v>#DIV/0!</v>
      </c>
      <c r="AK924" s="2" t="e">
        <f t="shared" si="702"/>
        <v>#DIV/0!</v>
      </c>
      <c r="AL924" s="2" t="e">
        <f t="shared" si="703"/>
        <v>#DIV/0!</v>
      </c>
      <c r="AM924" s="2" t="e">
        <f t="shared" si="723"/>
        <v>#DIV/0!</v>
      </c>
      <c r="AN924" s="2">
        <f t="shared" si="704"/>
        <v>0</v>
      </c>
      <c r="AO924" s="2" t="e">
        <f t="shared" si="705"/>
        <v>#DIV/0!</v>
      </c>
      <c r="AP924" s="2" t="e">
        <f t="shared" si="706"/>
        <v>#DIV/0!</v>
      </c>
      <c r="AQ924" s="2" t="e">
        <f t="shared" si="724"/>
        <v>#DIV/0!</v>
      </c>
      <c r="AR924" s="2" t="e">
        <f t="shared" si="690"/>
        <v>#DIV/0!</v>
      </c>
      <c r="AS924" s="2" t="e">
        <f t="shared" si="707"/>
        <v>#DIV/0!</v>
      </c>
      <c r="AT924" s="2" t="e">
        <f t="shared" si="708"/>
        <v>#DIV/0!</v>
      </c>
      <c r="AU924" s="2" t="e">
        <f t="shared" si="725"/>
        <v>#DIV/0!</v>
      </c>
      <c r="AV924" s="2" t="e">
        <f t="shared" si="709"/>
        <v>#DIV/0!</v>
      </c>
      <c r="AW924" s="2" t="e">
        <f t="shared" si="710"/>
        <v>#DIV/0!</v>
      </c>
      <c r="AX924" s="2" t="e">
        <f t="shared" si="711"/>
        <v>#DIV/0!</v>
      </c>
      <c r="AY924" s="2" t="e">
        <f t="shared" si="726"/>
        <v>#DIV/0!</v>
      </c>
      <c r="AZ924" s="2" t="e">
        <f t="shared" si="691"/>
        <v>#DIV/0!</v>
      </c>
      <c r="BA924" s="2" t="e">
        <f t="shared" si="712"/>
        <v>#DIV/0!</v>
      </c>
      <c r="BB924" s="2" t="e">
        <f t="shared" si="713"/>
        <v>#DIV/0!</v>
      </c>
      <c r="BC924" s="2" t="e">
        <f t="shared" si="727"/>
        <v>#DIV/0!</v>
      </c>
      <c r="BD924" s="2">
        <v>0</v>
      </c>
      <c r="BE924" s="2" t="e">
        <f t="shared" si="714"/>
        <v>#DIV/0!</v>
      </c>
      <c r="BF924" s="2" t="e">
        <f t="shared" si="715"/>
        <v>#DIV/0!</v>
      </c>
      <c r="BG924" s="2" t="e">
        <f t="shared" si="728"/>
        <v>#DIV/0!</v>
      </c>
      <c r="BH924" s="2" t="e">
        <f t="shared" si="692"/>
        <v>#DIV/0!</v>
      </c>
      <c r="BI924" s="2" t="e">
        <f t="shared" si="716"/>
        <v>#DIV/0!</v>
      </c>
      <c r="BJ924" s="2" t="e">
        <f t="shared" si="717"/>
        <v>#DIV/0!</v>
      </c>
      <c r="BK924" s="2" t="e">
        <f t="shared" si="729"/>
        <v>#DIV/0!</v>
      </c>
      <c r="BL924" s="2" t="e">
        <f t="shared" si="718"/>
        <v>#DIV/0!</v>
      </c>
      <c r="BM924" s="2" t="e">
        <f t="shared" si="719"/>
        <v>#DIV/0!</v>
      </c>
      <c r="BN924" s="2" t="e">
        <f t="shared" si="730"/>
        <v>#DIV/0!</v>
      </c>
    </row>
    <row r="925" spans="1:66" x14ac:dyDescent="0.25">
      <c r="A925" s="42">
        <v>922</v>
      </c>
      <c r="E925" s="6">
        <f t="shared" si="720"/>
        <v>0</v>
      </c>
      <c r="F925" s="5" t="str">
        <f t="shared" si="731"/>
        <v>Break Even</v>
      </c>
      <c r="G925" s="4">
        <f t="shared" si="732"/>
        <v>0</v>
      </c>
      <c r="N925" s="5">
        <f t="shared" si="733"/>
        <v>0</v>
      </c>
      <c r="O925" s="4" t="e">
        <f t="shared" si="734"/>
        <v>#DIV/0!</v>
      </c>
      <c r="P925" s="5">
        <f t="shared" si="693"/>
        <v>0</v>
      </c>
      <c r="R925" s="2">
        <f t="shared" si="688"/>
        <v>0</v>
      </c>
      <c r="T925" s="2">
        <f t="shared" si="721"/>
        <v>0</v>
      </c>
      <c r="V925" s="5">
        <f t="shared" si="735"/>
        <v>0</v>
      </c>
      <c r="W925" s="4" t="e">
        <f t="shared" si="736"/>
        <v>#DIV/0!</v>
      </c>
      <c r="X925" s="14">
        <f t="shared" si="694"/>
        <v>0</v>
      </c>
      <c r="Y925" s="5">
        <f t="shared" si="695"/>
        <v>0</v>
      </c>
      <c r="Z925" s="2">
        <f t="shared" si="696"/>
        <v>0</v>
      </c>
      <c r="AA925" s="4">
        <f t="shared" si="697"/>
        <v>0</v>
      </c>
      <c r="AB925" s="13">
        <f t="shared" si="698"/>
        <v>0</v>
      </c>
      <c r="AC925" s="10">
        <f>SUM($E$4:E925)</f>
        <v>-22024.091160220025</v>
      </c>
      <c r="AD925" s="20">
        <f>SUM($AB$4:AB925)</f>
        <v>13539.766460219998</v>
      </c>
      <c r="AF925" s="28" t="e">
        <f t="shared" si="699"/>
        <v>#DIV/0!</v>
      </c>
      <c r="AG925" s="2" t="e">
        <f t="shared" si="700"/>
        <v>#DIV/0!</v>
      </c>
      <c r="AH925" s="2" t="e">
        <f t="shared" si="701"/>
        <v>#DIV/0!</v>
      </c>
      <c r="AI925" s="2" t="e">
        <f t="shared" si="722"/>
        <v>#DIV/0!</v>
      </c>
      <c r="AJ925" s="2" t="e">
        <f t="shared" si="689"/>
        <v>#DIV/0!</v>
      </c>
      <c r="AK925" s="2" t="e">
        <f t="shared" si="702"/>
        <v>#DIV/0!</v>
      </c>
      <c r="AL925" s="2" t="e">
        <f t="shared" si="703"/>
        <v>#DIV/0!</v>
      </c>
      <c r="AM925" s="2" t="e">
        <f t="shared" si="723"/>
        <v>#DIV/0!</v>
      </c>
      <c r="AN925" s="2">
        <f t="shared" si="704"/>
        <v>0</v>
      </c>
      <c r="AO925" s="2" t="e">
        <f t="shared" si="705"/>
        <v>#DIV/0!</v>
      </c>
      <c r="AP925" s="2" t="e">
        <f t="shared" si="706"/>
        <v>#DIV/0!</v>
      </c>
      <c r="AQ925" s="2" t="e">
        <f t="shared" si="724"/>
        <v>#DIV/0!</v>
      </c>
      <c r="AR925" s="2" t="e">
        <f t="shared" si="690"/>
        <v>#DIV/0!</v>
      </c>
      <c r="AS925" s="2" t="e">
        <f t="shared" si="707"/>
        <v>#DIV/0!</v>
      </c>
      <c r="AT925" s="2" t="e">
        <f t="shared" si="708"/>
        <v>#DIV/0!</v>
      </c>
      <c r="AU925" s="2" t="e">
        <f t="shared" si="725"/>
        <v>#DIV/0!</v>
      </c>
      <c r="AV925" s="2" t="e">
        <f t="shared" si="709"/>
        <v>#DIV/0!</v>
      </c>
      <c r="AW925" s="2" t="e">
        <f t="shared" si="710"/>
        <v>#DIV/0!</v>
      </c>
      <c r="AX925" s="2" t="e">
        <f t="shared" si="711"/>
        <v>#DIV/0!</v>
      </c>
      <c r="AY925" s="2" t="e">
        <f t="shared" si="726"/>
        <v>#DIV/0!</v>
      </c>
      <c r="AZ925" s="2" t="e">
        <f t="shared" si="691"/>
        <v>#DIV/0!</v>
      </c>
      <c r="BA925" s="2" t="e">
        <f t="shared" si="712"/>
        <v>#DIV/0!</v>
      </c>
      <c r="BB925" s="2" t="e">
        <f t="shared" si="713"/>
        <v>#DIV/0!</v>
      </c>
      <c r="BC925" s="2" t="e">
        <f t="shared" si="727"/>
        <v>#DIV/0!</v>
      </c>
      <c r="BD925" s="2">
        <v>0</v>
      </c>
      <c r="BE925" s="2" t="e">
        <f t="shared" si="714"/>
        <v>#DIV/0!</v>
      </c>
      <c r="BF925" s="2" t="e">
        <f t="shared" si="715"/>
        <v>#DIV/0!</v>
      </c>
      <c r="BG925" s="2" t="e">
        <f t="shared" si="728"/>
        <v>#DIV/0!</v>
      </c>
      <c r="BH925" s="2" t="e">
        <f t="shared" si="692"/>
        <v>#DIV/0!</v>
      </c>
      <c r="BI925" s="2" t="e">
        <f t="shared" si="716"/>
        <v>#DIV/0!</v>
      </c>
      <c r="BJ925" s="2" t="e">
        <f t="shared" si="717"/>
        <v>#DIV/0!</v>
      </c>
      <c r="BK925" s="2" t="e">
        <f t="shared" si="729"/>
        <v>#DIV/0!</v>
      </c>
      <c r="BL925" s="2" t="e">
        <f t="shared" si="718"/>
        <v>#DIV/0!</v>
      </c>
      <c r="BM925" s="2" t="e">
        <f t="shared" si="719"/>
        <v>#DIV/0!</v>
      </c>
      <c r="BN925" s="2" t="e">
        <f t="shared" si="730"/>
        <v>#DIV/0!</v>
      </c>
    </row>
    <row r="926" spans="1:66" x14ac:dyDescent="0.25">
      <c r="A926" s="42">
        <v>923</v>
      </c>
      <c r="E926" s="6">
        <f t="shared" si="720"/>
        <v>0</v>
      </c>
      <c r="F926" s="5" t="str">
        <f t="shared" si="731"/>
        <v>Break Even</v>
      </c>
      <c r="G926" s="4">
        <f t="shared" si="732"/>
        <v>0</v>
      </c>
      <c r="N926" s="5">
        <f t="shared" si="733"/>
        <v>0</v>
      </c>
      <c r="O926" s="4" t="e">
        <f t="shared" si="734"/>
        <v>#DIV/0!</v>
      </c>
      <c r="P926" s="5">
        <f t="shared" si="693"/>
        <v>0</v>
      </c>
      <c r="R926" s="2">
        <f t="shared" si="688"/>
        <v>0</v>
      </c>
      <c r="T926" s="2">
        <f t="shared" si="721"/>
        <v>0</v>
      </c>
      <c r="V926" s="5">
        <f t="shared" si="735"/>
        <v>0</v>
      </c>
      <c r="W926" s="4" t="e">
        <f t="shared" si="736"/>
        <v>#DIV/0!</v>
      </c>
      <c r="X926" s="14">
        <f t="shared" si="694"/>
        <v>0</v>
      </c>
      <c r="Y926" s="5">
        <f t="shared" si="695"/>
        <v>0</v>
      </c>
      <c r="Z926" s="2">
        <f t="shared" si="696"/>
        <v>0</v>
      </c>
      <c r="AA926" s="4">
        <f t="shared" si="697"/>
        <v>0</v>
      </c>
      <c r="AB926" s="13">
        <f t="shared" si="698"/>
        <v>0</v>
      </c>
      <c r="AC926" s="10">
        <f>SUM($E$4:E926)</f>
        <v>-22024.091160220025</v>
      </c>
      <c r="AD926" s="20">
        <f>SUM($AB$4:AB926)</f>
        <v>13539.766460219998</v>
      </c>
      <c r="AF926" s="28" t="e">
        <f t="shared" si="699"/>
        <v>#DIV/0!</v>
      </c>
      <c r="AG926" s="2" t="e">
        <f t="shared" si="700"/>
        <v>#DIV/0!</v>
      </c>
      <c r="AH926" s="2" t="e">
        <f t="shared" si="701"/>
        <v>#DIV/0!</v>
      </c>
      <c r="AI926" s="2" t="e">
        <f t="shared" si="722"/>
        <v>#DIV/0!</v>
      </c>
      <c r="AJ926" s="2" t="e">
        <f t="shared" si="689"/>
        <v>#DIV/0!</v>
      </c>
      <c r="AK926" s="2" t="e">
        <f t="shared" si="702"/>
        <v>#DIV/0!</v>
      </c>
      <c r="AL926" s="2" t="e">
        <f t="shared" si="703"/>
        <v>#DIV/0!</v>
      </c>
      <c r="AM926" s="2" t="e">
        <f t="shared" si="723"/>
        <v>#DIV/0!</v>
      </c>
      <c r="AN926" s="2">
        <f t="shared" si="704"/>
        <v>0</v>
      </c>
      <c r="AO926" s="2" t="e">
        <f t="shared" si="705"/>
        <v>#DIV/0!</v>
      </c>
      <c r="AP926" s="2" t="e">
        <f t="shared" si="706"/>
        <v>#DIV/0!</v>
      </c>
      <c r="AQ926" s="2" t="e">
        <f t="shared" si="724"/>
        <v>#DIV/0!</v>
      </c>
      <c r="AR926" s="2" t="e">
        <f t="shared" si="690"/>
        <v>#DIV/0!</v>
      </c>
      <c r="AS926" s="2" t="e">
        <f t="shared" si="707"/>
        <v>#DIV/0!</v>
      </c>
      <c r="AT926" s="2" t="e">
        <f t="shared" si="708"/>
        <v>#DIV/0!</v>
      </c>
      <c r="AU926" s="2" t="e">
        <f t="shared" si="725"/>
        <v>#DIV/0!</v>
      </c>
      <c r="AV926" s="2" t="e">
        <f t="shared" si="709"/>
        <v>#DIV/0!</v>
      </c>
      <c r="AW926" s="2" t="e">
        <f t="shared" si="710"/>
        <v>#DIV/0!</v>
      </c>
      <c r="AX926" s="2" t="e">
        <f t="shared" si="711"/>
        <v>#DIV/0!</v>
      </c>
      <c r="AY926" s="2" t="e">
        <f t="shared" si="726"/>
        <v>#DIV/0!</v>
      </c>
      <c r="AZ926" s="2" t="e">
        <f t="shared" si="691"/>
        <v>#DIV/0!</v>
      </c>
      <c r="BA926" s="2" t="e">
        <f t="shared" si="712"/>
        <v>#DIV/0!</v>
      </c>
      <c r="BB926" s="2" t="e">
        <f t="shared" si="713"/>
        <v>#DIV/0!</v>
      </c>
      <c r="BC926" s="2" t="e">
        <f t="shared" si="727"/>
        <v>#DIV/0!</v>
      </c>
      <c r="BD926" s="2">
        <v>0</v>
      </c>
      <c r="BE926" s="2" t="e">
        <f t="shared" si="714"/>
        <v>#DIV/0!</v>
      </c>
      <c r="BF926" s="2" t="e">
        <f t="shared" si="715"/>
        <v>#DIV/0!</v>
      </c>
      <c r="BG926" s="2" t="e">
        <f t="shared" si="728"/>
        <v>#DIV/0!</v>
      </c>
      <c r="BH926" s="2" t="e">
        <f t="shared" si="692"/>
        <v>#DIV/0!</v>
      </c>
      <c r="BI926" s="2" t="e">
        <f t="shared" si="716"/>
        <v>#DIV/0!</v>
      </c>
      <c r="BJ926" s="2" t="e">
        <f t="shared" si="717"/>
        <v>#DIV/0!</v>
      </c>
      <c r="BK926" s="2" t="e">
        <f t="shared" si="729"/>
        <v>#DIV/0!</v>
      </c>
      <c r="BL926" s="2" t="e">
        <f t="shared" si="718"/>
        <v>#DIV/0!</v>
      </c>
      <c r="BM926" s="2" t="e">
        <f t="shared" si="719"/>
        <v>#DIV/0!</v>
      </c>
      <c r="BN926" s="2" t="e">
        <f t="shared" si="730"/>
        <v>#DIV/0!</v>
      </c>
    </row>
    <row r="927" spans="1:66" x14ac:dyDescent="0.25">
      <c r="A927" s="42">
        <v>924</v>
      </c>
      <c r="E927" s="6">
        <f t="shared" si="720"/>
        <v>0</v>
      </c>
      <c r="F927" s="5" t="str">
        <f t="shared" si="731"/>
        <v>Break Even</v>
      </c>
      <c r="G927" s="4">
        <f t="shared" si="732"/>
        <v>0</v>
      </c>
      <c r="N927" s="5">
        <f t="shared" si="733"/>
        <v>0</v>
      </c>
      <c r="O927" s="4" t="e">
        <f t="shared" si="734"/>
        <v>#DIV/0!</v>
      </c>
      <c r="P927" s="5">
        <f t="shared" si="693"/>
        <v>0</v>
      </c>
      <c r="R927" s="2">
        <f t="shared" si="688"/>
        <v>0</v>
      </c>
      <c r="T927" s="2">
        <f t="shared" si="721"/>
        <v>0</v>
      </c>
      <c r="V927" s="5">
        <f t="shared" si="735"/>
        <v>0</v>
      </c>
      <c r="W927" s="4" t="e">
        <f t="shared" si="736"/>
        <v>#DIV/0!</v>
      </c>
      <c r="X927" s="14">
        <f t="shared" si="694"/>
        <v>0</v>
      </c>
      <c r="Y927" s="5">
        <f t="shared" si="695"/>
        <v>0</v>
      </c>
      <c r="Z927" s="2">
        <f t="shared" si="696"/>
        <v>0</v>
      </c>
      <c r="AA927" s="4">
        <f t="shared" si="697"/>
        <v>0</v>
      </c>
      <c r="AB927" s="13">
        <f t="shared" si="698"/>
        <v>0</v>
      </c>
      <c r="AC927" s="10">
        <f>SUM($E$4:E927)</f>
        <v>-22024.091160220025</v>
      </c>
      <c r="AD927" s="20">
        <f>SUM($AB$4:AB927)</f>
        <v>13539.766460219998</v>
      </c>
      <c r="AF927" s="28" t="e">
        <f t="shared" si="699"/>
        <v>#DIV/0!</v>
      </c>
      <c r="AG927" s="2" t="e">
        <f t="shared" si="700"/>
        <v>#DIV/0!</v>
      </c>
      <c r="AH927" s="2" t="e">
        <f t="shared" si="701"/>
        <v>#DIV/0!</v>
      </c>
      <c r="AI927" s="2" t="e">
        <f t="shared" si="722"/>
        <v>#DIV/0!</v>
      </c>
      <c r="AJ927" s="2" t="e">
        <f t="shared" si="689"/>
        <v>#DIV/0!</v>
      </c>
      <c r="AK927" s="2" t="e">
        <f t="shared" si="702"/>
        <v>#DIV/0!</v>
      </c>
      <c r="AL927" s="2" t="e">
        <f t="shared" si="703"/>
        <v>#DIV/0!</v>
      </c>
      <c r="AM927" s="2" t="e">
        <f t="shared" si="723"/>
        <v>#DIV/0!</v>
      </c>
      <c r="AN927" s="2">
        <f t="shared" si="704"/>
        <v>0</v>
      </c>
      <c r="AO927" s="2" t="e">
        <f t="shared" si="705"/>
        <v>#DIV/0!</v>
      </c>
      <c r="AP927" s="2" t="e">
        <f t="shared" si="706"/>
        <v>#DIV/0!</v>
      </c>
      <c r="AQ927" s="2" t="e">
        <f t="shared" si="724"/>
        <v>#DIV/0!</v>
      </c>
      <c r="AR927" s="2" t="e">
        <f t="shared" si="690"/>
        <v>#DIV/0!</v>
      </c>
      <c r="AS927" s="2" t="e">
        <f t="shared" si="707"/>
        <v>#DIV/0!</v>
      </c>
      <c r="AT927" s="2" t="e">
        <f t="shared" si="708"/>
        <v>#DIV/0!</v>
      </c>
      <c r="AU927" s="2" t="e">
        <f t="shared" si="725"/>
        <v>#DIV/0!</v>
      </c>
      <c r="AV927" s="2" t="e">
        <f t="shared" si="709"/>
        <v>#DIV/0!</v>
      </c>
      <c r="AW927" s="2" t="e">
        <f t="shared" si="710"/>
        <v>#DIV/0!</v>
      </c>
      <c r="AX927" s="2" t="e">
        <f t="shared" si="711"/>
        <v>#DIV/0!</v>
      </c>
      <c r="AY927" s="2" t="e">
        <f t="shared" si="726"/>
        <v>#DIV/0!</v>
      </c>
      <c r="AZ927" s="2" t="e">
        <f t="shared" si="691"/>
        <v>#DIV/0!</v>
      </c>
      <c r="BA927" s="2" t="e">
        <f t="shared" si="712"/>
        <v>#DIV/0!</v>
      </c>
      <c r="BB927" s="2" t="e">
        <f t="shared" si="713"/>
        <v>#DIV/0!</v>
      </c>
      <c r="BC927" s="2" t="e">
        <f t="shared" si="727"/>
        <v>#DIV/0!</v>
      </c>
      <c r="BD927" s="2">
        <v>0</v>
      </c>
      <c r="BE927" s="2" t="e">
        <f t="shared" si="714"/>
        <v>#DIV/0!</v>
      </c>
      <c r="BF927" s="2" t="e">
        <f t="shared" si="715"/>
        <v>#DIV/0!</v>
      </c>
      <c r="BG927" s="2" t="e">
        <f t="shared" si="728"/>
        <v>#DIV/0!</v>
      </c>
      <c r="BH927" s="2" t="e">
        <f t="shared" si="692"/>
        <v>#DIV/0!</v>
      </c>
      <c r="BI927" s="2" t="e">
        <f t="shared" si="716"/>
        <v>#DIV/0!</v>
      </c>
      <c r="BJ927" s="2" t="e">
        <f t="shared" si="717"/>
        <v>#DIV/0!</v>
      </c>
      <c r="BK927" s="2" t="e">
        <f t="shared" si="729"/>
        <v>#DIV/0!</v>
      </c>
      <c r="BL927" s="2" t="e">
        <f t="shared" si="718"/>
        <v>#DIV/0!</v>
      </c>
      <c r="BM927" s="2" t="e">
        <f t="shared" si="719"/>
        <v>#DIV/0!</v>
      </c>
      <c r="BN927" s="2" t="e">
        <f t="shared" si="730"/>
        <v>#DIV/0!</v>
      </c>
    </row>
    <row r="928" spans="1:66" x14ac:dyDescent="0.25">
      <c r="A928" s="42">
        <v>925</v>
      </c>
      <c r="E928" s="6">
        <f t="shared" si="720"/>
        <v>0</v>
      </c>
      <c r="F928" s="5" t="str">
        <f t="shared" si="731"/>
        <v>Break Even</v>
      </c>
      <c r="G928" s="4">
        <f t="shared" si="732"/>
        <v>0</v>
      </c>
      <c r="N928" s="5">
        <f t="shared" si="733"/>
        <v>0</v>
      </c>
      <c r="O928" s="4" t="e">
        <f t="shared" si="734"/>
        <v>#DIV/0!</v>
      </c>
      <c r="P928" s="5">
        <f t="shared" si="693"/>
        <v>0</v>
      </c>
      <c r="R928" s="2">
        <f t="shared" si="688"/>
        <v>0</v>
      </c>
      <c r="T928" s="2">
        <f t="shared" si="721"/>
        <v>0</v>
      </c>
      <c r="V928" s="5">
        <f t="shared" si="735"/>
        <v>0</v>
      </c>
      <c r="W928" s="4" t="e">
        <f t="shared" si="736"/>
        <v>#DIV/0!</v>
      </c>
      <c r="X928" s="14">
        <f t="shared" si="694"/>
        <v>0</v>
      </c>
      <c r="Y928" s="5">
        <f t="shared" si="695"/>
        <v>0</v>
      </c>
      <c r="Z928" s="2">
        <f t="shared" si="696"/>
        <v>0</v>
      </c>
      <c r="AA928" s="4">
        <f t="shared" si="697"/>
        <v>0</v>
      </c>
      <c r="AB928" s="13">
        <f t="shared" si="698"/>
        <v>0</v>
      </c>
      <c r="AC928" s="10">
        <f>SUM($E$4:E928)</f>
        <v>-22024.091160220025</v>
      </c>
      <c r="AD928" s="20">
        <f>SUM($AB$4:AB928)</f>
        <v>13539.766460219998</v>
      </c>
      <c r="AF928" s="28" t="e">
        <f t="shared" si="699"/>
        <v>#DIV/0!</v>
      </c>
      <c r="AG928" s="2" t="e">
        <f t="shared" si="700"/>
        <v>#DIV/0!</v>
      </c>
      <c r="AH928" s="2" t="e">
        <f t="shared" si="701"/>
        <v>#DIV/0!</v>
      </c>
      <c r="AI928" s="2" t="e">
        <f t="shared" si="722"/>
        <v>#DIV/0!</v>
      </c>
      <c r="AJ928" s="2" t="e">
        <f t="shared" si="689"/>
        <v>#DIV/0!</v>
      </c>
      <c r="AK928" s="2" t="e">
        <f t="shared" si="702"/>
        <v>#DIV/0!</v>
      </c>
      <c r="AL928" s="2" t="e">
        <f t="shared" si="703"/>
        <v>#DIV/0!</v>
      </c>
      <c r="AM928" s="2" t="e">
        <f t="shared" si="723"/>
        <v>#DIV/0!</v>
      </c>
      <c r="AN928" s="2">
        <f t="shared" si="704"/>
        <v>0</v>
      </c>
      <c r="AO928" s="2" t="e">
        <f t="shared" si="705"/>
        <v>#DIV/0!</v>
      </c>
      <c r="AP928" s="2" t="e">
        <f t="shared" si="706"/>
        <v>#DIV/0!</v>
      </c>
      <c r="AQ928" s="2" t="e">
        <f t="shared" si="724"/>
        <v>#DIV/0!</v>
      </c>
      <c r="AR928" s="2" t="e">
        <f t="shared" si="690"/>
        <v>#DIV/0!</v>
      </c>
      <c r="AS928" s="2" t="e">
        <f t="shared" si="707"/>
        <v>#DIV/0!</v>
      </c>
      <c r="AT928" s="2" t="e">
        <f t="shared" si="708"/>
        <v>#DIV/0!</v>
      </c>
      <c r="AU928" s="2" t="e">
        <f t="shared" si="725"/>
        <v>#DIV/0!</v>
      </c>
      <c r="AV928" s="2" t="e">
        <f t="shared" si="709"/>
        <v>#DIV/0!</v>
      </c>
      <c r="AW928" s="2" t="e">
        <f t="shared" si="710"/>
        <v>#DIV/0!</v>
      </c>
      <c r="AX928" s="2" t="e">
        <f t="shared" si="711"/>
        <v>#DIV/0!</v>
      </c>
      <c r="AY928" s="2" t="e">
        <f t="shared" si="726"/>
        <v>#DIV/0!</v>
      </c>
      <c r="AZ928" s="2" t="e">
        <f t="shared" si="691"/>
        <v>#DIV/0!</v>
      </c>
      <c r="BA928" s="2" t="e">
        <f t="shared" si="712"/>
        <v>#DIV/0!</v>
      </c>
      <c r="BB928" s="2" t="e">
        <f t="shared" si="713"/>
        <v>#DIV/0!</v>
      </c>
      <c r="BC928" s="2" t="e">
        <f t="shared" si="727"/>
        <v>#DIV/0!</v>
      </c>
      <c r="BD928" s="2">
        <v>0</v>
      </c>
      <c r="BE928" s="2" t="e">
        <f t="shared" si="714"/>
        <v>#DIV/0!</v>
      </c>
      <c r="BF928" s="2" t="e">
        <f t="shared" si="715"/>
        <v>#DIV/0!</v>
      </c>
      <c r="BG928" s="2" t="e">
        <f t="shared" si="728"/>
        <v>#DIV/0!</v>
      </c>
      <c r="BH928" s="2" t="e">
        <f t="shared" si="692"/>
        <v>#DIV/0!</v>
      </c>
      <c r="BI928" s="2" t="e">
        <f t="shared" si="716"/>
        <v>#DIV/0!</v>
      </c>
      <c r="BJ928" s="2" t="e">
        <f t="shared" si="717"/>
        <v>#DIV/0!</v>
      </c>
      <c r="BK928" s="2" t="e">
        <f t="shared" si="729"/>
        <v>#DIV/0!</v>
      </c>
      <c r="BL928" s="2" t="e">
        <f t="shared" si="718"/>
        <v>#DIV/0!</v>
      </c>
      <c r="BM928" s="2" t="e">
        <f t="shared" si="719"/>
        <v>#DIV/0!</v>
      </c>
      <c r="BN928" s="2" t="e">
        <f t="shared" si="730"/>
        <v>#DIV/0!</v>
      </c>
    </row>
    <row r="929" spans="1:66" x14ac:dyDescent="0.25">
      <c r="A929" s="42">
        <v>926</v>
      </c>
      <c r="E929" s="6">
        <f t="shared" si="720"/>
        <v>0</v>
      </c>
      <c r="F929" s="5" t="str">
        <f t="shared" si="731"/>
        <v>Break Even</v>
      </c>
      <c r="G929" s="4">
        <f t="shared" si="732"/>
        <v>0</v>
      </c>
      <c r="N929" s="5">
        <f t="shared" si="733"/>
        <v>0</v>
      </c>
      <c r="O929" s="4" t="e">
        <f t="shared" si="734"/>
        <v>#DIV/0!</v>
      </c>
      <c r="P929" s="5">
        <f t="shared" si="693"/>
        <v>0</v>
      </c>
      <c r="R929" s="2">
        <f t="shared" si="688"/>
        <v>0</v>
      </c>
      <c r="T929" s="2">
        <f t="shared" si="721"/>
        <v>0</v>
      </c>
      <c r="V929" s="5">
        <f t="shared" si="735"/>
        <v>0</v>
      </c>
      <c r="W929" s="4" t="e">
        <f t="shared" si="736"/>
        <v>#DIV/0!</v>
      </c>
      <c r="X929" s="14">
        <f t="shared" si="694"/>
        <v>0</v>
      </c>
      <c r="Y929" s="5">
        <f t="shared" si="695"/>
        <v>0</v>
      </c>
      <c r="Z929" s="2">
        <f t="shared" si="696"/>
        <v>0</v>
      </c>
      <c r="AA929" s="4">
        <f t="shared" si="697"/>
        <v>0</v>
      </c>
      <c r="AB929" s="13">
        <f t="shared" si="698"/>
        <v>0</v>
      </c>
      <c r="AC929" s="10">
        <f>SUM($E$4:E929)</f>
        <v>-22024.091160220025</v>
      </c>
      <c r="AD929" s="20">
        <f>SUM($AB$4:AB929)</f>
        <v>13539.766460219998</v>
      </c>
      <c r="AF929" s="28" t="e">
        <f t="shared" si="699"/>
        <v>#DIV/0!</v>
      </c>
      <c r="AG929" s="2" t="e">
        <f t="shared" si="700"/>
        <v>#DIV/0!</v>
      </c>
      <c r="AH929" s="2" t="e">
        <f t="shared" si="701"/>
        <v>#DIV/0!</v>
      </c>
      <c r="AI929" s="2" t="e">
        <f t="shared" si="722"/>
        <v>#DIV/0!</v>
      </c>
      <c r="AJ929" s="2" t="e">
        <f t="shared" si="689"/>
        <v>#DIV/0!</v>
      </c>
      <c r="AK929" s="2" t="e">
        <f t="shared" si="702"/>
        <v>#DIV/0!</v>
      </c>
      <c r="AL929" s="2" t="e">
        <f t="shared" si="703"/>
        <v>#DIV/0!</v>
      </c>
      <c r="AM929" s="2" t="e">
        <f t="shared" si="723"/>
        <v>#DIV/0!</v>
      </c>
      <c r="AN929" s="2">
        <f t="shared" si="704"/>
        <v>0</v>
      </c>
      <c r="AO929" s="2" t="e">
        <f t="shared" si="705"/>
        <v>#DIV/0!</v>
      </c>
      <c r="AP929" s="2" t="e">
        <f t="shared" si="706"/>
        <v>#DIV/0!</v>
      </c>
      <c r="AQ929" s="2" t="e">
        <f t="shared" si="724"/>
        <v>#DIV/0!</v>
      </c>
      <c r="AR929" s="2" t="e">
        <f t="shared" si="690"/>
        <v>#DIV/0!</v>
      </c>
      <c r="AS929" s="2" t="e">
        <f t="shared" si="707"/>
        <v>#DIV/0!</v>
      </c>
      <c r="AT929" s="2" t="e">
        <f t="shared" si="708"/>
        <v>#DIV/0!</v>
      </c>
      <c r="AU929" s="2" t="e">
        <f t="shared" si="725"/>
        <v>#DIV/0!</v>
      </c>
      <c r="AV929" s="2" t="e">
        <f t="shared" si="709"/>
        <v>#DIV/0!</v>
      </c>
      <c r="AW929" s="2" t="e">
        <f t="shared" si="710"/>
        <v>#DIV/0!</v>
      </c>
      <c r="AX929" s="2" t="e">
        <f t="shared" si="711"/>
        <v>#DIV/0!</v>
      </c>
      <c r="AY929" s="2" t="e">
        <f t="shared" si="726"/>
        <v>#DIV/0!</v>
      </c>
      <c r="AZ929" s="2" t="e">
        <f t="shared" si="691"/>
        <v>#DIV/0!</v>
      </c>
      <c r="BA929" s="2" t="e">
        <f t="shared" si="712"/>
        <v>#DIV/0!</v>
      </c>
      <c r="BB929" s="2" t="e">
        <f t="shared" si="713"/>
        <v>#DIV/0!</v>
      </c>
      <c r="BC929" s="2" t="e">
        <f t="shared" si="727"/>
        <v>#DIV/0!</v>
      </c>
      <c r="BD929" s="2">
        <v>0</v>
      </c>
      <c r="BE929" s="2" t="e">
        <f t="shared" si="714"/>
        <v>#DIV/0!</v>
      </c>
      <c r="BF929" s="2" t="e">
        <f t="shared" si="715"/>
        <v>#DIV/0!</v>
      </c>
      <c r="BG929" s="2" t="e">
        <f t="shared" si="728"/>
        <v>#DIV/0!</v>
      </c>
      <c r="BH929" s="2" t="e">
        <f t="shared" si="692"/>
        <v>#DIV/0!</v>
      </c>
      <c r="BI929" s="2" t="e">
        <f t="shared" si="716"/>
        <v>#DIV/0!</v>
      </c>
      <c r="BJ929" s="2" t="e">
        <f t="shared" si="717"/>
        <v>#DIV/0!</v>
      </c>
      <c r="BK929" s="2" t="e">
        <f t="shared" si="729"/>
        <v>#DIV/0!</v>
      </c>
      <c r="BL929" s="2" t="e">
        <f t="shared" si="718"/>
        <v>#DIV/0!</v>
      </c>
      <c r="BM929" s="2" t="e">
        <f t="shared" si="719"/>
        <v>#DIV/0!</v>
      </c>
      <c r="BN929" s="2" t="e">
        <f t="shared" si="730"/>
        <v>#DIV/0!</v>
      </c>
    </row>
    <row r="930" spans="1:66" x14ac:dyDescent="0.25">
      <c r="A930" s="42">
        <v>927</v>
      </c>
      <c r="E930" s="6">
        <f t="shared" si="720"/>
        <v>0</v>
      </c>
      <c r="F930" s="5" t="str">
        <f t="shared" si="731"/>
        <v>Break Even</v>
      </c>
      <c r="G930" s="4">
        <f t="shared" si="732"/>
        <v>0</v>
      </c>
      <c r="N930" s="5">
        <f t="shared" si="733"/>
        <v>0</v>
      </c>
      <c r="O930" s="4" t="e">
        <f t="shared" si="734"/>
        <v>#DIV/0!</v>
      </c>
      <c r="P930" s="5">
        <f t="shared" si="693"/>
        <v>0</v>
      </c>
      <c r="R930" s="2">
        <f t="shared" si="688"/>
        <v>0</v>
      </c>
      <c r="T930" s="2">
        <f t="shared" si="721"/>
        <v>0</v>
      </c>
      <c r="V930" s="5">
        <f t="shared" si="735"/>
        <v>0</v>
      </c>
      <c r="W930" s="4" t="e">
        <f t="shared" si="736"/>
        <v>#DIV/0!</v>
      </c>
      <c r="X930" s="14">
        <f t="shared" si="694"/>
        <v>0</v>
      </c>
      <c r="Y930" s="5">
        <f t="shared" si="695"/>
        <v>0</v>
      </c>
      <c r="Z930" s="2">
        <f t="shared" si="696"/>
        <v>0</v>
      </c>
      <c r="AA930" s="4">
        <f t="shared" si="697"/>
        <v>0</v>
      </c>
      <c r="AB930" s="13">
        <f t="shared" si="698"/>
        <v>0</v>
      </c>
      <c r="AC930" s="10">
        <f>SUM($E$4:E930)</f>
        <v>-22024.091160220025</v>
      </c>
      <c r="AD930" s="20">
        <f>SUM($AB$4:AB930)</f>
        <v>13539.766460219998</v>
      </c>
      <c r="AF930" s="28" t="e">
        <f t="shared" si="699"/>
        <v>#DIV/0!</v>
      </c>
      <c r="AG930" s="2" t="e">
        <f t="shared" si="700"/>
        <v>#DIV/0!</v>
      </c>
      <c r="AH930" s="2" t="e">
        <f t="shared" si="701"/>
        <v>#DIV/0!</v>
      </c>
      <c r="AI930" s="2" t="e">
        <f t="shared" si="722"/>
        <v>#DIV/0!</v>
      </c>
      <c r="AJ930" s="2" t="e">
        <f t="shared" si="689"/>
        <v>#DIV/0!</v>
      </c>
      <c r="AK930" s="2" t="e">
        <f t="shared" si="702"/>
        <v>#DIV/0!</v>
      </c>
      <c r="AL930" s="2" t="e">
        <f t="shared" si="703"/>
        <v>#DIV/0!</v>
      </c>
      <c r="AM930" s="2" t="e">
        <f t="shared" si="723"/>
        <v>#DIV/0!</v>
      </c>
      <c r="AN930" s="2">
        <f t="shared" si="704"/>
        <v>0</v>
      </c>
      <c r="AO930" s="2" t="e">
        <f t="shared" si="705"/>
        <v>#DIV/0!</v>
      </c>
      <c r="AP930" s="2" t="e">
        <f t="shared" si="706"/>
        <v>#DIV/0!</v>
      </c>
      <c r="AQ930" s="2" t="e">
        <f t="shared" si="724"/>
        <v>#DIV/0!</v>
      </c>
      <c r="AR930" s="2" t="e">
        <f t="shared" si="690"/>
        <v>#DIV/0!</v>
      </c>
      <c r="AS930" s="2" t="e">
        <f t="shared" si="707"/>
        <v>#DIV/0!</v>
      </c>
      <c r="AT930" s="2" t="e">
        <f t="shared" si="708"/>
        <v>#DIV/0!</v>
      </c>
      <c r="AU930" s="2" t="e">
        <f t="shared" si="725"/>
        <v>#DIV/0!</v>
      </c>
      <c r="AV930" s="2" t="e">
        <f t="shared" si="709"/>
        <v>#DIV/0!</v>
      </c>
      <c r="AW930" s="2" t="e">
        <f t="shared" si="710"/>
        <v>#DIV/0!</v>
      </c>
      <c r="AX930" s="2" t="e">
        <f t="shared" si="711"/>
        <v>#DIV/0!</v>
      </c>
      <c r="AY930" s="2" t="e">
        <f t="shared" si="726"/>
        <v>#DIV/0!</v>
      </c>
      <c r="AZ930" s="2" t="e">
        <f t="shared" si="691"/>
        <v>#DIV/0!</v>
      </c>
      <c r="BA930" s="2" t="e">
        <f t="shared" si="712"/>
        <v>#DIV/0!</v>
      </c>
      <c r="BB930" s="2" t="e">
        <f t="shared" si="713"/>
        <v>#DIV/0!</v>
      </c>
      <c r="BC930" s="2" t="e">
        <f t="shared" si="727"/>
        <v>#DIV/0!</v>
      </c>
      <c r="BD930" s="2">
        <v>0</v>
      </c>
      <c r="BE930" s="2" t="e">
        <f t="shared" si="714"/>
        <v>#DIV/0!</v>
      </c>
      <c r="BF930" s="2" t="e">
        <f t="shared" si="715"/>
        <v>#DIV/0!</v>
      </c>
      <c r="BG930" s="2" t="e">
        <f t="shared" si="728"/>
        <v>#DIV/0!</v>
      </c>
      <c r="BH930" s="2" t="e">
        <f t="shared" si="692"/>
        <v>#DIV/0!</v>
      </c>
      <c r="BI930" s="2" t="e">
        <f t="shared" si="716"/>
        <v>#DIV/0!</v>
      </c>
      <c r="BJ930" s="2" t="e">
        <f t="shared" si="717"/>
        <v>#DIV/0!</v>
      </c>
      <c r="BK930" s="2" t="e">
        <f t="shared" si="729"/>
        <v>#DIV/0!</v>
      </c>
      <c r="BL930" s="2" t="e">
        <f t="shared" si="718"/>
        <v>#DIV/0!</v>
      </c>
      <c r="BM930" s="2" t="e">
        <f t="shared" si="719"/>
        <v>#DIV/0!</v>
      </c>
      <c r="BN930" s="2" t="e">
        <f t="shared" si="730"/>
        <v>#DIV/0!</v>
      </c>
    </row>
    <row r="931" spans="1:66" x14ac:dyDescent="0.25">
      <c r="A931" s="42">
        <v>928</v>
      </c>
      <c r="E931" s="6">
        <f t="shared" si="720"/>
        <v>0</v>
      </c>
      <c r="F931" s="5" t="str">
        <f t="shared" si="731"/>
        <v>Break Even</v>
      </c>
      <c r="G931" s="4">
        <f t="shared" si="732"/>
        <v>0</v>
      </c>
      <c r="N931" s="5">
        <f t="shared" si="733"/>
        <v>0</v>
      </c>
      <c r="O931" s="4" t="e">
        <f t="shared" si="734"/>
        <v>#DIV/0!</v>
      </c>
      <c r="P931" s="5">
        <f t="shared" si="693"/>
        <v>0</v>
      </c>
      <c r="R931" s="2">
        <f t="shared" si="688"/>
        <v>0</v>
      </c>
      <c r="T931" s="2">
        <f t="shared" si="721"/>
        <v>0</v>
      </c>
      <c r="V931" s="5">
        <f t="shared" si="735"/>
        <v>0</v>
      </c>
      <c r="W931" s="4" t="e">
        <f t="shared" si="736"/>
        <v>#DIV/0!</v>
      </c>
      <c r="X931" s="14">
        <f t="shared" si="694"/>
        <v>0</v>
      </c>
      <c r="Y931" s="5">
        <f t="shared" si="695"/>
        <v>0</v>
      </c>
      <c r="Z931" s="2">
        <f t="shared" si="696"/>
        <v>0</v>
      </c>
      <c r="AA931" s="4">
        <f t="shared" si="697"/>
        <v>0</v>
      </c>
      <c r="AB931" s="13">
        <f t="shared" si="698"/>
        <v>0</v>
      </c>
      <c r="AC931" s="10">
        <f>SUM($E$4:E931)</f>
        <v>-22024.091160220025</v>
      </c>
      <c r="AD931" s="20">
        <f>SUM($AB$4:AB931)</f>
        <v>13539.766460219998</v>
      </c>
      <c r="AF931" s="28" t="e">
        <f t="shared" si="699"/>
        <v>#DIV/0!</v>
      </c>
      <c r="AG931" s="2" t="e">
        <f t="shared" si="700"/>
        <v>#DIV/0!</v>
      </c>
      <c r="AH931" s="2" t="e">
        <f t="shared" si="701"/>
        <v>#DIV/0!</v>
      </c>
      <c r="AI931" s="2" t="e">
        <f t="shared" si="722"/>
        <v>#DIV/0!</v>
      </c>
      <c r="AJ931" s="2" t="e">
        <f t="shared" si="689"/>
        <v>#DIV/0!</v>
      </c>
      <c r="AK931" s="2" t="e">
        <f t="shared" si="702"/>
        <v>#DIV/0!</v>
      </c>
      <c r="AL931" s="2" t="e">
        <f t="shared" si="703"/>
        <v>#DIV/0!</v>
      </c>
      <c r="AM931" s="2" t="e">
        <f t="shared" si="723"/>
        <v>#DIV/0!</v>
      </c>
      <c r="AN931" s="2">
        <f t="shared" si="704"/>
        <v>0</v>
      </c>
      <c r="AO931" s="2" t="e">
        <f t="shared" si="705"/>
        <v>#DIV/0!</v>
      </c>
      <c r="AP931" s="2" t="e">
        <f t="shared" si="706"/>
        <v>#DIV/0!</v>
      </c>
      <c r="AQ931" s="2" t="e">
        <f t="shared" si="724"/>
        <v>#DIV/0!</v>
      </c>
      <c r="AR931" s="2" t="e">
        <f t="shared" si="690"/>
        <v>#DIV/0!</v>
      </c>
      <c r="AS931" s="2" t="e">
        <f t="shared" si="707"/>
        <v>#DIV/0!</v>
      </c>
      <c r="AT931" s="2" t="e">
        <f t="shared" si="708"/>
        <v>#DIV/0!</v>
      </c>
      <c r="AU931" s="2" t="e">
        <f t="shared" si="725"/>
        <v>#DIV/0!</v>
      </c>
      <c r="AV931" s="2" t="e">
        <f t="shared" si="709"/>
        <v>#DIV/0!</v>
      </c>
      <c r="AW931" s="2" t="e">
        <f t="shared" si="710"/>
        <v>#DIV/0!</v>
      </c>
      <c r="AX931" s="2" t="e">
        <f t="shared" si="711"/>
        <v>#DIV/0!</v>
      </c>
      <c r="AY931" s="2" t="e">
        <f t="shared" si="726"/>
        <v>#DIV/0!</v>
      </c>
      <c r="AZ931" s="2" t="e">
        <f t="shared" si="691"/>
        <v>#DIV/0!</v>
      </c>
      <c r="BA931" s="2" t="e">
        <f t="shared" si="712"/>
        <v>#DIV/0!</v>
      </c>
      <c r="BB931" s="2" t="e">
        <f t="shared" si="713"/>
        <v>#DIV/0!</v>
      </c>
      <c r="BC931" s="2" t="e">
        <f t="shared" si="727"/>
        <v>#DIV/0!</v>
      </c>
      <c r="BD931" s="2">
        <v>0</v>
      </c>
      <c r="BE931" s="2" t="e">
        <f t="shared" si="714"/>
        <v>#DIV/0!</v>
      </c>
      <c r="BF931" s="2" t="e">
        <f t="shared" si="715"/>
        <v>#DIV/0!</v>
      </c>
      <c r="BG931" s="2" t="e">
        <f t="shared" si="728"/>
        <v>#DIV/0!</v>
      </c>
      <c r="BH931" s="2" t="e">
        <f t="shared" si="692"/>
        <v>#DIV/0!</v>
      </c>
      <c r="BI931" s="2" t="e">
        <f t="shared" si="716"/>
        <v>#DIV/0!</v>
      </c>
      <c r="BJ931" s="2" t="e">
        <f t="shared" si="717"/>
        <v>#DIV/0!</v>
      </c>
      <c r="BK931" s="2" t="e">
        <f t="shared" si="729"/>
        <v>#DIV/0!</v>
      </c>
      <c r="BL931" s="2" t="e">
        <f t="shared" si="718"/>
        <v>#DIV/0!</v>
      </c>
      <c r="BM931" s="2" t="e">
        <f t="shared" si="719"/>
        <v>#DIV/0!</v>
      </c>
      <c r="BN931" s="2" t="e">
        <f t="shared" si="730"/>
        <v>#DIV/0!</v>
      </c>
    </row>
    <row r="932" spans="1:66" x14ac:dyDescent="0.25">
      <c r="A932" s="42">
        <v>929</v>
      </c>
      <c r="E932" s="6">
        <f t="shared" si="720"/>
        <v>0</v>
      </c>
      <c r="F932" s="5" t="str">
        <f t="shared" si="731"/>
        <v>Break Even</v>
      </c>
      <c r="G932" s="4">
        <f t="shared" si="732"/>
        <v>0</v>
      </c>
      <c r="N932" s="5">
        <f t="shared" si="733"/>
        <v>0</v>
      </c>
      <c r="O932" s="4" t="e">
        <f t="shared" si="734"/>
        <v>#DIV/0!</v>
      </c>
      <c r="P932" s="5">
        <f t="shared" si="693"/>
        <v>0</v>
      </c>
      <c r="R932" s="2">
        <f t="shared" si="688"/>
        <v>0</v>
      </c>
      <c r="T932" s="2">
        <f t="shared" si="721"/>
        <v>0</v>
      </c>
      <c r="V932" s="5">
        <f t="shared" si="735"/>
        <v>0</v>
      </c>
      <c r="W932" s="4" t="e">
        <f t="shared" si="736"/>
        <v>#DIV/0!</v>
      </c>
      <c r="X932" s="14">
        <f t="shared" si="694"/>
        <v>0</v>
      </c>
      <c r="Y932" s="5">
        <f t="shared" si="695"/>
        <v>0</v>
      </c>
      <c r="Z932" s="2">
        <f t="shared" si="696"/>
        <v>0</v>
      </c>
      <c r="AA932" s="4">
        <f t="shared" si="697"/>
        <v>0</v>
      </c>
      <c r="AB932" s="13">
        <f t="shared" si="698"/>
        <v>0</v>
      </c>
      <c r="AC932" s="10">
        <f>SUM($E$4:E932)</f>
        <v>-22024.091160220025</v>
      </c>
      <c r="AD932" s="20">
        <f>SUM($AB$4:AB932)</f>
        <v>13539.766460219998</v>
      </c>
      <c r="AF932" s="28" t="e">
        <f t="shared" si="699"/>
        <v>#DIV/0!</v>
      </c>
      <c r="AG932" s="2" t="e">
        <f t="shared" si="700"/>
        <v>#DIV/0!</v>
      </c>
      <c r="AH932" s="2" t="e">
        <f t="shared" si="701"/>
        <v>#DIV/0!</v>
      </c>
      <c r="AI932" s="2" t="e">
        <f t="shared" si="722"/>
        <v>#DIV/0!</v>
      </c>
      <c r="AJ932" s="2" t="e">
        <f t="shared" si="689"/>
        <v>#DIV/0!</v>
      </c>
      <c r="AK932" s="2" t="e">
        <f t="shared" si="702"/>
        <v>#DIV/0!</v>
      </c>
      <c r="AL932" s="2" t="e">
        <f t="shared" si="703"/>
        <v>#DIV/0!</v>
      </c>
      <c r="AM932" s="2" t="e">
        <f t="shared" si="723"/>
        <v>#DIV/0!</v>
      </c>
      <c r="AN932" s="2">
        <f t="shared" si="704"/>
        <v>0</v>
      </c>
      <c r="AO932" s="2" t="e">
        <f t="shared" si="705"/>
        <v>#DIV/0!</v>
      </c>
      <c r="AP932" s="2" t="e">
        <f t="shared" si="706"/>
        <v>#DIV/0!</v>
      </c>
      <c r="AQ932" s="2" t="e">
        <f t="shared" si="724"/>
        <v>#DIV/0!</v>
      </c>
      <c r="AR932" s="2" t="e">
        <f t="shared" si="690"/>
        <v>#DIV/0!</v>
      </c>
      <c r="AS932" s="2" t="e">
        <f t="shared" si="707"/>
        <v>#DIV/0!</v>
      </c>
      <c r="AT932" s="2" t="e">
        <f t="shared" si="708"/>
        <v>#DIV/0!</v>
      </c>
      <c r="AU932" s="2" t="e">
        <f t="shared" si="725"/>
        <v>#DIV/0!</v>
      </c>
      <c r="AV932" s="2" t="e">
        <f t="shared" si="709"/>
        <v>#DIV/0!</v>
      </c>
      <c r="AW932" s="2" t="e">
        <f t="shared" si="710"/>
        <v>#DIV/0!</v>
      </c>
      <c r="AX932" s="2" t="e">
        <f t="shared" si="711"/>
        <v>#DIV/0!</v>
      </c>
      <c r="AY932" s="2" t="e">
        <f t="shared" si="726"/>
        <v>#DIV/0!</v>
      </c>
      <c r="AZ932" s="2" t="e">
        <f t="shared" si="691"/>
        <v>#DIV/0!</v>
      </c>
      <c r="BA932" s="2" t="e">
        <f t="shared" si="712"/>
        <v>#DIV/0!</v>
      </c>
      <c r="BB932" s="2" t="e">
        <f t="shared" si="713"/>
        <v>#DIV/0!</v>
      </c>
      <c r="BC932" s="2" t="e">
        <f t="shared" si="727"/>
        <v>#DIV/0!</v>
      </c>
      <c r="BD932" s="2">
        <v>0</v>
      </c>
      <c r="BE932" s="2" t="e">
        <f t="shared" si="714"/>
        <v>#DIV/0!</v>
      </c>
      <c r="BF932" s="2" t="e">
        <f t="shared" si="715"/>
        <v>#DIV/0!</v>
      </c>
      <c r="BG932" s="2" t="e">
        <f t="shared" si="728"/>
        <v>#DIV/0!</v>
      </c>
      <c r="BH932" s="2" t="e">
        <f t="shared" si="692"/>
        <v>#DIV/0!</v>
      </c>
      <c r="BI932" s="2" t="e">
        <f t="shared" si="716"/>
        <v>#DIV/0!</v>
      </c>
      <c r="BJ932" s="2" t="e">
        <f t="shared" si="717"/>
        <v>#DIV/0!</v>
      </c>
      <c r="BK932" s="2" t="e">
        <f t="shared" si="729"/>
        <v>#DIV/0!</v>
      </c>
      <c r="BL932" s="2" t="e">
        <f t="shared" si="718"/>
        <v>#DIV/0!</v>
      </c>
      <c r="BM932" s="2" t="e">
        <f t="shared" si="719"/>
        <v>#DIV/0!</v>
      </c>
      <c r="BN932" s="2" t="e">
        <f t="shared" si="730"/>
        <v>#DIV/0!</v>
      </c>
    </row>
    <row r="933" spans="1:66" x14ac:dyDescent="0.25">
      <c r="A933" s="42">
        <v>930</v>
      </c>
      <c r="E933" s="6">
        <f t="shared" si="720"/>
        <v>0</v>
      </c>
      <c r="F933" s="5" t="str">
        <f t="shared" si="731"/>
        <v>Break Even</v>
      </c>
      <c r="G933" s="4">
        <f t="shared" si="732"/>
        <v>0</v>
      </c>
      <c r="N933" s="5">
        <f t="shared" si="733"/>
        <v>0</v>
      </c>
      <c r="O933" s="4" t="e">
        <f t="shared" si="734"/>
        <v>#DIV/0!</v>
      </c>
      <c r="P933" s="5">
        <f t="shared" si="693"/>
        <v>0</v>
      </c>
      <c r="R933" s="2">
        <f t="shared" si="688"/>
        <v>0</v>
      </c>
      <c r="T933" s="2">
        <f t="shared" si="721"/>
        <v>0</v>
      </c>
      <c r="V933" s="5">
        <f t="shared" si="735"/>
        <v>0</v>
      </c>
      <c r="W933" s="4" t="e">
        <f t="shared" si="736"/>
        <v>#DIV/0!</v>
      </c>
      <c r="X933" s="14">
        <f t="shared" si="694"/>
        <v>0</v>
      </c>
      <c r="Y933" s="5">
        <f t="shared" si="695"/>
        <v>0</v>
      </c>
      <c r="Z933" s="2">
        <f t="shared" si="696"/>
        <v>0</v>
      </c>
      <c r="AA933" s="4">
        <f t="shared" si="697"/>
        <v>0</v>
      </c>
      <c r="AB933" s="13">
        <f t="shared" si="698"/>
        <v>0</v>
      </c>
      <c r="AC933" s="10">
        <f>SUM($E$4:E933)</f>
        <v>-22024.091160220025</v>
      </c>
      <c r="AD933" s="20">
        <f>SUM($AB$4:AB933)</f>
        <v>13539.766460219998</v>
      </c>
      <c r="AF933" s="28" t="e">
        <f t="shared" si="699"/>
        <v>#DIV/0!</v>
      </c>
      <c r="AG933" s="2" t="e">
        <f t="shared" si="700"/>
        <v>#DIV/0!</v>
      </c>
      <c r="AH933" s="2" t="e">
        <f t="shared" si="701"/>
        <v>#DIV/0!</v>
      </c>
      <c r="AI933" s="2" t="e">
        <f t="shared" si="722"/>
        <v>#DIV/0!</v>
      </c>
      <c r="AJ933" s="2" t="e">
        <f t="shared" si="689"/>
        <v>#DIV/0!</v>
      </c>
      <c r="AK933" s="2" t="e">
        <f t="shared" si="702"/>
        <v>#DIV/0!</v>
      </c>
      <c r="AL933" s="2" t="e">
        <f t="shared" si="703"/>
        <v>#DIV/0!</v>
      </c>
      <c r="AM933" s="2" t="e">
        <f t="shared" si="723"/>
        <v>#DIV/0!</v>
      </c>
      <c r="AN933" s="2">
        <f t="shared" si="704"/>
        <v>0</v>
      </c>
      <c r="AO933" s="2" t="e">
        <f t="shared" si="705"/>
        <v>#DIV/0!</v>
      </c>
      <c r="AP933" s="2" t="e">
        <f t="shared" si="706"/>
        <v>#DIV/0!</v>
      </c>
      <c r="AQ933" s="2" t="e">
        <f t="shared" si="724"/>
        <v>#DIV/0!</v>
      </c>
      <c r="AR933" s="2" t="e">
        <f t="shared" si="690"/>
        <v>#DIV/0!</v>
      </c>
      <c r="AS933" s="2" t="e">
        <f t="shared" si="707"/>
        <v>#DIV/0!</v>
      </c>
      <c r="AT933" s="2" t="e">
        <f t="shared" si="708"/>
        <v>#DIV/0!</v>
      </c>
      <c r="AU933" s="2" t="e">
        <f t="shared" si="725"/>
        <v>#DIV/0!</v>
      </c>
      <c r="AV933" s="2" t="e">
        <f t="shared" si="709"/>
        <v>#DIV/0!</v>
      </c>
      <c r="AW933" s="2" t="e">
        <f t="shared" si="710"/>
        <v>#DIV/0!</v>
      </c>
      <c r="AX933" s="2" t="e">
        <f t="shared" si="711"/>
        <v>#DIV/0!</v>
      </c>
      <c r="AY933" s="2" t="e">
        <f t="shared" si="726"/>
        <v>#DIV/0!</v>
      </c>
      <c r="AZ933" s="2" t="e">
        <f t="shared" si="691"/>
        <v>#DIV/0!</v>
      </c>
      <c r="BA933" s="2" t="e">
        <f t="shared" si="712"/>
        <v>#DIV/0!</v>
      </c>
      <c r="BB933" s="2" t="e">
        <f t="shared" si="713"/>
        <v>#DIV/0!</v>
      </c>
      <c r="BC933" s="2" t="e">
        <f t="shared" si="727"/>
        <v>#DIV/0!</v>
      </c>
      <c r="BD933" s="2">
        <v>0</v>
      </c>
      <c r="BE933" s="2" t="e">
        <f t="shared" si="714"/>
        <v>#DIV/0!</v>
      </c>
      <c r="BF933" s="2" t="e">
        <f t="shared" si="715"/>
        <v>#DIV/0!</v>
      </c>
      <c r="BG933" s="2" t="e">
        <f t="shared" si="728"/>
        <v>#DIV/0!</v>
      </c>
      <c r="BH933" s="2" t="e">
        <f t="shared" si="692"/>
        <v>#DIV/0!</v>
      </c>
      <c r="BI933" s="2" t="e">
        <f t="shared" si="716"/>
        <v>#DIV/0!</v>
      </c>
      <c r="BJ933" s="2" t="e">
        <f t="shared" si="717"/>
        <v>#DIV/0!</v>
      </c>
      <c r="BK933" s="2" t="e">
        <f t="shared" si="729"/>
        <v>#DIV/0!</v>
      </c>
      <c r="BL933" s="2" t="e">
        <f t="shared" si="718"/>
        <v>#DIV/0!</v>
      </c>
      <c r="BM933" s="2" t="e">
        <f t="shared" si="719"/>
        <v>#DIV/0!</v>
      </c>
      <c r="BN933" s="2" t="e">
        <f t="shared" si="730"/>
        <v>#DIV/0!</v>
      </c>
    </row>
    <row r="934" spans="1:66" x14ac:dyDescent="0.25">
      <c r="A934" s="42">
        <v>931</v>
      </c>
      <c r="E934" s="6">
        <f t="shared" si="720"/>
        <v>0</v>
      </c>
      <c r="F934" s="5" t="str">
        <f t="shared" si="731"/>
        <v>Break Even</v>
      </c>
      <c r="G934" s="4">
        <f t="shared" si="732"/>
        <v>0</v>
      </c>
      <c r="N934" s="5">
        <f t="shared" si="733"/>
        <v>0</v>
      </c>
      <c r="O934" s="4" t="e">
        <f t="shared" si="734"/>
        <v>#DIV/0!</v>
      </c>
      <c r="P934" s="5">
        <f t="shared" si="693"/>
        <v>0</v>
      </c>
      <c r="R934" s="2">
        <f t="shared" si="688"/>
        <v>0</v>
      </c>
      <c r="T934" s="2">
        <f t="shared" si="721"/>
        <v>0</v>
      </c>
      <c r="V934" s="5">
        <f t="shared" si="735"/>
        <v>0</v>
      </c>
      <c r="W934" s="4" t="e">
        <f t="shared" si="736"/>
        <v>#DIV/0!</v>
      </c>
      <c r="X934" s="14">
        <f t="shared" si="694"/>
        <v>0</v>
      </c>
      <c r="Y934" s="5">
        <f t="shared" si="695"/>
        <v>0</v>
      </c>
      <c r="Z934" s="2">
        <f t="shared" si="696"/>
        <v>0</v>
      </c>
      <c r="AA934" s="4">
        <f t="shared" si="697"/>
        <v>0</v>
      </c>
      <c r="AB934" s="13">
        <f t="shared" si="698"/>
        <v>0</v>
      </c>
      <c r="AC934" s="10">
        <f>SUM($E$4:E934)</f>
        <v>-22024.091160220025</v>
      </c>
      <c r="AD934" s="20">
        <f>SUM($AB$4:AB934)</f>
        <v>13539.766460219998</v>
      </c>
      <c r="AF934" s="28" t="e">
        <f t="shared" si="699"/>
        <v>#DIV/0!</v>
      </c>
      <c r="AG934" s="2" t="e">
        <f t="shared" si="700"/>
        <v>#DIV/0!</v>
      </c>
      <c r="AH934" s="2" t="e">
        <f t="shared" si="701"/>
        <v>#DIV/0!</v>
      </c>
      <c r="AI934" s="2" t="e">
        <f t="shared" si="722"/>
        <v>#DIV/0!</v>
      </c>
      <c r="AJ934" s="2" t="e">
        <f t="shared" si="689"/>
        <v>#DIV/0!</v>
      </c>
      <c r="AK934" s="2" t="e">
        <f t="shared" si="702"/>
        <v>#DIV/0!</v>
      </c>
      <c r="AL934" s="2" t="e">
        <f t="shared" si="703"/>
        <v>#DIV/0!</v>
      </c>
      <c r="AM934" s="2" t="e">
        <f t="shared" si="723"/>
        <v>#DIV/0!</v>
      </c>
      <c r="AN934" s="2">
        <f t="shared" si="704"/>
        <v>0</v>
      </c>
      <c r="AO934" s="2" t="e">
        <f t="shared" si="705"/>
        <v>#DIV/0!</v>
      </c>
      <c r="AP934" s="2" t="e">
        <f t="shared" si="706"/>
        <v>#DIV/0!</v>
      </c>
      <c r="AQ934" s="2" t="e">
        <f t="shared" si="724"/>
        <v>#DIV/0!</v>
      </c>
      <c r="AR934" s="2" t="e">
        <f t="shared" si="690"/>
        <v>#DIV/0!</v>
      </c>
      <c r="AS934" s="2" t="e">
        <f t="shared" si="707"/>
        <v>#DIV/0!</v>
      </c>
      <c r="AT934" s="2" t="e">
        <f t="shared" si="708"/>
        <v>#DIV/0!</v>
      </c>
      <c r="AU934" s="2" t="e">
        <f t="shared" si="725"/>
        <v>#DIV/0!</v>
      </c>
      <c r="AV934" s="2" t="e">
        <f t="shared" si="709"/>
        <v>#DIV/0!</v>
      </c>
      <c r="AW934" s="2" t="e">
        <f t="shared" si="710"/>
        <v>#DIV/0!</v>
      </c>
      <c r="AX934" s="2" t="e">
        <f t="shared" si="711"/>
        <v>#DIV/0!</v>
      </c>
      <c r="AY934" s="2" t="e">
        <f t="shared" si="726"/>
        <v>#DIV/0!</v>
      </c>
      <c r="AZ934" s="2" t="e">
        <f t="shared" si="691"/>
        <v>#DIV/0!</v>
      </c>
      <c r="BA934" s="2" t="e">
        <f t="shared" si="712"/>
        <v>#DIV/0!</v>
      </c>
      <c r="BB934" s="2" t="e">
        <f t="shared" si="713"/>
        <v>#DIV/0!</v>
      </c>
      <c r="BC934" s="2" t="e">
        <f t="shared" si="727"/>
        <v>#DIV/0!</v>
      </c>
      <c r="BD934" s="2">
        <v>0</v>
      </c>
      <c r="BE934" s="2" t="e">
        <f t="shared" si="714"/>
        <v>#DIV/0!</v>
      </c>
      <c r="BF934" s="2" t="e">
        <f t="shared" si="715"/>
        <v>#DIV/0!</v>
      </c>
      <c r="BG934" s="2" t="e">
        <f t="shared" si="728"/>
        <v>#DIV/0!</v>
      </c>
      <c r="BH934" s="2" t="e">
        <f t="shared" si="692"/>
        <v>#DIV/0!</v>
      </c>
      <c r="BI934" s="2" t="e">
        <f t="shared" si="716"/>
        <v>#DIV/0!</v>
      </c>
      <c r="BJ934" s="2" t="e">
        <f t="shared" si="717"/>
        <v>#DIV/0!</v>
      </c>
      <c r="BK934" s="2" t="e">
        <f t="shared" si="729"/>
        <v>#DIV/0!</v>
      </c>
      <c r="BL934" s="2" t="e">
        <f t="shared" si="718"/>
        <v>#DIV/0!</v>
      </c>
      <c r="BM934" s="2" t="e">
        <f t="shared" si="719"/>
        <v>#DIV/0!</v>
      </c>
      <c r="BN934" s="2" t="e">
        <f t="shared" si="730"/>
        <v>#DIV/0!</v>
      </c>
    </row>
    <row r="935" spans="1:66" x14ac:dyDescent="0.25">
      <c r="A935" s="42">
        <v>932</v>
      </c>
      <c r="E935" s="6">
        <f t="shared" si="720"/>
        <v>0</v>
      </c>
      <c r="F935" s="5" t="str">
        <f t="shared" si="731"/>
        <v>Break Even</v>
      </c>
      <c r="G935" s="4">
        <f t="shared" si="732"/>
        <v>0</v>
      </c>
      <c r="N935" s="5">
        <f t="shared" si="733"/>
        <v>0</v>
      </c>
      <c r="O935" s="4" t="e">
        <f t="shared" si="734"/>
        <v>#DIV/0!</v>
      </c>
      <c r="P935" s="5">
        <f t="shared" si="693"/>
        <v>0</v>
      </c>
      <c r="R935" s="2">
        <f t="shared" si="688"/>
        <v>0</v>
      </c>
      <c r="T935" s="2">
        <f t="shared" si="721"/>
        <v>0</v>
      </c>
      <c r="V935" s="5">
        <f t="shared" si="735"/>
        <v>0</v>
      </c>
      <c r="W935" s="4" t="e">
        <f t="shared" si="736"/>
        <v>#DIV/0!</v>
      </c>
      <c r="X935" s="14">
        <f t="shared" si="694"/>
        <v>0</v>
      </c>
      <c r="Y935" s="5">
        <f t="shared" si="695"/>
        <v>0</v>
      </c>
      <c r="Z935" s="2">
        <f t="shared" si="696"/>
        <v>0</v>
      </c>
      <c r="AA935" s="4">
        <f t="shared" si="697"/>
        <v>0</v>
      </c>
      <c r="AB935" s="13">
        <f t="shared" si="698"/>
        <v>0</v>
      </c>
      <c r="AC935" s="10">
        <f>SUM($E$4:E935)</f>
        <v>-22024.091160220025</v>
      </c>
      <c r="AD935" s="20">
        <f>SUM($AB$4:AB935)</f>
        <v>13539.766460219998</v>
      </c>
      <c r="AF935" s="28" t="e">
        <f t="shared" si="699"/>
        <v>#DIV/0!</v>
      </c>
      <c r="AG935" s="2" t="e">
        <f t="shared" si="700"/>
        <v>#DIV/0!</v>
      </c>
      <c r="AH935" s="2" t="e">
        <f t="shared" si="701"/>
        <v>#DIV/0!</v>
      </c>
      <c r="AI935" s="2" t="e">
        <f t="shared" si="722"/>
        <v>#DIV/0!</v>
      </c>
      <c r="AJ935" s="2" t="e">
        <f t="shared" si="689"/>
        <v>#DIV/0!</v>
      </c>
      <c r="AK935" s="2" t="e">
        <f t="shared" si="702"/>
        <v>#DIV/0!</v>
      </c>
      <c r="AL935" s="2" t="e">
        <f t="shared" si="703"/>
        <v>#DIV/0!</v>
      </c>
      <c r="AM935" s="2" t="e">
        <f t="shared" si="723"/>
        <v>#DIV/0!</v>
      </c>
      <c r="AN935" s="2">
        <f t="shared" si="704"/>
        <v>0</v>
      </c>
      <c r="AO935" s="2" t="e">
        <f t="shared" si="705"/>
        <v>#DIV/0!</v>
      </c>
      <c r="AP935" s="2" t="e">
        <f t="shared" si="706"/>
        <v>#DIV/0!</v>
      </c>
      <c r="AQ935" s="2" t="e">
        <f t="shared" si="724"/>
        <v>#DIV/0!</v>
      </c>
      <c r="AR935" s="2" t="e">
        <f t="shared" si="690"/>
        <v>#DIV/0!</v>
      </c>
      <c r="AS935" s="2" t="e">
        <f t="shared" si="707"/>
        <v>#DIV/0!</v>
      </c>
      <c r="AT935" s="2" t="e">
        <f t="shared" si="708"/>
        <v>#DIV/0!</v>
      </c>
      <c r="AU935" s="2" t="e">
        <f t="shared" si="725"/>
        <v>#DIV/0!</v>
      </c>
      <c r="AV935" s="2" t="e">
        <f t="shared" si="709"/>
        <v>#DIV/0!</v>
      </c>
      <c r="AW935" s="2" t="e">
        <f t="shared" si="710"/>
        <v>#DIV/0!</v>
      </c>
      <c r="AX935" s="2" t="e">
        <f t="shared" si="711"/>
        <v>#DIV/0!</v>
      </c>
      <c r="AY935" s="2" t="e">
        <f t="shared" si="726"/>
        <v>#DIV/0!</v>
      </c>
      <c r="AZ935" s="2" t="e">
        <f t="shared" si="691"/>
        <v>#DIV/0!</v>
      </c>
      <c r="BA935" s="2" t="e">
        <f t="shared" si="712"/>
        <v>#DIV/0!</v>
      </c>
      <c r="BB935" s="2" t="e">
        <f t="shared" si="713"/>
        <v>#DIV/0!</v>
      </c>
      <c r="BC935" s="2" t="e">
        <f t="shared" si="727"/>
        <v>#DIV/0!</v>
      </c>
      <c r="BD935" s="2">
        <v>0</v>
      </c>
      <c r="BE935" s="2" t="e">
        <f t="shared" si="714"/>
        <v>#DIV/0!</v>
      </c>
      <c r="BF935" s="2" t="e">
        <f t="shared" si="715"/>
        <v>#DIV/0!</v>
      </c>
      <c r="BG935" s="2" t="e">
        <f t="shared" si="728"/>
        <v>#DIV/0!</v>
      </c>
      <c r="BH935" s="2" t="e">
        <f t="shared" si="692"/>
        <v>#DIV/0!</v>
      </c>
      <c r="BI935" s="2" t="e">
        <f t="shared" si="716"/>
        <v>#DIV/0!</v>
      </c>
      <c r="BJ935" s="2" t="e">
        <f t="shared" si="717"/>
        <v>#DIV/0!</v>
      </c>
      <c r="BK935" s="2" t="e">
        <f t="shared" si="729"/>
        <v>#DIV/0!</v>
      </c>
      <c r="BL935" s="2" t="e">
        <f t="shared" si="718"/>
        <v>#DIV/0!</v>
      </c>
      <c r="BM935" s="2" t="e">
        <f t="shared" si="719"/>
        <v>#DIV/0!</v>
      </c>
      <c r="BN935" s="2" t="e">
        <f t="shared" si="730"/>
        <v>#DIV/0!</v>
      </c>
    </row>
    <row r="936" spans="1:66" x14ac:dyDescent="0.25">
      <c r="A936" s="42">
        <v>933</v>
      </c>
      <c r="E936" s="6">
        <f t="shared" si="720"/>
        <v>0</v>
      </c>
      <c r="F936" s="5" t="str">
        <f t="shared" si="731"/>
        <v>Break Even</v>
      </c>
      <c r="G936" s="4">
        <f t="shared" si="732"/>
        <v>0</v>
      </c>
      <c r="N936" s="5">
        <f t="shared" si="733"/>
        <v>0</v>
      </c>
      <c r="O936" s="4" t="e">
        <f t="shared" si="734"/>
        <v>#DIV/0!</v>
      </c>
      <c r="P936" s="5">
        <f t="shared" si="693"/>
        <v>0</v>
      </c>
      <c r="R936" s="2">
        <f t="shared" ref="R936:R999" si="737">J936</f>
        <v>0</v>
      </c>
      <c r="T936" s="2">
        <f t="shared" si="721"/>
        <v>0</v>
      </c>
      <c r="V936" s="5">
        <f t="shared" si="735"/>
        <v>0</v>
      </c>
      <c r="W936" s="4" t="e">
        <f t="shared" si="736"/>
        <v>#DIV/0!</v>
      </c>
      <c r="X936" s="14">
        <f t="shared" si="694"/>
        <v>0</v>
      </c>
      <c r="Y936" s="5">
        <f t="shared" si="695"/>
        <v>0</v>
      </c>
      <c r="Z936" s="2">
        <f t="shared" si="696"/>
        <v>0</v>
      </c>
      <c r="AA936" s="4">
        <f t="shared" si="697"/>
        <v>0</v>
      </c>
      <c r="AB936" s="13">
        <f t="shared" si="698"/>
        <v>0</v>
      </c>
      <c r="AC936" s="10">
        <f>SUM($E$4:E936)</f>
        <v>-22024.091160220025</v>
      </c>
      <c r="AD936" s="20">
        <f>SUM($AB$4:AB936)</f>
        <v>13539.766460219998</v>
      </c>
      <c r="AF936" s="28" t="e">
        <f t="shared" si="699"/>
        <v>#DIV/0!</v>
      </c>
      <c r="AG936" s="2" t="e">
        <f t="shared" si="700"/>
        <v>#DIV/0!</v>
      </c>
      <c r="AH936" s="2" t="e">
        <f t="shared" si="701"/>
        <v>#DIV/0!</v>
      </c>
      <c r="AI936" s="2" t="e">
        <f t="shared" si="722"/>
        <v>#DIV/0!</v>
      </c>
      <c r="AJ936" s="2" t="e">
        <f t="shared" si="689"/>
        <v>#DIV/0!</v>
      </c>
      <c r="AK936" s="2" t="e">
        <f t="shared" si="702"/>
        <v>#DIV/0!</v>
      </c>
      <c r="AL936" s="2" t="e">
        <f t="shared" si="703"/>
        <v>#DIV/0!</v>
      </c>
      <c r="AM936" s="2" t="e">
        <f t="shared" si="723"/>
        <v>#DIV/0!</v>
      </c>
      <c r="AN936" s="2">
        <f t="shared" si="704"/>
        <v>0</v>
      </c>
      <c r="AO936" s="2" t="e">
        <f t="shared" si="705"/>
        <v>#DIV/0!</v>
      </c>
      <c r="AP936" s="2" t="e">
        <f t="shared" si="706"/>
        <v>#DIV/0!</v>
      </c>
      <c r="AQ936" s="2" t="e">
        <f t="shared" si="724"/>
        <v>#DIV/0!</v>
      </c>
      <c r="AR936" s="2" t="e">
        <f t="shared" si="690"/>
        <v>#DIV/0!</v>
      </c>
      <c r="AS936" s="2" t="e">
        <f t="shared" si="707"/>
        <v>#DIV/0!</v>
      </c>
      <c r="AT936" s="2" t="e">
        <f t="shared" si="708"/>
        <v>#DIV/0!</v>
      </c>
      <c r="AU936" s="2" t="e">
        <f t="shared" si="725"/>
        <v>#DIV/0!</v>
      </c>
      <c r="AV936" s="2" t="e">
        <f t="shared" si="709"/>
        <v>#DIV/0!</v>
      </c>
      <c r="AW936" s="2" t="e">
        <f t="shared" si="710"/>
        <v>#DIV/0!</v>
      </c>
      <c r="AX936" s="2" t="e">
        <f t="shared" si="711"/>
        <v>#DIV/0!</v>
      </c>
      <c r="AY936" s="2" t="e">
        <f t="shared" si="726"/>
        <v>#DIV/0!</v>
      </c>
      <c r="AZ936" s="2" t="e">
        <f t="shared" si="691"/>
        <v>#DIV/0!</v>
      </c>
      <c r="BA936" s="2" t="e">
        <f t="shared" si="712"/>
        <v>#DIV/0!</v>
      </c>
      <c r="BB936" s="2" t="e">
        <f t="shared" si="713"/>
        <v>#DIV/0!</v>
      </c>
      <c r="BC936" s="2" t="e">
        <f t="shared" si="727"/>
        <v>#DIV/0!</v>
      </c>
      <c r="BD936" s="2">
        <v>0</v>
      </c>
      <c r="BE936" s="2" t="e">
        <f t="shared" si="714"/>
        <v>#DIV/0!</v>
      </c>
      <c r="BF936" s="2" t="e">
        <f t="shared" si="715"/>
        <v>#DIV/0!</v>
      </c>
      <c r="BG936" s="2" t="e">
        <f t="shared" si="728"/>
        <v>#DIV/0!</v>
      </c>
      <c r="BH936" s="2" t="e">
        <f t="shared" si="692"/>
        <v>#DIV/0!</v>
      </c>
      <c r="BI936" s="2" t="e">
        <f t="shared" si="716"/>
        <v>#DIV/0!</v>
      </c>
      <c r="BJ936" s="2" t="e">
        <f t="shared" si="717"/>
        <v>#DIV/0!</v>
      </c>
      <c r="BK936" s="2" t="e">
        <f t="shared" si="729"/>
        <v>#DIV/0!</v>
      </c>
      <c r="BL936" s="2" t="e">
        <f t="shared" si="718"/>
        <v>#DIV/0!</v>
      </c>
      <c r="BM936" s="2" t="e">
        <f t="shared" si="719"/>
        <v>#DIV/0!</v>
      </c>
      <c r="BN936" s="2" t="e">
        <f t="shared" si="730"/>
        <v>#DIV/0!</v>
      </c>
    </row>
    <row r="937" spans="1:66" x14ac:dyDescent="0.25">
      <c r="A937" s="42">
        <v>934</v>
      </c>
      <c r="E937" s="6">
        <f t="shared" si="720"/>
        <v>0</v>
      </c>
      <c r="F937" s="5" t="str">
        <f t="shared" si="731"/>
        <v>Break Even</v>
      </c>
      <c r="G937" s="4">
        <f t="shared" si="732"/>
        <v>0</v>
      </c>
      <c r="N937" s="5">
        <f t="shared" si="733"/>
        <v>0</v>
      </c>
      <c r="O937" s="4" t="e">
        <f t="shared" si="734"/>
        <v>#DIV/0!</v>
      </c>
      <c r="P937" s="5">
        <f t="shared" si="693"/>
        <v>0</v>
      </c>
      <c r="R937" s="2">
        <f t="shared" si="737"/>
        <v>0</v>
      </c>
      <c r="T937" s="2">
        <f t="shared" si="721"/>
        <v>0</v>
      </c>
      <c r="V937" s="5">
        <f t="shared" si="735"/>
        <v>0</v>
      </c>
      <c r="W937" s="4" t="e">
        <f t="shared" si="736"/>
        <v>#DIV/0!</v>
      </c>
      <c r="X937" s="14">
        <f t="shared" si="694"/>
        <v>0</v>
      </c>
      <c r="Y937" s="5">
        <f t="shared" si="695"/>
        <v>0</v>
      </c>
      <c r="Z937" s="2">
        <f t="shared" si="696"/>
        <v>0</v>
      </c>
      <c r="AA937" s="4">
        <f t="shared" si="697"/>
        <v>0</v>
      </c>
      <c r="AB937" s="13">
        <f t="shared" si="698"/>
        <v>0</v>
      </c>
      <c r="AC937" s="10">
        <f>SUM($E$4:E937)</f>
        <v>-22024.091160220025</v>
      </c>
      <c r="AD937" s="20">
        <f>SUM($AB$4:AB937)</f>
        <v>13539.766460219998</v>
      </c>
      <c r="AF937" s="28" t="e">
        <f t="shared" si="699"/>
        <v>#DIV/0!</v>
      </c>
      <c r="AG937" s="2" t="e">
        <f t="shared" si="700"/>
        <v>#DIV/0!</v>
      </c>
      <c r="AH937" s="2" t="e">
        <f t="shared" si="701"/>
        <v>#DIV/0!</v>
      </c>
      <c r="AI937" s="2" t="e">
        <f t="shared" si="722"/>
        <v>#DIV/0!</v>
      </c>
      <c r="AJ937" s="2" t="e">
        <f t="shared" si="689"/>
        <v>#DIV/0!</v>
      </c>
      <c r="AK937" s="2" t="e">
        <f t="shared" si="702"/>
        <v>#DIV/0!</v>
      </c>
      <c r="AL937" s="2" t="e">
        <f t="shared" si="703"/>
        <v>#DIV/0!</v>
      </c>
      <c r="AM937" s="2" t="e">
        <f t="shared" si="723"/>
        <v>#DIV/0!</v>
      </c>
      <c r="AN937" s="2">
        <f t="shared" si="704"/>
        <v>0</v>
      </c>
      <c r="AO937" s="2" t="e">
        <f t="shared" si="705"/>
        <v>#DIV/0!</v>
      </c>
      <c r="AP937" s="2" t="e">
        <f t="shared" si="706"/>
        <v>#DIV/0!</v>
      </c>
      <c r="AQ937" s="2" t="e">
        <f t="shared" si="724"/>
        <v>#DIV/0!</v>
      </c>
      <c r="AR937" s="2" t="e">
        <f t="shared" si="690"/>
        <v>#DIV/0!</v>
      </c>
      <c r="AS937" s="2" t="e">
        <f t="shared" si="707"/>
        <v>#DIV/0!</v>
      </c>
      <c r="AT937" s="2" t="e">
        <f t="shared" si="708"/>
        <v>#DIV/0!</v>
      </c>
      <c r="AU937" s="2" t="e">
        <f t="shared" si="725"/>
        <v>#DIV/0!</v>
      </c>
      <c r="AV937" s="2" t="e">
        <f t="shared" si="709"/>
        <v>#DIV/0!</v>
      </c>
      <c r="AW937" s="2" t="e">
        <f t="shared" si="710"/>
        <v>#DIV/0!</v>
      </c>
      <c r="AX937" s="2" t="e">
        <f t="shared" si="711"/>
        <v>#DIV/0!</v>
      </c>
      <c r="AY937" s="2" t="e">
        <f t="shared" si="726"/>
        <v>#DIV/0!</v>
      </c>
      <c r="AZ937" s="2" t="e">
        <f t="shared" si="691"/>
        <v>#DIV/0!</v>
      </c>
      <c r="BA937" s="2" t="e">
        <f t="shared" si="712"/>
        <v>#DIV/0!</v>
      </c>
      <c r="BB937" s="2" t="e">
        <f t="shared" si="713"/>
        <v>#DIV/0!</v>
      </c>
      <c r="BC937" s="2" t="e">
        <f t="shared" si="727"/>
        <v>#DIV/0!</v>
      </c>
      <c r="BD937" s="2">
        <v>0</v>
      </c>
      <c r="BE937" s="2" t="e">
        <f t="shared" si="714"/>
        <v>#DIV/0!</v>
      </c>
      <c r="BF937" s="2" t="e">
        <f t="shared" si="715"/>
        <v>#DIV/0!</v>
      </c>
      <c r="BG937" s="2" t="e">
        <f t="shared" si="728"/>
        <v>#DIV/0!</v>
      </c>
      <c r="BH937" s="2" t="e">
        <f t="shared" si="692"/>
        <v>#DIV/0!</v>
      </c>
      <c r="BI937" s="2" t="e">
        <f t="shared" si="716"/>
        <v>#DIV/0!</v>
      </c>
      <c r="BJ937" s="2" t="e">
        <f t="shared" si="717"/>
        <v>#DIV/0!</v>
      </c>
      <c r="BK937" s="2" t="e">
        <f t="shared" si="729"/>
        <v>#DIV/0!</v>
      </c>
      <c r="BL937" s="2" t="e">
        <f t="shared" si="718"/>
        <v>#DIV/0!</v>
      </c>
      <c r="BM937" s="2" t="e">
        <f t="shared" si="719"/>
        <v>#DIV/0!</v>
      </c>
      <c r="BN937" s="2" t="e">
        <f t="shared" si="730"/>
        <v>#DIV/0!</v>
      </c>
    </row>
    <row r="938" spans="1:66" x14ac:dyDescent="0.25">
      <c r="A938" s="42">
        <v>935</v>
      </c>
      <c r="E938" s="6">
        <f t="shared" si="720"/>
        <v>0</v>
      </c>
      <c r="F938" s="5" t="str">
        <f t="shared" si="731"/>
        <v>Break Even</v>
      </c>
      <c r="G938" s="4">
        <f t="shared" si="732"/>
        <v>0</v>
      </c>
      <c r="N938" s="5">
        <f t="shared" si="733"/>
        <v>0</v>
      </c>
      <c r="O938" s="4" t="e">
        <f t="shared" si="734"/>
        <v>#DIV/0!</v>
      </c>
      <c r="P938" s="5">
        <f t="shared" si="693"/>
        <v>0</v>
      </c>
      <c r="R938" s="2">
        <f t="shared" si="737"/>
        <v>0</v>
      </c>
      <c r="T938" s="2">
        <f t="shared" si="721"/>
        <v>0</v>
      </c>
      <c r="V938" s="5">
        <f t="shared" si="735"/>
        <v>0</v>
      </c>
      <c r="W938" s="4" t="e">
        <f t="shared" si="736"/>
        <v>#DIV/0!</v>
      </c>
      <c r="X938" s="14">
        <f t="shared" si="694"/>
        <v>0</v>
      </c>
      <c r="Y938" s="5">
        <f t="shared" si="695"/>
        <v>0</v>
      </c>
      <c r="Z938" s="2">
        <f t="shared" si="696"/>
        <v>0</v>
      </c>
      <c r="AA938" s="4">
        <f t="shared" si="697"/>
        <v>0</v>
      </c>
      <c r="AB938" s="13">
        <f t="shared" si="698"/>
        <v>0</v>
      </c>
      <c r="AC938" s="10">
        <f>SUM($E$4:E938)</f>
        <v>-22024.091160220025</v>
      </c>
      <c r="AD938" s="20">
        <f>SUM($AB$4:AB938)</f>
        <v>13539.766460219998</v>
      </c>
      <c r="AF938" s="28" t="e">
        <f t="shared" si="699"/>
        <v>#DIV/0!</v>
      </c>
      <c r="AG938" s="2" t="e">
        <f t="shared" si="700"/>
        <v>#DIV/0!</v>
      </c>
      <c r="AH938" s="2" t="e">
        <f t="shared" si="701"/>
        <v>#DIV/0!</v>
      </c>
      <c r="AI938" s="2" t="e">
        <f t="shared" si="722"/>
        <v>#DIV/0!</v>
      </c>
      <c r="AJ938" s="2" t="e">
        <f t="shared" si="689"/>
        <v>#DIV/0!</v>
      </c>
      <c r="AK938" s="2" t="e">
        <f t="shared" si="702"/>
        <v>#DIV/0!</v>
      </c>
      <c r="AL938" s="2" t="e">
        <f t="shared" si="703"/>
        <v>#DIV/0!</v>
      </c>
      <c r="AM938" s="2" t="e">
        <f t="shared" si="723"/>
        <v>#DIV/0!</v>
      </c>
      <c r="AN938" s="2">
        <f t="shared" si="704"/>
        <v>0</v>
      </c>
      <c r="AO938" s="2" t="e">
        <f t="shared" si="705"/>
        <v>#DIV/0!</v>
      </c>
      <c r="AP938" s="2" t="e">
        <f t="shared" si="706"/>
        <v>#DIV/0!</v>
      </c>
      <c r="AQ938" s="2" t="e">
        <f t="shared" si="724"/>
        <v>#DIV/0!</v>
      </c>
      <c r="AR938" s="2" t="e">
        <f t="shared" si="690"/>
        <v>#DIV/0!</v>
      </c>
      <c r="AS938" s="2" t="e">
        <f t="shared" si="707"/>
        <v>#DIV/0!</v>
      </c>
      <c r="AT938" s="2" t="e">
        <f t="shared" si="708"/>
        <v>#DIV/0!</v>
      </c>
      <c r="AU938" s="2" t="e">
        <f t="shared" si="725"/>
        <v>#DIV/0!</v>
      </c>
      <c r="AV938" s="2" t="e">
        <f t="shared" si="709"/>
        <v>#DIV/0!</v>
      </c>
      <c r="AW938" s="2" t="e">
        <f t="shared" si="710"/>
        <v>#DIV/0!</v>
      </c>
      <c r="AX938" s="2" t="e">
        <f t="shared" si="711"/>
        <v>#DIV/0!</v>
      </c>
      <c r="AY938" s="2" t="e">
        <f t="shared" si="726"/>
        <v>#DIV/0!</v>
      </c>
      <c r="AZ938" s="2" t="e">
        <f t="shared" si="691"/>
        <v>#DIV/0!</v>
      </c>
      <c r="BA938" s="2" t="e">
        <f t="shared" si="712"/>
        <v>#DIV/0!</v>
      </c>
      <c r="BB938" s="2" t="e">
        <f t="shared" si="713"/>
        <v>#DIV/0!</v>
      </c>
      <c r="BC938" s="2" t="e">
        <f t="shared" si="727"/>
        <v>#DIV/0!</v>
      </c>
      <c r="BD938" s="2">
        <v>0</v>
      </c>
      <c r="BE938" s="2" t="e">
        <f t="shared" si="714"/>
        <v>#DIV/0!</v>
      </c>
      <c r="BF938" s="2" t="e">
        <f t="shared" si="715"/>
        <v>#DIV/0!</v>
      </c>
      <c r="BG938" s="2" t="e">
        <f t="shared" si="728"/>
        <v>#DIV/0!</v>
      </c>
      <c r="BH938" s="2" t="e">
        <f t="shared" si="692"/>
        <v>#DIV/0!</v>
      </c>
      <c r="BI938" s="2" t="e">
        <f t="shared" si="716"/>
        <v>#DIV/0!</v>
      </c>
      <c r="BJ938" s="2" t="e">
        <f t="shared" si="717"/>
        <v>#DIV/0!</v>
      </c>
      <c r="BK938" s="2" t="e">
        <f t="shared" si="729"/>
        <v>#DIV/0!</v>
      </c>
      <c r="BL938" s="2" t="e">
        <f t="shared" si="718"/>
        <v>#DIV/0!</v>
      </c>
      <c r="BM938" s="2" t="e">
        <f t="shared" si="719"/>
        <v>#DIV/0!</v>
      </c>
      <c r="BN938" s="2" t="e">
        <f t="shared" si="730"/>
        <v>#DIV/0!</v>
      </c>
    </row>
    <row r="939" spans="1:66" x14ac:dyDescent="0.25">
      <c r="A939" s="42">
        <v>936</v>
      </c>
      <c r="E939" s="6">
        <f t="shared" si="720"/>
        <v>0</v>
      </c>
      <c r="F939" s="5" t="str">
        <f t="shared" si="731"/>
        <v>Break Even</v>
      </c>
      <c r="G939" s="4">
        <f t="shared" si="732"/>
        <v>0</v>
      </c>
      <c r="N939" s="5">
        <f t="shared" si="733"/>
        <v>0</v>
      </c>
      <c r="O939" s="4" t="e">
        <f t="shared" si="734"/>
        <v>#DIV/0!</v>
      </c>
      <c r="P939" s="5">
        <f t="shared" si="693"/>
        <v>0</v>
      </c>
      <c r="R939" s="2">
        <f t="shared" si="737"/>
        <v>0</v>
      </c>
      <c r="T939" s="2">
        <f t="shared" si="721"/>
        <v>0</v>
      </c>
      <c r="V939" s="5">
        <f t="shared" si="735"/>
        <v>0</v>
      </c>
      <c r="W939" s="4" t="e">
        <f t="shared" si="736"/>
        <v>#DIV/0!</v>
      </c>
      <c r="X939" s="14">
        <f t="shared" si="694"/>
        <v>0</v>
      </c>
      <c r="Y939" s="5">
        <f t="shared" si="695"/>
        <v>0</v>
      </c>
      <c r="Z939" s="2">
        <f t="shared" si="696"/>
        <v>0</v>
      </c>
      <c r="AA939" s="4">
        <f t="shared" si="697"/>
        <v>0</v>
      </c>
      <c r="AB939" s="13">
        <f t="shared" si="698"/>
        <v>0</v>
      </c>
      <c r="AC939" s="10">
        <f>SUM($E$4:E939)</f>
        <v>-22024.091160220025</v>
      </c>
      <c r="AD939" s="20">
        <f>SUM($AB$4:AB939)</f>
        <v>13539.766460219998</v>
      </c>
      <c r="AF939" s="28" t="e">
        <f t="shared" si="699"/>
        <v>#DIV/0!</v>
      </c>
      <c r="AG939" s="2" t="e">
        <f t="shared" si="700"/>
        <v>#DIV/0!</v>
      </c>
      <c r="AH939" s="2" t="e">
        <f t="shared" si="701"/>
        <v>#DIV/0!</v>
      </c>
      <c r="AI939" s="2" t="e">
        <f t="shared" si="722"/>
        <v>#DIV/0!</v>
      </c>
      <c r="AJ939" s="2" t="e">
        <f t="shared" si="689"/>
        <v>#DIV/0!</v>
      </c>
      <c r="AK939" s="2" t="e">
        <f t="shared" si="702"/>
        <v>#DIV/0!</v>
      </c>
      <c r="AL939" s="2" t="e">
        <f t="shared" si="703"/>
        <v>#DIV/0!</v>
      </c>
      <c r="AM939" s="2" t="e">
        <f t="shared" si="723"/>
        <v>#DIV/0!</v>
      </c>
      <c r="AN939" s="2">
        <f t="shared" si="704"/>
        <v>0</v>
      </c>
      <c r="AO939" s="2" t="e">
        <f t="shared" si="705"/>
        <v>#DIV/0!</v>
      </c>
      <c r="AP939" s="2" t="e">
        <f t="shared" si="706"/>
        <v>#DIV/0!</v>
      </c>
      <c r="AQ939" s="2" t="e">
        <f t="shared" si="724"/>
        <v>#DIV/0!</v>
      </c>
      <c r="AR939" s="2" t="e">
        <f t="shared" si="690"/>
        <v>#DIV/0!</v>
      </c>
      <c r="AS939" s="2" t="e">
        <f t="shared" si="707"/>
        <v>#DIV/0!</v>
      </c>
      <c r="AT939" s="2" t="e">
        <f t="shared" si="708"/>
        <v>#DIV/0!</v>
      </c>
      <c r="AU939" s="2" t="e">
        <f t="shared" si="725"/>
        <v>#DIV/0!</v>
      </c>
      <c r="AV939" s="2" t="e">
        <f t="shared" si="709"/>
        <v>#DIV/0!</v>
      </c>
      <c r="AW939" s="2" t="e">
        <f t="shared" si="710"/>
        <v>#DIV/0!</v>
      </c>
      <c r="AX939" s="2" t="e">
        <f t="shared" si="711"/>
        <v>#DIV/0!</v>
      </c>
      <c r="AY939" s="2" t="e">
        <f t="shared" si="726"/>
        <v>#DIV/0!</v>
      </c>
      <c r="AZ939" s="2" t="e">
        <f t="shared" si="691"/>
        <v>#DIV/0!</v>
      </c>
      <c r="BA939" s="2" t="e">
        <f t="shared" si="712"/>
        <v>#DIV/0!</v>
      </c>
      <c r="BB939" s="2" t="e">
        <f t="shared" si="713"/>
        <v>#DIV/0!</v>
      </c>
      <c r="BC939" s="2" t="e">
        <f t="shared" si="727"/>
        <v>#DIV/0!</v>
      </c>
      <c r="BD939" s="2">
        <v>0</v>
      </c>
      <c r="BE939" s="2" t="e">
        <f t="shared" si="714"/>
        <v>#DIV/0!</v>
      </c>
      <c r="BF939" s="2" t="e">
        <f t="shared" si="715"/>
        <v>#DIV/0!</v>
      </c>
      <c r="BG939" s="2" t="e">
        <f t="shared" si="728"/>
        <v>#DIV/0!</v>
      </c>
      <c r="BH939" s="2" t="e">
        <f t="shared" si="692"/>
        <v>#DIV/0!</v>
      </c>
      <c r="BI939" s="2" t="e">
        <f t="shared" si="716"/>
        <v>#DIV/0!</v>
      </c>
      <c r="BJ939" s="2" t="e">
        <f t="shared" si="717"/>
        <v>#DIV/0!</v>
      </c>
      <c r="BK939" s="2" t="e">
        <f t="shared" si="729"/>
        <v>#DIV/0!</v>
      </c>
      <c r="BL939" s="2" t="e">
        <f t="shared" si="718"/>
        <v>#DIV/0!</v>
      </c>
      <c r="BM939" s="2" t="e">
        <f t="shared" si="719"/>
        <v>#DIV/0!</v>
      </c>
      <c r="BN939" s="2" t="e">
        <f t="shared" si="730"/>
        <v>#DIV/0!</v>
      </c>
    </row>
    <row r="940" spans="1:66" x14ac:dyDescent="0.25">
      <c r="A940" s="42">
        <v>937</v>
      </c>
      <c r="E940" s="6">
        <f t="shared" si="720"/>
        <v>0</v>
      </c>
      <c r="F940" s="5" t="str">
        <f t="shared" si="731"/>
        <v>Break Even</v>
      </c>
      <c r="G940" s="4">
        <f t="shared" si="732"/>
        <v>0</v>
      </c>
      <c r="N940" s="5">
        <f t="shared" si="733"/>
        <v>0</v>
      </c>
      <c r="O940" s="4" t="e">
        <f t="shared" si="734"/>
        <v>#DIV/0!</v>
      </c>
      <c r="P940" s="5">
        <f t="shared" si="693"/>
        <v>0</v>
      </c>
      <c r="R940" s="2">
        <f t="shared" si="737"/>
        <v>0</v>
      </c>
      <c r="T940" s="2">
        <f t="shared" si="721"/>
        <v>0</v>
      </c>
      <c r="V940" s="5">
        <f t="shared" si="735"/>
        <v>0</v>
      </c>
      <c r="W940" s="4" t="e">
        <f t="shared" si="736"/>
        <v>#DIV/0!</v>
      </c>
      <c r="X940" s="14">
        <f t="shared" si="694"/>
        <v>0</v>
      </c>
      <c r="Y940" s="5">
        <f t="shared" si="695"/>
        <v>0</v>
      </c>
      <c r="Z940" s="2">
        <f t="shared" si="696"/>
        <v>0</v>
      </c>
      <c r="AA940" s="4">
        <f t="shared" si="697"/>
        <v>0</v>
      </c>
      <c r="AB940" s="13">
        <f t="shared" si="698"/>
        <v>0</v>
      </c>
      <c r="AC940" s="10">
        <f>SUM($E$4:E940)</f>
        <v>-22024.091160220025</v>
      </c>
      <c r="AD940" s="20">
        <f>SUM($AB$4:AB940)</f>
        <v>13539.766460219998</v>
      </c>
      <c r="AF940" s="28" t="e">
        <f t="shared" si="699"/>
        <v>#DIV/0!</v>
      </c>
      <c r="AG940" s="2" t="e">
        <f t="shared" si="700"/>
        <v>#DIV/0!</v>
      </c>
      <c r="AH940" s="2" t="e">
        <f t="shared" si="701"/>
        <v>#DIV/0!</v>
      </c>
      <c r="AI940" s="2" t="e">
        <f t="shared" si="722"/>
        <v>#DIV/0!</v>
      </c>
      <c r="AJ940" s="2" t="e">
        <f t="shared" si="689"/>
        <v>#DIV/0!</v>
      </c>
      <c r="AK940" s="2" t="e">
        <f t="shared" si="702"/>
        <v>#DIV/0!</v>
      </c>
      <c r="AL940" s="2" t="e">
        <f t="shared" si="703"/>
        <v>#DIV/0!</v>
      </c>
      <c r="AM940" s="2" t="e">
        <f t="shared" si="723"/>
        <v>#DIV/0!</v>
      </c>
      <c r="AN940" s="2">
        <f t="shared" si="704"/>
        <v>0</v>
      </c>
      <c r="AO940" s="2" t="e">
        <f t="shared" si="705"/>
        <v>#DIV/0!</v>
      </c>
      <c r="AP940" s="2" t="e">
        <f t="shared" si="706"/>
        <v>#DIV/0!</v>
      </c>
      <c r="AQ940" s="2" t="e">
        <f t="shared" si="724"/>
        <v>#DIV/0!</v>
      </c>
      <c r="AR940" s="2" t="e">
        <f t="shared" si="690"/>
        <v>#DIV/0!</v>
      </c>
      <c r="AS940" s="2" t="e">
        <f t="shared" si="707"/>
        <v>#DIV/0!</v>
      </c>
      <c r="AT940" s="2" t="e">
        <f t="shared" si="708"/>
        <v>#DIV/0!</v>
      </c>
      <c r="AU940" s="2" t="e">
        <f t="shared" si="725"/>
        <v>#DIV/0!</v>
      </c>
      <c r="AV940" s="2" t="e">
        <f t="shared" si="709"/>
        <v>#DIV/0!</v>
      </c>
      <c r="AW940" s="2" t="e">
        <f t="shared" si="710"/>
        <v>#DIV/0!</v>
      </c>
      <c r="AX940" s="2" t="e">
        <f t="shared" si="711"/>
        <v>#DIV/0!</v>
      </c>
      <c r="AY940" s="2" t="e">
        <f t="shared" si="726"/>
        <v>#DIV/0!</v>
      </c>
      <c r="AZ940" s="2" t="e">
        <f t="shared" si="691"/>
        <v>#DIV/0!</v>
      </c>
      <c r="BA940" s="2" t="e">
        <f t="shared" si="712"/>
        <v>#DIV/0!</v>
      </c>
      <c r="BB940" s="2" t="e">
        <f t="shared" si="713"/>
        <v>#DIV/0!</v>
      </c>
      <c r="BC940" s="2" t="e">
        <f t="shared" si="727"/>
        <v>#DIV/0!</v>
      </c>
      <c r="BD940" s="2">
        <v>0</v>
      </c>
      <c r="BE940" s="2" t="e">
        <f t="shared" si="714"/>
        <v>#DIV/0!</v>
      </c>
      <c r="BF940" s="2" t="e">
        <f t="shared" si="715"/>
        <v>#DIV/0!</v>
      </c>
      <c r="BG940" s="2" t="e">
        <f t="shared" si="728"/>
        <v>#DIV/0!</v>
      </c>
      <c r="BH940" s="2" t="e">
        <f t="shared" si="692"/>
        <v>#DIV/0!</v>
      </c>
      <c r="BI940" s="2" t="e">
        <f t="shared" si="716"/>
        <v>#DIV/0!</v>
      </c>
      <c r="BJ940" s="2" t="e">
        <f t="shared" si="717"/>
        <v>#DIV/0!</v>
      </c>
      <c r="BK940" s="2" t="e">
        <f t="shared" si="729"/>
        <v>#DIV/0!</v>
      </c>
      <c r="BL940" s="2" t="e">
        <f t="shared" si="718"/>
        <v>#DIV/0!</v>
      </c>
      <c r="BM940" s="2" t="e">
        <f t="shared" si="719"/>
        <v>#DIV/0!</v>
      </c>
      <c r="BN940" s="2" t="e">
        <f t="shared" si="730"/>
        <v>#DIV/0!</v>
      </c>
    </row>
    <row r="941" spans="1:66" x14ac:dyDescent="0.25">
      <c r="A941" s="42">
        <v>938</v>
      </c>
      <c r="E941" s="6">
        <f t="shared" si="720"/>
        <v>0</v>
      </c>
      <c r="F941" s="5" t="str">
        <f t="shared" si="731"/>
        <v>Break Even</v>
      </c>
      <c r="G941" s="4">
        <f t="shared" si="732"/>
        <v>0</v>
      </c>
      <c r="N941" s="5">
        <f t="shared" si="733"/>
        <v>0</v>
      </c>
      <c r="O941" s="4" t="e">
        <f t="shared" si="734"/>
        <v>#DIV/0!</v>
      </c>
      <c r="P941" s="5">
        <f t="shared" si="693"/>
        <v>0</v>
      </c>
      <c r="R941" s="2">
        <f t="shared" si="737"/>
        <v>0</v>
      </c>
      <c r="T941" s="2">
        <f t="shared" si="721"/>
        <v>0</v>
      </c>
      <c r="V941" s="5">
        <f t="shared" si="735"/>
        <v>0</v>
      </c>
      <c r="W941" s="4" t="e">
        <f t="shared" si="736"/>
        <v>#DIV/0!</v>
      </c>
      <c r="X941" s="14">
        <f t="shared" si="694"/>
        <v>0</v>
      </c>
      <c r="Y941" s="5">
        <f t="shared" si="695"/>
        <v>0</v>
      </c>
      <c r="Z941" s="2">
        <f t="shared" si="696"/>
        <v>0</v>
      </c>
      <c r="AA941" s="4">
        <f t="shared" si="697"/>
        <v>0</v>
      </c>
      <c r="AB941" s="13">
        <f t="shared" si="698"/>
        <v>0</v>
      </c>
      <c r="AC941" s="10">
        <f>SUM($E$4:E941)</f>
        <v>-22024.091160220025</v>
      </c>
      <c r="AD941" s="20">
        <f>SUM($AB$4:AB941)</f>
        <v>13539.766460219998</v>
      </c>
      <c r="AF941" s="28" t="e">
        <f t="shared" si="699"/>
        <v>#DIV/0!</v>
      </c>
      <c r="AG941" s="2" t="e">
        <f t="shared" si="700"/>
        <v>#DIV/0!</v>
      </c>
      <c r="AH941" s="2" t="e">
        <f t="shared" si="701"/>
        <v>#DIV/0!</v>
      </c>
      <c r="AI941" s="2" t="e">
        <f t="shared" si="722"/>
        <v>#DIV/0!</v>
      </c>
      <c r="AJ941" s="2" t="e">
        <f t="shared" si="689"/>
        <v>#DIV/0!</v>
      </c>
      <c r="AK941" s="2" t="e">
        <f t="shared" si="702"/>
        <v>#DIV/0!</v>
      </c>
      <c r="AL941" s="2" t="e">
        <f t="shared" si="703"/>
        <v>#DIV/0!</v>
      </c>
      <c r="AM941" s="2" t="e">
        <f t="shared" si="723"/>
        <v>#DIV/0!</v>
      </c>
      <c r="AN941" s="2">
        <f t="shared" si="704"/>
        <v>0</v>
      </c>
      <c r="AO941" s="2" t="e">
        <f t="shared" si="705"/>
        <v>#DIV/0!</v>
      </c>
      <c r="AP941" s="2" t="e">
        <f t="shared" si="706"/>
        <v>#DIV/0!</v>
      </c>
      <c r="AQ941" s="2" t="e">
        <f t="shared" si="724"/>
        <v>#DIV/0!</v>
      </c>
      <c r="AR941" s="2" t="e">
        <f t="shared" si="690"/>
        <v>#DIV/0!</v>
      </c>
      <c r="AS941" s="2" t="e">
        <f t="shared" si="707"/>
        <v>#DIV/0!</v>
      </c>
      <c r="AT941" s="2" t="e">
        <f t="shared" si="708"/>
        <v>#DIV/0!</v>
      </c>
      <c r="AU941" s="2" t="e">
        <f t="shared" si="725"/>
        <v>#DIV/0!</v>
      </c>
      <c r="AV941" s="2" t="e">
        <f t="shared" si="709"/>
        <v>#DIV/0!</v>
      </c>
      <c r="AW941" s="2" t="e">
        <f t="shared" si="710"/>
        <v>#DIV/0!</v>
      </c>
      <c r="AX941" s="2" t="e">
        <f t="shared" si="711"/>
        <v>#DIV/0!</v>
      </c>
      <c r="AY941" s="2" t="e">
        <f t="shared" si="726"/>
        <v>#DIV/0!</v>
      </c>
      <c r="AZ941" s="2" t="e">
        <f t="shared" si="691"/>
        <v>#DIV/0!</v>
      </c>
      <c r="BA941" s="2" t="e">
        <f t="shared" si="712"/>
        <v>#DIV/0!</v>
      </c>
      <c r="BB941" s="2" t="e">
        <f t="shared" si="713"/>
        <v>#DIV/0!</v>
      </c>
      <c r="BC941" s="2" t="e">
        <f t="shared" si="727"/>
        <v>#DIV/0!</v>
      </c>
      <c r="BD941" s="2">
        <v>0</v>
      </c>
      <c r="BE941" s="2" t="e">
        <f t="shared" si="714"/>
        <v>#DIV/0!</v>
      </c>
      <c r="BF941" s="2" t="e">
        <f t="shared" si="715"/>
        <v>#DIV/0!</v>
      </c>
      <c r="BG941" s="2" t="e">
        <f t="shared" si="728"/>
        <v>#DIV/0!</v>
      </c>
      <c r="BH941" s="2" t="e">
        <f t="shared" si="692"/>
        <v>#DIV/0!</v>
      </c>
      <c r="BI941" s="2" t="e">
        <f t="shared" si="716"/>
        <v>#DIV/0!</v>
      </c>
      <c r="BJ941" s="2" t="e">
        <f t="shared" si="717"/>
        <v>#DIV/0!</v>
      </c>
      <c r="BK941" s="2" t="e">
        <f t="shared" si="729"/>
        <v>#DIV/0!</v>
      </c>
      <c r="BL941" s="2" t="e">
        <f t="shared" si="718"/>
        <v>#DIV/0!</v>
      </c>
      <c r="BM941" s="2" t="e">
        <f t="shared" si="719"/>
        <v>#DIV/0!</v>
      </c>
      <c r="BN941" s="2" t="e">
        <f t="shared" si="730"/>
        <v>#DIV/0!</v>
      </c>
    </row>
    <row r="942" spans="1:66" x14ac:dyDescent="0.25">
      <c r="A942" s="42">
        <v>939</v>
      </c>
      <c r="E942" s="6">
        <f t="shared" si="720"/>
        <v>0</v>
      </c>
      <c r="F942" s="5" t="str">
        <f t="shared" si="731"/>
        <v>Break Even</v>
      </c>
      <c r="G942" s="4">
        <f t="shared" si="732"/>
        <v>0</v>
      </c>
      <c r="N942" s="5">
        <f t="shared" si="733"/>
        <v>0</v>
      </c>
      <c r="O942" s="4" t="e">
        <f t="shared" si="734"/>
        <v>#DIV/0!</v>
      </c>
      <c r="P942" s="5">
        <f t="shared" si="693"/>
        <v>0</v>
      </c>
      <c r="R942" s="2">
        <f t="shared" si="737"/>
        <v>0</v>
      </c>
      <c r="T942" s="2">
        <f t="shared" si="721"/>
        <v>0</v>
      </c>
      <c r="V942" s="5">
        <f t="shared" si="735"/>
        <v>0</v>
      </c>
      <c r="W942" s="4" t="e">
        <f t="shared" si="736"/>
        <v>#DIV/0!</v>
      </c>
      <c r="X942" s="14">
        <f t="shared" si="694"/>
        <v>0</v>
      </c>
      <c r="Y942" s="5">
        <f t="shared" si="695"/>
        <v>0</v>
      </c>
      <c r="Z942" s="2">
        <f t="shared" si="696"/>
        <v>0</v>
      </c>
      <c r="AA942" s="4">
        <f t="shared" si="697"/>
        <v>0</v>
      </c>
      <c r="AB942" s="13">
        <f t="shared" si="698"/>
        <v>0</v>
      </c>
      <c r="AC942" s="10">
        <f>SUM($E$4:E942)</f>
        <v>-22024.091160220025</v>
      </c>
      <c r="AD942" s="20">
        <f>SUM($AB$4:AB942)</f>
        <v>13539.766460219998</v>
      </c>
      <c r="AF942" s="28" t="e">
        <f t="shared" si="699"/>
        <v>#DIV/0!</v>
      </c>
      <c r="AG942" s="2" t="e">
        <f t="shared" si="700"/>
        <v>#DIV/0!</v>
      </c>
      <c r="AH942" s="2" t="e">
        <f t="shared" si="701"/>
        <v>#DIV/0!</v>
      </c>
      <c r="AI942" s="2" t="e">
        <f t="shared" si="722"/>
        <v>#DIV/0!</v>
      </c>
      <c r="AJ942" s="2" t="e">
        <f t="shared" ref="AJ942:AJ999" si="738">0.18*AI942</f>
        <v>#DIV/0!</v>
      </c>
      <c r="AK942" s="2" t="e">
        <f t="shared" si="702"/>
        <v>#DIV/0!</v>
      </c>
      <c r="AL942" s="2" t="e">
        <f t="shared" si="703"/>
        <v>#DIV/0!</v>
      </c>
      <c r="AM942" s="2" t="e">
        <f t="shared" si="723"/>
        <v>#DIV/0!</v>
      </c>
      <c r="AN942" s="2">
        <f t="shared" si="704"/>
        <v>0</v>
      </c>
      <c r="AO942" s="2" t="e">
        <f t="shared" si="705"/>
        <v>#DIV/0!</v>
      </c>
      <c r="AP942" s="2" t="e">
        <f t="shared" si="706"/>
        <v>#DIV/0!</v>
      </c>
      <c r="AQ942" s="2" t="e">
        <f t="shared" si="724"/>
        <v>#DIV/0!</v>
      </c>
      <c r="AR942" s="2" t="e">
        <f t="shared" ref="AR942:AR999" si="739">0.18*AQ942</f>
        <v>#DIV/0!</v>
      </c>
      <c r="AS942" s="2" t="e">
        <f t="shared" si="707"/>
        <v>#DIV/0!</v>
      </c>
      <c r="AT942" s="2" t="e">
        <f t="shared" si="708"/>
        <v>#DIV/0!</v>
      </c>
      <c r="AU942" s="2" t="e">
        <f t="shared" si="725"/>
        <v>#DIV/0!</v>
      </c>
      <c r="AV942" s="2" t="e">
        <f t="shared" si="709"/>
        <v>#DIV/0!</v>
      </c>
      <c r="AW942" s="2" t="e">
        <f t="shared" si="710"/>
        <v>#DIV/0!</v>
      </c>
      <c r="AX942" s="2" t="e">
        <f t="shared" si="711"/>
        <v>#DIV/0!</v>
      </c>
      <c r="AY942" s="2" t="e">
        <f t="shared" si="726"/>
        <v>#DIV/0!</v>
      </c>
      <c r="AZ942" s="2" t="e">
        <f t="shared" ref="AZ942:AZ999" si="740">0.18*AY942</f>
        <v>#DIV/0!</v>
      </c>
      <c r="BA942" s="2" t="e">
        <f t="shared" si="712"/>
        <v>#DIV/0!</v>
      </c>
      <c r="BB942" s="2" t="e">
        <f t="shared" si="713"/>
        <v>#DIV/0!</v>
      </c>
      <c r="BC942" s="2" t="e">
        <f t="shared" si="727"/>
        <v>#DIV/0!</v>
      </c>
      <c r="BD942" s="2">
        <v>0</v>
      </c>
      <c r="BE942" s="2" t="e">
        <f t="shared" si="714"/>
        <v>#DIV/0!</v>
      </c>
      <c r="BF942" s="2" t="e">
        <f t="shared" si="715"/>
        <v>#DIV/0!</v>
      </c>
      <c r="BG942" s="2" t="e">
        <f t="shared" si="728"/>
        <v>#DIV/0!</v>
      </c>
      <c r="BH942" s="2" t="e">
        <f t="shared" ref="BH942:BH999" si="741">0.18*BG942</f>
        <v>#DIV/0!</v>
      </c>
      <c r="BI942" s="2" t="e">
        <f t="shared" si="716"/>
        <v>#DIV/0!</v>
      </c>
      <c r="BJ942" s="2" t="e">
        <f t="shared" si="717"/>
        <v>#DIV/0!</v>
      </c>
      <c r="BK942" s="2" t="e">
        <f t="shared" si="729"/>
        <v>#DIV/0!</v>
      </c>
      <c r="BL942" s="2" t="e">
        <f t="shared" si="718"/>
        <v>#DIV/0!</v>
      </c>
      <c r="BM942" s="2" t="e">
        <f t="shared" si="719"/>
        <v>#DIV/0!</v>
      </c>
      <c r="BN942" s="2" t="e">
        <f t="shared" si="730"/>
        <v>#DIV/0!</v>
      </c>
    </row>
    <row r="943" spans="1:66" x14ac:dyDescent="0.25">
      <c r="A943" s="42">
        <v>940</v>
      </c>
      <c r="E943" s="6">
        <f t="shared" si="720"/>
        <v>0</v>
      </c>
      <c r="F943" s="5" t="str">
        <f t="shared" si="731"/>
        <v>Break Even</v>
      </c>
      <c r="G943" s="4">
        <f t="shared" si="732"/>
        <v>0</v>
      </c>
      <c r="N943" s="5">
        <f t="shared" si="733"/>
        <v>0</v>
      </c>
      <c r="O943" s="4" t="e">
        <f t="shared" si="734"/>
        <v>#DIV/0!</v>
      </c>
      <c r="P943" s="5">
        <f t="shared" si="693"/>
        <v>0</v>
      </c>
      <c r="R943" s="2">
        <f t="shared" si="737"/>
        <v>0</v>
      </c>
      <c r="T943" s="2">
        <f t="shared" si="721"/>
        <v>0</v>
      </c>
      <c r="V943" s="5">
        <f t="shared" si="735"/>
        <v>0</v>
      </c>
      <c r="W943" s="4" t="e">
        <f t="shared" si="736"/>
        <v>#DIV/0!</v>
      </c>
      <c r="X943" s="14">
        <f t="shared" si="694"/>
        <v>0</v>
      </c>
      <c r="Y943" s="5">
        <f t="shared" si="695"/>
        <v>0</v>
      </c>
      <c r="Z943" s="2">
        <f t="shared" si="696"/>
        <v>0</v>
      </c>
      <c r="AA943" s="4">
        <f t="shared" si="697"/>
        <v>0</v>
      </c>
      <c r="AB943" s="13">
        <f t="shared" si="698"/>
        <v>0</v>
      </c>
      <c r="AC943" s="10">
        <f>SUM($E$4:E943)</f>
        <v>-22024.091160220025</v>
      </c>
      <c r="AD943" s="20">
        <f>SUM($AB$4:AB943)</f>
        <v>13539.766460219998</v>
      </c>
      <c r="AF943" s="28" t="e">
        <f t="shared" si="699"/>
        <v>#DIV/0!</v>
      </c>
      <c r="AG943" s="2" t="e">
        <f t="shared" si="700"/>
        <v>#DIV/0!</v>
      </c>
      <c r="AH943" s="2" t="e">
        <f t="shared" si="701"/>
        <v>#DIV/0!</v>
      </c>
      <c r="AI943" s="2" t="e">
        <f t="shared" si="722"/>
        <v>#DIV/0!</v>
      </c>
      <c r="AJ943" s="2" t="e">
        <f t="shared" si="738"/>
        <v>#DIV/0!</v>
      </c>
      <c r="AK943" s="2" t="e">
        <f t="shared" si="702"/>
        <v>#DIV/0!</v>
      </c>
      <c r="AL943" s="2" t="e">
        <f t="shared" si="703"/>
        <v>#DIV/0!</v>
      </c>
      <c r="AM943" s="2" t="e">
        <f t="shared" si="723"/>
        <v>#DIV/0!</v>
      </c>
      <c r="AN943" s="2">
        <f t="shared" si="704"/>
        <v>0</v>
      </c>
      <c r="AO943" s="2" t="e">
        <f t="shared" si="705"/>
        <v>#DIV/0!</v>
      </c>
      <c r="AP943" s="2" t="e">
        <f t="shared" si="706"/>
        <v>#DIV/0!</v>
      </c>
      <c r="AQ943" s="2" t="e">
        <f t="shared" si="724"/>
        <v>#DIV/0!</v>
      </c>
      <c r="AR943" s="2" t="e">
        <f t="shared" si="739"/>
        <v>#DIV/0!</v>
      </c>
      <c r="AS943" s="2" t="e">
        <f t="shared" si="707"/>
        <v>#DIV/0!</v>
      </c>
      <c r="AT943" s="2" t="e">
        <f t="shared" si="708"/>
        <v>#DIV/0!</v>
      </c>
      <c r="AU943" s="2" t="e">
        <f t="shared" si="725"/>
        <v>#DIV/0!</v>
      </c>
      <c r="AV943" s="2" t="e">
        <f t="shared" si="709"/>
        <v>#DIV/0!</v>
      </c>
      <c r="AW943" s="2" t="e">
        <f t="shared" si="710"/>
        <v>#DIV/0!</v>
      </c>
      <c r="AX943" s="2" t="e">
        <f t="shared" si="711"/>
        <v>#DIV/0!</v>
      </c>
      <c r="AY943" s="2" t="e">
        <f t="shared" si="726"/>
        <v>#DIV/0!</v>
      </c>
      <c r="AZ943" s="2" t="e">
        <f t="shared" si="740"/>
        <v>#DIV/0!</v>
      </c>
      <c r="BA943" s="2" t="e">
        <f t="shared" si="712"/>
        <v>#DIV/0!</v>
      </c>
      <c r="BB943" s="2" t="e">
        <f t="shared" si="713"/>
        <v>#DIV/0!</v>
      </c>
      <c r="BC943" s="2" t="e">
        <f t="shared" si="727"/>
        <v>#DIV/0!</v>
      </c>
      <c r="BD943" s="2">
        <v>0</v>
      </c>
      <c r="BE943" s="2" t="e">
        <f t="shared" si="714"/>
        <v>#DIV/0!</v>
      </c>
      <c r="BF943" s="2" t="e">
        <f t="shared" si="715"/>
        <v>#DIV/0!</v>
      </c>
      <c r="BG943" s="2" t="e">
        <f t="shared" si="728"/>
        <v>#DIV/0!</v>
      </c>
      <c r="BH943" s="2" t="e">
        <f t="shared" si="741"/>
        <v>#DIV/0!</v>
      </c>
      <c r="BI943" s="2" t="e">
        <f t="shared" si="716"/>
        <v>#DIV/0!</v>
      </c>
      <c r="BJ943" s="2" t="e">
        <f t="shared" si="717"/>
        <v>#DIV/0!</v>
      </c>
      <c r="BK943" s="2" t="e">
        <f t="shared" si="729"/>
        <v>#DIV/0!</v>
      </c>
      <c r="BL943" s="2" t="e">
        <f t="shared" si="718"/>
        <v>#DIV/0!</v>
      </c>
      <c r="BM943" s="2" t="e">
        <f t="shared" si="719"/>
        <v>#DIV/0!</v>
      </c>
      <c r="BN943" s="2" t="e">
        <f t="shared" si="730"/>
        <v>#DIV/0!</v>
      </c>
    </row>
    <row r="944" spans="1:66" x14ac:dyDescent="0.25">
      <c r="A944" s="42">
        <v>941</v>
      </c>
      <c r="E944" s="6">
        <f t="shared" si="720"/>
        <v>0</v>
      </c>
      <c r="F944" s="5" t="str">
        <f t="shared" si="731"/>
        <v>Break Even</v>
      </c>
      <c r="G944" s="4">
        <f t="shared" si="732"/>
        <v>0</v>
      </c>
      <c r="N944" s="5">
        <f t="shared" si="733"/>
        <v>0</v>
      </c>
      <c r="O944" s="4" t="e">
        <f t="shared" si="734"/>
        <v>#DIV/0!</v>
      </c>
      <c r="P944" s="5">
        <f t="shared" si="693"/>
        <v>0</v>
      </c>
      <c r="R944" s="2">
        <f t="shared" si="737"/>
        <v>0</v>
      </c>
      <c r="T944" s="2">
        <f t="shared" si="721"/>
        <v>0</v>
      </c>
      <c r="V944" s="5">
        <f t="shared" si="735"/>
        <v>0</v>
      </c>
      <c r="W944" s="4" t="e">
        <f t="shared" si="736"/>
        <v>#DIV/0!</v>
      </c>
      <c r="X944" s="14">
        <f t="shared" si="694"/>
        <v>0</v>
      </c>
      <c r="Y944" s="5">
        <f t="shared" si="695"/>
        <v>0</v>
      </c>
      <c r="Z944" s="2">
        <f t="shared" si="696"/>
        <v>0</v>
      </c>
      <c r="AA944" s="4">
        <f t="shared" si="697"/>
        <v>0</v>
      </c>
      <c r="AB944" s="13">
        <f t="shared" si="698"/>
        <v>0</v>
      </c>
      <c r="AC944" s="10">
        <f>SUM($E$4:E944)</f>
        <v>-22024.091160220025</v>
      </c>
      <c r="AD944" s="20">
        <f>SUM($AB$4:AB944)</f>
        <v>13539.766460219998</v>
      </c>
      <c r="AF944" s="28" t="e">
        <f t="shared" si="699"/>
        <v>#DIV/0!</v>
      </c>
      <c r="AG944" s="2" t="e">
        <f t="shared" si="700"/>
        <v>#DIV/0!</v>
      </c>
      <c r="AH944" s="2" t="e">
        <f t="shared" si="701"/>
        <v>#DIV/0!</v>
      </c>
      <c r="AI944" s="2" t="e">
        <f t="shared" si="722"/>
        <v>#DIV/0!</v>
      </c>
      <c r="AJ944" s="2" t="e">
        <f t="shared" si="738"/>
        <v>#DIV/0!</v>
      </c>
      <c r="AK944" s="2" t="e">
        <f t="shared" si="702"/>
        <v>#DIV/0!</v>
      </c>
      <c r="AL944" s="2" t="e">
        <f t="shared" si="703"/>
        <v>#DIV/0!</v>
      </c>
      <c r="AM944" s="2" t="e">
        <f t="shared" si="723"/>
        <v>#DIV/0!</v>
      </c>
      <c r="AN944" s="2">
        <f t="shared" si="704"/>
        <v>0</v>
      </c>
      <c r="AO944" s="2" t="e">
        <f t="shared" si="705"/>
        <v>#DIV/0!</v>
      </c>
      <c r="AP944" s="2" t="e">
        <f t="shared" si="706"/>
        <v>#DIV/0!</v>
      </c>
      <c r="AQ944" s="2" t="e">
        <f t="shared" si="724"/>
        <v>#DIV/0!</v>
      </c>
      <c r="AR944" s="2" t="e">
        <f t="shared" si="739"/>
        <v>#DIV/0!</v>
      </c>
      <c r="AS944" s="2" t="e">
        <f t="shared" si="707"/>
        <v>#DIV/0!</v>
      </c>
      <c r="AT944" s="2" t="e">
        <f t="shared" si="708"/>
        <v>#DIV/0!</v>
      </c>
      <c r="AU944" s="2" t="e">
        <f t="shared" si="725"/>
        <v>#DIV/0!</v>
      </c>
      <c r="AV944" s="2" t="e">
        <f t="shared" si="709"/>
        <v>#DIV/0!</v>
      </c>
      <c r="AW944" s="2" t="e">
        <f t="shared" si="710"/>
        <v>#DIV/0!</v>
      </c>
      <c r="AX944" s="2" t="e">
        <f t="shared" si="711"/>
        <v>#DIV/0!</v>
      </c>
      <c r="AY944" s="2" t="e">
        <f t="shared" si="726"/>
        <v>#DIV/0!</v>
      </c>
      <c r="AZ944" s="2" t="e">
        <f t="shared" si="740"/>
        <v>#DIV/0!</v>
      </c>
      <c r="BA944" s="2" t="e">
        <f t="shared" si="712"/>
        <v>#DIV/0!</v>
      </c>
      <c r="BB944" s="2" t="e">
        <f t="shared" si="713"/>
        <v>#DIV/0!</v>
      </c>
      <c r="BC944" s="2" t="e">
        <f t="shared" si="727"/>
        <v>#DIV/0!</v>
      </c>
      <c r="BD944" s="2">
        <v>0</v>
      </c>
      <c r="BE944" s="2" t="e">
        <f t="shared" si="714"/>
        <v>#DIV/0!</v>
      </c>
      <c r="BF944" s="2" t="e">
        <f t="shared" si="715"/>
        <v>#DIV/0!</v>
      </c>
      <c r="BG944" s="2" t="e">
        <f t="shared" si="728"/>
        <v>#DIV/0!</v>
      </c>
      <c r="BH944" s="2" t="e">
        <f t="shared" si="741"/>
        <v>#DIV/0!</v>
      </c>
      <c r="BI944" s="2" t="e">
        <f t="shared" si="716"/>
        <v>#DIV/0!</v>
      </c>
      <c r="BJ944" s="2" t="e">
        <f t="shared" si="717"/>
        <v>#DIV/0!</v>
      </c>
      <c r="BK944" s="2" t="e">
        <f t="shared" si="729"/>
        <v>#DIV/0!</v>
      </c>
      <c r="BL944" s="2" t="e">
        <f t="shared" si="718"/>
        <v>#DIV/0!</v>
      </c>
      <c r="BM944" s="2" t="e">
        <f t="shared" si="719"/>
        <v>#DIV/0!</v>
      </c>
      <c r="BN944" s="2" t="e">
        <f t="shared" si="730"/>
        <v>#DIV/0!</v>
      </c>
    </row>
    <row r="945" spans="1:66" x14ac:dyDescent="0.25">
      <c r="A945" s="42">
        <v>942</v>
      </c>
      <c r="E945" s="6">
        <f t="shared" si="720"/>
        <v>0</v>
      </c>
      <c r="F945" s="5" t="str">
        <f t="shared" si="731"/>
        <v>Break Even</v>
      </c>
      <c r="G945" s="4">
        <f t="shared" si="732"/>
        <v>0</v>
      </c>
      <c r="N945" s="5">
        <f t="shared" si="733"/>
        <v>0</v>
      </c>
      <c r="O945" s="4" t="e">
        <f t="shared" si="734"/>
        <v>#DIV/0!</v>
      </c>
      <c r="P945" s="5">
        <f t="shared" si="693"/>
        <v>0</v>
      </c>
      <c r="R945" s="2">
        <f t="shared" si="737"/>
        <v>0</v>
      </c>
      <c r="T945" s="2">
        <f t="shared" si="721"/>
        <v>0</v>
      </c>
      <c r="V945" s="5">
        <f t="shared" si="735"/>
        <v>0</v>
      </c>
      <c r="W945" s="4" t="e">
        <f t="shared" si="736"/>
        <v>#DIV/0!</v>
      </c>
      <c r="X945" s="14">
        <f t="shared" si="694"/>
        <v>0</v>
      </c>
      <c r="Y945" s="5">
        <f t="shared" si="695"/>
        <v>0</v>
      </c>
      <c r="Z945" s="2">
        <f t="shared" si="696"/>
        <v>0</v>
      </c>
      <c r="AA945" s="4">
        <f t="shared" si="697"/>
        <v>0</v>
      </c>
      <c r="AB945" s="13">
        <f t="shared" si="698"/>
        <v>0</v>
      </c>
      <c r="AC945" s="10">
        <f>SUM($E$4:E945)</f>
        <v>-22024.091160220025</v>
      </c>
      <c r="AD945" s="20">
        <f>SUM($AB$4:AB945)</f>
        <v>13539.766460219998</v>
      </c>
      <c r="AF945" s="28" t="e">
        <f t="shared" si="699"/>
        <v>#DIV/0!</v>
      </c>
      <c r="AG945" s="2" t="e">
        <f t="shared" si="700"/>
        <v>#DIV/0!</v>
      </c>
      <c r="AH945" s="2" t="e">
        <f t="shared" si="701"/>
        <v>#DIV/0!</v>
      </c>
      <c r="AI945" s="2" t="e">
        <f t="shared" si="722"/>
        <v>#DIV/0!</v>
      </c>
      <c r="AJ945" s="2" t="e">
        <f t="shared" si="738"/>
        <v>#DIV/0!</v>
      </c>
      <c r="AK945" s="2" t="e">
        <f t="shared" si="702"/>
        <v>#DIV/0!</v>
      </c>
      <c r="AL945" s="2" t="e">
        <f t="shared" si="703"/>
        <v>#DIV/0!</v>
      </c>
      <c r="AM945" s="2" t="e">
        <f t="shared" si="723"/>
        <v>#DIV/0!</v>
      </c>
      <c r="AN945" s="2">
        <f t="shared" si="704"/>
        <v>0</v>
      </c>
      <c r="AO945" s="2" t="e">
        <f t="shared" si="705"/>
        <v>#DIV/0!</v>
      </c>
      <c r="AP945" s="2" t="e">
        <f t="shared" si="706"/>
        <v>#DIV/0!</v>
      </c>
      <c r="AQ945" s="2" t="e">
        <f t="shared" si="724"/>
        <v>#DIV/0!</v>
      </c>
      <c r="AR945" s="2" t="e">
        <f t="shared" si="739"/>
        <v>#DIV/0!</v>
      </c>
      <c r="AS945" s="2" t="e">
        <f t="shared" si="707"/>
        <v>#DIV/0!</v>
      </c>
      <c r="AT945" s="2" t="e">
        <f t="shared" si="708"/>
        <v>#DIV/0!</v>
      </c>
      <c r="AU945" s="2" t="e">
        <f t="shared" si="725"/>
        <v>#DIV/0!</v>
      </c>
      <c r="AV945" s="2" t="e">
        <f t="shared" si="709"/>
        <v>#DIV/0!</v>
      </c>
      <c r="AW945" s="2" t="e">
        <f t="shared" si="710"/>
        <v>#DIV/0!</v>
      </c>
      <c r="AX945" s="2" t="e">
        <f t="shared" si="711"/>
        <v>#DIV/0!</v>
      </c>
      <c r="AY945" s="2" t="e">
        <f t="shared" si="726"/>
        <v>#DIV/0!</v>
      </c>
      <c r="AZ945" s="2" t="e">
        <f t="shared" si="740"/>
        <v>#DIV/0!</v>
      </c>
      <c r="BA945" s="2" t="e">
        <f t="shared" si="712"/>
        <v>#DIV/0!</v>
      </c>
      <c r="BB945" s="2" t="e">
        <f t="shared" si="713"/>
        <v>#DIV/0!</v>
      </c>
      <c r="BC945" s="2" t="e">
        <f t="shared" si="727"/>
        <v>#DIV/0!</v>
      </c>
      <c r="BD945" s="2">
        <v>0</v>
      </c>
      <c r="BE945" s="2" t="e">
        <f t="shared" si="714"/>
        <v>#DIV/0!</v>
      </c>
      <c r="BF945" s="2" t="e">
        <f t="shared" si="715"/>
        <v>#DIV/0!</v>
      </c>
      <c r="BG945" s="2" t="e">
        <f t="shared" si="728"/>
        <v>#DIV/0!</v>
      </c>
      <c r="BH945" s="2" t="e">
        <f t="shared" si="741"/>
        <v>#DIV/0!</v>
      </c>
      <c r="BI945" s="2" t="e">
        <f t="shared" si="716"/>
        <v>#DIV/0!</v>
      </c>
      <c r="BJ945" s="2" t="e">
        <f t="shared" si="717"/>
        <v>#DIV/0!</v>
      </c>
      <c r="BK945" s="2" t="e">
        <f t="shared" si="729"/>
        <v>#DIV/0!</v>
      </c>
      <c r="BL945" s="2" t="e">
        <f t="shared" si="718"/>
        <v>#DIV/0!</v>
      </c>
      <c r="BM945" s="2" t="e">
        <f t="shared" si="719"/>
        <v>#DIV/0!</v>
      </c>
      <c r="BN945" s="2" t="e">
        <f t="shared" si="730"/>
        <v>#DIV/0!</v>
      </c>
    </row>
    <row r="946" spans="1:66" x14ac:dyDescent="0.25">
      <c r="A946" s="42">
        <v>943</v>
      </c>
      <c r="E946" s="6">
        <f t="shared" si="720"/>
        <v>0</v>
      </c>
      <c r="F946" s="5" t="str">
        <f t="shared" si="731"/>
        <v>Break Even</v>
      </c>
      <c r="G946" s="4">
        <f t="shared" si="732"/>
        <v>0</v>
      </c>
      <c r="N946" s="5">
        <f t="shared" si="733"/>
        <v>0</v>
      </c>
      <c r="O946" s="4" t="e">
        <f t="shared" si="734"/>
        <v>#DIV/0!</v>
      </c>
      <c r="P946" s="5">
        <f t="shared" si="693"/>
        <v>0</v>
      </c>
      <c r="R946" s="2">
        <f t="shared" si="737"/>
        <v>0</v>
      </c>
      <c r="T946" s="2">
        <f t="shared" si="721"/>
        <v>0</v>
      </c>
      <c r="V946" s="5">
        <f t="shared" si="735"/>
        <v>0</v>
      </c>
      <c r="W946" s="4" t="e">
        <f t="shared" si="736"/>
        <v>#DIV/0!</v>
      </c>
      <c r="X946" s="14">
        <f t="shared" si="694"/>
        <v>0</v>
      </c>
      <c r="Y946" s="5">
        <f t="shared" si="695"/>
        <v>0</v>
      </c>
      <c r="Z946" s="2">
        <f t="shared" si="696"/>
        <v>0</v>
      </c>
      <c r="AA946" s="4">
        <f t="shared" si="697"/>
        <v>0</v>
      </c>
      <c r="AB946" s="13">
        <f t="shared" si="698"/>
        <v>0</v>
      </c>
      <c r="AC946" s="10">
        <f>SUM($E$4:E946)</f>
        <v>-22024.091160220025</v>
      </c>
      <c r="AD946" s="20">
        <f>SUM($AB$4:AB946)</f>
        <v>13539.766460219998</v>
      </c>
      <c r="AF946" s="28" t="e">
        <f t="shared" si="699"/>
        <v>#DIV/0!</v>
      </c>
      <c r="AG946" s="2" t="e">
        <f t="shared" si="700"/>
        <v>#DIV/0!</v>
      </c>
      <c r="AH946" s="2" t="e">
        <f t="shared" si="701"/>
        <v>#DIV/0!</v>
      </c>
      <c r="AI946" s="2" t="e">
        <f t="shared" si="722"/>
        <v>#DIV/0!</v>
      </c>
      <c r="AJ946" s="2" t="e">
        <f t="shared" si="738"/>
        <v>#DIV/0!</v>
      </c>
      <c r="AK946" s="2" t="e">
        <f t="shared" si="702"/>
        <v>#DIV/0!</v>
      </c>
      <c r="AL946" s="2" t="e">
        <f t="shared" si="703"/>
        <v>#DIV/0!</v>
      </c>
      <c r="AM946" s="2" t="e">
        <f t="shared" si="723"/>
        <v>#DIV/0!</v>
      </c>
      <c r="AN946" s="2">
        <f t="shared" si="704"/>
        <v>0</v>
      </c>
      <c r="AO946" s="2" t="e">
        <f t="shared" si="705"/>
        <v>#DIV/0!</v>
      </c>
      <c r="AP946" s="2" t="e">
        <f t="shared" si="706"/>
        <v>#DIV/0!</v>
      </c>
      <c r="AQ946" s="2" t="e">
        <f t="shared" si="724"/>
        <v>#DIV/0!</v>
      </c>
      <c r="AR946" s="2" t="e">
        <f t="shared" si="739"/>
        <v>#DIV/0!</v>
      </c>
      <c r="AS946" s="2" t="e">
        <f t="shared" si="707"/>
        <v>#DIV/0!</v>
      </c>
      <c r="AT946" s="2" t="e">
        <f t="shared" si="708"/>
        <v>#DIV/0!</v>
      </c>
      <c r="AU946" s="2" t="e">
        <f t="shared" si="725"/>
        <v>#DIV/0!</v>
      </c>
      <c r="AV946" s="2" t="e">
        <f t="shared" si="709"/>
        <v>#DIV/0!</v>
      </c>
      <c r="AW946" s="2" t="e">
        <f t="shared" si="710"/>
        <v>#DIV/0!</v>
      </c>
      <c r="AX946" s="2" t="e">
        <f t="shared" si="711"/>
        <v>#DIV/0!</v>
      </c>
      <c r="AY946" s="2" t="e">
        <f t="shared" si="726"/>
        <v>#DIV/0!</v>
      </c>
      <c r="AZ946" s="2" t="e">
        <f t="shared" si="740"/>
        <v>#DIV/0!</v>
      </c>
      <c r="BA946" s="2" t="e">
        <f t="shared" si="712"/>
        <v>#DIV/0!</v>
      </c>
      <c r="BB946" s="2" t="e">
        <f t="shared" si="713"/>
        <v>#DIV/0!</v>
      </c>
      <c r="BC946" s="2" t="e">
        <f t="shared" si="727"/>
        <v>#DIV/0!</v>
      </c>
      <c r="BD946" s="2">
        <v>0</v>
      </c>
      <c r="BE946" s="2" t="e">
        <f t="shared" si="714"/>
        <v>#DIV/0!</v>
      </c>
      <c r="BF946" s="2" t="e">
        <f t="shared" si="715"/>
        <v>#DIV/0!</v>
      </c>
      <c r="BG946" s="2" t="e">
        <f t="shared" si="728"/>
        <v>#DIV/0!</v>
      </c>
      <c r="BH946" s="2" t="e">
        <f t="shared" si="741"/>
        <v>#DIV/0!</v>
      </c>
      <c r="BI946" s="2" t="e">
        <f t="shared" si="716"/>
        <v>#DIV/0!</v>
      </c>
      <c r="BJ946" s="2" t="e">
        <f t="shared" si="717"/>
        <v>#DIV/0!</v>
      </c>
      <c r="BK946" s="2" t="e">
        <f t="shared" si="729"/>
        <v>#DIV/0!</v>
      </c>
      <c r="BL946" s="2" t="e">
        <f t="shared" si="718"/>
        <v>#DIV/0!</v>
      </c>
      <c r="BM946" s="2" t="e">
        <f t="shared" si="719"/>
        <v>#DIV/0!</v>
      </c>
      <c r="BN946" s="2" t="e">
        <f t="shared" si="730"/>
        <v>#DIV/0!</v>
      </c>
    </row>
    <row r="947" spans="1:66" x14ac:dyDescent="0.25">
      <c r="A947" s="42">
        <v>944</v>
      </c>
      <c r="E947" s="6">
        <f t="shared" si="720"/>
        <v>0</v>
      </c>
      <c r="F947" s="5" t="str">
        <f t="shared" si="731"/>
        <v>Break Even</v>
      </c>
      <c r="G947" s="4">
        <f t="shared" si="732"/>
        <v>0</v>
      </c>
      <c r="N947" s="5">
        <f t="shared" si="733"/>
        <v>0</v>
      </c>
      <c r="O947" s="4" t="e">
        <f t="shared" si="734"/>
        <v>#DIV/0!</v>
      </c>
      <c r="P947" s="5">
        <f t="shared" si="693"/>
        <v>0</v>
      </c>
      <c r="R947" s="2">
        <f t="shared" si="737"/>
        <v>0</v>
      </c>
      <c r="T947" s="2">
        <f t="shared" si="721"/>
        <v>0</v>
      </c>
      <c r="V947" s="5">
        <f t="shared" si="735"/>
        <v>0</v>
      </c>
      <c r="W947" s="4" t="e">
        <f t="shared" si="736"/>
        <v>#DIV/0!</v>
      </c>
      <c r="X947" s="14">
        <f t="shared" si="694"/>
        <v>0</v>
      </c>
      <c r="Y947" s="5">
        <f t="shared" si="695"/>
        <v>0</v>
      </c>
      <c r="Z947" s="2">
        <f t="shared" si="696"/>
        <v>0</v>
      </c>
      <c r="AA947" s="4">
        <f t="shared" si="697"/>
        <v>0</v>
      </c>
      <c r="AB947" s="13">
        <f t="shared" si="698"/>
        <v>0</v>
      </c>
      <c r="AC947" s="10">
        <f>SUM($E$4:E947)</f>
        <v>-22024.091160220025</v>
      </c>
      <c r="AD947" s="20">
        <f>SUM($AB$4:AB947)</f>
        <v>13539.766460219998</v>
      </c>
      <c r="AF947" s="28" t="e">
        <f t="shared" si="699"/>
        <v>#DIV/0!</v>
      </c>
      <c r="AG947" s="2" t="e">
        <f t="shared" si="700"/>
        <v>#DIV/0!</v>
      </c>
      <c r="AH947" s="2" t="e">
        <f t="shared" si="701"/>
        <v>#DIV/0!</v>
      </c>
      <c r="AI947" s="2" t="e">
        <f t="shared" si="722"/>
        <v>#DIV/0!</v>
      </c>
      <c r="AJ947" s="2" t="e">
        <f t="shared" si="738"/>
        <v>#DIV/0!</v>
      </c>
      <c r="AK947" s="2" t="e">
        <f t="shared" si="702"/>
        <v>#DIV/0!</v>
      </c>
      <c r="AL947" s="2" t="e">
        <f t="shared" si="703"/>
        <v>#DIV/0!</v>
      </c>
      <c r="AM947" s="2" t="e">
        <f t="shared" si="723"/>
        <v>#DIV/0!</v>
      </c>
      <c r="AN947" s="2">
        <f t="shared" si="704"/>
        <v>0</v>
      </c>
      <c r="AO947" s="2" t="e">
        <f t="shared" si="705"/>
        <v>#DIV/0!</v>
      </c>
      <c r="AP947" s="2" t="e">
        <f t="shared" si="706"/>
        <v>#DIV/0!</v>
      </c>
      <c r="AQ947" s="2" t="e">
        <f t="shared" si="724"/>
        <v>#DIV/0!</v>
      </c>
      <c r="AR947" s="2" t="e">
        <f t="shared" si="739"/>
        <v>#DIV/0!</v>
      </c>
      <c r="AS947" s="2" t="e">
        <f t="shared" si="707"/>
        <v>#DIV/0!</v>
      </c>
      <c r="AT947" s="2" t="e">
        <f t="shared" si="708"/>
        <v>#DIV/0!</v>
      </c>
      <c r="AU947" s="2" t="e">
        <f t="shared" si="725"/>
        <v>#DIV/0!</v>
      </c>
      <c r="AV947" s="2" t="e">
        <f t="shared" si="709"/>
        <v>#DIV/0!</v>
      </c>
      <c r="AW947" s="2" t="e">
        <f t="shared" si="710"/>
        <v>#DIV/0!</v>
      </c>
      <c r="AX947" s="2" t="e">
        <f t="shared" si="711"/>
        <v>#DIV/0!</v>
      </c>
      <c r="AY947" s="2" t="e">
        <f t="shared" si="726"/>
        <v>#DIV/0!</v>
      </c>
      <c r="AZ947" s="2" t="e">
        <f t="shared" si="740"/>
        <v>#DIV/0!</v>
      </c>
      <c r="BA947" s="2" t="e">
        <f t="shared" si="712"/>
        <v>#DIV/0!</v>
      </c>
      <c r="BB947" s="2" t="e">
        <f t="shared" si="713"/>
        <v>#DIV/0!</v>
      </c>
      <c r="BC947" s="2" t="e">
        <f t="shared" si="727"/>
        <v>#DIV/0!</v>
      </c>
      <c r="BD947" s="2">
        <v>0</v>
      </c>
      <c r="BE947" s="2" t="e">
        <f t="shared" si="714"/>
        <v>#DIV/0!</v>
      </c>
      <c r="BF947" s="2" t="e">
        <f t="shared" si="715"/>
        <v>#DIV/0!</v>
      </c>
      <c r="BG947" s="2" t="e">
        <f t="shared" si="728"/>
        <v>#DIV/0!</v>
      </c>
      <c r="BH947" s="2" t="e">
        <f t="shared" si="741"/>
        <v>#DIV/0!</v>
      </c>
      <c r="BI947" s="2" t="e">
        <f t="shared" si="716"/>
        <v>#DIV/0!</v>
      </c>
      <c r="BJ947" s="2" t="e">
        <f t="shared" si="717"/>
        <v>#DIV/0!</v>
      </c>
      <c r="BK947" s="2" t="e">
        <f t="shared" si="729"/>
        <v>#DIV/0!</v>
      </c>
      <c r="BL947" s="2" t="e">
        <f t="shared" si="718"/>
        <v>#DIV/0!</v>
      </c>
      <c r="BM947" s="2" t="e">
        <f t="shared" si="719"/>
        <v>#DIV/0!</v>
      </c>
      <c r="BN947" s="2" t="e">
        <f t="shared" si="730"/>
        <v>#DIV/0!</v>
      </c>
    </row>
    <row r="948" spans="1:66" x14ac:dyDescent="0.25">
      <c r="A948" s="42">
        <v>945</v>
      </c>
      <c r="E948" s="6">
        <f t="shared" si="720"/>
        <v>0</v>
      </c>
      <c r="F948" s="5" t="str">
        <f t="shared" si="731"/>
        <v>Break Even</v>
      </c>
      <c r="G948" s="4">
        <f t="shared" si="732"/>
        <v>0</v>
      </c>
      <c r="N948" s="5">
        <f t="shared" si="733"/>
        <v>0</v>
      </c>
      <c r="O948" s="4" t="e">
        <f t="shared" si="734"/>
        <v>#DIV/0!</v>
      </c>
      <c r="P948" s="5">
        <f t="shared" si="693"/>
        <v>0</v>
      </c>
      <c r="R948" s="2">
        <f t="shared" si="737"/>
        <v>0</v>
      </c>
      <c r="T948" s="2">
        <f t="shared" si="721"/>
        <v>0</v>
      </c>
      <c r="V948" s="5">
        <f t="shared" si="735"/>
        <v>0</v>
      </c>
      <c r="W948" s="4" t="e">
        <f t="shared" si="736"/>
        <v>#DIV/0!</v>
      </c>
      <c r="X948" s="14">
        <f t="shared" si="694"/>
        <v>0</v>
      </c>
      <c r="Y948" s="5">
        <f t="shared" si="695"/>
        <v>0</v>
      </c>
      <c r="Z948" s="2">
        <f t="shared" si="696"/>
        <v>0</v>
      </c>
      <c r="AA948" s="4">
        <f t="shared" si="697"/>
        <v>0</v>
      </c>
      <c r="AB948" s="13">
        <f t="shared" si="698"/>
        <v>0</v>
      </c>
      <c r="AC948" s="10">
        <f>SUM($E$4:E948)</f>
        <v>-22024.091160220025</v>
      </c>
      <c r="AD948" s="20">
        <f>SUM($AB$4:AB948)</f>
        <v>13539.766460219998</v>
      </c>
      <c r="AF948" s="28" t="e">
        <f t="shared" si="699"/>
        <v>#DIV/0!</v>
      </c>
      <c r="AG948" s="2" t="e">
        <f t="shared" si="700"/>
        <v>#DIV/0!</v>
      </c>
      <c r="AH948" s="2" t="e">
        <f t="shared" si="701"/>
        <v>#DIV/0!</v>
      </c>
      <c r="AI948" s="2" t="e">
        <f t="shared" si="722"/>
        <v>#DIV/0!</v>
      </c>
      <c r="AJ948" s="2" t="e">
        <f t="shared" si="738"/>
        <v>#DIV/0!</v>
      </c>
      <c r="AK948" s="2" t="e">
        <f t="shared" si="702"/>
        <v>#DIV/0!</v>
      </c>
      <c r="AL948" s="2" t="e">
        <f t="shared" si="703"/>
        <v>#DIV/0!</v>
      </c>
      <c r="AM948" s="2" t="e">
        <f t="shared" si="723"/>
        <v>#DIV/0!</v>
      </c>
      <c r="AN948" s="2">
        <f t="shared" si="704"/>
        <v>0</v>
      </c>
      <c r="AO948" s="2" t="e">
        <f t="shared" si="705"/>
        <v>#DIV/0!</v>
      </c>
      <c r="AP948" s="2" t="e">
        <f t="shared" si="706"/>
        <v>#DIV/0!</v>
      </c>
      <c r="AQ948" s="2" t="e">
        <f t="shared" si="724"/>
        <v>#DIV/0!</v>
      </c>
      <c r="AR948" s="2" t="e">
        <f t="shared" si="739"/>
        <v>#DIV/0!</v>
      </c>
      <c r="AS948" s="2" t="e">
        <f t="shared" si="707"/>
        <v>#DIV/0!</v>
      </c>
      <c r="AT948" s="2" t="e">
        <f t="shared" si="708"/>
        <v>#DIV/0!</v>
      </c>
      <c r="AU948" s="2" t="e">
        <f t="shared" si="725"/>
        <v>#DIV/0!</v>
      </c>
      <c r="AV948" s="2" t="e">
        <f t="shared" si="709"/>
        <v>#DIV/0!</v>
      </c>
      <c r="AW948" s="2" t="e">
        <f t="shared" si="710"/>
        <v>#DIV/0!</v>
      </c>
      <c r="AX948" s="2" t="e">
        <f t="shared" si="711"/>
        <v>#DIV/0!</v>
      </c>
      <c r="AY948" s="2" t="e">
        <f t="shared" si="726"/>
        <v>#DIV/0!</v>
      </c>
      <c r="AZ948" s="2" t="e">
        <f t="shared" si="740"/>
        <v>#DIV/0!</v>
      </c>
      <c r="BA948" s="2" t="e">
        <f t="shared" si="712"/>
        <v>#DIV/0!</v>
      </c>
      <c r="BB948" s="2" t="e">
        <f t="shared" si="713"/>
        <v>#DIV/0!</v>
      </c>
      <c r="BC948" s="2" t="e">
        <f t="shared" si="727"/>
        <v>#DIV/0!</v>
      </c>
      <c r="BD948" s="2">
        <v>0</v>
      </c>
      <c r="BE948" s="2" t="e">
        <f t="shared" si="714"/>
        <v>#DIV/0!</v>
      </c>
      <c r="BF948" s="2" t="e">
        <f t="shared" si="715"/>
        <v>#DIV/0!</v>
      </c>
      <c r="BG948" s="2" t="e">
        <f t="shared" si="728"/>
        <v>#DIV/0!</v>
      </c>
      <c r="BH948" s="2" t="e">
        <f t="shared" si="741"/>
        <v>#DIV/0!</v>
      </c>
      <c r="BI948" s="2" t="e">
        <f t="shared" si="716"/>
        <v>#DIV/0!</v>
      </c>
      <c r="BJ948" s="2" t="e">
        <f t="shared" si="717"/>
        <v>#DIV/0!</v>
      </c>
      <c r="BK948" s="2" t="e">
        <f t="shared" si="729"/>
        <v>#DIV/0!</v>
      </c>
      <c r="BL948" s="2" t="e">
        <f t="shared" si="718"/>
        <v>#DIV/0!</v>
      </c>
      <c r="BM948" s="2" t="e">
        <f t="shared" si="719"/>
        <v>#DIV/0!</v>
      </c>
      <c r="BN948" s="2" t="e">
        <f t="shared" si="730"/>
        <v>#DIV/0!</v>
      </c>
    </row>
    <row r="949" spans="1:66" x14ac:dyDescent="0.25">
      <c r="A949" s="42">
        <v>946</v>
      </c>
      <c r="E949" s="6">
        <f t="shared" si="720"/>
        <v>0</v>
      </c>
      <c r="F949" s="5" t="str">
        <f t="shared" si="731"/>
        <v>Break Even</v>
      </c>
      <c r="G949" s="4">
        <f t="shared" si="732"/>
        <v>0</v>
      </c>
      <c r="N949" s="5">
        <f t="shared" si="733"/>
        <v>0</v>
      </c>
      <c r="O949" s="4" t="e">
        <f t="shared" si="734"/>
        <v>#DIV/0!</v>
      </c>
      <c r="P949" s="5">
        <f t="shared" si="693"/>
        <v>0</v>
      </c>
      <c r="R949" s="2">
        <f t="shared" si="737"/>
        <v>0</v>
      </c>
      <c r="T949" s="2">
        <f t="shared" si="721"/>
        <v>0</v>
      </c>
      <c r="V949" s="5">
        <f t="shared" si="735"/>
        <v>0</v>
      </c>
      <c r="W949" s="4" t="e">
        <f t="shared" si="736"/>
        <v>#DIV/0!</v>
      </c>
      <c r="X949" s="14">
        <f t="shared" si="694"/>
        <v>0</v>
      </c>
      <c r="Y949" s="5">
        <f t="shared" si="695"/>
        <v>0</v>
      </c>
      <c r="Z949" s="2">
        <f t="shared" si="696"/>
        <v>0</v>
      </c>
      <c r="AA949" s="4">
        <f t="shared" si="697"/>
        <v>0</v>
      </c>
      <c r="AB949" s="13">
        <f t="shared" si="698"/>
        <v>0</v>
      </c>
      <c r="AC949" s="10">
        <f>SUM($E$4:E949)</f>
        <v>-22024.091160220025</v>
      </c>
      <c r="AD949" s="20">
        <f>SUM($AB$4:AB949)</f>
        <v>13539.766460219998</v>
      </c>
      <c r="AF949" s="28" t="e">
        <f t="shared" si="699"/>
        <v>#DIV/0!</v>
      </c>
      <c r="AG949" s="2" t="e">
        <f t="shared" si="700"/>
        <v>#DIV/0!</v>
      </c>
      <c r="AH949" s="2" t="e">
        <f t="shared" si="701"/>
        <v>#DIV/0!</v>
      </c>
      <c r="AI949" s="2" t="e">
        <f t="shared" si="722"/>
        <v>#DIV/0!</v>
      </c>
      <c r="AJ949" s="2" t="e">
        <f t="shared" si="738"/>
        <v>#DIV/0!</v>
      </c>
      <c r="AK949" s="2" t="e">
        <f t="shared" si="702"/>
        <v>#DIV/0!</v>
      </c>
      <c r="AL949" s="2" t="e">
        <f t="shared" si="703"/>
        <v>#DIV/0!</v>
      </c>
      <c r="AM949" s="2" t="e">
        <f t="shared" si="723"/>
        <v>#DIV/0!</v>
      </c>
      <c r="AN949" s="2">
        <f t="shared" si="704"/>
        <v>0</v>
      </c>
      <c r="AO949" s="2" t="e">
        <f t="shared" si="705"/>
        <v>#DIV/0!</v>
      </c>
      <c r="AP949" s="2" t="e">
        <f t="shared" si="706"/>
        <v>#DIV/0!</v>
      </c>
      <c r="AQ949" s="2" t="e">
        <f t="shared" si="724"/>
        <v>#DIV/0!</v>
      </c>
      <c r="AR949" s="2" t="e">
        <f t="shared" si="739"/>
        <v>#DIV/0!</v>
      </c>
      <c r="AS949" s="2" t="e">
        <f t="shared" si="707"/>
        <v>#DIV/0!</v>
      </c>
      <c r="AT949" s="2" t="e">
        <f t="shared" si="708"/>
        <v>#DIV/0!</v>
      </c>
      <c r="AU949" s="2" t="e">
        <f t="shared" si="725"/>
        <v>#DIV/0!</v>
      </c>
      <c r="AV949" s="2" t="e">
        <f t="shared" si="709"/>
        <v>#DIV/0!</v>
      </c>
      <c r="AW949" s="2" t="e">
        <f t="shared" si="710"/>
        <v>#DIV/0!</v>
      </c>
      <c r="AX949" s="2" t="e">
        <f t="shared" si="711"/>
        <v>#DIV/0!</v>
      </c>
      <c r="AY949" s="2" t="e">
        <f t="shared" si="726"/>
        <v>#DIV/0!</v>
      </c>
      <c r="AZ949" s="2" t="e">
        <f t="shared" si="740"/>
        <v>#DIV/0!</v>
      </c>
      <c r="BA949" s="2" t="e">
        <f t="shared" si="712"/>
        <v>#DIV/0!</v>
      </c>
      <c r="BB949" s="2" t="e">
        <f t="shared" si="713"/>
        <v>#DIV/0!</v>
      </c>
      <c r="BC949" s="2" t="e">
        <f t="shared" si="727"/>
        <v>#DIV/0!</v>
      </c>
      <c r="BD949" s="2">
        <v>0</v>
      </c>
      <c r="BE949" s="2" t="e">
        <f t="shared" si="714"/>
        <v>#DIV/0!</v>
      </c>
      <c r="BF949" s="2" t="e">
        <f t="shared" si="715"/>
        <v>#DIV/0!</v>
      </c>
      <c r="BG949" s="2" t="e">
        <f t="shared" si="728"/>
        <v>#DIV/0!</v>
      </c>
      <c r="BH949" s="2" t="e">
        <f t="shared" si="741"/>
        <v>#DIV/0!</v>
      </c>
      <c r="BI949" s="2" t="e">
        <f t="shared" si="716"/>
        <v>#DIV/0!</v>
      </c>
      <c r="BJ949" s="2" t="e">
        <f t="shared" si="717"/>
        <v>#DIV/0!</v>
      </c>
      <c r="BK949" s="2" t="e">
        <f t="shared" si="729"/>
        <v>#DIV/0!</v>
      </c>
      <c r="BL949" s="2" t="e">
        <f t="shared" si="718"/>
        <v>#DIV/0!</v>
      </c>
      <c r="BM949" s="2" t="e">
        <f t="shared" si="719"/>
        <v>#DIV/0!</v>
      </c>
      <c r="BN949" s="2" t="e">
        <f t="shared" si="730"/>
        <v>#DIV/0!</v>
      </c>
    </row>
    <row r="950" spans="1:66" x14ac:dyDescent="0.25">
      <c r="A950" s="42">
        <v>947</v>
      </c>
      <c r="E950" s="6">
        <f t="shared" si="720"/>
        <v>0</v>
      </c>
      <c r="F950" s="5" t="str">
        <f t="shared" si="731"/>
        <v>Break Even</v>
      </c>
      <c r="G950" s="4">
        <f t="shared" si="732"/>
        <v>0</v>
      </c>
      <c r="N950" s="5">
        <f t="shared" si="733"/>
        <v>0</v>
      </c>
      <c r="O950" s="4" t="e">
        <f t="shared" si="734"/>
        <v>#DIV/0!</v>
      </c>
      <c r="P950" s="5">
        <f t="shared" si="693"/>
        <v>0</v>
      </c>
      <c r="R950" s="2">
        <f t="shared" si="737"/>
        <v>0</v>
      </c>
      <c r="T950" s="2">
        <f t="shared" si="721"/>
        <v>0</v>
      </c>
      <c r="V950" s="5">
        <f t="shared" si="735"/>
        <v>0</v>
      </c>
      <c r="W950" s="4" t="e">
        <f t="shared" si="736"/>
        <v>#DIV/0!</v>
      </c>
      <c r="X950" s="14">
        <f t="shared" si="694"/>
        <v>0</v>
      </c>
      <c r="Y950" s="5">
        <f t="shared" si="695"/>
        <v>0</v>
      </c>
      <c r="Z950" s="2">
        <f t="shared" si="696"/>
        <v>0</v>
      </c>
      <c r="AA950" s="4">
        <f t="shared" si="697"/>
        <v>0</v>
      </c>
      <c r="AB950" s="13">
        <f t="shared" si="698"/>
        <v>0</v>
      </c>
      <c r="AC950" s="10">
        <f>SUM($E$4:E950)</f>
        <v>-22024.091160220025</v>
      </c>
      <c r="AD950" s="20">
        <f>SUM($AB$4:AB950)</f>
        <v>13539.766460219998</v>
      </c>
      <c r="AF950" s="28" t="e">
        <f t="shared" si="699"/>
        <v>#DIV/0!</v>
      </c>
      <c r="AG950" s="2" t="e">
        <f t="shared" si="700"/>
        <v>#DIV/0!</v>
      </c>
      <c r="AH950" s="2" t="e">
        <f t="shared" si="701"/>
        <v>#DIV/0!</v>
      </c>
      <c r="AI950" s="2" t="e">
        <f t="shared" si="722"/>
        <v>#DIV/0!</v>
      </c>
      <c r="AJ950" s="2" t="e">
        <f t="shared" si="738"/>
        <v>#DIV/0!</v>
      </c>
      <c r="AK950" s="2" t="e">
        <f t="shared" si="702"/>
        <v>#DIV/0!</v>
      </c>
      <c r="AL950" s="2" t="e">
        <f t="shared" si="703"/>
        <v>#DIV/0!</v>
      </c>
      <c r="AM950" s="2" t="e">
        <f t="shared" si="723"/>
        <v>#DIV/0!</v>
      </c>
      <c r="AN950" s="2">
        <f t="shared" si="704"/>
        <v>0</v>
      </c>
      <c r="AO950" s="2" t="e">
        <f t="shared" si="705"/>
        <v>#DIV/0!</v>
      </c>
      <c r="AP950" s="2" t="e">
        <f t="shared" si="706"/>
        <v>#DIV/0!</v>
      </c>
      <c r="AQ950" s="2" t="e">
        <f t="shared" si="724"/>
        <v>#DIV/0!</v>
      </c>
      <c r="AR950" s="2" t="e">
        <f t="shared" si="739"/>
        <v>#DIV/0!</v>
      </c>
      <c r="AS950" s="2" t="e">
        <f t="shared" si="707"/>
        <v>#DIV/0!</v>
      </c>
      <c r="AT950" s="2" t="e">
        <f t="shared" si="708"/>
        <v>#DIV/0!</v>
      </c>
      <c r="AU950" s="2" t="e">
        <f t="shared" si="725"/>
        <v>#DIV/0!</v>
      </c>
      <c r="AV950" s="2" t="e">
        <f t="shared" si="709"/>
        <v>#DIV/0!</v>
      </c>
      <c r="AW950" s="2" t="e">
        <f t="shared" si="710"/>
        <v>#DIV/0!</v>
      </c>
      <c r="AX950" s="2" t="e">
        <f t="shared" si="711"/>
        <v>#DIV/0!</v>
      </c>
      <c r="AY950" s="2" t="e">
        <f t="shared" si="726"/>
        <v>#DIV/0!</v>
      </c>
      <c r="AZ950" s="2" t="e">
        <f t="shared" si="740"/>
        <v>#DIV/0!</v>
      </c>
      <c r="BA950" s="2" t="e">
        <f t="shared" si="712"/>
        <v>#DIV/0!</v>
      </c>
      <c r="BB950" s="2" t="e">
        <f t="shared" si="713"/>
        <v>#DIV/0!</v>
      </c>
      <c r="BC950" s="2" t="e">
        <f t="shared" si="727"/>
        <v>#DIV/0!</v>
      </c>
      <c r="BD950" s="2">
        <v>0</v>
      </c>
      <c r="BE950" s="2" t="e">
        <f t="shared" si="714"/>
        <v>#DIV/0!</v>
      </c>
      <c r="BF950" s="2" t="e">
        <f t="shared" si="715"/>
        <v>#DIV/0!</v>
      </c>
      <c r="BG950" s="2" t="e">
        <f t="shared" si="728"/>
        <v>#DIV/0!</v>
      </c>
      <c r="BH950" s="2" t="e">
        <f t="shared" si="741"/>
        <v>#DIV/0!</v>
      </c>
      <c r="BI950" s="2" t="e">
        <f t="shared" si="716"/>
        <v>#DIV/0!</v>
      </c>
      <c r="BJ950" s="2" t="e">
        <f t="shared" si="717"/>
        <v>#DIV/0!</v>
      </c>
      <c r="BK950" s="2" t="e">
        <f t="shared" si="729"/>
        <v>#DIV/0!</v>
      </c>
      <c r="BL950" s="2" t="e">
        <f t="shared" si="718"/>
        <v>#DIV/0!</v>
      </c>
      <c r="BM950" s="2" t="e">
        <f t="shared" si="719"/>
        <v>#DIV/0!</v>
      </c>
      <c r="BN950" s="2" t="e">
        <f t="shared" si="730"/>
        <v>#DIV/0!</v>
      </c>
    </row>
    <row r="951" spans="1:66" x14ac:dyDescent="0.25">
      <c r="A951" s="42">
        <v>948</v>
      </c>
      <c r="E951" s="6">
        <f t="shared" si="720"/>
        <v>0</v>
      </c>
      <c r="F951" s="5" t="str">
        <f t="shared" si="731"/>
        <v>Break Even</v>
      </c>
      <c r="G951" s="4">
        <f t="shared" si="732"/>
        <v>0</v>
      </c>
      <c r="N951" s="5">
        <f t="shared" si="733"/>
        <v>0</v>
      </c>
      <c r="O951" s="4" t="e">
        <f t="shared" si="734"/>
        <v>#DIV/0!</v>
      </c>
      <c r="P951" s="5">
        <f t="shared" si="693"/>
        <v>0</v>
      </c>
      <c r="R951" s="2">
        <f t="shared" si="737"/>
        <v>0</v>
      </c>
      <c r="T951" s="2">
        <f t="shared" si="721"/>
        <v>0</v>
      </c>
      <c r="V951" s="5">
        <f t="shared" si="735"/>
        <v>0</v>
      </c>
      <c r="W951" s="4" t="e">
        <f t="shared" si="736"/>
        <v>#DIV/0!</v>
      </c>
      <c r="X951" s="14">
        <f t="shared" si="694"/>
        <v>0</v>
      </c>
      <c r="Y951" s="5">
        <f t="shared" si="695"/>
        <v>0</v>
      </c>
      <c r="Z951" s="2">
        <f t="shared" si="696"/>
        <v>0</v>
      </c>
      <c r="AA951" s="4">
        <f t="shared" si="697"/>
        <v>0</v>
      </c>
      <c r="AB951" s="13">
        <f t="shared" si="698"/>
        <v>0</v>
      </c>
      <c r="AC951" s="10">
        <f>SUM($E$4:E951)</f>
        <v>-22024.091160220025</v>
      </c>
      <c r="AD951" s="20">
        <f>SUM($AB$4:AB951)</f>
        <v>13539.766460219998</v>
      </c>
      <c r="AF951" s="28" t="e">
        <f t="shared" si="699"/>
        <v>#DIV/0!</v>
      </c>
      <c r="AG951" s="2" t="e">
        <f t="shared" si="700"/>
        <v>#DIV/0!</v>
      </c>
      <c r="AH951" s="2" t="e">
        <f t="shared" si="701"/>
        <v>#DIV/0!</v>
      </c>
      <c r="AI951" s="2" t="e">
        <f t="shared" si="722"/>
        <v>#DIV/0!</v>
      </c>
      <c r="AJ951" s="2" t="e">
        <f t="shared" si="738"/>
        <v>#DIV/0!</v>
      </c>
      <c r="AK951" s="2" t="e">
        <f t="shared" si="702"/>
        <v>#DIV/0!</v>
      </c>
      <c r="AL951" s="2" t="e">
        <f t="shared" si="703"/>
        <v>#DIV/0!</v>
      </c>
      <c r="AM951" s="2" t="e">
        <f t="shared" si="723"/>
        <v>#DIV/0!</v>
      </c>
      <c r="AN951" s="2">
        <f t="shared" si="704"/>
        <v>0</v>
      </c>
      <c r="AO951" s="2" t="e">
        <f t="shared" si="705"/>
        <v>#DIV/0!</v>
      </c>
      <c r="AP951" s="2" t="e">
        <f t="shared" si="706"/>
        <v>#DIV/0!</v>
      </c>
      <c r="AQ951" s="2" t="e">
        <f t="shared" si="724"/>
        <v>#DIV/0!</v>
      </c>
      <c r="AR951" s="2" t="e">
        <f t="shared" si="739"/>
        <v>#DIV/0!</v>
      </c>
      <c r="AS951" s="2" t="e">
        <f t="shared" si="707"/>
        <v>#DIV/0!</v>
      </c>
      <c r="AT951" s="2" t="e">
        <f t="shared" si="708"/>
        <v>#DIV/0!</v>
      </c>
      <c r="AU951" s="2" t="e">
        <f t="shared" si="725"/>
        <v>#DIV/0!</v>
      </c>
      <c r="AV951" s="2" t="e">
        <f t="shared" si="709"/>
        <v>#DIV/0!</v>
      </c>
      <c r="AW951" s="2" t="e">
        <f t="shared" si="710"/>
        <v>#DIV/0!</v>
      </c>
      <c r="AX951" s="2" t="e">
        <f t="shared" si="711"/>
        <v>#DIV/0!</v>
      </c>
      <c r="AY951" s="2" t="e">
        <f t="shared" si="726"/>
        <v>#DIV/0!</v>
      </c>
      <c r="AZ951" s="2" t="e">
        <f t="shared" si="740"/>
        <v>#DIV/0!</v>
      </c>
      <c r="BA951" s="2" t="e">
        <f t="shared" si="712"/>
        <v>#DIV/0!</v>
      </c>
      <c r="BB951" s="2" t="e">
        <f t="shared" si="713"/>
        <v>#DIV/0!</v>
      </c>
      <c r="BC951" s="2" t="e">
        <f t="shared" si="727"/>
        <v>#DIV/0!</v>
      </c>
      <c r="BD951" s="2">
        <v>0</v>
      </c>
      <c r="BE951" s="2" t="e">
        <f t="shared" si="714"/>
        <v>#DIV/0!</v>
      </c>
      <c r="BF951" s="2" t="e">
        <f t="shared" si="715"/>
        <v>#DIV/0!</v>
      </c>
      <c r="BG951" s="2" t="e">
        <f t="shared" si="728"/>
        <v>#DIV/0!</v>
      </c>
      <c r="BH951" s="2" t="e">
        <f t="shared" si="741"/>
        <v>#DIV/0!</v>
      </c>
      <c r="BI951" s="2" t="e">
        <f t="shared" si="716"/>
        <v>#DIV/0!</v>
      </c>
      <c r="BJ951" s="2" t="e">
        <f t="shared" si="717"/>
        <v>#DIV/0!</v>
      </c>
      <c r="BK951" s="2" t="e">
        <f t="shared" si="729"/>
        <v>#DIV/0!</v>
      </c>
      <c r="BL951" s="2" t="e">
        <f t="shared" si="718"/>
        <v>#DIV/0!</v>
      </c>
      <c r="BM951" s="2" t="e">
        <f t="shared" si="719"/>
        <v>#DIV/0!</v>
      </c>
      <c r="BN951" s="2" t="e">
        <f t="shared" si="730"/>
        <v>#DIV/0!</v>
      </c>
    </row>
    <row r="952" spans="1:66" x14ac:dyDescent="0.25">
      <c r="A952" s="42">
        <v>949</v>
      </c>
      <c r="E952" s="6">
        <f t="shared" si="720"/>
        <v>0</v>
      </c>
      <c r="F952" s="5" t="str">
        <f t="shared" si="731"/>
        <v>Break Even</v>
      </c>
      <c r="G952" s="4">
        <f t="shared" si="732"/>
        <v>0</v>
      </c>
      <c r="N952" s="5">
        <f t="shared" si="733"/>
        <v>0</v>
      </c>
      <c r="O952" s="4" t="e">
        <f t="shared" si="734"/>
        <v>#DIV/0!</v>
      </c>
      <c r="P952" s="5">
        <f t="shared" si="693"/>
        <v>0</v>
      </c>
      <c r="R952" s="2">
        <f t="shared" si="737"/>
        <v>0</v>
      </c>
      <c r="T952" s="2">
        <f t="shared" si="721"/>
        <v>0</v>
      </c>
      <c r="V952" s="5">
        <f t="shared" si="735"/>
        <v>0</v>
      </c>
      <c r="W952" s="4" t="e">
        <f t="shared" si="736"/>
        <v>#DIV/0!</v>
      </c>
      <c r="X952" s="14">
        <f t="shared" si="694"/>
        <v>0</v>
      </c>
      <c r="Y952" s="5">
        <f t="shared" si="695"/>
        <v>0</v>
      </c>
      <c r="Z952" s="2">
        <f t="shared" si="696"/>
        <v>0</v>
      </c>
      <c r="AA952" s="4">
        <f t="shared" si="697"/>
        <v>0</v>
      </c>
      <c r="AB952" s="13">
        <f t="shared" si="698"/>
        <v>0</v>
      </c>
      <c r="AC952" s="10">
        <f>SUM($E$4:E952)</f>
        <v>-22024.091160220025</v>
      </c>
      <c r="AD952" s="20">
        <f>SUM($AB$4:AB952)</f>
        <v>13539.766460219998</v>
      </c>
      <c r="AF952" s="28" t="e">
        <f t="shared" si="699"/>
        <v>#DIV/0!</v>
      </c>
      <c r="AG952" s="2" t="e">
        <f t="shared" si="700"/>
        <v>#DIV/0!</v>
      </c>
      <c r="AH952" s="2" t="e">
        <f t="shared" si="701"/>
        <v>#DIV/0!</v>
      </c>
      <c r="AI952" s="2" t="e">
        <f t="shared" si="722"/>
        <v>#DIV/0!</v>
      </c>
      <c r="AJ952" s="2" t="e">
        <f t="shared" si="738"/>
        <v>#DIV/0!</v>
      </c>
      <c r="AK952" s="2" t="e">
        <f t="shared" si="702"/>
        <v>#DIV/0!</v>
      </c>
      <c r="AL952" s="2" t="e">
        <f t="shared" si="703"/>
        <v>#DIV/0!</v>
      </c>
      <c r="AM952" s="2" t="e">
        <f t="shared" si="723"/>
        <v>#DIV/0!</v>
      </c>
      <c r="AN952" s="2">
        <f t="shared" si="704"/>
        <v>0</v>
      </c>
      <c r="AO952" s="2" t="e">
        <f t="shared" si="705"/>
        <v>#DIV/0!</v>
      </c>
      <c r="AP952" s="2" t="e">
        <f t="shared" si="706"/>
        <v>#DIV/0!</v>
      </c>
      <c r="AQ952" s="2" t="e">
        <f t="shared" si="724"/>
        <v>#DIV/0!</v>
      </c>
      <c r="AR952" s="2" t="e">
        <f t="shared" si="739"/>
        <v>#DIV/0!</v>
      </c>
      <c r="AS952" s="2" t="e">
        <f t="shared" si="707"/>
        <v>#DIV/0!</v>
      </c>
      <c r="AT952" s="2" t="e">
        <f t="shared" si="708"/>
        <v>#DIV/0!</v>
      </c>
      <c r="AU952" s="2" t="e">
        <f t="shared" si="725"/>
        <v>#DIV/0!</v>
      </c>
      <c r="AV952" s="2" t="e">
        <f t="shared" si="709"/>
        <v>#DIV/0!</v>
      </c>
      <c r="AW952" s="2" t="e">
        <f t="shared" si="710"/>
        <v>#DIV/0!</v>
      </c>
      <c r="AX952" s="2" t="e">
        <f t="shared" si="711"/>
        <v>#DIV/0!</v>
      </c>
      <c r="AY952" s="2" t="e">
        <f t="shared" si="726"/>
        <v>#DIV/0!</v>
      </c>
      <c r="AZ952" s="2" t="e">
        <f t="shared" si="740"/>
        <v>#DIV/0!</v>
      </c>
      <c r="BA952" s="2" t="e">
        <f t="shared" si="712"/>
        <v>#DIV/0!</v>
      </c>
      <c r="BB952" s="2" t="e">
        <f t="shared" si="713"/>
        <v>#DIV/0!</v>
      </c>
      <c r="BC952" s="2" t="e">
        <f t="shared" si="727"/>
        <v>#DIV/0!</v>
      </c>
      <c r="BD952" s="2">
        <v>0</v>
      </c>
      <c r="BE952" s="2" t="e">
        <f t="shared" si="714"/>
        <v>#DIV/0!</v>
      </c>
      <c r="BF952" s="2" t="e">
        <f t="shared" si="715"/>
        <v>#DIV/0!</v>
      </c>
      <c r="BG952" s="2" t="e">
        <f t="shared" si="728"/>
        <v>#DIV/0!</v>
      </c>
      <c r="BH952" s="2" t="e">
        <f t="shared" si="741"/>
        <v>#DIV/0!</v>
      </c>
      <c r="BI952" s="2" t="e">
        <f t="shared" si="716"/>
        <v>#DIV/0!</v>
      </c>
      <c r="BJ952" s="2" t="e">
        <f t="shared" si="717"/>
        <v>#DIV/0!</v>
      </c>
      <c r="BK952" s="2" t="e">
        <f t="shared" si="729"/>
        <v>#DIV/0!</v>
      </c>
      <c r="BL952" s="2" t="e">
        <f t="shared" si="718"/>
        <v>#DIV/0!</v>
      </c>
      <c r="BM952" s="2" t="e">
        <f t="shared" si="719"/>
        <v>#DIV/0!</v>
      </c>
      <c r="BN952" s="2" t="e">
        <f t="shared" si="730"/>
        <v>#DIV/0!</v>
      </c>
    </row>
    <row r="953" spans="1:66" x14ac:dyDescent="0.25">
      <c r="A953" s="42">
        <v>950</v>
      </c>
      <c r="E953" s="6">
        <f t="shared" si="720"/>
        <v>0</v>
      </c>
      <c r="F953" s="5" t="str">
        <f t="shared" si="731"/>
        <v>Break Even</v>
      </c>
      <c r="G953" s="4">
        <f t="shared" si="732"/>
        <v>0</v>
      </c>
      <c r="N953" s="5">
        <f t="shared" si="733"/>
        <v>0</v>
      </c>
      <c r="O953" s="4" t="e">
        <f t="shared" si="734"/>
        <v>#DIV/0!</v>
      </c>
      <c r="P953" s="5">
        <f t="shared" si="693"/>
        <v>0</v>
      </c>
      <c r="R953" s="2">
        <f t="shared" si="737"/>
        <v>0</v>
      </c>
      <c r="T953" s="2">
        <f t="shared" si="721"/>
        <v>0</v>
      </c>
      <c r="V953" s="5">
        <f t="shared" si="735"/>
        <v>0</v>
      </c>
      <c r="W953" s="4" t="e">
        <f t="shared" si="736"/>
        <v>#DIV/0!</v>
      </c>
      <c r="X953" s="14">
        <f t="shared" si="694"/>
        <v>0</v>
      </c>
      <c r="Y953" s="5">
        <f t="shared" si="695"/>
        <v>0</v>
      </c>
      <c r="Z953" s="2">
        <f t="shared" si="696"/>
        <v>0</v>
      </c>
      <c r="AA953" s="4">
        <f t="shared" si="697"/>
        <v>0</v>
      </c>
      <c r="AB953" s="13">
        <f t="shared" si="698"/>
        <v>0</v>
      </c>
      <c r="AC953" s="10">
        <f>SUM($E$4:E953)</f>
        <v>-22024.091160220025</v>
      </c>
      <c r="AD953" s="20">
        <f>SUM($AB$4:AB953)</f>
        <v>13539.766460219998</v>
      </c>
      <c r="AF953" s="28" t="e">
        <f t="shared" si="699"/>
        <v>#DIV/0!</v>
      </c>
      <c r="AG953" s="2" t="e">
        <f t="shared" si="700"/>
        <v>#DIV/0!</v>
      </c>
      <c r="AH953" s="2" t="e">
        <f t="shared" si="701"/>
        <v>#DIV/0!</v>
      </c>
      <c r="AI953" s="2" t="e">
        <f t="shared" si="722"/>
        <v>#DIV/0!</v>
      </c>
      <c r="AJ953" s="2" t="e">
        <f t="shared" si="738"/>
        <v>#DIV/0!</v>
      </c>
      <c r="AK953" s="2" t="e">
        <f t="shared" si="702"/>
        <v>#DIV/0!</v>
      </c>
      <c r="AL953" s="2" t="e">
        <f t="shared" si="703"/>
        <v>#DIV/0!</v>
      </c>
      <c r="AM953" s="2" t="e">
        <f t="shared" si="723"/>
        <v>#DIV/0!</v>
      </c>
      <c r="AN953" s="2">
        <f t="shared" si="704"/>
        <v>0</v>
      </c>
      <c r="AO953" s="2" t="e">
        <f t="shared" si="705"/>
        <v>#DIV/0!</v>
      </c>
      <c r="AP953" s="2" t="e">
        <f t="shared" si="706"/>
        <v>#DIV/0!</v>
      </c>
      <c r="AQ953" s="2" t="e">
        <f t="shared" si="724"/>
        <v>#DIV/0!</v>
      </c>
      <c r="AR953" s="2" t="e">
        <f t="shared" si="739"/>
        <v>#DIV/0!</v>
      </c>
      <c r="AS953" s="2" t="e">
        <f t="shared" si="707"/>
        <v>#DIV/0!</v>
      </c>
      <c r="AT953" s="2" t="e">
        <f t="shared" si="708"/>
        <v>#DIV/0!</v>
      </c>
      <c r="AU953" s="2" t="e">
        <f t="shared" si="725"/>
        <v>#DIV/0!</v>
      </c>
      <c r="AV953" s="2" t="e">
        <f t="shared" si="709"/>
        <v>#DIV/0!</v>
      </c>
      <c r="AW953" s="2" t="e">
        <f t="shared" si="710"/>
        <v>#DIV/0!</v>
      </c>
      <c r="AX953" s="2" t="e">
        <f t="shared" si="711"/>
        <v>#DIV/0!</v>
      </c>
      <c r="AY953" s="2" t="e">
        <f t="shared" si="726"/>
        <v>#DIV/0!</v>
      </c>
      <c r="AZ953" s="2" t="e">
        <f t="shared" si="740"/>
        <v>#DIV/0!</v>
      </c>
      <c r="BA953" s="2" t="e">
        <f t="shared" si="712"/>
        <v>#DIV/0!</v>
      </c>
      <c r="BB953" s="2" t="e">
        <f t="shared" si="713"/>
        <v>#DIV/0!</v>
      </c>
      <c r="BC953" s="2" t="e">
        <f t="shared" si="727"/>
        <v>#DIV/0!</v>
      </c>
      <c r="BD953" s="2">
        <v>0</v>
      </c>
      <c r="BE953" s="2" t="e">
        <f t="shared" si="714"/>
        <v>#DIV/0!</v>
      </c>
      <c r="BF953" s="2" t="e">
        <f t="shared" si="715"/>
        <v>#DIV/0!</v>
      </c>
      <c r="BG953" s="2" t="e">
        <f t="shared" si="728"/>
        <v>#DIV/0!</v>
      </c>
      <c r="BH953" s="2" t="e">
        <f t="shared" si="741"/>
        <v>#DIV/0!</v>
      </c>
      <c r="BI953" s="2" t="e">
        <f t="shared" si="716"/>
        <v>#DIV/0!</v>
      </c>
      <c r="BJ953" s="2" t="e">
        <f t="shared" si="717"/>
        <v>#DIV/0!</v>
      </c>
      <c r="BK953" s="2" t="e">
        <f t="shared" si="729"/>
        <v>#DIV/0!</v>
      </c>
      <c r="BL953" s="2" t="e">
        <f t="shared" si="718"/>
        <v>#DIV/0!</v>
      </c>
      <c r="BM953" s="2" t="e">
        <f t="shared" si="719"/>
        <v>#DIV/0!</v>
      </c>
      <c r="BN953" s="2" t="e">
        <f t="shared" si="730"/>
        <v>#DIV/0!</v>
      </c>
    </row>
    <row r="954" spans="1:66" x14ac:dyDescent="0.25">
      <c r="A954" s="42">
        <v>951</v>
      </c>
      <c r="E954" s="6">
        <f t="shared" si="720"/>
        <v>0</v>
      </c>
      <c r="F954" s="5" t="str">
        <f t="shared" si="731"/>
        <v>Break Even</v>
      </c>
      <c r="G954" s="4">
        <f t="shared" si="732"/>
        <v>0</v>
      </c>
      <c r="N954" s="5">
        <f t="shared" si="733"/>
        <v>0</v>
      </c>
      <c r="O954" s="4" t="e">
        <f t="shared" si="734"/>
        <v>#DIV/0!</v>
      </c>
      <c r="P954" s="5">
        <f t="shared" si="693"/>
        <v>0</v>
      </c>
      <c r="R954" s="2">
        <f t="shared" si="737"/>
        <v>0</v>
      </c>
      <c r="T954" s="2">
        <f t="shared" si="721"/>
        <v>0</v>
      </c>
      <c r="V954" s="5">
        <f t="shared" si="735"/>
        <v>0</v>
      </c>
      <c r="W954" s="4" t="e">
        <f t="shared" si="736"/>
        <v>#DIV/0!</v>
      </c>
      <c r="X954" s="14">
        <f t="shared" si="694"/>
        <v>0</v>
      </c>
      <c r="Y954" s="5">
        <f t="shared" si="695"/>
        <v>0</v>
      </c>
      <c r="Z954" s="2">
        <f t="shared" si="696"/>
        <v>0</v>
      </c>
      <c r="AA954" s="4">
        <f t="shared" si="697"/>
        <v>0</v>
      </c>
      <c r="AB954" s="13">
        <f t="shared" si="698"/>
        <v>0</v>
      </c>
      <c r="AC954" s="10">
        <f>SUM($E$4:E954)</f>
        <v>-22024.091160220025</v>
      </c>
      <c r="AD954" s="20">
        <f>SUM($AB$4:AB954)</f>
        <v>13539.766460219998</v>
      </c>
      <c r="AF954" s="28" t="e">
        <f t="shared" si="699"/>
        <v>#DIV/0!</v>
      </c>
      <c r="AG954" s="2" t="e">
        <f t="shared" si="700"/>
        <v>#DIV/0!</v>
      </c>
      <c r="AH954" s="2" t="e">
        <f t="shared" si="701"/>
        <v>#DIV/0!</v>
      </c>
      <c r="AI954" s="2" t="e">
        <f t="shared" si="722"/>
        <v>#DIV/0!</v>
      </c>
      <c r="AJ954" s="2" t="e">
        <f t="shared" si="738"/>
        <v>#DIV/0!</v>
      </c>
      <c r="AK954" s="2" t="e">
        <f t="shared" si="702"/>
        <v>#DIV/0!</v>
      </c>
      <c r="AL954" s="2" t="e">
        <f t="shared" si="703"/>
        <v>#DIV/0!</v>
      </c>
      <c r="AM954" s="2" t="e">
        <f t="shared" si="723"/>
        <v>#DIV/0!</v>
      </c>
      <c r="AN954" s="2">
        <f t="shared" si="704"/>
        <v>0</v>
      </c>
      <c r="AO954" s="2" t="e">
        <f t="shared" si="705"/>
        <v>#DIV/0!</v>
      </c>
      <c r="AP954" s="2" t="e">
        <f t="shared" si="706"/>
        <v>#DIV/0!</v>
      </c>
      <c r="AQ954" s="2" t="e">
        <f t="shared" si="724"/>
        <v>#DIV/0!</v>
      </c>
      <c r="AR954" s="2" t="e">
        <f t="shared" si="739"/>
        <v>#DIV/0!</v>
      </c>
      <c r="AS954" s="2" t="e">
        <f t="shared" si="707"/>
        <v>#DIV/0!</v>
      </c>
      <c r="AT954" s="2" t="e">
        <f t="shared" si="708"/>
        <v>#DIV/0!</v>
      </c>
      <c r="AU954" s="2" t="e">
        <f t="shared" si="725"/>
        <v>#DIV/0!</v>
      </c>
      <c r="AV954" s="2" t="e">
        <f t="shared" si="709"/>
        <v>#DIV/0!</v>
      </c>
      <c r="AW954" s="2" t="e">
        <f t="shared" si="710"/>
        <v>#DIV/0!</v>
      </c>
      <c r="AX954" s="2" t="e">
        <f t="shared" si="711"/>
        <v>#DIV/0!</v>
      </c>
      <c r="AY954" s="2" t="e">
        <f t="shared" si="726"/>
        <v>#DIV/0!</v>
      </c>
      <c r="AZ954" s="2" t="e">
        <f t="shared" si="740"/>
        <v>#DIV/0!</v>
      </c>
      <c r="BA954" s="2" t="e">
        <f t="shared" si="712"/>
        <v>#DIV/0!</v>
      </c>
      <c r="BB954" s="2" t="e">
        <f t="shared" si="713"/>
        <v>#DIV/0!</v>
      </c>
      <c r="BC954" s="2" t="e">
        <f t="shared" si="727"/>
        <v>#DIV/0!</v>
      </c>
      <c r="BD954" s="2">
        <v>0</v>
      </c>
      <c r="BE954" s="2" t="e">
        <f t="shared" si="714"/>
        <v>#DIV/0!</v>
      </c>
      <c r="BF954" s="2" t="e">
        <f t="shared" si="715"/>
        <v>#DIV/0!</v>
      </c>
      <c r="BG954" s="2" t="e">
        <f t="shared" si="728"/>
        <v>#DIV/0!</v>
      </c>
      <c r="BH954" s="2" t="e">
        <f t="shared" si="741"/>
        <v>#DIV/0!</v>
      </c>
      <c r="BI954" s="2" t="e">
        <f t="shared" si="716"/>
        <v>#DIV/0!</v>
      </c>
      <c r="BJ954" s="2" t="e">
        <f t="shared" si="717"/>
        <v>#DIV/0!</v>
      </c>
      <c r="BK954" s="2" t="e">
        <f t="shared" si="729"/>
        <v>#DIV/0!</v>
      </c>
      <c r="BL954" s="2" t="e">
        <f t="shared" si="718"/>
        <v>#DIV/0!</v>
      </c>
      <c r="BM954" s="2" t="e">
        <f t="shared" si="719"/>
        <v>#DIV/0!</v>
      </c>
      <c r="BN954" s="2" t="e">
        <f t="shared" si="730"/>
        <v>#DIV/0!</v>
      </c>
    </row>
    <row r="955" spans="1:66" x14ac:dyDescent="0.25">
      <c r="A955" s="42">
        <v>952</v>
      </c>
      <c r="E955" s="6">
        <f t="shared" si="720"/>
        <v>0</v>
      </c>
      <c r="F955" s="5" t="str">
        <f t="shared" si="731"/>
        <v>Break Even</v>
      </c>
      <c r="G955" s="4">
        <f t="shared" si="732"/>
        <v>0</v>
      </c>
      <c r="N955" s="5">
        <f t="shared" si="733"/>
        <v>0</v>
      </c>
      <c r="O955" s="4" t="e">
        <f t="shared" si="734"/>
        <v>#DIV/0!</v>
      </c>
      <c r="P955" s="5">
        <f t="shared" si="693"/>
        <v>0</v>
      </c>
      <c r="R955" s="2">
        <f t="shared" si="737"/>
        <v>0</v>
      </c>
      <c r="T955" s="2">
        <f t="shared" si="721"/>
        <v>0</v>
      </c>
      <c r="V955" s="5">
        <f t="shared" si="735"/>
        <v>0</v>
      </c>
      <c r="W955" s="4" t="e">
        <f t="shared" si="736"/>
        <v>#DIV/0!</v>
      </c>
      <c r="X955" s="14">
        <f t="shared" si="694"/>
        <v>0</v>
      </c>
      <c r="Y955" s="5">
        <f t="shared" si="695"/>
        <v>0</v>
      </c>
      <c r="Z955" s="2">
        <f t="shared" si="696"/>
        <v>0</v>
      </c>
      <c r="AA955" s="4">
        <f t="shared" si="697"/>
        <v>0</v>
      </c>
      <c r="AB955" s="13">
        <f t="shared" si="698"/>
        <v>0</v>
      </c>
      <c r="AC955" s="10">
        <f>SUM($E$4:E955)</f>
        <v>-22024.091160220025</v>
      </c>
      <c r="AD955" s="20">
        <f>SUM($AB$4:AB955)</f>
        <v>13539.766460219998</v>
      </c>
      <c r="AF955" s="28" t="e">
        <f t="shared" si="699"/>
        <v>#DIV/0!</v>
      </c>
      <c r="AG955" s="2" t="e">
        <f t="shared" si="700"/>
        <v>#DIV/0!</v>
      </c>
      <c r="AH955" s="2" t="e">
        <f t="shared" si="701"/>
        <v>#DIV/0!</v>
      </c>
      <c r="AI955" s="2" t="e">
        <f t="shared" si="722"/>
        <v>#DIV/0!</v>
      </c>
      <c r="AJ955" s="2" t="e">
        <f t="shared" si="738"/>
        <v>#DIV/0!</v>
      </c>
      <c r="AK955" s="2" t="e">
        <f t="shared" si="702"/>
        <v>#DIV/0!</v>
      </c>
      <c r="AL955" s="2" t="e">
        <f t="shared" si="703"/>
        <v>#DIV/0!</v>
      </c>
      <c r="AM955" s="2" t="e">
        <f t="shared" si="723"/>
        <v>#DIV/0!</v>
      </c>
      <c r="AN955" s="2">
        <f t="shared" si="704"/>
        <v>0</v>
      </c>
      <c r="AO955" s="2" t="e">
        <f t="shared" si="705"/>
        <v>#DIV/0!</v>
      </c>
      <c r="AP955" s="2" t="e">
        <f t="shared" si="706"/>
        <v>#DIV/0!</v>
      </c>
      <c r="AQ955" s="2" t="e">
        <f t="shared" si="724"/>
        <v>#DIV/0!</v>
      </c>
      <c r="AR955" s="2" t="e">
        <f t="shared" si="739"/>
        <v>#DIV/0!</v>
      </c>
      <c r="AS955" s="2" t="e">
        <f t="shared" si="707"/>
        <v>#DIV/0!</v>
      </c>
      <c r="AT955" s="2" t="e">
        <f t="shared" si="708"/>
        <v>#DIV/0!</v>
      </c>
      <c r="AU955" s="2" t="e">
        <f t="shared" si="725"/>
        <v>#DIV/0!</v>
      </c>
      <c r="AV955" s="2" t="e">
        <f t="shared" si="709"/>
        <v>#DIV/0!</v>
      </c>
      <c r="AW955" s="2" t="e">
        <f t="shared" si="710"/>
        <v>#DIV/0!</v>
      </c>
      <c r="AX955" s="2" t="e">
        <f t="shared" si="711"/>
        <v>#DIV/0!</v>
      </c>
      <c r="AY955" s="2" t="e">
        <f t="shared" si="726"/>
        <v>#DIV/0!</v>
      </c>
      <c r="AZ955" s="2" t="e">
        <f t="shared" si="740"/>
        <v>#DIV/0!</v>
      </c>
      <c r="BA955" s="2" t="e">
        <f t="shared" si="712"/>
        <v>#DIV/0!</v>
      </c>
      <c r="BB955" s="2" t="e">
        <f t="shared" si="713"/>
        <v>#DIV/0!</v>
      </c>
      <c r="BC955" s="2" t="e">
        <f t="shared" si="727"/>
        <v>#DIV/0!</v>
      </c>
      <c r="BD955" s="2">
        <v>0</v>
      </c>
      <c r="BE955" s="2" t="e">
        <f t="shared" si="714"/>
        <v>#DIV/0!</v>
      </c>
      <c r="BF955" s="2" t="e">
        <f t="shared" si="715"/>
        <v>#DIV/0!</v>
      </c>
      <c r="BG955" s="2" t="e">
        <f t="shared" si="728"/>
        <v>#DIV/0!</v>
      </c>
      <c r="BH955" s="2" t="e">
        <f t="shared" si="741"/>
        <v>#DIV/0!</v>
      </c>
      <c r="BI955" s="2" t="e">
        <f t="shared" si="716"/>
        <v>#DIV/0!</v>
      </c>
      <c r="BJ955" s="2" t="e">
        <f t="shared" si="717"/>
        <v>#DIV/0!</v>
      </c>
      <c r="BK955" s="2" t="e">
        <f t="shared" si="729"/>
        <v>#DIV/0!</v>
      </c>
      <c r="BL955" s="2" t="e">
        <f t="shared" si="718"/>
        <v>#DIV/0!</v>
      </c>
      <c r="BM955" s="2" t="e">
        <f t="shared" si="719"/>
        <v>#DIV/0!</v>
      </c>
      <c r="BN955" s="2" t="e">
        <f t="shared" si="730"/>
        <v>#DIV/0!</v>
      </c>
    </row>
    <row r="956" spans="1:66" x14ac:dyDescent="0.25">
      <c r="A956" s="42">
        <v>953</v>
      </c>
      <c r="E956" s="6">
        <f t="shared" si="720"/>
        <v>0</v>
      </c>
      <c r="F956" s="5" t="str">
        <f t="shared" si="731"/>
        <v>Break Even</v>
      </c>
      <c r="G956" s="4">
        <f t="shared" si="732"/>
        <v>0</v>
      </c>
      <c r="N956" s="5">
        <f t="shared" si="733"/>
        <v>0</v>
      </c>
      <c r="O956" s="4" t="e">
        <f t="shared" si="734"/>
        <v>#DIV/0!</v>
      </c>
      <c r="P956" s="5">
        <f t="shared" si="693"/>
        <v>0</v>
      </c>
      <c r="R956" s="2">
        <f t="shared" si="737"/>
        <v>0</v>
      </c>
      <c r="T956" s="2">
        <f t="shared" si="721"/>
        <v>0</v>
      </c>
      <c r="V956" s="5">
        <f t="shared" si="735"/>
        <v>0</v>
      </c>
      <c r="W956" s="4" t="e">
        <f t="shared" si="736"/>
        <v>#DIV/0!</v>
      </c>
      <c r="X956" s="14">
        <f t="shared" si="694"/>
        <v>0</v>
      </c>
      <c r="Y956" s="5">
        <f t="shared" si="695"/>
        <v>0</v>
      </c>
      <c r="Z956" s="2">
        <f t="shared" si="696"/>
        <v>0</v>
      </c>
      <c r="AA956" s="4">
        <f t="shared" si="697"/>
        <v>0</v>
      </c>
      <c r="AB956" s="13">
        <f t="shared" si="698"/>
        <v>0</v>
      </c>
      <c r="AC956" s="10">
        <f>SUM($E$4:E956)</f>
        <v>-22024.091160220025</v>
      </c>
      <c r="AD956" s="20">
        <f>SUM($AB$4:AB956)</f>
        <v>13539.766460219998</v>
      </c>
      <c r="AF956" s="28" t="e">
        <f t="shared" si="699"/>
        <v>#DIV/0!</v>
      </c>
      <c r="AG956" s="2" t="e">
        <f t="shared" si="700"/>
        <v>#DIV/0!</v>
      </c>
      <c r="AH956" s="2" t="e">
        <f t="shared" si="701"/>
        <v>#DIV/0!</v>
      </c>
      <c r="AI956" s="2" t="e">
        <f t="shared" si="722"/>
        <v>#DIV/0!</v>
      </c>
      <c r="AJ956" s="2" t="e">
        <f t="shared" si="738"/>
        <v>#DIV/0!</v>
      </c>
      <c r="AK956" s="2" t="e">
        <f t="shared" si="702"/>
        <v>#DIV/0!</v>
      </c>
      <c r="AL956" s="2" t="e">
        <f t="shared" si="703"/>
        <v>#DIV/0!</v>
      </c>
      <c r="AM956" s="2" t="e">
        <f t="shared" si="723"/>
        <v>#DIV/0!</v>
      </c>
      <c r="AN956" s="2">
        <f t="shared" si="704"/>
        <v>0</v>
      </c>
      <c r="AO956" s="2" t="e">
        <f t="shared" si="705"/>
        <v>#DIV/0!</v>
      </c>
      <c r="AP956" s="2" t="e">
        <f t="shared" si="706"/>
        <v>#DIV/0!</v>
      </c>
      <c r="AQ956" s="2" t="e">
        <f t="shared" si="724"/>
        <v>#DIV/0!</v>
      </c>
      <c r="AR956" s="2" t="e">
        <f t="shared" si="739"/>
        <v>#DIV/0!</v>
      </c>
      <c r="AS956" s="2" t="e">
        <f t="shared" si="707"/>
        <v>#DIV/0!</v>
      </c>
      <c r="AT956" s="2" t="e">
        <f t="shared" si="708"/>
        <v>#DIV/0!</v>
      </c>
      <c r="AU956" s="2" t="e">
        <f t="shared" si="725"/>
        <v>#DIV/0!</v>
      </c>
      <c r="AV956" s="2" t="e">
        <f t="shared" si="709"/>
        <v>#DIV/0!</v>
      </c>
      <c r="AW956" s="2" t="e">
        <f t="shared" si="710"/>
        <v>#DIV/0!</v>
      </c>
      <c r="AX956" s="2" t="e">
        <f t="shared" si="711"/>
        <v>#DIV/0!</v>
      </c>
      <c r="AY956" s="2" t="e">
        <f t="shared" si="726"/>
        <v>#DIV/0!</v>
      </c>
      <c r="AZ956" s="2" t="e">
        <f t="shared" si="740"/>
        <v>#DIV/0!</v>
      </c>
      <c r="BA956" s="2" t="e">
        <f t="shared" si="712"/>
        <v>#DIV/0!</v>
      </c>
      <c r="BB956" s="2" t="e">
        <f t="shared" si="713"/>
        <v>#DIV/0!</v>
      </c>
      <c r="BC956" s="2" t="e">
        <f t="shared" si="727"/>
        <v>#DIV/0!</v>
      </c>
      <c r="BD956" s="2">
        <v>0</v>
      </c>
      <c r="BE956" s="2" t="e">
        <f t="shared" si="714"/>
        <v>#DIV/0!</v>
      </c>
      <c r="BF956" s="2" t="e">
        <f t="shared" si="715"/>
        <v>#DIV/0!</v>
      </c>
      <c r="BG956" s="2" t="e">
        <f t="shared" si="728"/>
        <v>#DIV/0!</v>
      </c>
      <c r="BH956" s="2" t="e">
        <f t="shared" si="741"/>
        <v>#DIV/0!</v>
      </c>
      <c r="BI956" s="2" t="e">
        <f t="shared" si="716"/>
        <v>#DIV/0!</v>
      </c>
      <c r="BJ956" s="2" t="e">
        <f t="shared" si="717"/>
        <v>#DIV/0!</v>
      </c>
      <c r="BK956" s="2" t="e">
        <f t="shared" si="729"/>
        <v>#DIV/0!</v>
      </c>
      <c r="BL956" s="2" t="e">
        <f t="shared" si="718"/>
        <v>#DIV/0!</v>
      </c>
      <c r="BM956" s="2" t="e">
        <f t="shared" si="719"/>
        <v>#DIV/0!</v>
      </c>
      <c r="BN956" s="2" t="e">
        <f t="shared" si="730"/>
        <v>#DIV/0!</v>
      </c>
    </row>
    <row r="957" spans="1:66" x14ac:dyDescent="0.25">
      <c r="A957" s="42">
        <v>954</v>
      </c>
      <c r="E957" s="6">
        <f t="shared" si="720"/>
        <v>0</v>
      </c>
      <c r="F957" s="5" t="str">
        <f t="shared" si="731"/>
        <v>Break Even</v>
      </c>
      <c r="G957" s="4">
        <f t="shared" si="732"/>
        <v>0</v>
      </c>
      <c r="N957" s="5">
        <f t="shared" si="733"/>
        <v>0</v>
      </c>
      <c r="O957" s="4" t="e">
        <f t="shared" si="734"/>
        <v>#DIV/0!</v>
      </c>
      <c r="P957" s="5">
        <f t="shared" si="693"/>
        <v>0</v>
      </c>
      <c r="R957" s="2">
        <f t="shared" si="737"/>
        <v>0</v>
      </c>
      <c r="T957" s="2">
        <f t="shared" si="721"/>
        <v>0</v>
      </c>
      <c r="V957" s="5">
        <f t="shared" si="735"/>
        <v>0</v>
      </c>
      <c r="W957" s="4" t="e">
        <f t="shared" si="736"/>
        <v>#DIV/0!</v>
      </c>
      <c r="X957" s="14">
        <f t="shared" si="694"/>
        <v>0</v>
      </c>
      <c r="Y957" s="5">
        <f t="shared" si="695"/>
        <v>0</v>
      </c>
      <c r="Z957" s="2">
        <f t="shared" si="696"/>
        <v>0</v>
      </c>
      <c r="AA957" s="4">
        <f t="shared" si="697"/>
        <v>0</v>
      </c>
      <c r="AB957" s="13">
        <f t="shared" si="698"/>
        <v>0</v>
      </c>
      <c r="AC957" s="10">
        <f>SUM($E$4:E957)</f>
        <v>-22024.091160220025</v>
      </c>
      <c r="AD957" s="20">
        <f>SUM($AB$4:AB957)</f>
        <v>13539.766460219998</v>
      </c>
      <c r="AF957" s="28" t="e">
        <f t="shared" si="699"/>
        <v>#DIV/0!</v>
      </c>
      <c r="AG957" s="2" t="e">
        <f t="shared" si="700"/>
        <v>#DIV/0!</v>
      </c>
      <c r="AH957" s="2" t="e">
        <f t="shared" si="701"/>
        <v>#DIV/0!</v>
      </c>
      <c r="AI957" s="2" t="e">
        <f t="shared" si="722"/>
        <v>#DIV/0!</v>
      </c>
      <c r="AJ957" s="2" t="e">
        <f t="shared" si="738"/>
        <v>#DIV/0!</v>
      </c>
      <c r="AK957" s="2" t="e">
        <f t="shared" si="702"/>
        <v>#DIV/0!</v>
      </c>
      <c r="AL957" s="2" t="e">
        <f t="shared" si="703"/>
        <v>#DIV/0!</v>
      </c>
      <c r="AM957" s="2" t="e">
        <f t="shared" si="723"/>
        <v>#DIV/0!</v>
      </c>
      <c r="AN957" s="2">
        <f t="shared" si="704"/>
        <v>0</v>
      </c>
      <c r="AO957" s="2" t="e">
        <f t="shared" si="705"/>
        <v>#DIV/0!</v>
      </c>
      <c r="AP957" s="2" t="e">
        <f t="shared" si="706"/>
        <v>#DIV/0!</v>
      </c>
      <c r="AQ957" s="2" t="e">
        <f t="shared" si="724"/>
        <v>#DIV/0!</v>
      </c>
      <c r="AR957" s="2" t="e">
        <f t="shared" si="739"/>
        <v>#DIV/0!</v>
      </c>
      <c r="AS957" s="2" t="e">
        <f t="shared" si="707"/>
        <v>#DIV/0!</v>
      </c>
      <c r="AT957" s="2" t="e">
        <f t="shared" si="708"/>
        <v>#DIV/0!</v>
      </c>
      <c r="AU957" s="2" t="e">
        <f t="shared" si="725"/>
        <v>#DIV/0!</v>
      </c>
      <c r="AV957" s="2" t="e">
        <f t="shared" si="709"/>
        <v>#DIV/0!</v>
      </c>
      <c r="AW957" s="2" t="e">
        <f t="shared" si="710"/>
        <v>#DIV/0!</v>
      </c>
      <c r="AX957" s="2" t="e">
        <f t="shared" si="711"/>
        <v>#DIV/0!</v>
      </c>
      <c r="AY957" s="2" t="e">
        <f t="shared" si="726"/>
        <v>#DIV/0!</v>
      </c>
      <c r="AZ957" s="2" t="e">
        <f t="shared" si="740"/>
        <v>#DIV/0!</v>
      </c>
      <c r="BA957" s="2" t="e">
        <f t="shared" si="712"/>
        <v>#DIV/0!</v>
      </c>
      <c r="BB957" s="2" t="e">
        <f t="shared" si="713"/>
        <v>#DIV/0!</v>
      </c>
      <c r="BC957" s="2" t="e">
        <f t="shared" si="727"/>
        <v>#DIV/0!</v>
      </c>
      <c r="BD957" s="2">
        <v>0</v>
      </c>
      <c r="BE957" s="2" t="e">
        <f t="shared" si="714"/>
        <v>#DIV/0!</v>
      </c>
      <c r="BF957" s="2" t="e">
        <f t="shared" si="715"/>
        <v>#DIV/0!</v>
      </c>
      <c r="BG957" s="2" t="e">
        <f t="shared" si="728"/>
        <v>#DIV/0!</v>
      </c>
      <c r="BH957" s="2" t="e">
        <f t="shared" si="741"/>
        <v>#DIV/0!</v>
      </c>
      <c r="BI957" s="2" t="e">
        <f t="shared" si="716"/>
        <v>#DIV/0!</v>
      </c>
      <c r="BJ957" s="2" t="e">
        <f t="shared" si="717"/>
        <v>#DIV/0!</v>
      </c>
      <c r="BK957" s="2" t="e">
        <f t="shared" si="729"/>
        <v>#DIV/0!</v>
      </c>
      <c r="BL957" s="2" t="e">
        <f t="shared" si="718"/>
        <v>#DIV/0!</v>
      </c>
      <c r="BM957" s="2" t="e">
        <f t="shared" si="719"/>
        <v>#DIV/0!</v>
      </c>
      <c r="BN957" s="2" t="e">
        <f t="shared" si="730"/>
        <v>#DIV/0!</v>
      </c>
    </row>
    <row r="958" spans="1:66" x14ac:dyDescent="0.25">
      <c r="A958" s="42">
        <v>955</v>
      </c>
      <c r="E958" s="6">
        <f t="shared" si="720"/>
        <v>0</v>
      </c>
      <c r="F958" s="5" t="str">
        <f t="shared" si="731"/>
        <v>Break Even</v>
      </c>
      <c r="G958" s="4">
        <f t="shared" si="732"/>
        <v>0</v>
      </c>
      <c r="N958" s="5">
        <f t="shared" si="733"/>
        <v>0</v>
      </c>
      <c r="O958" s="4" t="e">
        <f t="shared" si="734"/>
        <v>#DIV/0!</v>
      </c>
      <c r="P958" s="5">
        <f t="shared" si="693"/>
        <v>0</v>
      </c>
      <c r="R958" s="2">
        <f t="shared" si="737"/>
        <v>0</v>
      </c>
      <c r="T958" s="2">
        <f t="shared" si="721"/>
        <v>0</v>
      </c>
      <c r="V958" s="5">
        <f t="shared" si="735"/>
        <v>0</v>
      </c>
      <c r="W958" s="4" t="e">
        <f t="shared" si="736"/>
        <v>#DIV/0!</v>
      </c>
      <c r="X958" s="14">
        <f t="shared" si="694"/>
        <v>0</v>
      </c>
      <c r="Y958" s="5">
        <f t="shared" si="695"/>
        <v>0</v>
      </c>
      <c r="Z958" s="2">
        <f t="shared" si="696"/>
        <v>0</v>
      </c>
      <c r="AA958" s="4">
        <f t="shared" si="697"/>
        <v>0</v>
      </c>
      <c r="AB958" s="13">
        <f t="shared" si="698"/>
        <v>0</v>
      </c>
      <c r="AC958" s="10">
        <f>SUM($E$4:E958)</f>
        <v>-22024.091160220025</v>
      </c>
      <c r="AD958" s="20">
        <f>SUM($AB$4:AB958)</f>
        <v>13539.766460219998</v>
      </c>
      <c r="AF958" s="28" t="e">
        <f t="shared" si="699"/>
        <v>#DIV/0!</v>
      </c>
      <c r="AG958" s="2" t="e">
        <f t="shared" si="700"/>
        <v>#DIV/0!</v>
      </c>
      <c r="AH958" s="2" t="e">
        <f t="shared" si="701"/>
        <v>#DIV/0!</v>
      </c>
      <c r="AI958" s="2" t="e">
        <f t="shared" si="722"/>
        <v>#DIV/0!</v>
      </c>
      <c r="AJ958" s="2" t="e">
        <f t="shared" si="738"/>
        <v>#DIV/0!</v>
      </c>
      <c r="AK958" s="2" t="e">
        <f t="shared" si="702"/>
        <v>#DIV/0!</v>
      </c>
      <c r="AL958" s="2" t="e">
        <f t="shared" si="703"/>
        <v>#DIV/0!</v>
      </c>
      <c r="AM958" s="2" t="e">
        <f t="shared" si="723"/>
        <v>#DIV/0!</v>
      </c>
      <c r="AN958" s="2">
        <f t="shared" si="704"/>
        <v>0</v>
      </c>
      <c r="AO958" s="2" t="e">
        <f t="shared" si="705"/>
        <v>#DIV/0!</v>
      </c>
      <c r="AP958" s="2" t="e">
        <f t="shared" si="706"/>
        <v>#DIV/0!</v>
      </c>
      <c r="AQ958" s="2" t="e">
        <f t="shared" si="724"/>
        <v>#DIV/0!</v>
      </c>
      <c r="AR958" s="2" t="e">
        <f t="shared" si="739"/>
        <v>#DIV/0!</v>
      </c>
      <c r="AS958" s="2" t="e">
        <f t="shared" si="707"/>
        <v>#DIV/0!</v>
      </c>
      <c r="AT958" s="2" t="e">
        <f t="shared" si="708"/>
        <v>#DIV/0!</v>
      </c>
      <c r="AU958" s="2" t="e">
        <f t="shared" si="725"/>
        <v>#DIV/0!</v>
      </c>
      <c r="AV958" s="2" t="e">
        <f t="shared" si="709"/>
        <v>#DIV/0!</v>
      </c>
      <c r="AW958" s="2" t="e">
        <f t="shared" si="710"/>
        <v>#DIV/0!</v>
      </c>
      <c r="AX958" s="2" t="e">
        <f t="shared" si="711"/>
        <v>#DIV/0!</v>
      </c>
      <c r="AY958" s="2" t="e">
        <f t="shared" si="726"/>
        <v>#DIV/0!</v>
      </c>
      <c r="AZ958" s="2" t="e">
        <f t="shared" si="740"/>
        <v>#DIV/0!</v>
      </c>
      <c r="BA958" s="2" t="e">
        <f t="shared" si="712"/>
        <v>#DIV/0!</v>
      </c>
      <c r="BB958" s="2" t="e">
        <f t="shared" si="713"/>
        <v>#DIV/0!</v>
      </c>
      <c r="BC958" s="2" t="e">
        <f t="shared" si="727"/>
        <v>#DIV/0!</v>
      </c>
      <c r="BD958" s="2">
        <v>0</v>
      </c>
      <c r="BE958" s="2" t="e">
        <f t="shared" si="714"/>
        <v>#DIV/0!</v>
      </c>
      <c r="BF958" s="2" t="e">
        <f t="shared" si="715"/>
        <v>#DIV/0!</v>
      </c>
      <c r="BG958" s="2" t="e">
        <f t="shared" si="728"/>
        <v>#DIV/0!</v>
      </c>
      <c r="BH958" s="2" t="e">
        <f t="shared" si="741"/>
        <v>#DIV/0!</v>
      </c>
      <c r="BI958" s="2" t="e">
        <f t="shared" si="716"/>
        <v>#DIV/0!</v>
      </c>
      <c r="BJ958" s="2" t="e">
        <f t="shared" si="717"/>
        <v>#DIV/0!</v>
      </c>
      <c r="BK958" s="2" t="e">
        <f t="shared" si="729"/>
        <v>#DIV/0!</v>
      </c>
      <c r="BL958" s="2" t="e">
        <f t="shared" si="718"/>
        <v>#DIV/0!</v>
      </c>
      <c r="BM958" s="2" t="e">
        <f t="shared" si="719"/>
        <v>#DIV/0!</v>
      </c>
      <c r="BN958" s="2" t="e">
        <f t="shared" si="730"/>
        <v>#DIV/0!</v>
      </c>
    </row>
    <row r="959" spans="1:66" x14ac:dyDescent="0.25">
      <c r="A959" s="42">
        <v>956</v>
      </c>
      <c r="E959" s="6">
        <f t="shared" si="720"/>
        <v>0</v>
      </c>
      <c r="F959" s="5" t="str">
        <f t="shared" si="731"/>
        <v>Break Even</v>
      </c>
      <c r="G959" s="4">
        <f t="shared" si="732"/>
        <v>0</v>
      </c>
      <c r="N959" s="5">
        <f t="shared" si="733"/>
        <v>0</v>
      </c>
      <c r="O959" s="4" t="e">
        <f t="shared" si="734"/>
        <v>#DIV/0!</v>
      </c>
      <c r="P959" s="5">
        <f t="shared" si="693"/>
        <v>0</v>
      </c>
      <c r="R959" s="2">
        <f t="shared" si="737"/>
        <v>0</v>
      </c>
      <c r="T959" s="2">
        <f t="shared" si="721"/>
        <v>0</v>
      </c>
      <c r="V959" s="5">
        <f t="shared" si="735"/>
        <v>0</v>
      </c>
      <c r="W959" s="4" t="e">
        <f t="shared" si="736"/>
        <v>#DIV/0!</v>
      </c>
      <c r="X959" s="14">
        <f t="shared" si="694"/>
        <v>0</v>
      </c>
      <c r="Y959" s="5">
        <f t="shared" si="695"/>
        <v>0</v>
      </c>
      <c r="Z959" s="2">
        <f t="shared" si="696"/>
        <v>0</v>
      </c>
      <c r="AA959" s="4">
        <f t="shared" si="697"/>
        <v>0</v>
      </c>
      <c r="AB959" s="13">
        <f t="shared" si="698"/>
        <v>0</v>
      </c>
      <c r="AC959" s="10">
        <f>SUM($E$4:E959)</f>
        <v>-22024.091160220025</v>
      </c>
      <c r="AD959" s="20">
        <f>SUM($AB$4:AB959)</f>
        <v>13539.766460219998</v>
      </c>
      <c r="AF959" s="28" t="e">
        <f t="shared" si="699"/>
        <v>#DIV/0!</v>
      </c>
      <c r="AG959" s="2" t="e">
        <f t="shared" si="700"/>
        <v>#DIV/0!</v>
      </c>
      <c r="AH959" s="2" t="e">
        <f t="shared" si="701"/>
        <v>#DIV/0!</v>
      </c>
      <c r="AI959" s="2" t="e">
        <f t="shared" si="722"/>
        <v>#DIV/0!</v>
      </c>
      <c r="AJ959" s="2" t="e">
        <f t="shared" si="738"/>
        <v>#DIV/0!</v>
      </c>
      <c r="AK959" s="2" t="e">
        <f t="shared" si="702"/>
        <v>#DIV/0!</v>
      </c>
      <c r="AL959" s="2" t="e">
        <f t="shared" si="703"/>
        <v>#DIV/0!</v>
      </c>
      <c r="AM959" s="2" t="e">
        <f t="shared" si="723"/>
        <v>#DIV/0!</v>
      </c>
      <c r="AN959" s="2">
        <f t="shared" si="704"/>
        <v>0</v>
      </c>
      <c r="AO959" s="2" t="e">
        <f t="shared" si="705"/>
        <v>#DIV/0!</v>
      </c>
      <c r="AP959" s="2" t="e">
        <f t="shared" si="706"/>
        <v>#DIV/0!</v>
      </c>
      <c r="AQ959" s="2" t="e">
        <f t="shared" si="724"/>
        <v>#DIV/0!</v>
      </c>
      <c r="AR959" s="2" t="e">
        <f t="shared" si="739"/>
        <v>#DIV/0!</v>
      </c>
      <c r="AS959" s="2" t="e">
        <f t="shared" si="707"/>
        <v>#DIV/0!</v>
      </c>
      <c r="AT959" s="2" t="e">
        <f t="shared" si="708"/>
        <v>#DIV/0!</v>
      </c>
      <c r="AU959" s="2" t="e">
        <f t="shared" si="725"/>
        <v>#DIV/0!</v>
      </c>
      <c r="AV959" s="2" t="e">
        <f t="shared" si="709"/>
        <v>#DIV/0!</v>
      </c>
      <c r="AW959" s="2" t="e">
        <f t="shared" si="710"/>
        <v>#DIV/0!</v>
      </c>
      <c r="AX959" s="2" t="e">
        <f t="shared" si="711"/>
        <v>#DIV/0!</v>
      </c>
      <c r="AY959" s="2" t="e">
        <f t="shared" si="726"/>
        <v>#DIV/0!</v>
      </c>
      <c r="AZ959" s="2" t="e">
        <f t="shared" si="740"/>
        <v>#DIV/0!</v>
      </c>
      <c r="BA959" s="2" t="e">
        <f t="shared" si="712"/>
        <v>#DIV/0!</v>
      </c>
      <c r="BB959" s="2" t="e">
        <f t="shared" si="713"/>
        <v>#DIV/0!</v>
      </c>
      <c r="BC959" s="2" t="e">
        <f t="shared" si="727"/>
        <v>#DIV/0!</v>
      </c>
      <c r="BD959" s="2">
        <v>0</v>
      </c>
      <c r="BE959" s="2" t="e">
        <f t="shared" si="714"/>
        <v>#DIV/0!</v>
      </c>
      <c r="BF959" s="2" t="e">
        <f t="shared" si="715"/>
        <v>#DIV/0!</v>
      </c>
      <c r="BG959" s="2" t="e">
        <f t="shared" si="728"/>
        <v>#DIV/0!</v>
      </c>
      <c r="BH959" s="2" t="e">
        <f t="shared" si="741"/>
        <v>#DIV/0!</v>
      </c>
      <c r="BI959" s="2" t="e">
        <f t="shared" si="716"/>
        <v>#DIV/0!</v>
      </c>
      <c r="BJ959" s="2" t="e">
        <f t="shared" si="717"/>
        <v>#DIV/0!</v>
      </c>
      <c r="BK959" s="2" t="e">
        <f t="shared" si="729"/>
        <v>#DIV/0!</v>
      </c>
      <c r="BL959" s="2" t="e">
        <f t="shared" si="718"/>
        <v>#DIV/0!</v>
      </c>
      <c r="BM959" s="2" t="e">
        <f t="shared" si="719"/>
        <v>#DIV/0!</v>
      </c>
      <c r="BN959" s="2" t="e">
        <f t="shared" si="730"/>
        <v>#DIV/0!</v>
      </c>
    </row>
    <row r="960" spans="1:66" x14ac:dyDescent="0.25">
      <c r="A960" s="42">
        <v>957</v>
      </c>
      <c r="E960" s="6">
        <f t="shared" si="720"/>
        <v>0</v>
      </c>
      <c r="F960" s="5" t="str">
        <f t="shared" si="731"/>
        <v>Break Even</v>
      </c>
      <c r="G960" s="4">
        <f t="shared" si="732"/>
        <v>0</v>
      </c>
      <c r="N960" s="5">
        <f t="shared" si="733"/>
        <v>0</v>
      </c>
      <c r="O960" s="4" t="e">
        <f t="shared" si="734"/>
        <v>#DIV/0!</v>
      </c>
      <c r="P960" s="5">
        <f t="shared" si="693"/>
        <v>0</v>
      </c>
      <c r="R960" s="2">
        <f t="shared" si="737"/>
        <v>0</v>
      </c>
      <c r="T960" s="2">
        <f t="shared" si="721"/>
        <v>0</v>
      </c>
      <c r="V960" s="5">
        <f t="shared" si="735"/>
        <v>0</v>
      </c>
      <c r="W960" s="4" t="e">
        <f t="shared" si="736"/>
        <v>#DIV/0!</v>
      </c>
      <c r="X960" s="14">
        <f t="shared" si="694"/>
        <v>0</v>
      </c>
      <c r="Y960" s="5">
        <f t="shared" si="695"/>
        <v>0</v>
      </c>
      <c r="Z960" s="2">
        <f t="shared" si="696"/>
        <v>0</v>
      </c>
      <c r="AA960" s="4">
        <f t="shared" si="697"/>
        <v>0</v>
      </c>
      <c r="AB960" s="13">
        <f t="shared" si="698"/>
        <v>0</v>
      </c>
      <c r="AC960" s="10">
        <f>SUM($E$4:E960)</f>
        <v>-22024.091160220025</v>
      </c>
      <c r="AD960" s="20">
        <f>SUM($AB$4:AB960)</f>
        <v>13539.766460219998</v>
      </c>
      <c r="AF960" s="28" t="e">
        <f t="shared" si="699"/>
        <v>#DIV/0!</v>
      </c>
      <c r="AG960" s="2" t="e">
        <f t="shared" si="700"/>
        <v>#DIV/0!</v>
      </c>
      <c r="AH960" s="2" t="e">
        <f t="shared" si="701"/>
        <v>#DIV/0!</v>
      </c>
      <c r="AI960" s="2" t="e">
        <f t="shared" si="722"/>
        <v>#DIV/0!</v>
      </c>
      <c r="AJ960" s="2" t="e">
        <f t="shared" si="738"/>
        <v>#DIV/0!</v>
      </c>
      <c r="AK960" s="2" t="e">
        <f t="shared" si="702"/>
        <v>#DIV/0!</v>
      </c>
      <c r="AL960" s="2" t="e">
        <f t="shared" si="703"/>
        <v>#DIV/0!</v>
      </c>
      <c r="AM960" s="2" t="e">
        <f t="shared" si="723"/>
        <v>#DIV/0!</v>
      </c>
      <c r="AN960" s="2">
        <f t="shared" si="704"/>
        <v>0</v>
      </c>
      <c r="AO960" s="2" t="e">
        <f t="shared" si="705"/>
        <v>#DIV/0!</v>
      </c>
      <c r="AP960" s="2" t="e">
        <f t="shared" si="706"/>
        <v>#DIV/0!</v>
      </c>
      <c r="AQ960" s="2" t="e">
        <f t="shared" si="724"/>
        <v>#DIV/0!</v>
      </c>
      <c r="AR960" s="2" t="e">
        <f t="shared" si="739"/>
        <v>#DIV/0!</v>
      </c>
      <c r="AS960" s="2" t="e">
        <f t="shared" si="707"/>
        <v>#DIV/0!</v>
      </c>
      <c r="AT960" s="2" t="e">
        <f t="shared" si="708"/>
        <v>#DIV/0!</v>
      </c>
      <c r="AU960" s="2" t="e">
        <f t="shared" si="725"/>
        <v>#DIV/0!</v>
      </c>
      <c r="AV960" s="2" t="e">
        <f t="shared" si="709"/>
        <v>#DIV/0!</v>
      </c>
      <c r="AW960" s="2" t="e">
        <f t="shared" si="710"/>
        <v>#DIV/0!</v>
      </c>
      <c r="AX960" s="2" t="e">
        <f t="shared" si="711"/>
        <v>#DIV/0!</v>
      </c>
      <c r="AY960" s="2" t="e">
        <f t="shared" si="726"/>
        <v>#DIV/0!</v>
      </c>
      <c r="AZ960" s="2" t="e">
        <f t="shared" si="740"/>
        <v>#DIV/0!</v>
      </c>
      <c r="BA960" s="2" t="e">
        <f t="shared" si="712"/>
        <v>#DIV/0!</v>
      </c>
      <c r="BB960" s="2" t="e">
        <f t="shared" si="713"/>
        <v>#DIV/0!</v>
      </c>
      <c r="BC960" s="2" t="e">
        <f t="shared" si="727"/>
        <v>#DIV/0!</v>
      </c>
      <c r="BD960" s="2">
        <v>0</v>
      </c>
      <c r="BE960" s="2" t="e">
        <f t="shared" si="714"/>
        <v>#DIV/0!</v>
      </c>
      <c r="BF960" s="2" t="e">
        <f t="shared" si="715"/>
        <v>#DIV/0!</v>
      </c>
      <c r="BG960" s="2" t="e">
        <f t="shared" si="728"/>
        <v>#DIV/0!</v>
      </c>
      <c r="BH960" s="2" t="e">
        <f t="shared" si="741"/>
        <v>#DIV/0!</v>
      </c>
      <c r="BI960" s="2" t="e">
        <f t="shared" si="716"/>
        <v>#DIV/0!</v>
      </c>
      <c r="BJ960" s="2" t="e">
        <f t="shared" si="717"/>
        <v>#DIV/0!</v>
      </c>
      <c r="BK960" s="2" t="e">
        <f t="shared" si="729"/>
        <v>#DIV/0!</v>
      </c>
      <c r="BL960" s="2" t="e">
        <f t="shared" si="718"/>
        <v>#DIV/0!</v>
      </c>
      <c r="BM960" s="2" t="e">
        <f t="shared" si="719"/>
        <v>#DIV/0!</v>
      </c>
      <c r="BN960" s="2" t="e">
        <f t="shared" si="730"/>
        <v>#DIV/0!</v>
      </c>
    </row>
    <row r="961" spans="1:66" x14ac:dyDescent="0.25">
      <c r="A961" s="42">
        <v>958</v>
      </c>
      <c r="E961" s="6">
        <f t="shared" si="720"/>
        <v>0</v>
      </c>
      <c r="F961" s="5" t="str">
        <f t="shared" si="731"/>
        <v>Break Even</v>
      </c>
      <c r="G961" s="4">
        <f t="shared" si="732"/>
        <v>0</v>
      </c>
      <c r="N961" s="5">
        <f t="shared" si="733"/>
        <v>0</v>
      </c>
      <c r="O961" s="4" t="e">
        <f t="shared" si="734"/>
        <v>#DIV/0!</v>
      </c>
      <c r="P961" s="5">
        <f t="shared" si="693"/>
        <v>0</v>
      </c>
      <c r="R961" s="2">
        <f t="shared" si="737"/>
        <v>0</v>
      </c>
      <c r="T961" s="2">
        <f t="shared" si="721"/>
        <v>0</v>
      </c>
      <c r="V961" s="5">
        <f t="shared" si="735"/>
        <v>0</v>
      </c>
      <c r="W961" s="4" t="e">
        <f t="shared" si="736"/>
        <v>#DIV/0!</v>
      </c>
      <c r="X961" s="14">
        <f t="shared" si="694"/>
        <v>0</v>
      </c>
      <c r="Y961" s="5">
        <f t="shared" si="695"/>
        <v>0</v>
      </c>
      <c r="Z961" s="2">
        <f t="shared" si="696"/>
        <v>0</v>
      </c>
      <c r="AA961" s="4">
        <f t="shared" si="697"/>
        <v>0</v>
      </c>
      <c r="AB961" s="13">
        <f t="shared" si="698"/>
        <v>0</v>
      </c>
      <c r="AC961" s="10">
        <f>SUM($E$4:E961)</f>
        <v>-22024.091160220025</v>
      </c>
      <c r="AD961" s="20">
        <f>SUM($AB$4:AB961)</f>
        <v>13539.766460219998</v>
      </c>
      <c r="AF961" s="28" t="e">
        <f t="shared" si="699"/>
        <v>#DIV/0!</v>
      </c>
      <c r="AG961" s="2" t="e">
        <f t="shared" si="700"/>
        <v>#DIV/0!</v>
      </c>
      <c r="AH961" s="2" t="e">
        <f t="shared" si="701"/>
        <v>#DIV/0!</v>
      </c>
      <c r="AI961" s="2" t="e">
        <f t="shared" si="722"/>
        <v>#DIV/0!</v>
      </c>
      <c r="AJ961" s="2" t="e">
        <f t="shared" si="738"/>
        <v>#DIV/0!</v>
      </c>
      <c r="AK961" s="2" t="e">
        <f t="shared" si="702"/>
        <v>#DIV/0!</v>
      </c>
      <c r="AL961" s="2" t="e">
        <f t="shared" si="703"/>
        <v>#DIV/0!</v>
      </c>
      <c r="AM961" s="2" t="e">
        <f t="shared" si="723"/>
        <v>#DIV/0!</v>
      </c>
      <c r="AN961" s="2">
        <f t="shared" si="704"/>
        <v>0</v>
      </c>
      <c r="AO961" s="2" t="e">
        <f t="shared" si="705"/>
        <v>#DIV/0!</v>
      </c>
      <c r="AP961" s="2" t="e">
        <f t="shared" si="706"/>
        <v>#DIV/0!</v>
      </c>
      <c r="AQ961" s="2" t="e">
        <f t="shared" si="724"/>
        <v>#DIV/0!</v>
      </c>
      <c r="AR961" s="2" t="e">
        <f t="shared" si="739"/>
        <v>#DIV/0!</v>
      </c>
      <c r="AS961" s="2" t="e">
        <f t="shared" si="707"/>
        <v>#DIV/0!</v>
      </c>
      <c r="AT961" s="2" t="e">
        <f t="shared" si="708"/>
        <v>#DIV/0!</v>
      </c>
      <c r="AU961" s="2" t="e">
        <f t="shared" si="725"/>
        <v>#DIV/0!</v>
      </c>
      <c r="AV961" s="2" t="e">
        <f t="shared" si="709"/>
        <v>#DIV/0!</v>
      </c>
      <c r="AW961" s="2" t="e">
        <f t="shared" si="710"/>
        <v>#DIV/0!</v>
      </c>
      <c r="AX961" s="2" t="e">
        <f t="shared" si="711"/>
        <v>#DIV/0!</v>
      </c>
      <c r="AY961" s="2" t="e">
        <f t="shared" si="726"/>
        <v>#DIV/0!</v>
      </c>
      <c r="AZ961" s="2" t="e">
        <f t="shared" si="740"/>
        <v>#DIV/0!</v>
      </c>
      <c r="BA961" s="2" t="e">
        <f t="shared" si="712"/>
        <v>#DIV/0!</v>
      </c>
      <c r="BB961" s="2" t="e">
        <f t="shared" si="713"/>
        <v>#DIV/0!</v>
      </c>
      <c r="BC961" s="2" t="e">
        <f t="shared" si="727"/>
        <v>#DIV/0!</v>
      </c>
      <c r="BD961" s="2">
        <v>0</v>
      </c>
      <c r="BE961" s="2" t="e">
        <f t="shared" si="714"/>
        <v>#DIV/0!</v>
      </c>
      <c r="BF961" s="2" t="e">
        <f t="shared" si="715"/>
        <v>#DIV/0!</v>
      </c>
      <c r="BG961" s="2" t="e">
        <f t="shared" si="728"/>
        <v>#DIV/0!</v>
      </c>
      <c r="BH961" s="2" t="e">
        <f t="shared" si="741"/>
        <v>#DIV/0!</v>
      </c>
      <c r="BI961" s="2" t="e">
        <f t="shared" si="716"/>
        <v>#DIV/0!</v>
      </c>
      <c r="BJ961" s="2" t="e">
        <f t="shared" si="717"/>
        <v>#DIV/0!</v>
      </c>
      <c r="BK961" s="2" t="e">
        <f t="shared" si="729"/>
        <v>#DIV/0!</v>
      </c>
      <c r="BL961" s="2" t="e">
        <f t="shared" si="718"/>
        <v>#DIV/0!</v>
      </c>
      <c r="BM961" s="2" t="e">
        <f t="shared" si="719"/>
        <v>#DIV/0!</v>
      </c>
      <c r="BN961" s="2" t="e">
        <f t="shared" si="730"/>
        <v>#DIV/0!</v>
      </c>
    </row>
    <row r="962" spans="1:66" x14ac:dyDescent="0.25">
      <c r="A962" s="42">
        <v>959</v>
      </c>
      <c r="E962" s="6">
        <f t="shared" si="720"/>
        <v>0</v>
      </c>
      <c r="F962" s="5" t="str">
        <f t="shared" si="731"/>
        <v>Break Even</v>
      </c>
      <c r="G962" s="4">
        <f t="shared" si="732"/>
        <v>0</v>
      </c>
      <c r="N962" s="5">
        <f t="shared" si="733"/>
        <v>0</v>
      </c>
      <c r="O962" s="4" t="e">
        <f t="shared" si="734"/>
        <v>#DIV/0!</v>
      </c>
      <c r="P962" s="5">
        <f t="shared" si="693"/>
        <v>0</v>
      </c>
      <c r="R962" s="2">
        <f t="shared" si="737"/>
        <v>0</v>
      </c>
      <c r="T962" s="2">
        <f t="shared" si="721"/>
        <v>0</v>
      </c>
      <c r="V962" s="5">
        <f t="shared" si="735"/>
        <v>0</v>
      </c>
      <c r="W962" s="4" t="e">
        <f t="shared" si="736"/>
        <v>#DIV/0!</v>
      </c>
      <c r="X962" s="14">
        <f t="shared" si="694"/>
        <v>0</v>
      </c>
      <c r="Y962" s="5">
        <f t="shared" si="695"/>
        <v>0</v>
      </c>
      <c r="Z962" s="2">
        <f t="shared" si="696"/>
        <v>0</v>
      </c>
      <c r="AA962" s="4">
        <f t="shared" si="697"/>
        <v>0</v>
      </c>
      <c r="AB962" s="13">
        <f t="shared" si="698"/>
        <v>0</v>
      </c>
      <c r="AC962" s="10">
        <f>SUM($E$4:E962)</f>
        <v>-22024.091160220025</v>
      </c>
      <c r="AD962" s="20">
        <f>SUM($AB$4:AB962)</f>
        <v>13539.766460219998</v>
      </c>
      <c r="AF962" s="28" t="e">
        <f t="shared" si="699"/>
        <v>#DIV/0!</v>
      </c>
      <c r="AG962" s="2" t="e">
        <f t="shared" si="700"/>
        <v>#DIV/0!</v>
      </c>
      <c r="AH962" s="2" t="e">
        <f t="shared" si="701"/>
        <v>#DIV/0!</v>
      </c>
      <c r="AI962" s="2" t="e">
        <f t="shared" si="722"/>
        <v>#DIV/0!</v>
      </c>
      <c r="AJ962" s="2" t="e">
        <f t="shared" si="738"/>
        <v>#DIV/0!</v>
      </c>
      <c r="AK962" s="2" t="e">
        <f t="shared" si="702"/>
        <v>#DIV/0!</v>
      </c>
      <c r="AL962" s="2" t="e">
        <f t="shared" si="703"/>
        <v>#DIV/0!</v>
      </c>
      <c r="AM962" s="2" t="e">
        <f t="shared" si="723"/>
        <v>#DIV/0!</v>
      </c>
      <c r="AN962" s="2">
        <f t="shared" si="704"/>
        <v>0</v>
      </c>
      <c r="AO962" s="2" t="e">
        <f t="shared" si="705"/>
        <v>#DIV/0!</v>
      </c>
      <c r="AP962" s="2" t="e">
        <f t="shared" si="706"/>
        <v>#DIV/0!</v>
      </c>
      <c r="AQ962" s="2" t="e">
        <f t="shared" si="724"/>
        <v>#DIV/0!</v>
      </c>
      <c r="AR962" s="2" t="e">
        <f t="shared" si="739"/>
        <v>#DIV/0!</v>
      </c>
      <c r="AS962" s="2" t="e">
        <f t="shared" si="707"/>
        <v>#DIV/0!</v>
      </c>
      <c r="AT962" s="2" t="e">
        <f t="shared" si="708"/>
        <v>#DIV/0!</v>
      </c>
      <c r="AU962" s="2" t="e">
        <f t="shared" si="725"/>
        <v>#DIV/0!</v>
      </c>
      <c r="AV962" s="2" t="e">
        <f t="shared" si="709"/>
        <v>#DIV/0!</v>
      </c>
      <c r="AW962" s="2" t="e">
        <f t="shared" si="710"/>
        <v>#DIV/0!</v>
      </c>
      <c r="AX962" s="2" t="e">
        <f t="shared" si="711"/>
        <v>#DIV/0!</v>
      </c>
      <c r="AY962" s="2" t="e">
        <f t="shared" si="726"/>
        <v>#DIV/0!</v>
      </c>
      <c r="AZ962" s="2" t="e">
        <f t="shared" si="740"/>
        <v>#DIV/0!</v>
      </c>
      <c r="BA962" s="2" t="e">
        <f t="shared" si="712"/>
        <v>#DIV/0!</v>
      </c>
      <c r="BB962" s="2" t="e">
        <f t="shared" si="713"/>
        <v>#DIV/0!</v>
      </c>
      <c r="BC962" s="2" t="e">
        <f t="shared" si="727"/>
        <v>#DIV/0!</v>
      </c>
      <c r="BD962" s="2">
        <v>0</v>
      </c>
      <c r="BE962" s="2" t="e">
        <f t="shared" si="714"/>
        <v>#DIV/0!</v>
      </c>
      <c r="BF962" s="2" t="e">
        <f t="shared" si="715"/>
        <v>#DIV/0!</v>
      </c>
      <c r="BG962" s="2" t="e">
        <f t="shared" si="728"/>
        <v>#DIV/0!</v>
      </c>
      <c r="BH962" s="2" t="e">
        <f t="shared" si="741"/>
        <v>#DIV/0!</v>
      </c>
      <c r="BI962" s="2" t="e">
        <f t="shared" si="716"/>
        <v>#DIV/0!</v>
      </c>
      <c r="BJ962" s="2" t="e">
        <f t="shared" si="717"/>
        <v>#DIV/0!</v>
      </c>
      <c r="BK962" s="2" t="e">
        <f t="shared" si="729"/>
        <v>#DIV/0!</v>
      </c>
      <c r="BL962" s="2" t="e">
        <f t="shared" si="718"/>
        <v>#DIV/0!</v>
      </c>
      <c r="BM962" s="2" t="e">
        <f t="shared" si="719"/>
        <v>#DIV/0!</v>
      </c>
      <c r="BN962" s="2" t="e">
        <f t="shared" si="730"/>
        <v>#DIV/0!</v>
      </c>
    </row>
    <row r="963" spans="1:66" x14ac:dyDescent="0.25">
      <c r="A963" s="42">
        <v>960</v>
      </c>
      <c r="E963" s="6">
        <f t="shared" si="720"/>
        <v>0</v>
      </c>
      <c r="F963" s="5" t="str">
        <f t="shared" si="731"/>
        <v>Break Even</v>
      </c>
      <c r="G963" s="4">
        <f t="shared" si="732"/>
        <v>0</v>
      </c>
      <c r="N963" s="5">
        <f t="shared" si="733"/>
        <v>0</v>
      </c>
      <c r="O963" s="4" t="e">
        <f t="shared" si="734"/>
        <v>#DIV/0!</v>
      </c>
      <c r="P963" s="5">
        <f t="shared" si="693"/>
        <v>0</v>
      </c>
      <c r="R963" s="2">
        <f t="shared" si="737"/>
        <v>0</v>
      </c>
      <c r="T963" s="2">
        <f t="shared" si="721"/>
        <v>0</v>
      </c>
      <c r="V963" s="5">
        <f t="shared" si="735"/>
        <v>0</v>
      </c>
      <c r="W963" s="4" t="e">
        <f t="shared" si="736"/>
        <v>#DIV/0!</v>
      </c>
      <c r="X963" s="14">
        <f t="shared" si="694"/>
        <v>0</v>
      </c>
      <c r="Y963" s="5">
        <f t="shared" si="695"/>
        <v>0</v>
      </c>
      <c r="Z963" s="2">
        <f t="shared" si="696"/>
        <v>0</v>
      </c>
      <c r="AA963" s="4">
        <f t="shared" si="697"/>
        <v>0</v>
      </c>
      <c r="AB963" s="13">
        <f t="shared" si="698"/>
        <v>0</v>
      </c>
      <c r="AC963" s="10">
        <f>SUM($E$4:E963)</f>
        <v>-22024.091160220025</v>
      </c>
      <c r="AD963" s="20">
        <f>SUM($AB$4:AB963)</f>
        <v>13539.766460219998</v>
      </c>
      <c r="AF963" s="28" t="e">
        <f t="shared" si="699"/>
        <v>#DIV/0!</v>
      </c>
      <c r="AG963" s="2" t="e">
        <f t="shared" si="700"/>
        <v>#DIV/0!</v>
      </c>
      <c r="AH963" s="2" t="e">
        <f t="shared" si="701"/>
        <v>#DIV/0!</v>
      </c>
      <c r="AI963" s="2" t="e">
        <f t="shared" si="722"/>
        <v>#DIV/0!</v>
      </c>
      <c r="AJ963" s="2" t="e">
        <f t="shared" si="738"/>
        <v>#DIV/0!</v>
      </c>
      <c r="AK963" s="2" t="e">
        <f t="shared" si="702"/>
        <v>#DIV/0!</v>
      </c>
      <c r="AL963" s="2" t="e">
        <f t="shared" si="703"/>
        <v>#DIV/0!</v>
      </c>
      <c r="AM963" s="2" t="e">
        <f t="shared" si="723"/>
        <v>#DIV/0!</v>
      </c>
      <c r="AN963" s="2">
        <f t="shared" si="704"/>
        <v>0</v>
      </c>
      <c r="AO963" s="2" t="e">
        <f t="shared" si="705"/>
        <v>#DIV/0!</v>
      </c>
      <c r="AP963" s="2" t="e">
        <f t="shared" si="706"/>
        <v>#DIV/0!</v>
      </c>
      <c r="AQ963" s="2" t="e">
        <f t="shared" si="724"/>
        <v>#DIV/0!</v>
      </c>
      <c r="AR963" s="2" t="e">
        <f t="shared" si="739"/>
        <v>#DIV/0!</v>
      </c>
      <c r="AS963" s="2" t="e">
        <f t="shared" si="707"/>
        <v>#DIV/0!</v>
      </c>
      <c r="AT963" s="2" t="e">
        <f t="shared" si="708"/>
        <v>#DIV/0!</v>
      </c>
      <c r="AU963" s="2" t="e">
        <f t="shared" si="725"/>
        <v>#DIV/0!</v>
      </c>
      <c r="AV963" s="2" t="e">
        <f t="shared" si="709"/>
        <v>#DIV/0!</v>
      </c>
      <c r="AW963" s="2" t="e">
        <f t="shared" si="710"/>
        <v>#DIV/0!</v>
      </c>
      <c r="AX963" s="2" t="e">
        <f t="shared" si="711"/>
        <v>#DIV/0!</v>
      </c>
      <c r="AY963" s="2" t="e">
        <f t="shared" si="726"/>
        <v>#DIV/0!</v>
      </c>
      <c r="AZ963" s="2" t="e">
        <f t="shared" si="740"/>
        <v>#DIV/0!</v>
      </c>
      <c r="BA963" s="2" t="e">
        <f t="shared" si="712"/>
        <v>#DIV/0!</v>
      </c>
      <c r="BB963" s="2" t="e">
        <f t="shared" si="713"/>
        <v>#DIV/0!</v>
      </c>
      <c r="BC963" s="2" t="e">
        <f t="shared" si="727"/>
        <v>#DIV/0!</v>
      </c>
      <c r="BD963" s="2">
        <v>0</v>
      </c>
      <c r="BE963" s="2" t="e">
        <f t="shared" si="714"/>
        <v>#DIV/0!</v>
      </c>
      <c r="BF963" s="2" t="e">
        <f t="shared" si="715"/>
        <v>#DIV/0!</v>
      </c>
      <c r="BG963" s="2" t="e">
        <f t="shared" si="728"/>
        <v>#DIV/0!</v>
      </c>
      <c r="BH963" s="2" t="e">
        <f t="shared" si="741"/>
        <v>#DIV/0!</v>
      </c>
      <c r="BI963" s="2" t="e">
        <f t="shared" si="716"/>
        <v>#DIV/0!</v>
      </c>
      <c r="BJ963" s="2" t="e">
        <f t="shared" si="717"/>
        <v>#DIV/0!</v>
      </c>
      <c r="BK963" s="2" t="e">
        <f t="shared" si="729"/>
        <v>#DIV/0!</v>
      </c>
      <c r="BL963" s="2" t="e">
        <f t="shared" si="718"/>
        <v>#DIV/0!</v>
      </c>
      <c r="BM963" s="2" t="e">
        <f t="shared" si="719"/>
        <v>#DIV/0!</v>
      </c>
      <c r="BN963" s="2" t="e">
        <f t="shared" si="730"/>
        <v>#DIV/0!</v>
      </c>
    </row>
    <row r="964" spans="1:66" x14ac:dyDescent="0.25">
      <c r="A964" s="42">
        <v>961</v>
      </c>
      <c r="E964" s="6">
        <f t="shared" si="720"/>
        <v>0</v>
      </c>
      <c r="F964" s="5" t="str">
        <f t="shared" si="731"/>
        <v>Break Even</v>
      </c>
      <c r="G964" s="4">
        <f t="shared" si="732"/>
        <v>0</v>
      </c>
      <c r="N964" s="5">
        <f t="shared" si="733"/>
        <v>0</v>
      </c>
      <c r="O964" s="4" t="e">
        <f t="shared" si="734"/>
        <v>#DIV/0!</v>
      </c>
      <c r="P964" s="5">
        <f t="shared" ref="P964:P999" si="742">H964</f>
        <v>0</v>
      </c>
      <c r="R964" s="2">
        <f t="shared" si="737"/>
        <v>0</v>
      </c>
      <c r="T964" s="2">
        <f t="shared" si="721"/>
        <v>0</v>
      </c>
      <c r="V964" s="5">
        <f t="shared" si="735"/>
        <v>0</v>
      </c>
      <c r="W964" s="4" t="e">
        <f t="shared" si="736"/>
        <v>#DIV/0!</v>
      </c>
      <c r="X964" s="14">
        <f t="shared" ref="X964:X999" si="743">MAX(Q964,S964,U964)-MIN(I964,K964,M964)</f>
        <v>0</v>
      </c>
      <c r="Y964" s="5">
        <f t="shared" ref="Y964:Y999" si="744">P964*(Q964-I964)</f>
        <v>0</v>
      </c>
      <c r="Z964" s="2">
        <f t="shared" ref="Z964:Z999" si="745">R964*(S964-K964)</f>
        <v>0</v>
      </c>
      <c r="AA964" s="4">
        <f t="shared" ref="AA964:AA999" si="746">T964*(U964-M964)</f>
        <v>0</v>
      </c>
      <c r="AB964" s="13">
        <f t="shared" ref="AB964:AB999" si="747">IF(C964="EQ Intraday",AM964,IF(C964="Index Option",AU964,IF(C964="Index Future",BC964,IF(C964="EQ Delivery",BK964,IF(C964="Stock Option",AU964,IF(C964="Stock Future",BC964,IF(C964="",0,"Error")))))))</f>
        <v>0</v>
      </c>
      <c r="AC964" s="10">
        <f>SUM($E$4:E964)</f>
        <v>-22024.091160220025</v>
      </c>
      <c r="AD964" s="20">
        <f>SUM($AB$4:AB964)</f>
        <v>13539.766460219998</v>
      </c>
      <c r="AF964" s="28" t="e">
        <f t="shared" ref="AF964:AF999" si="748">MIN(IF(ISBLANK(U964)=FALSE,120,IF(ISBLANK(S964)=FALSE,80,40)),(((V964*W964)+(N964*O964))*0.0001))</f>
        <v>#DIV/0!</v>
      </c>
      <c r="AG964" s="2" t="e">
        <f t="shared" ref="AG964:AG999" si="749">(0.00025*V964*W964)</f>
        <v>#DIV/0!</v>
      </c>
      <c r="AH964" s="2" t="e">
        <f t="shared" ref="AH964:AH999" si="750">(0.0000325*((V964*W964)+(N964*O964)))</f>
        <v>#DIV/0!</v>
      </c>
      <c r="AI964" s="2" t="e">
        <f t="shared" si="722"/>
        <v>#DIV/0!</v>
      </c>
      <c r="AJ964" s="2" t="e">
        <f t="shared" si="738"/>
        <v>#DIV/0!</v>
      </c>
      <c r="AK964" s="2" t="e">
        <f t="shared" ref="AK964:AK999" si="751">(((V964*W964)+(N964*O964))/10000000)*20</f>
        <v>#DIV/0!</v>
      </c>
      <c r="AL964" s="2" t="e">
        <f t="shared" ref="AL964:AL999" si="752">0.00006*((V964*W964)+(N964*O964))</f>
        <v>#DIV/0!</v>
      </c>
      <c r="AM964" s="2" t="e">
        <f t="shared" si="723"/>
        <v>#DIV/0!</v>
      </c>
      <c r="AN964" s="2">
        <f t="shared" ref="AN964:AN999" si="753">COUNT(H964,J964,L964)*40</f>
        <v>0</v>
      </c>
      <c r="AO964" s="2" t="e">
        <f t="shared" ref="AO964:AO999" si="754">0.0005*V964*W964</f>
        <v>#DIV/0!</v>
      </c>
      <c r="AP964" s="2" t="e">
        <f t="shared" ref="AP964:AP999" si="755">0.00053*((N964*O964)+(V964*W964))</f>
        <v>#DIV/0!</v>
      </c>
      <c r="AQ964" s="2" t="e">
        <f t="shared" si="724"/>
        <v>#DIV/0!</v>
      </c>
      <c r="AR964" s="2" t="e">
        <f t="shared" si="739"/>
        <v>#DIV/0!</v>
      </c>
      <c r="AS964" s="2" t="e">
        <f t="shared" ref="AS964:AS999" si="756">(((V964*W964)+(N964*O964))/10000000)*20</f>
        <v>#DIV/0!</v>
      </c>
      <c r="AT964" s="2" t="e">
        <f t="shared" ref="AT964:AT999" si="757">0.00006*((V964*W964)+(N964*O964))</f>
        <v>#DIV/0!</v>
      </c>
      <c r="AU964" s="2" t="e">
        <f t="shared" si="725"/>
        <v>#DIV/0!</v>
      </c>
      <c r="AV964" s="2" t="e">
        <f t="shared" ref="AV964:AV999" si="758">MIN(IF(ISBLANK(U964)=FALSE,120,IF(ISBLANK(S964)=FALSE,80,40)),(((V964*W964)+(N964*O964))*0.0001))</f>
        <v>#DIV/0!</v>
      </c>
      <c r="AW964" s="2" t="e">
        <f t="shared" ref="AW964:AW999" si="759">0.0001*V964*W964</f>
        <v>#DIV/0!</v>
      </c>
      <c r="AX964" s="2" t="e">
        <f t="shared" ref="AX964:AX999" si="760">0.000021*((N964*O964)+(V964*W964))</f>
        <v>#DIV/0!</v>
      </c>
      <c r="AY964" s="2" t="e">
        <f t="shared" si="726"/>
        <v>#DIV/0!</v>
      </c>
      <c r="AZ964" s="2" t="e">
        <f t="shared" si="740"/>
        <v>#DIV/0!</v>
      </c>
      <c r="BA964" s="2" t="e">
        <f t="shared" ref="BA964:BA999" si="761">(((V964*W964)+(N964*O964))/10000000)*20</f>
        <v>#DIV/0!</v>
      </c>
      <c r="BB964" s="2" t="e">
        <f t="shared" ref="BB964:BB999" si="762">0.00006*((V964*W964)+(N964*O964))</f>
        <v>#DIV/0!</v>
      </c>
      <c r="BC964" s="2" t="e">
        <f t="shared" si="727"/>
        <v>#DIV/0!</v>
      </c>
      <c r="BD964" s="2">
        <v>0</v>
      </c>
      <c r="BE964" s="2" t="e">
        <f t="shared" ref="BE964:BE999" si="763">0.001*((N964*O964)+(V964*W964))</f>
        <v>#DIV/0!</v>
      </c>
      <c r="BF964" s="2" t="e">
        <f t="shared" ref="BF964:BF999" si="764">(0.0000325*((V964*W964)+(N964*O964)))</f>
        <v>#DIV/0!</v>
      </c>
      <c r="BG964" s="2" t="e">
        <f t="shared" si="728"/>
        <v>#DIV/0!</v>
      </c>
      <c r="BH964" s="2" t="e">
        <f t="shared" si="741"/>
        <v>#DIV/0!</v>
      </c>
      <c r="BI964" s="2" t="e">
        <f t="shared" ref="BI964:BI999" si="765">(((V964*W964)+(N964*O964))/10000000)*20</f>
        <v>#DIV/0!</v>
      </c>
      <c r="BJ964" s="2" t="e">
        <f t="shared" ref="BJ964:BJ999" si="766">0.00006*((V964*W964)+(N964*O964))</f>
        <v>#DIV/0!</v>
      </c>
      <c r="BK964" s="2" t="e">
        <f t="shared" si="729"/>
        <v>#DIV/0!</v>
      </c>
      <c r="BL964" s="2" t="e">
        <f t="shared" ref="BL964:BL999" si="767">N964*O964</f>
        <v>#DIV/0!</v>
      </c>
      <c r="BM964" s="2" t="e">
        <f t="shared" ref="BM964:BM999" si="768">V964*W964</f>
        <v>#DIV/0!</v>
      </c>
      <c r="BN964" s="2" t="e">
        <f t="shared" si="730"/>
        <v>#DIV/0!</v>
      </c>
    </row>
    <row r="965" spans="1:66" x14ac:dyDescent="0.25">
      <c r="A965" s="42">
        <v>962</v>
      </c>
      <c r="E965" s="6">
        <f t="shared" ref="E965:E999" si="769">G965-AB965</f>
        <v>0</v>
      </c>
      <c r="F965" s="5" t="str">
        <f t="shared" si="731"/>
        <v>Break Even</v>
      </c>
      <c r="G965" s="4">
        <f t="shared" si="732"/>
        <v>0</v>
      </c>
      <c r="N965" s="5">
        <f t="shared" si="733"/>
        <v>0</v>
      </c>
      <c r="O965" s="4" t="e">
        <f t="shared" si="734"/>
        <v>#DIV/0!</v>
      </c>
      <c r="P965" s="5">
        <f t="shared" si="742"/>
        <v>0</v>
      </c>
      <c r="R965" s="2">
        <f t="shared" si="737"/>
        <v>0</v>
      </c>
      <c r="T965" s="2">
        <f t="shared" ref="T965:T999" si="770">L965</f>
        <v>0</v>
      </c>
      <c r="V965" s="5">
        <f t="shared" si="735"/>
        <v>0</v>
      </c>
      <c r="W965" s="4" t="e">
        <f t="shared" si="736"/>
        <v>#DIV/0!</v>
      </c>
      <c r="X965" s="14">
        <f t="shared" si="743"/>
        <v>0</v>
      </c>
      <c r="Y965" s="5">
        <f t="shared" si="744"/>
        <v>0</v>
      </c>
      <c r="Z965" s="2">
        <f t="shared" si="745"/>
        <v>0</v>
      </c>
      <c r="AA965" s="4">
        <f t="shared" si="746"/>
        <v>0</v>
      </c>
      <c r="AB965" s="13">
        <f t="shared" si="747"/>
        <v>0</v>
      </c>
      <c r="AC965" s="10">
        <f>SUM($E$4:E965)</f>
        <v>-22024.091160220025</v>
      </c>
      <c r="AD965" s="20">
        <f>SUM($AB$4:AB965)</f>
        <v>13539.766460219998</v>
      </c>
      <c r="AF965" s="28" t="e">
        <f t="shared" si="748"/>
        <v>#DIV/0!</v>
      </c>
      <c r="AG965" s="2" t="e">
        <f t="shared" si="749"/>
        <v>#DIV/0!</v>
      </c>
      <c r="AH965" s="2" t="e">
        <f t="shared" si="750"/>
        <v>#DIV/0!</v>
      </c>
      <c r="AI965" s="2" t="e">
        <f t="shared" ref="AI965:AI999" si="771">AH965+AF965</f>
        <v>#DIV/0!</v>
      </c>
      <c r="AJ965" s="2" t="e">
        <f t="shared" si="738"/>
        <v>#DIV/0!</v>
      </c>
      <c r="AK965" s="2" t="e">
        <f t="shared" si="751"/>
        <v>#DIV/0!</v>
      </c>
      <c r="AL965" s="2" t="e">
        <f t="shared" si="752"/>
        <v>#DIV/0!</v>
      </c>
      <c r="AM965" s="2" t="e">
        <f t="shared" ref="AM965:AM999" si="772">SUM(AF965:AH965,AJ965:AL965)</f>
        <v>#DIV/0!</v>
      </c>
      <c r="AN965" s="2">
        <f t="shared" si="753"/>
        <v>0</v>
      </c>
      <c r="AO965" s="2" t="e">
        <f t="shared" si="754"/>
        <v>#DIV/0!</v>
      </c>
      <c r="AP965" s="2" t="e">
        <f t="shared" si="755"/>
        <v>#DIV/0!</v>
      </c>
      <c r="AQ965" s="2" t="e">
        <f t="shared" ref="AQ965:AQ999" si="773">AN965+AP965</f>
        <v>#DIV/0!</v>
      </c>
      <c r="AR965" s="2" t="e">
        <f t="shared" si="739"/>
        <v>#DIV/0!</v>
      </c>
      <c r="AS965" s="2" t="e">
        <f t="shared" si="756"/>
        <v>#DIV/0!</v>
      </c>
      <c r="AT965" s="2" t="e">
        <f t="shared" si="757"/>
        <v>#DIV/0!</v>
      </c>
      <c r="AU965" s="2" t="e">
        <f t="shared" ref="AU965:AU999" si="774">SUM(AN965:AP965,AR965:AT965)</f>
        <v>#DIV/0!</v>
      </c>
      <c r="AV965" s="2" t="e">
        <f t="shared" si="758"/>
        <v>#DIV/0!</v>
      </c>
      <c r="AW965" s="2" t="e">
        <f t="shared" si="759"/>
        <v>#DIV/0!</v>
      </c>
      <c r="AX965" s="2" t="e">
        <f t="shared" si="760"/>
        <v>#DIV/0!</v>
      </c>
      <c r="AY965" s="2" t="e">
        <f t="shared" ref="AY965:AY999" si="775">AV965+AX965</f>
        <v>#DIV/0!</v>
      </c>
      <c r="AZ965" s="2" t="e">
        <f t="shared" si="740"/>
        <v>#DIV/0!</v>
      </c>
      <c r="BA965" s="2" t="e">
        <f t="shared" si="761"/>
        <v>#DIV/0!</v>
      </c>
      <c r="BB965" s="2" t="e">
        <f t="shared" si="762"/>
        <v>#DIV/0!</v>
      </c>
      <c r="BC965" s="2" t="e">
        <f t="shared" ref="BC965:BC999" si="776">SUM(AV965:AX965,AZ965:BB965)</f>
        <v>#DIV/0!</v>
      </c>
      <c r="BD965" s="2">
        <v>0</v>
      </c>
      <c r="BE965" s="2" t="e">
        <f t="shared" si="763"/>
        <v>#DIV/0!</v>
      </c>
      <c r="BF965" s="2" t="e">
        <f t="shared" si="764"/>
        <v>#DIV/0!</v>
      </c>
      <c r="BG965" s="2" t="e">
        <f t="shared" ref="BG965:BG999" si="777">BD965+BF965</f>
        <v>#DIV/0!</v>
      </c>
      <c r="BH965" s="2" t="e">
        <f t="shared" si="741"/>
        <v>#DIV/0!</v>
      </c>
      <c r="BI965" s="2" t="e">
        <f t="shared" si="765"/>
        <v>#DIV/0!</v>
      </c>
      <c r="BJ965" s="2" t="e">
        <f t="shared" si="766"/>
        <v>#DIV/0!</v>
      </c>
      <c r="BK965" s="2" t="e">
        <f t="shared" ref="BK965:BK999" si="778">SUM(BD965:BF965,BH965:BJ965)</f>
        <v>#DIV/0!</v>
      </c>
      <c r="BL965" s="2" t="e">
        <f t="shared" si="767"/>
        <v>#DIV/0!</v>
      </c>
      <c r="BM965" s="2" t="e">
        <f t="shared" si="768"/>
        <v>#DIV/0!</v>
      </c>
      <c r="BN965" s="2" t="e">
        <f t="shared" ref="BN965:BN999" si="779">BM965+BL965</f>
        <v>#DIV/0!</v>
      </c>
    </row>
    <row r="966" spans="1:66" x14ac:dyDescent="0.25">
      <c r="A966" s="42">
        <v>963</v>
      </c>
      <c r="E966" s="6">
        <f t="shared" si="769"/>
        <v>0</v>
      </c>
      <c r="F966" s="5" t="str">
        <f t="shared" ref="F966:F999" si="780">IF(G966&gt;0,"Win",IF(G966=0,"Break Even","Loss"))</f>
        <v>Break Even</v>
      </c>
      <c r="G966" s="4">
        <f t="shared" ref="G966:G999" si="781">SUM(Y966,Z966,AA966)</f>
        <v>0</v>
      </c>
      <c r="N966" s="5">
        <f t="shared" ref="N966:N999" si="782">SUM(H966,J966,L966)</f>
        <v>0</v>
      </c>
      <c r="O966" s="4" t="e">
        <f t="shared" ref="O966:O999" si="783">AVERAGE(M966,K966,I966)</f>
        <v>#DIV/0!</v>
      </c>
      <c r="P966" s="5">
        <f t="shared" si="742"/>
        <v>0</v>
      </c>
      <c r="R966" s="2">
        <f t="shared" si="737"/>
        <v>0</v>
      </c>
      <c r="T966" s="2">
        <f t="shared" si="770"/>
        <v>0</v>
      </c>
      <c r="V966" s="5">
        <f t="shared" ref="V966:V999" si="784">SUM(P966,R966,T966)</f>
        <v>0</v>
      </c>
      <c r="W966" s="4" t="e">
        <f t="shared" ref="W966:W999" si="785">AVERAGE(Q966,S966,U966)</f>
        <v>#DIV/0!</v>
      </c>
      <c r="X966" s="14">
        <f t="shared" si="743"/>
        <v>0</v>
      </c>
      <c r="Y966" s="5">
        <f t="shared" si="744"/>
        <v>0</v>
      </c>
      <c r="Z966" s="2">
        <f t="shared" si="745"/>
        <v>0</v>
      </c>
      <c r="AA966" s="4">
        <f t="shared" si="746"/>
        <v>0</v>
      </c>
      <c r="AB966" s="13">
        <f t="shared" si="747"/>
        <v>0</v>
      </c>
      <c r="AC966" s="10">
        <f>SUM($E$4:E966)</f>
        <v>-22024.091160220025</v>
      </c>
      <c r="AD966" s="20">
        <f>SUM($AB$4:AB966)</f>
        <v>13539.766460219998</v>
      </c>
      <c r="AF966" s="28" t="e">
        <f t="shared" si="748"/>
        <v>#DIV/0!</v>
      </c>
      <c r="AG966" s="2" t="e">
        <f t="shared" si="749"/>
        <v>#DIV/0!</v>
      </c>
      <c r="AH966" s="2" t="e">
        <f t="shared" si="750"/>
        <v>#DIV/0!</v>
      </c>
      <c r="AI966" s="2" t="e">
        <f t="shared" si="771"/>
        <v>#DIV/0!</v>
      </c>
      <c r="AJ966" s="2" t="e">
        <f t="shared" si="738"/>
        <v>#DIV/0!</v>
      </c>
      <c r="AK966" s="2" t="e">
        <f t="shared" si="751"/>
        <v>#DIV/0!</v>
      </c>
      <c r="AL966" s="2" t="e">
        <f t="shared" si="752"/>
        <v>#DIV/0!</v>
      </c>
      <c r="AM966" s="2" t="e">
        <f t="shared" si="772"/>
        <v>#DIV/0!</v>
      </c>
      <c r="AN966" s="2">
        <f t="shared" si="753"/>
        <v>0</v>
      </c>
      <c r="AO966" s="2" t="e">
        <f t="shared" si="754"/>
        <v>#DIV/0!</v>
      </c>
      <c r="AP966" s="2" t="e">
        <f t="shared" si="755"/>
        <v>#DIV/0!</v>
      </c>
      <c r="AQ966" s="2" t="e">
        <f t="shared" si="773"/>
        <v>#DIV/0!</v>
      </c>
      <c r="AR966" s="2" t="e">
        <f t="shared" si="739"/>
        <v>#DIV/0!</v>
      </c>
      <c r="AS966" s="2" t="e">
        <f t="shared" si="756"/>
        <v>#DIV/0!</v>
      </c>
      <c r="AT966" s="2" t="e">
        <f t="shared" si="757"/>
        <v>#DIV/0!</v>
      </c>
      <c r="AU966" s="2" t="e">
        <f t="shared" si="774"/>
        <v>#DIV/0!</v>
      </c>
      <c r="AV966" s="2" t="e">
        <f t="shared" si="758"/>
        <v>#DIV/0!</v>
      </c>
      <c r="AW966" s="2" t="e">
        <f t="shared" si="759"/>
        <v>#DIV/0!</v>
      </c>
      <c r="AX966" s="2" t="e">
        <f t="shared" si="760"/>
        <v>#DIV/0!</v>
      </c>
      <c r="AY966" s="2" t="e">
        <f t="shared" si="775"/>
        <v>#DIV/0!</v>
      </c>
      <c r="AZ966" s="2" t="e">
        <f t="shared" si="740"/>
        <v>#DIV/0!</v>
      </c>
      <c r="BA966" s="2" t="e">
        <f t="shared" si="761"/>
        <v>#DIV/0!</v>
      </c>
      <c r="BB966" s="2" t="e">
        <f t="shared" si="762"/>
        <v>#DIV/0!</v>
      </c>
      <c r="BC966" s="2" t="e">
        <f t="shared" si="776"/>
        <v>#DIV/0!</v>
      </c>
      <c r="BD966" s="2">
        <v>0</v>
      </c>
      <c r="BE966" s="2" t="e">
        <f t="shared" si="763"/>
        <v>#DIV/0!</v>
      </c>
      <c r="BF966" s="2" t="e">
        <f t="shared" si="764"/>
        <v>#DIV/0!</v>
      </c>
      <c r="BG966" s="2" t="e">
        <f t="shared" si="777"/>
        <v>#DIV/0!</v>
      </c>
      <c r="BH966" s="2" t="e">
        <f t="shared" si="741"/>
        <v>#DIV/0!</v>
      </c>
      <c r="BI966" s="2" t="e">
        <f t="shared" si="765"/>
        <v>#DIV/0!</v>
      </c>
      <c r="BJ966" s="2" t="e">
        <f t="shared" si="766"/>
        <v>#DIV/0!</v>
      </c>
      <c r="BK966" s="2" t="e">
        <f t="shared" si="778"/>
        <v>#DIV/0!</v>
      </c>
      <c r="BL966" s="2" t="e">
        <f t="shared" si="767"/>
        <v>#DIV/0!</v>
      </c>
      <c r="BM966" s="2" t="e">
        <f t="shared" si="768"/>
        <v>#DIV/0!</v>
      </c>
      <c r="BN966" s="2" t="e">
        <f t="shared" si="779"/>
        <v>#DIV/0!</v>
      </c>
    </row>
    <row r="967" spans="1:66" x14ac:dyDescent="0.25">
      <c r="A967" s="42">
        <v>964</v>
      </c>
      <c r="E967" s="6">
        <f t="shared" si="769"/>
        <v>0</v>
      </c>
      <c r="F967" s="5" t="str">
        <f t="shared" si="780"/>
        <v>Break Even</v>
      </c>
      <c r="G967" s="4">
        <f t="shared" si="781"/>
        <v>0</v>
      </c>
      <c r="N967" s="5">
        <f t="shared" si="782"/>
        <v>0</v>
      </c>
      <c r="O967" s="4" t="e">
        <f t="shared" si="783"/>
        <v>#DIV/0!</v>
      </c>
      <c r="P967" s="5">
        <f t="shared" si="742"/>
        <v>0</v>
      </c>
      <c r="R967" s="2">
        <f t="shared" si="737"/>
        <v>0</v>
      </c>
      <c r="T967" s="2">
        <f t="shared" si="770"/>
        <v>0</v>
      </c>
      <c r="V967" s="5">
        <f t="shared" si="784"/>
        <v>0</v>
      </c>
      <c r="W967" s="4" t="e">
        <f t="shared" si="785"/>
        <v>#DIV/0!</v>
      </c>
      <c r="X967" s="14">
        <f t="shared" si="743"/>
        <v>0</v>
      </c>
      <c r="Y967" s="5">
        <f t="shared" si="744"/>
        <v>0</v>
      </c>
      <c r="Z967" s="2">
        <f t="shared" si="745"/>
        <v>0</v>
      </c>
      <c r="AA967" s="4">
        <f t="shared" si="746"/>
        <v>0</v>
      </c>
      <c r="AB967" s="13">
        <f t="shared" si="747"/>
        <v>0</v>
      </c>
      <c r="AC967" s="10">
        <f>SUM($E$4:E967)</f>
        <v>-22024.091160220025</v>
      </c>
      <c r="AD967" s="20">
        <f>SUM($AB$4:AB967)</f>
        <v>13539.766460219998</v>
      </c>
      <c r="AF967" s="28" t="e">
        <f t="shared" si="748"/>
        <v>#DIV/0!</v>
      </c>
      <c r="AG967" s="2" t="e">
        <f t="shared" si="749"/>
        <v>#DIV/0!</v>
      </c>
      <c r="AH967" s="2" t="e">
        <f t="shared" si="750"/>
        <v>#DIV/0!</v>
      </c>
      <c r="AI967" s="2" t="e">
        <f t="shared" si="771"/>
        <v>#DIV/0!</v>
      </c>
      <c r="AJ967" s="2" t="e">
        <f t="shared" si="738"/>
        <v>#DIV/0!</v>
      </c>
      <c r="AK967" s="2" t="e">
        <f t="shared" si="751"/>
        <v>#DIV/0!</v>
      </c>
      <c r="AL967" s="2" t="e">
        <f t="shared" si="752"/>
        <v>#DIV/0!</v>
      </c>
      <c r="AM967" s="2" t="e">
        <f t="shared" si="772"/>
        <v>#DIV/0!</v>
      </c>
      <c r="AN967" s="2">
        <f t="shared" si="753"/>
        <v>0</v>
      </c>
      <c r="AO967" s="2" t="e">
        <f t="shared" si="754"/>
        <v>#DIV/0!</v>
      </c>
      <c r="AP967" s="2" t="e">
        <f t="shared" si="755"/>
        <v>#DIV/0!</v>
      </c>
      <c r="AQ967" s="2" t="e">
        <f t="shared" si="773"/>
        <v>#DIV/0!</v>
      </c>
      <c r="AR967" s="2" t="e">
        <f t="shared" si="739"/>
        <v>#DIV/0!</v>
      </c>
      <c r="AS967" s="2" t="e">
        <f t="shared" si="756"/>
        <v>#DIV/0!</v>
      </c>
      <c r="AT967" s="2" t="e">
        <f t="shared" si="757"/>
        <v>#DIV/0!</v>
      </c>
      <c r="AU967" s="2" t="e">
        <f t="shared" si="774"/>
        <v>#DIV/0!</v>
      </c>
      <c r="AV967" s="2" t="e">
        <f t="shared" si="758"/>
        <v>#DIV/0!</v>
      </c>
      <c r="AW967" s="2" t="e">
        <f t="shared" si="759"/>
        <v>#DIV/0!</v>
      </c>
      <c r="AX967" s="2" t="e">
        <f t="shared" si="760"/>
        <v>#DIV/0!</v>
      </c>
      <c r="AY967" s="2" t="e">
        <f t="shared" si="775"/>
        <v>#DIV/0!</v>
      </c>
      <c r="AZ967" s="2" t="e">
        <f t="shared" si="740"/>
        <v>#DIV/0!</v>
      </c>
      <c r="BA967" s="2" t="e">
        <f t="shared" si="761"/>
        <v>#DIV/0!</v>
      </c>
      <c r="BB967" s="2" t="e">
        <f t="shared" si="762"/>
        <v>#DIV/0!</v>
      </c>
      <c r="BC967" s="2" t="e">
        <f t="shared" si="776"/>
        <v>#DIV/0!</v>
      </c>
      <c r="BD967" s="2">
        <v>0</v>
      </c>
      <c r="BE967" s="2" t="e">
        <f t="shared" si="763"/>
        <v>#DIV/0!</v>
      </c>
      <c r="BF967" s="2" t="e">
        <f t="shared" si="764"/>
        <v>#DIV/0!</v>
      </c>
      <c r="BG967" s="2" t="e">
        <f t="shared" si="777"/>
        <v>#DIV/0!</v>
      </c>
      <c r="BH967" s="2" t="e">
        <f t="shared" si="741"/>
        <v>#DIV/0!</v>
      </c>
      <c r="BI967" s="2" t="e">
        <f t="shared" si="765"/>
        <v>#DIV/0!</v>
      </c>
      <c r="BJ967" s="2" t="e">
        <f t="shared" si="766"/>
        <v>#DIV/0!</v>
      </c>
      <c r="BK967" s="2" t="e">
        <f t="shared" si="778"/>
        <v>#DIV/0!</v>
      </c>
      <c r="BL967" s="2" t="e">
        <f t="shared" si="767"/>
        <v>#DIV/0!</v>
      </c>
      <c r="BM967" s="2" t="e">
        <f t="shared" si="768"/>
        <v>#DIV/0!</v>
      </c>
      <c r="BN967" s="2" t="e">
        <f t="shared" si="779"/>
        <v>#DIV/0!</v>
      </c>
    </row>
    <row r="968" spans="1:66" x14ac:dyDescent="0.25">
      <c r="A968" s="42">
        <v>965</v>
      </c>
      <c r="E968" s="6">
        <f t="shared" si="769"/>
        <v>0</v>
      </c>
      <c r="F968" s="5" t="str">
        <f t="shared" si="780"/>
        <v>Break Even</v>
      </c>
      <c r="G968" s="4">
        <f t="shared" si="781"/>
        <v>0</v>
      </c>
      <c r="N968" s="5">
        <f t="shared" si="782"/>
        <v>0</v>
      </c>
      <c r="O968" s="4" t="e">
        <f t="shared" si="783"/>
        <v>#DIV/0!</v>
      </c>
      <c r="P968" s="5">
        <f t="shared" si="742"/>
        <v>0</v>
      </c>
      <c r="R968" s="2">
        <f t="shared" si="737"/>
        <v>0</v>
      </c>
      <c r="T968" s="2">
        <f t="shared" si="770"/>
        <v>0</v>
      </c>
      <c r="V968" s="5">
        <f t="shared" si="784"/>
        <v>0</v>
      </c>
      <c r="W968" s="4" t="e">
        <f t="shared" si="785"/>
        <v>#DIV/0!</v>
      </c>
      <c r="X968" s="14">
        <f t="shared" si="743"/>
        <v>0</v>
      </c>
      <c r="Y968" s="5">
        <f t="shared" si="744"/>
        <v>0</v>
      </c>
      <c r="Z968" s="2">
        <f t="shared" si="745"/>
        <v>0</v>
      </c>
      <c r="AA968" s="4">
        <f t="shared" si="746"/>
        <v>0</v>
      </c>
      <c r="AB968" s="13">
        <f t="shared" si="747"/>
        <v>0</v>
      </c>
      <c r="AC968" s="10">
        <f>SUM($E$4:E968)</f>
        <v>-22024.091160220025</v>
      </c>
      <c r="AD968" s="20">
        <f>SUM($AB$4:AB968)</f>
        <v>13539.766460219998</v>
      </c>
      <c r="AF968" s="28" t="e">
        <f t="shared" si="748"/>
        <v>#DIV/0!</v>
      </c>
      <c r="AG968" s="2" t="e">
        <f t="shared" si="749"/>
        <v>#DIV/0!</v>
      </c>
      <c r="AH968" s="2" t="e">
        <f t="shared" si="750"/>
        <v>#DIV/0!</v>
      </c>
      <c r="AI968" s="2" t="e">
        <f t="shared" si="771"/>
        <v>#DIV/0!</v>
      </c>
      <c r="AJ968" s="2" t="e">
        <f t="shared" si="738"/>
        <v>#DIV/0!</v>
      </c>
      <c r="AK968" s="2" t="e">
        <f t="shared" si="751"/>
        <v>#DIV/0!</v>
      </c>
      <c r="AL968" s="2" t="e">
        <f t="shared" si="752"/>
        <v>#DIV/0!</v>
      </c>
      <c r="AM968" s="2" t="e">
        <f t="shared" si="772"/>
        <v>#DIV/0!</v>
      </c>
      <c r="AN968" s="2">
        <f t="shared" si="753"/>
        <v>0</v>
      </c>
      <c r="AO968" s="2" t="e">
        <f t="shared" si="754"/>
        <v>#DIV/0!</v>
      </c>
      <c r="AP968" s="2" t="e">
        <f t="shared" si="755"/>
        <v>#DIV/0!</v>
      </c>
      <c r="AQ968" s="2" t="e">
        <f t="shared" si="773"/>
        <v>#DIV/0!</v>
      </c>
      <c r="AR968" s="2" t="e">
        <f t="shared" si="739"/>
        <v>#DIV/0!</v>
      </c>
      <c r="AS968" s="2" t="e">
        <f t="shared" si="756"/>
        <v>#DIV/0!</v>
      </c>
      <c r="AT968" s="2" t="e">
        <f t="shared" si="757"/>
        <v>#DIV/0!</v>
      </c>
      <c r="AU968" s="2" t="e">
        <f t="shared" si="774"/>
        <v>#DIV/0!</v>
      </c>
      <c r="AV968" s="2" t="e">
        <f t="shared" si="758"/>
        <v>#DIV/0!</v>
      </c>
      <c r="AW968" s="2" t="e">
        <f t="shared" si="759"/>
        <v>#DIV/0!</v>
      </c>
      <c r="AX968" s="2" t="e">
        <f t="shared" si="760"/>
        <v>#DIV/0!</v>
      </c>
      <c r="AY968" s="2" t="e">
        <f t="shared" si="775"/>
        <v>#DIV/0!</v>
      </c>
      <c r="AZ968" s="2" t="e">
        <f t="shared" si="740"/>
        <v>#DIV/0!</v>
      </c>
      <c r="BA968" s="2" t="e">
        <f t="shared" si="761"/>
        <v>#DIV/0!</v>
      </c>
      <c r="BB968" s="2" t="e">
        <f t="shared" si="762"/>
        <v>#DIV/0!</v>
      </c>
      <c r="BC968" s="2" t="e">
        <f t="shared" si="776"/>
        <v>#DIV/0!</v>
      </c>
      <c r="BD968" s="2">
        <v>0</v>
      </c>
      <c r="BE968" s="2" t="e">
        <f t="shared" si="763"/>
        <v>#DIV/0!</v>
      </c>
      <c r="BF968" s="2" t="e">
        <f t="shared" si="764"/>
        <v>#DIV/0!</v>
      </c>
      <c r="BG968" s="2" t="e">
        <f t="shared" si="777"/>
        <v>#DIV/0!</v>
      </c>
      <c r="BH968" s="2" t="e">
        <f t="shared" si="741"/>
        <v>#DIV/0!</v>
      </c>
      <c r="BI968" s="2" t="e">
        <f t="shared" si="765"/>
        <v>#DIV/0!</v>
      </c>
      <c r="BJ968" s="2" t="e">
        <f t="shared" si="766"/>
        <v>#DIV/0!</v>
      </c>
      <c r="BK968" s="2" t="e">
        <f t="shared" si="778"/>
        <v>#DIV/0!</v>
      </c>
      <c r="BL968" s="2" t="e">
        <f t="shared" si="767"/>
        <v>#DIV/0!</v>
      </c>
      <c r="BM968" s="2" t="e">
        <f t="shared" si="768"/>
        <v>#DIV/0!</v>
      </c>
      <c r="BN968" s="2" t="e">
        <f t="shared" si="779"/>
        <v>#DIV/0!</v>
      </c>
    </row>
    <row r="969" spans="1:66" x14ac:dyDescent="0.25">
      <c r="A969" s="42">
        <v>966</v>
      </c>
      <c r="E969" s="6">
        <f t="shared" si="769"/>
        <v>0</v>
      </c>
      <c r="F969" s="5" t="str">
        <f t="shared" si="780"/>
        <v>Break Even</v>
      </c>
      <c r="G969" s="4">
        <f t="shared" si="781"/>
        <v>0</v>
      </c>
      <c r="N969" s="5">
        <f t="shared" si="782"/>
        <v>0</v>
      </c>
      <c r="O969" s="4" t="e">
        <f t="shared" si="783"/>
        <v>#DIV/0!</v>
      </c>
      <c r="P969" s="5">
        <f t="shared" si="742"/>
        <v>0</v>
      </c>
      <c r="R969" s="2">
        <f t="shared" si="737"/>
        <v>0</v>
      </c>
      <c r="T969" s="2">
        <f t="shared" si="770"/>
        <v>0</v>
      </c>
      <c r="V969" s="5">
        <f t="shared" si="784"/>
        <v>0</v>
      </c>
      <c r="W969" s="4" t="e">
        <f t="shared" si="785"/>
        <v>#DIV/0!</v>
      </c>
      <c r="X969" s="14">
        <f t="shared" si="743"/>
        <v>0</v>
      </c>
      <c r="Y969" s="5">
        <f t="shared" si="744"/>
        <v>0</v>
      </c>
      <c r="Z969" s="2">
        <f t="shared" si="745"/>
        <v>0</v>
      </c>
      <c r="AA969" s="4">
        <f t="shared" si="746"/>
        <v>0</v>
      </c>
      <c r="AB969" s="13">
        <f t="shared" si="747"/>
        <v>0</v>
      </c>
      <c r="AC969" s="10">
        <f>SUM($E$4:E969)</f>
        <v>-22024.091160220025</v>
      </c>
      <c r="AD969" s="20">
        <f>SUM($AB$4:AB969)</f>
        <v>13539.766460219998</v>
      </c>
      <c r="AF969" s="28" t="e">
        <f t="shared" si="748"/>
        <v>#DIV/0!</v>
      </c>
      <c r="AG969" s="2" t="e">
        <f t="shared" si="749"/>
        <v>#DIV/0!</v>
      </c>
      <c r="AH969" s="2" t="e">
        <f t="shared" si="750"/>
        <v>#DIV/0!</v>
      </c>
      <c r="AI969" s="2" t="e">
        <f t="shared" si="771"/>
        <v>#DIV/0!</v>
      </c>
      <c r="AJ969" s="2" t="e">
        <f t="shared" si="738"/>
        <v>#DIV/0!</v>
      </c>
      <c r="AK969" s="2" t="e">
        <f t="shared" si="751"/>
        <v>#DIV/0!</v>
      </c>
      <c r="AL969" s="2" t="e">
        <f t="shared" si="752"/>
        <v>#DIV/0!</v>
      </c>
      <c r="AM969" s="2" t="e">
        <f t="shared" si="772"/>
        <v>#DIV/0!</v>
      </c>
      <c r="AN969" s="2">
        <f t="shared" si="753"/>
        <v>0</v>
      </c>
      <c r="AO969" s="2" t="e">
        <f t="shared" si="754"/>
        <v>#DIV/0!</v>
      </c>
      <c r="AP969" s="2" t="e">
        <f t="shared" si="755"/>
        <v>#DIV/0!</v>
      </c>
      <c r="AQ969" s="2" t="e">
        <f t="shared" si="773"/>
        <v>#DIV/0!</v>
      </c>
      <c r="AR969" s="2" t="e">
        <f t="shared" si="739"/>
        <v>#DIV/0!</v>
      </c>
      <c r="AS969" s="2" t="e">
        <f t="shared" si="756"/>
        <v>#DIV/0!</v>
      </c>
      <c r="AT969" s="2" t="e">
        <f t="shared" si="757"/>
        <v>#DIV/0!</v>
      </c>
      <c r="AU969" s="2" t="e">
        <f t="shared" si="774"/>
        <v>#DIV/0!</v>
      </c>
      <c r="AV969" s="2" t="e">
        <f t="shared" si="758"/>
        <v>#DIV/0!</v>
      </c>
      <c r="AW969" s="2" t="e">
        <f t="shared" si="759"/>
        <v>#DIV/0!</v>
      </c>
      <c r="AX969" s="2" t="e">
        <f t="shared" si="760"/>
        <v>#DIV/0!</v>
      </c>
      <c r="AY969" s="2" t="e">
        <f t="shared" si="775"/>
        <v>#DIV/0!</v>
      </c>
      <c r="AZ969" s="2" t="e">
        <f t="shared" si="740"/>
        <v>#DIV/0!</v>
      </c>
      <c r="BA969" s="2" t="e">
        <f t="shared" si="761"/>
        <v>#DIV/0!</v>
      </c>
      <c r="BB969" s="2" t="e">
        <f t="shared" si="762"/>
        <v>#DIV/0!</v>
      </c>
      <c r="BC969" s="2" t="e">
        <f t="shared" si="776"/>
        <v>#DIV/0!</v>
      </c>
      <c r="BD969" s="2">
        <v>0</v>
      </c>
      <c r="BE969" s="2" t="e">
        <f t="shared" si="763"/>
        <v>#DIV/0!</v>
      </c>
      <c r="BF969" s="2" t="e">
        <f t="shared" si="764"/>
        <v>#DIV/0!</v>
      </c>
      <c r="BG969" s="2" t="e">
        <f t="shared" si="777"/>
        <v>#DIV/0!</v>
      </c>
      <c r="BH969" s="2" t="e">
        <f t="shared" si="741"/>
        <v>#DIV/0!</v>
      </c>
      <c r="BI969" s="2" t="e">
        <f t="shared" si="765"/>
        <v>#DIV/0!</v>
      </c>
      <c r="BJ969" s="2" t="e">
        <f t="shared" si="766"/>
        <v>#DIV/0!</v>
      </c>
      <c r="BK969" s="2" t="e">
        <f t="shared" si="778"/>
        <v>#DIV/0!</v>
      </c>
      <c r="BL969" s="2" t="e">
        <f t="shared" si="767"/>
        <v>#DIV/0!</v>
      </c>
      <c r="BM969" s="2" t="e">
        <f t="shared" si="768"/>
        <v>#DIV/0!</v>
      </c>
      <c r="BN969" s="2" t="e">
        <f t="shared" si="779"/>
        <v>#DIV/0!</v>
      </c>
    </row>
    <row r="970" spans="1:66" x14ac:dyDescent="0.25">
      <c r="A970" s="42">
        <v>967</v>
      </c>
      <c r="E970" s="6">
        <f t="shared" si="769"/>
        <v>0</v>
      </c>
      <c r="F970" s="5" t="str">
        <f t="shared" si="780"/>
        <v>Break Even</v>
      </c>
      <c r="G970" s="4">
        <f t="shared" si="781"/>
        <v>0</v>
      </c>
      <c r="N970" s="5">
        <f t="shared" si="782"/>
        <v>0</v>
      </c>
      <c r="O970" s="4" t="e">
        <f t="shared" si="783"/>
        <v>#DIV/0!</v>
      </c>
      <c r="P970" s="5">
        <f t="shared" si="742"/>
        <v>0</v>
      </c>
      <c r="R970" s="2">
        <f t="shared" si="737"/>
        <v>0</v>
      </c>
      <c r="T970" s="2">
        <f t="shared" si="770"/>
        <v>0</v>
      </c>
      <c r="V970" s="5">
        <f t="shared" si="784"/>
        <v>0</v>
      </c>
      <c r="W970" s="4" t="e">
        <f t="shared" si="785"/>
        <v>#DIV/0!</v>
      </c>
      <c r="X970" s="14">
        <f t="shared" si="743"/>
        <v>0</v>
      </c>
      <c r="Y970" s="5">
        <f t="shared" si="744"/>
        <v>0</v>
      </c>
      <c r="Z970" s="2">
        <f t="shared" si="745"/>
        <v>0</v>
      </c>
      <c r="AA970" s="4">
        <f t="shared" si="746"/>
        <v>0</v>
      </c>
      <c r="AB970" s="13">
        <f t="shared" si="747"/>
        <v>0</v>
      </c>
      <c r="AC970" s="10">
        <f>SUM($E$4:E970)</f>
        <v>-22024.091160220025</v>
      </c>
      <c r="AD970" s="20">
        <f>SUM($AB$4:AB970)</f>
        <v>13539.766460219998</v>
      </c>
      <c r="AF970" s="28" t="e">
        <f t="shared" si="748"/>
        <v>#DIV/0!</v>
      </c>
      <c r="AG970" s="2" t="e">
        <f t="shared" si="749"/>
        <v>#DIV/0!</v>
      </c>
      <c r="AH970" s="2" t="e">
        <f t="shared" si="750"/>
        <v>#DIV/0!</v>
      </c>
      <c r="AI970" s="2" t="e">
        <f t="shared" si="771"/>
        <v>#DIV/0!</v>
      </c>
      <c r="AJ970" s="2" t="e">
        <f t="shared" si="738"/>
        <v>#DIV/0!</v>
      </c>
      <c r="AK970" s="2" t="e">
        <f t="shared" si="751"/>
        <v>#DIV/0!</v>
      </c>
      <c r="AL970" s="2" t="e">
        <f t="shared" si="752"/>
        <v>#DIV/0!</v>
      </c>
      <c r="AM970" s="2" t="e">
        <f t="shared" si="772"/>
        <v>#DIV/0!</v>
      </c>
      <c r="AN970" s="2">
        <f t="shared" si="753"/>
        <v>0</v>
      </c>
      <c r="AO970" s="2" t="e">
        <f t="shared" si="754"/>
        <v>#DIV/0!</v>
      </c>
      <c r="AP970" s="2" t="e">
        <f t="shared" si="755"/>
        <v>#DIV/0!</v>
      </c>
      <c r="AQ970" s="2" t="e">
        <f t="shared" si="773"/>
        <v>#DIV/0!</v>
      </c>
      <c r="AR970" s="2" t="e">
        <f t="shared" si="739"/>
        <v>#DIV/0!</v>
      </c>
      <c r="AS970" s="2" t="e">
        <f t="shared" si="756"/>
        <v>#DIV/0!</v>
      </c>
      <c r="AT970" s="2" t="e">
        <f t="shared" si="757"/>
        <v>#DIV/0!</v>
      </c>
      <c r="AU970" s="2" t="e">
        <f t="shared" si="774"/>
        <v>#DIV/0!</v>
      </c>
      <c r="AV970" s="2" t="e">
        <f t="shared" si="758"/>
        <v>#DIV/0!</v>
      </c>
      <c r="AW970" s="2" t="e">
        <f t="shared" si="759"/>
        <v>#DIV/0!</v>
      </c>
      <c r="AX970" s="2" t="e">
        <f t="shared" si="760"/>
        <v>#DIV/0!</v>
      </c>
      <c r="AY970" s="2" t="e">
        <f t="shared" si="775"/>
        <v>#DIV/0!</v>
      </c>
      <c r="AZ970" s="2" t="e">
        <f t="shared" si="740"/>
        <v>#DIV/0!</v>
      </c>
      <c r="BA970" s="2" t="e">
        <f t="shared" si="761"/>
        <v>#DIV/0!</v>
      </c>
      <c r="BB970" s="2" t="e">
        <f t="shared" si="762"/>
        <v>#DIV/0!</v>
      </c>
      <c r="BC970" s="2" t="e">
        <f t="shared" si="776"/>
        <v>#DIV/0!</v>
      </c>
      <c r="BD970" s="2">
        <v>0</v>
      </c>
      <c r="BE970" s="2" t="e">
        <f t="shared" si="763"/>
        <v>#DIV/0!</v>
      </c>
      <c r="BF970" s="2" t="e">
        <f t="shared" si="764"/>
        <v>#DIV/0!</v>
      </c>
      <c r="BG970" s="2" t="e">
        <f t="shared" si="777"/>
        <v>#DIV/0!</v>
      </c>
      <c r="BH970" s="2" t="e">
        <f t="shared" si="741"/>
        <v>#DIV/0!</v>
      </c>
      <c r="BI970" s="2" t="e">
        <f t="shared" si="765"/>
        <v>#DIV/0!</v>
      </c>
      <c r="BJ970" s="2" t="e">
        <f t="shared" si="766"/>
        <v>#DIV/0!</v>
      </c>
      <c r="BK970" s="2" t="e">
        <f t="shared" si="778"/>
        <v>#DIV/0!</v>
      </c>
      <c r="BL970" s="2" t="e">
        <f t="shared" si="767"/>
        <v>#DIV/0!</v>
      </c>
      <c r="BM970" s="2" t="e">
        <f t="shared" si="768"/>
        <v>#DIV/0!</v>
      </c>
      <c r="BN970" s="2" t="e">
        <f t="shared" si="779"/>
        <v>#DIV/0!</v>
      </c>
    </row>
    <row r="971" spans="1:66" x14ac:dyDescent="0.25">
      <c r="A971" s="42">
        <v>968</v>
      </c>
      <c r="E971" s="6">
        <f t="shared" si="769"/>
        <v>0</v>
      </c>
      <c r="F971" s="5" t="str">
        <f t="shared" si="780"/>
        <v>Break Even</v>
      </c>
      <c r="G971" s="4">
        <f t="shared" si="781"/>
        <v>0</v>
      </c>
      <c r="N971" s="5">
        <f t="shared" si="782"/>
        <v>0</v>
      </c>
      <c r="O971" s="4" t="e">
        <f t="shared" si="783"/>
        <v>#DIV/0!</v>
      </c>
      <c r="P971" s="5">
        <f t="shared" si="742"/>
        <v>0</v>
      </c>
      <c r="R971" s="2">
        <f t="shared" si="737"/>
        <v>0</v>
      </c>
      <c r="T971" s="2">
        <f t="shared" si="770"/>
        <v>0</v>
      </c>
      <c r="V971" s="5">
        <f t="shared" si="784"/>
        <v>0</v>
      </c>
      <c r="W971" s="4" t="e">
        <f t="shared" si="785"/>
        <v>#DIV/0!</v>
      </c>
      <c r="X971" s="14">
        <f t="shared" si="743"/>
        <v>0</v>
      </c>
      <c r="Y971" s="5">
        <f t="shared" si="744"/>
        <v>0</v>
      </c>
      <c r="Z971" s="2">
        <f t="shared" si="745"/>
        <v>0</v>
      </c>
      <c r="AA971" s="4">
        <f t="shared" si="746"/>
        <v>0</v>
      </c>
      <c r="AB971" s="13">
        <f t="shared" si="747"/>
        <v>0</v>
      </c>
      <c r="AC971" s="10">
        <f>SUM($E$4:E971)</f>
        <v>-22024.091160220025</v>
      </c>
      <c r="AD971" s="20">
        <f>SUM($AB$4:AB971)</f>
        <v>13539.766460219998</v>
      </c>
      <c r="AF971" s="28" t="e">
        <f t="shared" si="748"/>
        <v>#DIV/0!</v>
      </c>
      <c r="AG971" s="2" t="e">
        <f t="shared" si="749"/>
        <v>#DIV/0!</v>
      </c>
      <c r="AH971" s="2" t="e">
        <f t="shared" si="750"/>
        <v>#DIV/0!</v>
      </c>
      <c r="AI971" s="2" t="e">
        <f t="shared" si="771"/>
        <v>#DIV/0!</v>
      </c>
      <c r="AJ971" s="2" t="e">
        <f t="shared" si="738"/>
        <v>#DIV/0!</v>
      </c>
      <c r="AK971" s="2" t="e">
        <f t="shared" si="751"/>
        <v>#DIV/0!</v>
      </c>
      <c r="AL971" s="2" t="e">
        <f t="shared" si="752"/>
        <v>#DIV/0!</v>
      </c>
      <c r="AM971" s="2" t="e">
        <f t="shared" si="772"/>
        <v>#DIV/0!</v>
      </c>
      <c r="AN971" s="2">
        <f t="shared" si="753"/>
        <v>0</v>
      </c>
      <c r="AO971" s="2" t="e">
        <f t="shared" si="754"/>
        <v>#DIV/0!</v>
      </c>
      <c r="AP971" s="2" t="e">
        <f t="shared" si="755"/>
        <v>#DIV/0!</v>
      </c>
      <c r="AQ971" s="2" t="e">
        <f t="shared" si="773"/>
        <v>#DIV/0!</v>
      </c>
      <c r="AR971" s="2" t="e">
        <f t="shared" si="739"/>
        <v>#DIV/0!</v>
      </c>
      <c r="AS971" s="2" t="e">
        <f t="shared" si="756"/>
        <v>#DIV/0!</v>
      </c>
      <c r="AT971" s="2" t="e">
        <f t="shared" si="757"/>
        <v>#DIV/0!</v>
      </c>
      <c r="AU971" s="2" t="e">
        <f t="shared" si="774"/>
        <v>#DIV/0!</v>
      </c>
      <c r="AV971" s="2" t="e">
        <f t="shared" si="758"/>
        <v>#DIV/0!</v>
      </c>
      <c r="AW971" s="2" t="e">
        <f t="shared" si="759"/>
        <v>#DIV/0!</v>
      </c>
      <c r="AX971" s="2" t="e">
        <f t="shared" si="760"/>
        <v>#DIV/0!</v>
      </c>
      <c r="AY971" s="2" t="e">
        <f t="shared" si="775"/>
        <v>#DIV/0!</v>
      </c>
      <c r="AZ971" s="2" t="e">
        <f t="shared" si="740"/>
        <v>#DIV/0!</v>
      </c>
      <c r="BA971" s="2" t="e">
        <f t="shared" si="761"/>
        <v>#DIV/0!</v>
      </c>
      <c r="BB971" s="2" t="e">
        <f t="shared" si="762"/>
        <v>#DIV/0!</v>
      </c>
      <c r="BC971" s="2" t="e">
        <f t="shared" si="776"/>
        <v>#DIV/0!</v>
      </c>
      <c r="BD971" s="2">
        <v>0</v>
      </c>
      <c r="BE971" s="2" t="e">
        <f t="shared" si="763"/>
        <v>#DIV/0!</v>
      </c>
      <c r="BF971" s="2" t="e">
        <f t="shared" si="764"/>
        <v>#DIV/0!</v>
      </c>
      <c r="BG971" s="2" t="e">
        <f t="shared" si="777"/>
        <v>#DIV/0!</v>
      </c>
      <c r="BH971" s="2" t="e">
        <f t="shared" si="741"/>
        <v>#DIV/0!</v>
      </c>
      <c r="BI971" s="2" t="e">
        <f t="shared" si="765"/>
        <v>#DIV/0!</v>
      </c>
      <c r="BJ971" s="2" t="e">
        <f t="shared" si="766"/>
        <v>#DIV/0!</v>
      </c>
      <c r="BK971" s="2" t="e">
        <f t="shared" si="778"/>
        <v>#DIV/0!</v>
      </c>
      <c r="BL971" s="2" t="e">
        <f t="shared" si="767"/>
        <v>#DIV/0!</v>
      </c>
      <c r="BM971" s="2" t="e">
        <f t="shared" si="768"/>
        <v>#DIV/0!</v>
      </c>
      <c r="BN971" s="2" t="e">
        <f t="shared" si="779"/>
        <v>#DIV/0!</v>
      </c>
    </row>
    <row r="972" spans="1:66" x14ac:dyDescent="0.25">
      <c r="A972" s="42">
        <v>969</v>
      </c>
      <c r="E972" s="6">
        <f t="shared" si="769"/>
        <v>0</v>
      </c>
      <c r="F972" s="5" t="str">
        <f t="shared" si="780"/>
        <v>Break Even</v>
      </c>
      <c r="G972" s="4">
        <f t="shared" si="781"/>
        <v>0</v>
      </c>
      <c r="N972" s="5">
        <f t="shared" si="782"/>
        <v>0</v>
      </c>
      <c r="O972" s="4" t="e">
        <f t="shared" si="783"/>
        <v>#DIV/0!</v>
      </c>
      <c r="P972" s="5">
        <f t="shared" si="742"/>
        <v>0</v>
      </c>
      <c r="R972" s="2">
        <f t="shared" si="737"/>
        <v>0</v>
      </c>
      <c r="T972" s="2">
        <f t="shared" si="770"/>
        <v>0</v>
      </c>
      <c r="V972" s="5">
        <f t="shared" si="784"/>
        <v>0</v>
      </c>
      <c r="W972" s="4" t="e">
        <f t="shared" si="785"/>
        <v>#DIV/0!</v>
      </c>
      <c r="X972" s="14">
        <f t="shared" si="743"/>
        <v>0</v>
      </c>
      <c r="Y972" s="5">
        <f t="shared" si="744"/>
        <v>0</v>
      </c>
      <c r="Z972" s="2">
        <f t="shared" si="745"/>
        <v>0</v>
      </c>
      <c r="AA972" s="4">
        <f t="shared" si="746"/>
        <v>0</v>
      </c>
      <c r="AB972" s="13">
        <f t="shared" si="747"/>
        <v>0</v>
      </c>
      <c r="AC972" s="10">
        <f>SUM($E$4:E972)</f>
        <v>-22024.091160220025</v>
      </c>
      <c r="AD972" s="20">
        <f>SUM($AB$4:AB972)</f>
        <v>13539.766460219998</v>
      </c>
      <c r="AF972" s="28" t="e">
        <f t="shared" si="748"/>
        <v>#DIV/0!</v>
      </c>
      <c r="AG972" s="2" t="e">
        <f t="shared" si="749"/>
        <v>#DIV/0!</v>
      </c>
      <c r="AH972" s="2" t="e">
        <f t="shared" si="750"/>
        <v>#DIV/0!</v>
      </c>
      <c r="AI972" s="2" t="e">
        <f t="shared" si="771"/>
        <v>#DIV/0!</v>
      </c>
      <c r="AJ972" s="2" t="e">
        <f t="shared" si="738"/>
        <v>#DIV/0!</v>
      </c>
      <c r="AK972" s="2" t="e">
        <f t="shared" si="751"/>
        <v>#DIV/0!</v>
      </c>
      <c r="AL972" s="2" t="e">
        <f t="shared" si="752"/>
        <v>#DIV/0!</v>
      </c>
      <c r="AM972" s="2" t="e">
        <f t="shared" si="772"/>
        <v>#DIV/0!</v>
      </c>
      <c r="AN972" s="2">
        <f t="shared" si="753"/>
        <v>0</v>
      </c>
      <c r="AO972" s="2" t="e">
        <f t="shared" si="754"/>
        <v>#DIV/0!</v>
      </c>
      <c r="AP972" s="2" t="e">
        <f t="shared" si="755"/>
        <v>#DIV/0!</v>
      </c>
      <c r="AQ972" s="2" t="e">
        <f t="shared" si="773"/>
        <v>#DIV/0!</v>
      </c>
      <c r="AR972" s="2" t="e">
        <f t="shared" si="739"/>
        <v>#DIV/0!</v>
      </c>
      <c r="AS972" s="2" t="e">
        <f t="shared" si="756"/>
        <v>#DIV/0!</v>
      </c>
      <c r="AT972" s="2" t="e">
        <f t="shared" si="757"/>
        <v>#DIV/0!</v>
      </c>
      <c r="AU972" s="2" t="e">
        <f t="shared" si="774"/>
        <v>#DIV/0!</v>
      </c>
      <c r="AV972" s="2" t="e">
        <f t="shared" si="758"/>
        <v>#DIV/0!</v>
      </c>
      <c r="AW972" s="2" t="e">
        <f t="shared" si="759"/>
        <v>#DIV/0!</v>
      </c>
      <c r="AX972" s="2" t="e">
        <f t="shared" si="760"/>
        <v>#DIV/0!</v>
      </c>
      <c r="AY972" s="2" t="e">
        <f t="shared" si="775"/>
        <v>#DIV/0!</v>
      </c>
      <c r="AZ972" s="2" t="e">
        <f t="shared" si="740"/>
        <v>#DIV/0!</v>
      </c>
      <c r="BA972" s="2" t="e">
        <f t="shared" si="761"/>
        <v>#DIV/0!</v>
      </c>
      <c r="BB972" s="2" t="e">
        <f t="shared" si="762"/>
        <v>#DIV/0!</v>
      </c>
      <c r="BC972" s="2" t="e">
        <f t="shared" si="776"/>
        <v>#DIV/0!</v>
      </c>
      <c r="BD972" s="2">
        <v>0</v>
      </c>
      <c r="BE972" s="2" t="e">
        <f t="shared" si="763"/>
        <v>#DIV/0!</v>
      </c>
      <c r="BF972" s="2" t="e">
        <f t="shared" si="764"/>
        <v>#DIV/0!</v>
      </c>
      <c r="BG972" s="2" t="e">
        <f t="shared" si="777"/>
        <v>#DIV/0!</v>
      </c>
      <c r="BH972" s="2" t="e">
        <f t="shared" si="741"/>
        <v>#DIV/0!</v>
      </c>
      <c r="BI972" s="2" t="e">
        <f t="shared" si="765"/>
        <v>#DIV/0!</v>
      </c>
      <c r="BJ972" s="2" t="e">
        <f t="shared" si="766"/>
        <v>#DIV/0!</v>
      </c>
      <c r="BK972" s="2" t="e">
        <f t="shared" si="778"/>
        <v>#DIV/0!</v>
      </c>
      <c r="BL972" s="2" t="e">
        <f t="shared" si="767"/>
        <v>#DIV/0!</v>
      </c>
      <c r="BM972" s="2" t="e">
        <f t="shared" si="768"/>
        <v>#DIV/0!</v>
      </c>
      <c r="BN972" s="2" t="e">
        <f t="shared" si="779"/>
        <v>#DIV/0!</v>
      </c>
    </row>
    <row r="973" spans="1:66" x14ac:dyDescent="0.25">
      <c r="A973" s="42">
        <v>970</v>
      </c>
      <c r="E973" s="6">
        <f t="shared" si="769"/>
        <v>0</v>
      </c>
      <c r="F973" s="5" t="str">
        <f t="shared" si="780"/>
        <v>Break Even</v>
      </c>
      <c r="G973" s="4">
        <f t="shared" si="781"/>
        <v>0</v>
      </c>
      <c r="N973" s="5">
        <f t="shared" si="782"/>
        <v>0</v>
      </c>
      <c r="O973" s="4" t="e">
        <f t="shared" si="783"/>
        <v>#DIV/0!</v>
      </c>
      <c r="P973" s="5">
        <f t="shared" si="742"/>
        <v>0</v>
      </c>
      <c r="R973" s="2">
        <f t="shared" si="737"/>
        <v>0</v>
      </c>
      <c r="T973" s="2">
        <f t="shared" si="770"/>
        <v>0</v>
      </c>
      <c r="V973" s="5">
        <f t="shared" si="784"/>
        <v>0</v>
      </c>
      <c r="W973" s="4" t="e">
        <f t="shared" si="785"/>
        <v>#DIV/0!</v>
      </c>
      <c r="X973" s="14">
        <f t="shared" si="743"/>
        <v>0</v>
      </c>
      <c r="Y973" s="5">
        <f t="shared" si="744"/>
        <v>0</v>
      </c>
      <c r="Z973" s="2">
        <f t="shared" si="745"/>
        <v>0</v>
      </c>
      <c r="AA973" s="4">
        <f t="shared" si="746"/>
        <v>0</v>
      </c>
      <c r="AB973" s="13">
        <f t="shared" si="747"/>
        <v>0</v>
      </c>
      <c r="AC973" s="10">
        <f>SUM($E$4:E973)</f>
        <v>-22024.091160220025</v>
      </c>
      <c r="AD973" s="20">
        <f>SUM($AB$4:AB973)</f>
        <v>13539.766460219998</v>
      </c>
      <c r="AF973" s="28" t="e">
        <f t="shared" si="748"/>
        <v>#DIV/0!</v>
      </c>
      <c r="AG973" s="2" t="e">
        <f t="shared" si="749"/>
        <v>#DIV/0!</v>
      </c>
      <c r="AH973" s="2" t="e">
        <f t="shared" si="750"/>
        <v>#DIV/0!</v>
      </c>
      <c r="AI973" s="2" t="e">
        <f t="shared" si="771"/>
        <v>#DIV/0!</v>
      </c>
      <c r="AJ973" s="2" t="e">
        <f t="shared" si="738"/>
        <v>#DIV/0!</v>
      </c>
      <c r="AK973" s="2" t="e">
        <f t="shared" si="751"/>
        <v>#DIV/0!</v>
      </c>
      <c r="AL973" s="2" t="e">
        <f t="shared" si="752"/>
        <v>#DIV/0!</v>
      </c>
      <c r="AM973" s="2" t="e">
        <f t="shared" si="772"/>
        <v>#DIV/0!</v>
      </c>
      <c r="AN973" s="2">
        <f t="shared" si="753"/>
        <v>0</v>
      </c>
      <c r="AO973" s="2" t="e">
        <f t="shared" si="754"/>
        <v>#DIV/0!</v>
      </c>
      <c r="AP973" s="2" t="e">
        <f t="shared" si="755"/>
        <v>#DIV/0!</v>
      </c>
      <c r="AQ973" s="2" t="e">
        <f t="shared" si="773"/>
        <v>#DIV/0!</v>
      </c>
      <c r="AR973" s="2" t="e">
        <f t="shared" si="739"/>
        <v>#DIV/0!</v>
      </c>
      <c r="AS973" s="2" t="e">
        <f t="shared" si="756"/>
        <v>#DIV/0!</v>
      </c>
      <c r="AT973" s="2" t="e">
        <f t="shared" si="757"/>
        <v>#DIV/0!</v>
      </c>
      <c r="AU973" s="2" t="e">
        <f t="shared" si="774"/>
        <v>#DIV/0!</v>
      </c>
      <c r="AV973" s="2" t="e">
        <f t="shared" si="758"/>
        <v>#DIV/0!</v>
      </c>
      <c r="AW973" s="2" t="e">
        <f t="shared" si="759"/>
        <v>#DIV/0!</v>
      </c>
      <c r="AX973" s="2" t="e">
        <f t="shared" si="760"/>
        <v>#DIV/0!</v>
      </c>
      <c r="AY973" s="2" t="e">
        <f t="shared" si="775"/>
        <v>#DIV/0!</v>
      </c>
      <c r="AZ973" s="2" t="e">
        <f t="shared" si="740"/>
        <v>#DIV/0!</v>
      </c>
      <c r="BA973" s="2" t="e">
        <f t="shared" si="761"/>
        <v>#DIV/0!</v>
      </c>
      <c r="BB973" s="2" t="e">
        <f t="shared" si="762"/>
        <v>#DIV/0!</v>
      </c>
      <c r="BC973" s="2" t="e">
        <f t="shared" si="776"/>
        <v>#DIV/0!</v>
      </c>
      <c r="BD973" s="2">
        <v>0</v>
      </c>
      <c r="BE973" s="2" t="e">
        <f t="shared" si="763"/>
        <v>#DIV/0!</v>
      </c>
      <c r="BF973" s="2" t="e">
        <f t="shared" si="764"/>
        <v>#DIV/0!</v>
      </c>
      <c r="BG973" s="2" t="e">
        <f t="shared" si="777"/>
        <v>#DIV/0!</v>
      </c>
      <c r="BH973" s="2" t="e">
        <f t="shared" si="741"/>
        <v>#DIV/0!</v>
      </c>
      <c r="BI973" s="2" t="e">
        <f t="shared" si="765"/>
        <v>#DIV/0!</v>
      </c>
      <c r="BJ973" s="2" t="e">
        <f t="shared" si="766"/>
        <v>#DIV/0!</v>
      </c>
      <c r="BK973" s="2" t="e">
        <f t="shared" si="778"/>
        <v>#DIV/0!</v>
      </c>
      <c r="BL973" s="2" t="e">
        <f t="shared" si="767"/>
        <v>#DIV/0!</v>
      </c>
      <c r="BM973" s="2" t="e">
        <f t="shared" si="768"/>
        <v>#DIV/0!</v>
      </c>
      <c r="BN973" s="2" t="e">
        <f t="shared" si="779"/>
        <v>#DIV/0!</v>
      </c>
    </row>
    <row r="974" spans="1:66" x14ac:dyDescent="0.25">
      <c r="A974" s="42">
        <v>971</v>
      </c>
      <c r="E974" s="6">
        <f t="shared" si="769"/>
        <v>0</v>
      </c>
      <c r="F974" s="5" t="str">
        <f t="shared" si="780"/>
        <v>Break Even</v>
      </c>
      <c r="G974" s="4">
        <f t="shared" si="781"/>
        <v>0</v>
      </c>
      <c r="N974" s="5">
        <f t="shared" si="782"/>
        <v>0</v>
      </c>
      <c r="O974" s="4" t="e">
        <f t="shared" si="783"/>
        <v>#DIV/0!</v>
      </c>
      <c r="P974" s="5">
        <f t="shared" si="742"/>
        <v>0</v>
      </c>
      <c r="R974" s="2">
        <f t="shared" si="737"/>
        <v>0</v>
      </c>
      <c r="T974" s="2">
        <f t="shared" si="770"/>
        <v>0</v>
      </c>
      <c r="V974" s="5">
        <f t="shared" si="784"/>
        <v>0</v>
      </c>
      <c r="W974" s="4" t="e">
        <f t="shared" si="785"/>
        <v>#DIV/0!</v>
      </c>
      <c r="X974" s="14">
        <f t="shared" si="743"/>
        <v>0</v>
      </c>
      <c r="Y974" s="5">
        <f t="shared" si="744"/>
        <v>0</v>
      </c>
      <c r="Z974" s="2">
        <f t="shared" si="745"/>
        <v>0</v>
      </c>
      <c r="AA974" s="4">
        <f t="shared" si="746"/>
        <v>0</v>
      </c>
      <c r="AB974" s="13">
        <f t="shared" si="747"/>
        <v>0</v>
      </c>
      <c r="AC974" s="10">
        <f>SUM($E$4:E974)</f>
        <v>-22024.091160220025</v>
      </c>
      <c r="AD974" s="20">
        <f>SUM($AB$4:AB974)</f>
        <v>13539.766460219998</v>
      </c>
      <c r="AF974" s="28" t="e">
        <f t="shared" si="748"/>
        <v>#DIV/0!</v>
      </c>
      <c r="AG974" s="2" t="e">
        <f t="shared" si="749"/>
        <v>#DIV/0!</v>
      </c>
      <c r="AH974" s="2" t="e">
        <f t="shared" si="750"/>
        <v>#DIV/0!</v>
      </c>
      <c r="AI974" s="2" t="e">
        <f t="shared" si="771"/>
        <v>#DIV/0!</v>
      </c>
      <c r="AJ974" s="2" t="e">
        <f t="shared" si="738"/>
        <v>#DIV/0!</v>
      </c>
      <c r="AK974" s="2" t="e">
        <f t="shared" si="751"/>
        <v>#DIV/0!</v>
      </c>
      <c r="AL974" s="2" t="e">
        <f t="shared" si="752"/>
        <v>#DIV/0!</v>
      </c>
      <c r="AM974" s="2" t="e">
        <f t="shared" si="772"/>
        <v>#DIV/0!</v>
      </c>
      <c r="AN974" s="2">
        <f t="shared" si="753"/>
        <v>0</v>
      </c>
      <c r="AO974" s="2" t="e">
        <f t="shared" si="754"/>
        <v>#DIV/0!</v>
      </c>
      <c r="AP974" s="2" t="e">
        <f t="shared" si="755"/>
        <v>#DIV/0!</v>
      </c>
      <c r="AQ974" s="2" t="e">
        <f t="shared" si="773"/>
        <v>#DIV/0!</v>
      </c>
      <c r="AR974" s="2" t="e">
        <f t="shared" si="739"/>
        <v>#DIV/0!</v>
      </c>
      <c r="AS974" s="2" t="e">
        <f t="shared" si="756"/>
        <v>#DIV/0!</v>
      </c>
      <c r="AT974" s="2" t="e">
        <f t="shared" si="757"/>
        <v>#DIV/0!</v>
      </c>
      <c r="AU974" s="2" t="e">
        <f t="shared" si="774"/>
        <v>#DIV/0!</v>
      </c>
      <c r="AV974" s="2" t="e">
        <f t="shared" si="758"/>
        <v>#DIV/0!</v>
      </c>
      <c r="AW974" s="2" t="e">
        <f t="shared" si="759"/>
        <v>#DIV/0!</v>
      </c>
      <c r="AX974" s="2" t="e">
        <f t="shared" si="760"/>
        <v>#DIV/0!</v>
      </c>
      <c r="AY974" s="2" t="e">
        <f t="shared" si="775"/>
        <v>#DIV/0!</v>
      </c>
      <c r="AZ974" s="2" t="e">
        <f t="shared" si="740"/>
        <v>#DIV/0!</v>
      </c>
      <c r="BA974" s="2" t="e">
        <f t="shared" si="761"/>
        <v>#DIV/0!</v>
      </c>
      <c r="BB974" s="2" t="e">
        <f t="shared" si="762"/>
        <v>#DIV/0!</v>
      </c>
      <c r="BC974" s="2" t="e">
        <f t="shared" si="776"/>
        <v>#DIV/0!</v>
      </c>
      <c r="BD974" s="2">
        <v>0</v>
      </c>
      <c r="BE974" s="2" t="e">
        <f t="shared" si="763"/>
        <v>#DIV/0!</v>
      </c>
      <c r="BF974" s="2" t="e">
        <f t="shared" si="764"/>
        <v>#DIV/0!</v>
      </c>
      <c r="BG974" s="2" t="e">
        <f t="shared" si="777"/>
        <v>#DIV/0!</v>
      </c>
      <c r="BH974" s="2" t="e">
        <f t="shared" si="741"/>
        <v>#DIV/0!</v>
      </c>
      <c r="BI974" s="2" t="e">
        <f t="shared" si="765"/>
        <v>#DIV/0!</v>
      </c>
      <c r="BJ974" s="2" t="e">
        <f t="shared" si="766"/>
        <v>#DIV/0!</v>
      </c>
      <c r="BK974" s="2" t="e">
        <f t="shared" si="778"/>
        <v>#DIV/0!</v>
      </c>
      <c r="BL974" s="2" t="e">
        <f t="shared" si="767"/>
        <v>#DIV/0!</v>
      </c>
      <c r="BM974" s="2" t="e">
        <f t="shared" si="768"/>
        <v>#DIV/0!</v>
      </c>
      <c r="BN974" s="2" t="e">
        <f t="shared" si="779"/>
        <v>#DIV/0!</v>
      </c>
    </row>
    <row r="975" spans="1:66" x14ac:dyDescent="0.25">
      <c r="A975" s="42">
        <v>972</v>
      </c>
      <c r="E975" s="6">
        <f t="shared" si="769"/>
        <v>0</v>
      </c>
      <c r="F975" s="5" t="str">
        <f t="shared" si="780"/>
        <v>Break Even</v>
      </c>
      <c r="G975" s="4">
        <f t="shared" si="781"/>
        <v>0</v>
      </c>
      <c r="N975" s="5">
        <f t="shared" si="782"/>
        <v>0</v>
      </c>
      <c r="O975" s="4" t="e">
        <f t="shared" si="783"/>
        <v>#DIV/0!</v>
      </c>
      <c r="P975" s="5">
        <f t="shared" si="742"/>
        <v>0</v>
      </c>
      <c r="R975" s="2">
        <f t="shared" si="737"/>
        <v>0</v>
      </c>
      <c r="T975" s="2">
        <f t="shared" si="770"/>
        <v>0</v>
      </c>
      <c r="V975" s="5">
        <f t="shared" si="784"/>
        <v>0</v>
      </c>
      <c r="W975" s="4" t="e">
        <f t="shared" si="785"/>
        <v>#DIV/0!</v>
      </c>
      <c r="X975" s="14">
        <f t="shared" si="743"/>
        <v>0</v>
      </c>
      <c r="Y975" s="5">
        <f t="shared" si="744"/>
        <v>0</v>
      </c>
      <c r="Z975" s="2">
        <f t="shared" si="745"/>
        <v>0</v>
      </c>
      <c r="AA975" s="4">
        <f t="shared" si="746"/>
        <v>0</v>
      </c>
      <c r="AB975" s="13">
        <f t="shared" si="747"/>
        <v>0</v>
      </c>
      <c r="AC975" s="10">
        <f>SUM($E$4:E975)</f>
        <v>-22024.091160220025</v>
      </c>
      <c r="AD975" s="20">
        <f>SUM($AB$4:AB975)</f>
        <v>13539.766460219998</v>
      </c>
      <c r="AF975" s="28" t="e">
        <f t="shared" si="748"/>
        <v>#DIV/0!</v>
      </c>
      <c r="AG975" s="2" t="e">
        <f t="shared" si="749"/>
        <v>#DIV/0!</v>
      </c>
      <c r="AH975" s="2" t="e">
        <f t="shared" si="750"/>
        <v>#DIV/0!</v>
      </c>
      <c r="AI975" s="2" t="e">
        <f t="shared" si="771"/>
        <v>#DIV/0!</v>
      </c>
      <c r="AJ975" s="2" t="e">
        <f t="shared" si="738"/>
        <v>#DIV/0!</v>
      </c>
      <c r="AK975" s="2" t="e">
        <f t="shared" si="751"/>
        <v>#DIV/0!</v>
      </c>
      <c r="AL975" s="2" t="e">
        <f t="shared" si="752"/>
        <v>#DIV/0!</v>
      </c>
      <c r="AM975" s="2" t="e">
        <f t="shared" si="772"/>
        <v>#DIV/0!</v>
      </c>
      <c r="AN975" s="2">
        <f t="shared" si="753"/>
        <v>0</v>
      </c>
      <c r="AO975" s="2" t="e">
        <f t="shared" si="754"/>
        <v>#DIV/0!</v>
      </c>
      <c r="AP975" s="2" t="e">
        <f t="shared" si="755"/>
        <v>#DIV/0!</v>
      </c>
      <c r="AQ975" s="2" t="e">
        <f t="shared" si="773"/>
        <v>#DIV/0!</v>
      </c>
      <c r="AR975" s="2" t="e">
        <f t="shared" si="739"/>
        <v>#DIV/0!</v>
      </c>
      <c r="AS975" s="2" t="e">
        <f t="shared" si="756"/>
        <v>#DIV/0!</v>
      </c>
      <c r="AT975" s="2" t="e">
        <f t="shared" si="757"/>
        <v>#DIV/0!</v>
      </c>
      <c r="AU975" s="2" t="e">
        <f t="shared" si="774"/>
        <v>#DIV/0!</v>
      </c>
      <c r="AV975" s="2" t="e">
        <f t="shared" si="758"/>
        <v>#DIV/0!</v>
      </c>
      <c r="AW975" s="2" t="e">
        <f t="shared" si="759"/>
        <v>#DIV/0!</v>
      </c>
      <c r="AX975" s="2" t="e">
        <f t="shared" si="760"/>
        <v>#DIV/0!</v>
      </c>
      <c r="AY975" s="2" t="e">
        <f t="shared" si="775"/>
        <v>#DIV/0!</v>
      </c>
      <c r="AZ975" s="2" t="e">
        <f t="shared" si="740"/>
        <v>#DIV/0!</v>
      </c>
      <c r="BA975" s="2" t="e">
        <f t="shared" si="761"/>
        <v>#DIV/0!</v>
      </c>
      <c r="BB975" s="2" t="e">
        <f t="shared" si="762"/>
        <v>#DIV/0!</v>
      </c>
      <c r="BC975" s="2" t="e">
        <f t="shared" si="776"/>
        <v>#DIV/0!</v>
      </c>
      <c r="BD975" s="2">
        <v>0</v>
      </c>
      <c r="BE975" s="2" t="e">
        <f t="shared" si="763"/>
        <v>#DIV/0!</v>
      </c>
      <c r="BF975" s="2" t="e">
        <f t="shared" si="764"/>
        <v>#DIV/0!</v>
      </c>
      <c r="BG975" s="2" t="e">
        <f t="shared" si="777"/>
        <v>#DIV/0!</v>
      </c>
      <c r="BH975" s="2" t="e">
        <f t="shared" si="741"/>
        <v>#DIV/0!</v>
      </c>
      <c r="BI975" s="2" t="e">
        <f t="shared" si="765"/>
        <v>#DIV/0!</v>
      </c>
      <c r="BJ975" s="2" t="e">
        <f t="shared" si="766"/>
        <v>#DIV/0!</v>
      </c>
      <c r="BK975" s="2" t="e">
        <f t="shared" si="778"/>
        <v>#DIV/0!</v>
      </c>
      <c r="BL975" s="2" t="e">
        <f t="shared" si="767"/>
        <v>#DIV/0!</v>
      </c>
      <c r="BM975" s="2" t="e">
        <f t="shared" si="768"/>
        <v>#DIV/0!</v>
      </c>
      <c r="BN975" s="2" t="e">
        <f t="shared" si="779"/>
        <v>#DIV/0!</v>
      </c>
    </row>
    <row r="976" spans="1:66" x14ac:dyDescent="0.25">
      <c r="A976" s="42">
        <v>973</v>
      </c>
      <c r="E976" s="6">
        <f t="shared" si="769"/>
        <v>0</v>
      </c>
      <c r="F976" s="5" t="str">
        <f t="shared" si="780"/>
        <v>Break Even</v>
      </c>
      <c r="G976" s="4">
        <f t="shared" si="781"/>
        <v>0</v>
      </c>
      <c r="N976" s="5">
        <f t="shared" si="782"/>
        <v>0</v>
      </c>
      <c r="O976" s="4" t="e">
        <f t="shared" si="783"/>
        <v>#DIV/0!</v>
      </c>
      <c r="P976" s="5">
        <f t="shared" si="742"/>
        <v>0</v>
      </c>
      <c r="R976" s="2">
        <f t="shared" si="737"/>
        <v>0</v>
      </c>
      <c r="T976" s="2">
        <f t="shared" si="770"/>
        <v>0</v>
      </c>
      <c r="V976" s="5">
        <f t="shared" si="784"/>
        <v>0</v>
      </c>
      <c r="W976" s="4" t="e">
        <f t="shared" si="785"/>
        <v>#DIV/0!</v>
      </c>
      <c r="X976" s="14">
        <f t="shared" si="743"/>
        <v>0</v>
      </c>
      <c r="Y976" s="5">
        <f t="shared" si="744"/>
        <v>0</v>
      </c>
      <c r="Z976" s="2">
        <f t="shared" si="745"/>
        <v>0</v>
      </c>
      <c r="AA976" s="4">
        <f t="shared" si="746"/>
        <v>0</v>
      </c>
      <c r="AB976" s="13">
        <f t="shared" si="747"/>
        <v>0</v>
      </c>
      <c r="AC976" s="10">
        <f>SUM($E$4:E976)</f>
        <v>-22024.091160220025</v>
      </c>
      <c r="AD976" s="20">
        <f>SUM($AB$4:AB976)</f>
        <v>13539.766460219998</v>
      </c>
      <c r="AF976" s="28" t="e">
        <f t="shared" si="748"/>
        <v>#DIV/0!</v>
      </c>
      <c r="AG976" s="2" t="e">
        <f t="shared" si="749"/>
        <v>#DIV/0!</v>
      </c>
      <c r="AH976" s="2" t="e">
        <f t="shared" si="750"/>
        <v>#DIV/0!</v>
      </c>
      <c r="AI976" s="2" t="e">
        <f t="shared" si="771"/>
        <v>#DIV/0!</v>
      </c>
      <c r="AJ976" s="2" t="e">
        <f t="shared" si="738"/>
        <v>#DIV/0!</v>
      </c>
      <c r="AK976" s="2" t="e">
        <f t="shared" si="751"/>
        <v>#DIV/0!</v>
      </c>
      <c r="AL976" s="2" t="e">
        <f t="shared" si="752"/>
        <v>#DIV/0!</v>
      </c>
      <c r="AM976" s="2" t="e">
        <f t="shared" si="772"/>
        <v>#DIV/0!</v>
      </c>
      <c r="AN976" s="2">
        <f t="shared" si="753"/>
        <v>0</v>
      </c>
      <c r="AO976" s="2" t="e">
        <f t="shared" si="754"/>
        <v>#DIV/0!</v>
      </c>
      <c r="AP976" s="2" t="e">
        <f t="shared" si="755"/>
        <v>#DIV/0!</v>
      </c>
      <c r="AQ976" s="2" t="e">
        <f t="shared" si="773"/>
        <v>#DIV/0!</v>
      </c>
      <c r="AR976" s="2" t="e">
        <f t="shared" si="739"/>
        <v>#DIV/0!</v>
      </c>
      <c r="AS976" s="2" t="e">
        <f t="shared" si="756"/>
        <v>#DIV/0!</v>
      </c>
      <c r="AT976" s="2" t="e">
        <f t="shared" si="757"/>
        <v>#DIV/0!</v>
      </c>
      <c r="AU976" s="2" t="e">
        <f t="shared" si="774"/>
        <v>#DIV/0!</v>
      </c>
      <c r="AV976" s="2" t="e">
        <f t="shared" si="758"/>
        <v>#DIV/0!</v>
      </c>
      <c r="AW976" s="2" t="e">
        <f t="shared" si="759"/>
        <v>#DIV/0!</v>
      </c>
      <c r="AX976" s="2" t="e">
        <f t="shared" si="760"/>
        <v>#DIV/0!</v>
      </c>
      <c r="AY976" s="2" t="e">
        <f t="shared" si="775"/>
        <v>#DIV/0!</v>
      </c>
      <c r="AZ976" s="2" t="e">
        <f t="shared" si="740"/>
        <v>#DIV/0!</v>
      </c>
      <c r="BA976" s="2" t="e">
        <f t="shared" si="761"/>
        <v>#DIV/0!</v>
      </c>
      <c r="BB976" s="2" t="e">
        <f t="shared" si="762"/>
        <v>#DIV/0!</v>
      </c>
      <c r="BC976" s="2" t="e">
        <f t="shared" si="776"/>
        <v>#DIV/0!</v>
      </c>
      <c r="BD976" s="2">
        <v>0</v>
      </c>
      <c r="BE976" s="2" t="e">
        <f t="shared" si="763"/>
        <v>#DIV/0!</v>
      </c>
      <c r="BF976" s="2" t="e">
        <f t="shared" si="764"/>
        <v>#DIV/0!</v>
      </c>
      <c r="BG976" s="2" t="e">
        <f t="shared" si="777"/>
        <v>#DIV/0!</v>
      </c>
      <c r="BH976" s="2" t="e">
        <f t="shared" si="741"/>
        <v>#DIV/0!</v>
      </c>
      <c r="BI976" s="2" t="e">
        <f t="shared" si="765"/>
        <v>#DIV/0!</v>
      </c>
      <c r="BJ976" s="2" t="e">
        <f t="shared" si="766"/>
        <v>#DIV/0!</v>
      </c>
      <c r="BK976" s="2" t="e">
        <f t="shared" si="778"/>
        <v>#DIV/0!</v>
      </c>
      <c r="BL976" s="2" t="e">
        <f t="shared" si="767"/>
        <v>#DIV/0!</v>
      </c>
      <c r="BM976" s="2" t="e">
        <f t="shared" si="768"/>
        <v>#DIV/0!</v>
      </c>
      <c r="BN976" s="2" t="e">
        <f t="shared" si="779"/>
        <v>#DIV/0!</v>
      </c>
    </row>
    <row r="977" spans="1:66" x14ac:dyDescent="0.25">
      <c r="A977" s="42">
        <v>974</v>
      </c>
      <c r="E977" s="6">
        <f t="shared" si="769"/>
        <v>0</v>
      </c>
      <c r="F977" s="5" t="str">
        <f t="shared" si="780"/>
        <v>Break Even</v>
      </c>
      <c r="G977" s="4">
        <f t="shared" si="781"/>
        <v>0</v>
      </c>
      <c r="N977" s="5">
        <f t="shared" si="782"/>
        <v>0</v>
      </c>
      <c r="O977" s="4" t="e">
        <f t="shared" si="783"/>
        <v>#DIV/0!</v>
      </c>
      <c r="P977" s="5">
        <f t="shared" si="742"/>
        <v>0</v>
      </c>
      <c r="R977" s="2">
        <f t="shared" si="737"/>
        <v>0</v>
      </c>
      <c r="T977" s="2">
        <f t="shared" si="770"/>
        <v>0</v>
      </c>
      <c r="V977" s="5">
        <f t="shared" si="784"/>
        <v>0</v>
      </c>
      <c r="W977" s="4" t="e">
        <f t="shared" si="785"/>
        <v>#DIV/0!</v>
      </c>
      <c r="X977" s="14">
        <f t="shared" si="743"/>
        <v>0</v>
      </c>
      <c r="Y977" s="5">
        <f t="shared" si="744"/>
        <v>0</v>
      </c>
      <c r="Z977" s="2">
        <f t="shared" si="745"/>
        <v>0</v>
      </c>
      <c r="AA977" s="4">
        <f t="shared" si="746"/>
        <v>0</v>
      </c>
      <c r="AB977" s="13">
        <f t="shared" si="747"/>
        <v>0</v>
      </c>
      <c r="AC977" s="10">
        <f>SUM($E$4:E977)</f>
        <v>-22024.091160220025</v>
      </c>
      <c r="AD977" s="20">
        <f>SUM($AB$4:AB977)</f>
        <v>13539.766460219998</v>
      </c>
      <c r="AF977" s="28" t="e">
        <f t="shared" si="748"/>
        <v>#DIV/0!</v>
      </c>
      <c r="AG977" s="2" t="e">
        <f t="shared" si="749"/>
        <v>#DIV/0!</v>
      </c>
      <c r="AH977" s="2" t="e">
        <f t="shared" si="750"/>
        <v>#DIV/0!</v>
      </c>
      <c r="AI977" s="2" t="e">
        <f t="shared" si="771"/>
        <v>#DIV/0!</v>
      </c>
      <c r="AJ977" s="2" t="e">
        <f t="shared" si="738"/>
        <v>#DIV/0!</v>
      </c>
      <c r="AK977" s="2" t="e">
        <f t="shared" si="751"/>
        <v>#DIV/0!</v>
      </c>
      <c r="AL977" s="2" t="e">
        <f t="shared" si="752"/>
        <v>#DIV/0!</v>
      </c>
      <c r="AM977" s="2" t="e">
        <f t="shared" si="772"/>
        <v>#DIV/0!</v>
      </c>
      <c r="AN977" s="2">
        <f t="shared" si="753"/>
        <v>0</v>
      </c>
      <c r="AO977" s="2" t="e">
        <f t="shared" si="754"/>
        <v>#DIV/0!</v>
      </c>
      <c r="AP977" s="2" t="e">
        <f t="shared" si="755"/>
        <v>#DIV/0!</v>
      </c>
      <c r="AQ977" s="2" t="e">
        <f t="shared" si="773"/>
        <v>#DIV/0!</v>
      </c>
      <c r="AR977" s="2" t="e">
        <f t="shared" si="739"/>
        <v>#DIV/0!</v>
      </c>
      <c r="AS977" s="2" t="e">
        <f t="shared" si="756"/>
        <v>#DIV/0!</v>
      </c>
      <c r="AT977" s="2" t="e">
        <f t="shared" si="757"/>
        <v>#DIV/0!</v>
      </c>
      <c r="AU977" s="2" t="e">
        <f t="shared" si="774"/>
        <v>#DIV/0!</v>
      </c>
      <c r="AV977" s="2" t="e">
        <f t="shared" si="758"/>
        <v>#DIV/0!</v>
      </c>
      <c r="AW977" s="2" t="e">
        <f t="shared" si="759"/>
        <v>#DIV/0!</v>
      </c>
      <c r="AX977" s="2" t="e">
        <f t="shared" si="760"/>
        <v>#DIV/0!</v>
      </c>
      <c r="AY977" s="2" t="e">
        <f t="shared" si="775"/>
        <v>#DIV/0!</v>
      </c>
      <c r="AZ977" s="2" t="e">
        <f t="shared" si="740"/>
        <v>#DIV/0!</v>
      </c>
      <c r="BA977" s="2" t="e">
        <f t="shared" si="761"/>
        <v>#DIV/0!</v>
      </c>
      <c r="BB977" s="2" t="e">
        <f t="shared" si="762"/>
        <v>#DIV/0!</v>
      </c>
      <c r="BC977" s="2" t="e">
        <f t="shared" si="776"/>
        <v>#DIV/0!</v>
      </c>
      <c r="BD977" s="2">
        <v>0</v>
      </c>
      <c r="BE977" s="2" t="e">
        <f t="shared" si="763"/>
        <v>#DIV/0!</v>
      </c>
      <c r="BF977" s="2" t="e">
        <f t="shared" si="764"/>
        <v>#DIV/0!</v>
      </c>
      <c r="BG977" s="2" t="e">
        <f t="shared" si="777"/>
        <v>#DIV/0!</v>
      </c>
      <c r="BH977" s="2" t="e">
        <f t="shared" si="741"/>
        <v>#DIV/0!</v>
      </c>
      <c r="BI977" s="2" t="e">
        <f t="shared" si="765"/>
        <v>#DIV/0!</v>
      </c>
      <c r="BJ977" s="2" t="e">
        <f t="shared" si="766"/>
        <v>#DIV/0!</v>
      </c>
      <c r="BK977" s="2" t="e">
        <f t="shared" si="778"/>
        <v>#DIV/0!</v>
      </c>
      <c r="BL977" s="2" t="e">
        <f t="shared" si="767"/>
        <v>#DIV/0!</v>
      </c>
      <c r="BM977" s="2" t="e">
        <f t="shared" si="768"/>
        <v>#DIV/0!</v>
      </c>
      <c r="BN977" s="2" t="e">
        <f t="shared" si="779"/>
        <v>#DIV/0!</v>
      </c>
    </row>
    <row r="978" spans="1:66" x14ac:dyDescent="0.25">
      <c r="A978" s="42">
        <v>975</v>
      </c>
      <c r="E978" s="6">
        <f t="shared" si="769"/>
        <v>0</v>
      </c>
      <c r="F978" s="5" t="str">
        <f t="shared" si="780"/>
        <v>Break Even</v>
      </c>
      <c r="G978" s="4">
        <f t="shared" si="781"/>
        <v>0</v>
      </c>
      <c r="N978" s="5">
        <f t="shared" si="782"/>
        <v>0</v>
      </c>
      <c r="O978" s="4" t="e">
        <f t="shared" si="783"/>
        <v>#DIV/0!</v>
      </c>
      <c r="P978" s="5">
        <f t="shared" si="742"/>
        <v>0</v>
      </c>
      <c r="R978" s="2">
        <f t="shared" si="737"/>
        <v>0</v>
      </c>
      <c r="T978" s="2">
        <f t="shared" si="770"/>
        <v>0</v>
      </c>
      <c r="V978" s="5">
        <f t="shared" si="784"/>
        <v>0</v>
      </c>
      <c r="W978" s="4" t="e">
        <f t="shared" si="785"/>
        <v>#DIV/0!</v>
      </c>
      <c r="X978" s="14">
        <f t="shared" si="743"/>
        <v>0</v>
      </c>
      <c r="Y978" s="5">
        <f t="shared" si="744"/>
        <v>0</v>
      </c>
      <c r="Z978" s="2">
        <f t="shared" si="745"/>
        <v>0</v>
      </c>
      <c r="AA978" s="4">
        <f t="shared" si="746"/>
        <v>0</v>
      </c>
      <c r="AB978" s="13">
        <f t="shared" si="747"/>
        <v>0</v>
      </c>
      <c r="AC978" s="10">
        <f>SUM($E$4:E978)</f>
        <v>-22024.091160220025</v>
      </c>
      <c r="AD978" s="20">
        <f>SUM($AB$4:AB978)</f>
        <v>13539.766460219998</v>
      </c>
      <c r="AF978" s="28" t="e">
        <f t="shared" si="748"/>
        <v>#DIV/0!</v>
      </c>
      <c r="AG978" s="2" t="e">
        <f t="shared" si="749"/>
        <v>#DIV/0!</v>
      </c>
      <c r="AH978" s="2" t="e">
        <f t="shared" si="750"/>
        <v>#DIV/0!</v>
      </c>
      <c r="AI978" s="2" t="e">
        <f t="shared" si="771"/>
        <v>#DIV/0!</v>
      </c>
      <c r="AJ978" s="2" t="e">
        <f t="shared" si="738"/>
        <v>#DIV/0!</v>
      </c>
      <c r="AK978" s="2" t="e">
        <f t="shared" si="751"/>
        <v>#DIV/0!</v>
      </c>
      <c r="AL978" s="2" t="e">
        <f t="shared" si="752"/>
        <v>#DIV/0!</v>
      </c>
      <c r="AM978" s="2" t="e">
        <f t="shared" si="772"/>
        <v>#DIV/0!</v>
      </c>
      <c r="AN978" s="2">
        <f t="shared" si="753"/>
        <v>0</v>
      </c>
      <c r="AO978" s="2" t="e">
        <f t="shared" si="754"/>
        <v>#DIV/0!</v>
      </c>
      <c r="AP978" s="2" t="e">
        <f t="shared" si="755"/>
        <v>#DIV/0!</v>
      </c>
      <c r="AQ978" s="2" t="e">
        <f t="shared" si="773"/>
        <v>#DIV/0!</v>
      </c>
      <c r="AR978" s="2" t="e">
        <f t="shared" si="739"/>
        <v>#DIV/0!</v>
      </c>
      <c r="AS978" s="2" t="e">
        <f t="shared" si="756"/>
        <v>#DIV/0!</v>
      </c>
      <c r="AT978" s="2" t="e">
        <f t="shared" si="757"/>
        <v>#DIV/0!</v>
      </c>
      <c r="AU978" s="2" t="e">
        <f t="shared" si="774"/>
        <v>#DIV/0!</v>
      </c>
      <c r="AV978" s="2" t="e">
        <f t="shared" si="758"/>
        <v>#DIV/0!</v>
      </c>
      <c r="AW978" s="2" t="e">
        <f t="shared" si="759"/>
        <v>#DIV/0!</v>
      </c>
      <c r="AX978" s="2" t="e">
        <f t="shared" si="760"/>
        <v>#DIV/0!</v>
      </c>
      <c r="AY978" s="2" t="e">
        <f t="shared" si="775"/>
        <v>#DIV/0!</v>
      </c>
      <c r="AZ978" s="2" t="e">
        <f t="shared" si="740"/>
        <v>#DIV/0!</v>
      </c>
      <c r="BA978" s="2" t="e">
        <f t="shared" si="761"/>
        <v>#DIV/0!</v>
      </c>
      <c r="BB978" s="2" t="e">
        <f t="shared" si="762"/>
        <v>#DIV/0!</v>
      </c>
      <c r="BC978" s="2" t="e">
        <f t="shared" si="776"/>
        <v>#DIV/0!</v>
      </c>
      <c r="BD978" s="2">
        <v>0</v>
      </c>
      <c r="BE978" s="2" t="e">
        <f t="shared" si="763"/>
        <v>#DIV/0!</v>
      </c>
      <c r="BF978" s="2" t="e">
        <f t="shared" si="764"/>
        <v>#DIV/0!</v>
      </c>
      <c r="BG978" s="2" t="e">
        <f t="shared" si="777"/>
        <v>#DIV/0!</v>
      </c>
      <c r="BH978" s="2" t="e">
        <f t="shared" si="741"/>
        <v>#DIV/0!</v>
      </c>
      <c r="BI978" s="2" t="e">
        <f t="shared" si="765"/>
        <v>#DIV/0!</v>
      </c>
      <c r="BJ978" s="2" t="e">
        <f t="shared" si="766"/>
        <v>#DIV/0!</v>
      </c>
      <c r="BK978" s="2" t="e">
        <f t="shared" si="778"/>
        <v>#DIV/0!</v>
      </c>
      <c r="BL978" s="2" t="e">
        <f t="shared" si="767"/>
        <v>#DIV/0!</v>
      </c>
      <c r="BM978" s="2" t="e">
        <f t="shared" si="768"/>
        <v>#DIV/0!</v>
      </c>
      <c r="BN978" s="2" t="e">
        <f t="shared" si="779"/>
        <v>#DIV/0!</v>
      </c>
    </row>
    <row r="979" spans="1:66" x14ac:dyDescent="0.25">
      <c r="A979" s="42">
        <v>976</v>
      </c>
      <c r="E979" s="6">
        <f t="shared" si="769"/>
        <v>0</v>
      </c>
      <c r="F979" s="5" t="str">
        <f t="shared" si="780"/>
        <v>Break Even</v>
      </c>
      <c r="G979" s="4">
        <f t="shared" si="781"/>
        <v>0</v>
      </c>
      <c r="N979" s="5">
        <f t="shared" si="782"/>
        <v>0</v>
      </c>
      <c r="O979" s="4" t="e">
        <f t="shared" si="783"/>
        <v>#DIV/0!</v>
      </c>
      <c r="P979" s="5">
        <f t="shared" si="742"/>
        <v>0</v>
      </c>
      <c r="R979" s="2">
        <f t="shared" si="737"/>
        <v>0</v>
      </c>
      <c r="T979" s="2">
        <f t="shared" si="770"/>
        <v>0</v>
      </c>
      <c r="V979" s="5">
        <f t="shared" si="784"/>
        <v>0</v>
      </c>
      <c r="W979" s="4" t="e">
        <f t="shared" si="785"/>
        <v>#DIV/0!</v>
      </c>
      <c r="X979" s="14">
        <f t="shared" si="743"/>
        <v>0</v>
      </c>
      <c r="Y979" s="5">
        <f t="shared" si="744"/>
        <v>0</v>
      </c>
      <c r="Z979" s="2">
        <f t="shared" si="745"/>
        <v>0</v>
      </c>
      <c r="AA979" s="4">
        <f t="shared" si="746"/>
        <v>0</v>
      </c>
      <c r="AB979" s="13">
        <f t="shared" si="747"/>
        <v>0</v>
      </c>
      <c r="AC979" s="10">
        <f>SUM($E$4:E979)</f>
        <v>-22024.091160220025</v>
      </c>
      <c r="AD979" s="20">
        <f>SUM($AB$4:AB979)</f>
        <v>13539.766460219998</v>
      </c>
      <c r="AF979" s="28" t="e">
        <f t="shared" si="748"/>
        <v>#DIV/0!</v>
      </c>
      <c r="AG979" s="2" t="e">
        <f t="shared" si="749"/>
        <v>#DIV/0!</v>
      </c>
      <c r="AH979" s="2" t="e">
        <f t="shared" si="750"/>
        <v>#DIV/0!</v>
      </c>
      <c r="AI979" s="2" t="e">
        <f t="shared" si="771"/>
        <v>#DIV/0!</v>
      </c>
      <c r="AJ979" s="2" t="e">
        <f t="shared" si="738"/>
        <v>#DIV/0!</v>
      </c>
      <c r="AK979" s="2" t="e">
        <f t="shared" si="751"/>
        <v>#DIV/0!</v>
      </c>
      <c r="AL979" s="2" t="e">
        <f t="shared" si="752"/>
        <v>#DIV/0!</v>
      </c>
      <c r="AM979" s="2" t="e">
        <f t="shared" si="772"/>
        <v>#DIV/0!</v>
      </c>
      <c r="AN979" s="2">
        <f t="shared" si="753"/>
        <v>0</v>
      </c>
      <c r="AO979" s="2" t="e">
        <f t="shared" si="754"/>
        <v>#DIV/0!</v>
      </c>
      <c r="AP979" s="2" t="e">
        <f t="shared" si="755"/>
        <v>#DIV/0!</v>
      </c>
      <c r="AQ979" s="2" t="e">
        <f t="shared" si="773"/>
        <v>#DIV/0!</v>
      </c>
      <c r="AR979" s="2" t="e">
        <f t="shared" si="739"/>
        <v>#DIV/0!</v>
      </c>
      <c r="AS979" s="2" t="e">
        <f t="shared" si="756"/>
        <v>#DIV/0!</v>
      </c>
      <c r="AT979" s="2" t="e">
        <f t="shared" si="757"/>
        <v>#DIV/0!</v>
      </c>
      <c r="AU979" s="2" t="e">
        <f t="shared" si="774"/>
        <v>#DIV/0!</v>
      </c>
      <c r="AV979" s="2" t="e">
        <f t="shared" si="758"/>
        <v>#DIV/0!</v>
      </c>
      <c r="AW979" s="2" t="e">
        <f t="shared" si="759"/>
        <v>#DIV/0!</v>
      </c>
      <c r="AX979" s="2" t="e">
        <f t="shared" si="760"/>
        <v>#DIV/0!</v>
      </c>
      <c r="AY979" s="2" t="e">
        <f t="shared" si="775"/>
        <v>#DIV/0!</v>
      </c>
      <c r="AZ979" s="2" t="e">
        <f t="shared" si="740"/>
        <v>#DIV/0!</v>
      </c>
      <c r="BA979" s="2" t="e">
        <f t="shared" si="761"/>
        <v>#DIV/0!</v>
      </c>
      <c r="BB979" s="2" t="e">
        <f t="shared" si="762"/>
        <v>#DIV/0!</v>
      </c>
      <c r="BC979" s="2" t="e">
        <f t="shared" si="776"/>
        <v>#DIV/0!</v>
      </c>
      <c r="BD979" s="2">
        <v>0</v>
      </c>
      <c r="BE979" s="2" t="e">
        <f t="shared" si="763"/>
        <v>#DIV/0!</v>
      </c>
      <c r="BF979" s="2" t="e">
        <f t="shared" si="764"/>
        <v>#DIV/0!</v>
      </c>
      <c r="BG979" s="2" t="e">
        <f t="shared" si="777"/>
        <v>#DIV/0!</v>
      </c>
      <c r="BH979" s="2" t="e">
        <f t="shared" si="741"/>
        <v>#DIV/0!</v>
      </c>
      <c r="BI979" s="2" t="e">
        <f t="shared" si="765"/>
        <v>#DIV/0!</v>
      </c>
      <c r="BJ979" s="2" t="e">
        <f t="shared" si="766"/>
        <v>#DIV/0!</v>
      </c>
      <c r="BK979" s="2" t="e">
        <f t="shared" si="778"/>
        <v>#DIV/0!</v>
      </c>
      <c r="BL979" s="2" t="e">
        <f t="shared" si="767"/>
        <v>#DIV/0!</v>
      </c>
      <c r="BM979" s="2" t="e">
        <f t="shared" si="768"/>
        <v>#DIV/0!</v>
      </c>
      <c r="BN979" s="2" t="e">
        <f t="shared" si="779"/>
        <v>#DIV/0!</v>
      </c>
    </row>
    <row r="980" spans="1:66" x14ac:dyDescent="0.25">
      <c r="A980" s="42">
        <v>977</v>
      </c>
      <c r="E980" s="6">
        <f t="shared" si="769"/>
        <v>0</v>
      </c>
      <c r="F980" s="5" t="str">
        <f t="shared" si="780"/>
        <v>Break Even</v>
      </c>
      <c r="G980" s="4">
        <f t="shared" si="781"/>
        <v>0</v>
      </c>
      <c r="N980" s="5">
        <f t="shared" si="782"/>
        <v>0</v>
      </c>
      <c r="O980" s="4" t="e">
        <f t="shared" si="783"/>
        <v>#DIV/0!</v>
      </c>
      <c r="P980" s="5">
        <f t="shared" si="742"/>
        <v>0</v>
      </c>
      <c r="R980" s="2">
        <f t="shared" si="737"/>
        <v>0</v>
      </c>
      <c r="T980" s="2">
        <f t="shared" si="770"/>
        <v>0</v>
      </c>
      <c r="V980" s="5">
        <f t="shared" si="784"/>
        <v>0</v>
      </c>
      <c r="W980" s="4" t="e">
        <f t="shared" si="785"/>
        <v>#DIV/0!</v>
      </c>
      <c r="X980" s="14">
        <f t="shared" si="743"/>
        <v>0</v>
      </c>
      <c r="Y980" s="5">
        <f t="shared" si="744"/>
        <v>0</v>
      </c>
      <c r="Z980" s="2">
        <f t="shared" si="745"/>
        <v>0</v>
      </c>
      <c r="AA980" s="4">
        <f t="shared" si="746"/>
        <v>0</v>
      </c>
      <c r="AB980" s="13">
        <f t="shared" si="747"/>
        <v>0</v>
      </c>
      <c r="AC980" s="10">
        <f>SUM($E$4:E980)</f>
        <v>-22024.091160220025</v>
      </c>
      <c r="AD980" s="20">
        <f>SUM($AB$4:AB980)</f>
        <v>13539.766460219998</v>
      </c>
      <c r="AF980" s="28" t="e">
        <f t="shared" si="748"/>
        <v>#DIV/0!</v>
      </c>
      <c r="AG980" s="2" t="e">
        <f t="shared" si="749"/>
        <v>#DIV/0!</v>
      </c>
      <c r="AH980" s="2" t="e">
        <f t="shared" si="750"/>
        <v>#DIV/0!</v>
      </c>
      <c r="AI980" s="2" t="e">
        <f t="shared" si="771"/>
        <v>#DIV/0!</v>
      </c>
      <c r="AJ980" s="2" t="e">
        <f t="shared" si="738"/>
        <v>#DIV/0!</v>
      </c>
      <c r="AK980" s="2" t="e">
        <f t="shared" si="751"/>
        <v>#DIV/0!</v>
      </c>
      <c r="AL980" s="2" t="e">
        <f t="shared" si="752"/>
        <v>#DIV/0!</v>
      </c>
      <c r="AM980" s="2" t="e">
        <f t="shared" si="772"/>
        <v>#DIV/0!</v>
      </c>
      <c r="AN980" s="2">
        <f t="shared" si="753"/>
        <v>0</v>
      </c>
      <c r="AO980" s="2" t="e">
        <f t="shared" si="754"/>
        <v>#DIV/0!</v>
      </c>
      <c r="AP980" s="2" t="e">
        <f t="shared" si="755"/>
        <v>#DIV/0!</v>
      </c>
      <c r="AQ980" s="2" t="e">
        <f t="shared" si="773"/>
        <v>#DIV/0!</v>
      </c>
      <c r="AR980" s="2" t="e">
        <f t="shared" si="739"/>
        <v>#DIV/0!</v>
      </c>
      <c r="AS980" s="2" t="e">
        <f t="shared" si="756"/>
        <v>#DIV/0!</v>
      </c>
      <c r="AT980" s="2" t="e">
        <f t="shared" si="757"/>
        <v>#DIV/0!</v>
      </c>
      <c r="AU980" s="2" t="e">
        <f t="shared" si="774"/>
        <v>#DIV/0!</v>
      </c>
      <c r="AV980" s="2" t="e">
        <f t="shared" si="758"/>
        <v>#DIV/0!</v>
      </c>
      <c r="AW980" s="2" t="e">
        <f t="shared" si="759"/>
        <v>#DIV/0!</v>
      </c>
      <c r="AX980" s="2" t="e">
        <f t="shared" si="760"/>
        <v>#DIV/0!</v>
      </c>
      <c r="AY980" s="2" t="e">
        <f t="shared" si="775"/>
        <v>#DIV/0!</v>
      </c>
      <c r="AZ980" s="2" t="e">
        <f t="shared" si="740"/>
        <v>#DIV/0!</v>
      </c>
      <c r="BA980" s="2" t="e">
        <f t="shared" si="761"/>
        <v>#DIV/0!</v>
      </c>
      <c r="BB980" s="2" t="e">
        <f t="shared" si="762"/>
        <v>#DIV/0!</v>
      </c>
      <c r="BC980" s="2" t="e">
        <f t="shared" si="776"/>
        <v>#DIV/0!</v>
      </c>
      <c r="BD980" s="2">
        <v>0</v>
      </c>
      <c r="BE980" s="2" t="e">
        <f t="shared" si="763"/>
        <v>#DIV/0!</v>
      </c>
      <c r="BF980" s="2" t="e">
        <f t="shared" si="764"/>
        <v>#DIV/0!</v>
      </c>
      <c r="BG980" s="2" t="e">
        <f t="shared" si="777"/>
        <v>#DIV/0!</v>
      </c>
      <c r="BH980" s="2" t="e">
        <f t="shared" si="741"/>
        <v>#DIV/0!</v>
      </c>
      <c r="BI980" s="2" t="e">
        <f t="shared" si="765"/>
        <v>#DIV/0!</v>
      </c>
      <c r="BJ980" s="2" t="e">
        <f t="shared" si="766"/>
        <v>#DIV/0!</v>
      </c>
      <c r="BK980" s="2" t="e">
        <f t="shared" si="778"/>
        <v>#DIV/0!</v>
      </c>
      <c r="BL980" s="2" t="e">
        <f t="shared" si="767"/>
        <v>#DIV/0!</v>
      </c>
      <c r="BM980" s="2" t="e">
        <f t="shared" si="768"/>
        <v>#DIV/0!</v>
      </c>
      <c r="BN980" s="2" t="e">
        <f t="shared" si="779"/>
        <v>#DIV/0!</v>
      </c>
    </row>
    <row r="981" spans="1:66" x14ac:dyDescent="0.25">
      <c r="A981" s="42">
        <v>978</v>
      </c>
      <c r="E981" s="6">
        <f t="shared" si="769"/>
        <v>0</v>
      </c>
      <c r="F981" s="5" t="str">
        <f t="shared" si="780"/>
        <v>Break Even</v>
      </c>
      <c r="G981" s="4">
        <f t="shared" si="781"/>
        <v>0</v>
      </c>
      <c r="N981" s="5">
        <f t="shared" si="782"/>
        <v>0</v>
      </c>
      <c r="O981" s="4" t="e">
        <f t="shared" si="783"/>
        <v>#DIV/0!</v>
      </c>
      <c r="P981" s="5">
        <f t="shared" si="742"/>
        <v>0</v>
      </c>
      <c r="R981" s="2">
        <f t="shared" si="737"/>
        <v>0</v>
      </c>
      <c r="T981" s="2">
        <f t="shared" si="770"/>
        <v>0</v>
      </c>
      <c r="V981" s="5">
        <f t="shared" si="784"/>
        <v>0</v>
      </c>
      <c r="W981" s="4" t="e">
        <f t="shared" si="785"/>
        <v>#DIV/0!</v>
      </c>
      <c r="X981" s="14">
        <f t="shared" si="743"/>
        <v>0</v>
      </c>
      <c r="Y981" s="5">
        <f t="shared" si="744"/>
        <v>0</v>
      </c>
      <c r="Z981" s="2">
        <f t="shared" si="745"/>
        <v>0</v>
      </c>
      <c r="AA981" s="4">
        <f t="shared" si="746"/>
        <v>0</v>
      </c>
      <c r="AB981" s="13">
        <f t="shared" si="747"/>
        <v>0</v>
      </c>
      <c r="AC981" s="10">
        <f>SUM($E$4:E981)</f>
        <v>-22024.091160220025</v>
      </c>
      <c r="AD981" s="20">
        <f>SUM($AB$4:AB981)</f>
        <v>13539.766460219998</v>
      </c>
      <c r="AF981" s="28" t="e">
        <f t="shared" si="748"/>
        <v>#DIV/0!</v>
      </c>
      <c r="AG981" s="2" t="e">
        <f t="shared" si="749"/>
        <v>#DIV/0!</v>
      </c>
      <c r="AH981" s="2" t="e">
        <f t="shared" si="750"/>
        <v>#DIV/0!</v>
      </c>
      <c r="AI981" s="2" t="e">
        <f t="shared" si="771"/>
        <v>#DIV/0!</v>
      </c>
      <c r="AJ981" s="2" t="e">
        <f t="shared" si="738"/>
        <v>#DIV/0!</v>
      </c>
      <c r="AK981" s="2" t="e">
        <f t="shared" si="751"/>
        <v>#DIV/0!</v>
      </c>
      <c r="AL981" s="2" t="e">
        <f t="shared" si="752"/>
        <v>#DIV/0!</v>
      </c>
      <c r="AM981" s="2" t="e">
        <f t="shared" si="772"/>
        <v>#DIV/0!</v>
      </c>
      <c r="AN981" s="2">
        <f t="shared" si="753"/>
        <v>0</v>
      </c>
      <c r="AO981" s="2" t="e">
        <f t="shared" si="754"/>
        <v>#DIV/0!</v>
      </c>
      <c r="AP981" s="2" t="e">
        <f t="shared" si="755"/>
        <v>#DIV/0!</v>
      </c>
      <c r="AQ981" s="2" t="e">
        <f t="shared" si="773"/>
        <v>#DIV/0!</v>
      </c>
      <c r="AR981" s="2" t="e">
        <f t="shared" si="739"/>
        <v>#DIV/0!</v>
      </c>
      <c r="AS981" s="2" t="e">
        <f t="shared" si="756"/>
        <v>#DIV/0!</v>
      </c>
      <c r="AT981" s="2" t="e">
        <f t="shared" si="757"/>
        <v>#DIV/0!</v>
      </c>
      <c r="AU981" s="2" t="e">
        <f t="shared" si="774"/>
        <v>#DIV/0!</v>
      </c>
      <c r="AV981" s="2" t="e">
        <f t="shared" si="758"/>
        <v>#DIV/0!</v>
      </c>
      <c r="AW981" s="2" t="e">
        <f t="shared" si="759"/>
        <v>#DIV/0!</v>
      </c>
      <c r="AX981" s="2" t="e">
        <f t="shared" si="760"/>
        <v>#DIV/0!</v>
      </c>
      <c r="AY981" s="2" t="e">
        <f t="shared" si="775"/>
        <v>#DIV/0!</v>
      </c>
      <c r="AZ981" s="2" t="e">
        <f t="shared" si="740"/>
        <v>#DIV/0!</v>
      </c>
      <c r="BA981" s="2" t="e">
        <f t="shared" si="761"/>
        <v>#DIV/0!</v>
      </c>
      <c r="BB981" s="2" t="e">
        <f t="shared" si="762"/>
        <v>#DIV/0!</v>
      </c>
      <c r="BC981" s="2" t="e">
        <f t="shared" si="776"/>
        <v>#DIV/0!</v>
      </c>
      <c r="BD981" s="2">
        <v>0</v>
      </c>
      <c r="BE981" s="2" t="e">
        <f t="shared" si="763"/>
        <v>#DIV/0!</v>
      </c>
      <c r="BF981" s="2" t="e">
        <f t="shared" si="764"/>
        <v>#DIV/0!</v>
      </c>
      <c r="BG981" s="2" t="e">
        <f t="shared" si="777"/>
        <v>#DIV/0!</v>
      </c>
      <c r="BH981" s="2" t="e">
        <f t="shared" si="741"/>
        <v>#DIV/0!</v>
      </c>
      <c r="BI981" s="2" t="e">
        <f t="shared" si="765"/>
        <v>#DIV/0!</v>
      </c>
      <c r="BJ981" s="2" t="e">
        <f t="shared" si="766"/>
        <v>#DIV/0!</v>
      </c>
      <c r="BK981" s="2" t="e">
        <f t="shared" si="778"/>
        <v>#DIV/0!</v>
      </c>
      <c r="BL981" s="2" t="e">
        <f t="shared" si="767"/>
        <v>#DIV/0!</v>
      </c>
      <c r="BM981" s="2" t="e">
        <f t="shared" si="768"/>
        <v>#DIV/0!</v>
      </c>
      <c r="BN981" s="2" t="e">
        <f t="shared" si="779"/>
        <v>#DIV/0!</v>
      </c>
    </row>
    <row r="982" spans="1:66" x14ac:dyDescent="0.25">
      <c r="A982" s="42">
        <v>979</v>
      </c>
      <c r="E982" s="6">
        <f t="shared" si="769"/>
        <v>0</v>
      </c>
      <c r="F982" s="5" t="str">
        <f t="shared" si="780"/>
        <v>Break Even</v>
      </c>
      <c r="G982" s="4">
        <f t="shared" si="781"/>
        <v>0</v>
      </c>
      <c r="N982" s="5">
        <f t="shared" si="782"/>
        <v>0</v>
      </c>
      <c r="O982" s="4" t="e">
        <f t="shared" si="783"/>
        <v>#DIV/0!</v>
      </c>
      <c r="P982" s="5">
        <f t="shared" si="742"/>
        <v>0</v>
      </c>
      <c r="R982" s="2">
        <f t="shared" si="737"/>
        <v>0</v>
      </c>
      <c r="T982" s="2">
        <f t="shared" si="770"/>
        <v>0</v>
      </c>
      <c r="V982" s="5">
        <f t="shared" si="784"/>
        <v>0</v>
      </c>
      <c r="W982" s="4" t="e">
        <f t="shared" si="785"/>
        <v>#DIV/0!</v>
      </c>
      <c r="X982" s="14">
        <f t="shared" si="743"/>
        <v>0</v>
      </c>
      <c r="Y982" s="5">
        <f t="shared" si="744"/>
        <v>0</v>
      </c>
      <c r="Z982" s="2">
        <f t="shared" si="745"/>
        <v>0</v>
      </c>
      <c r="AA982" s="4">
        <f t="shared" si="746"/>
        <v>0</v>
      </c>
      <c r="AB982" s="13">
        <f t="shared" si="747"/>
        <v>0</v>
      </c>
      <c r="AC982" s="10">
        <f>SUM($E$4:E982)</f>
        <v>-22024.091160220025</v>
      </c>
      <c r="AD982" s="20">
        <f>SUM($AB$4:AB982)</f>
        <v>13539.766460219998</v>
      </c>
      <c r="AF982" s="28" t="e">
        <f t="shared" si="748"/>
        <v>#DIV/0!</v>
      </c>
      <c r="AG982" s="2" t="e">
        <f t="shared" si="749"/>
        <v>#DIV/0!</v>
      </c>
      <c r="AH982" s="2" t="e">
        <f t="shared" si="750"/>
        <v>#DIV/0!</v>
      </c>
      <c r="AI982" s="2" t="e">
        <f t="shared" si="771"/>
        <v>#DIV/0!</v>
      </c>
      <c r="AJ982" s="2" t="e">
        <f t="shared" si="738"/>
        <v>#DIV/0!</v>
      </c>
      <c r="AK982" s="2" t="e">
        <f t="shared" si="751"/>
        <v>#DIV/0!</v>
      </c>
      <c r="AL982" s="2" t="e">
        <f t="shared" si="752"/>
        <v>#DIV/0!</v>
      </c>
      <c r="AM982" s="2" t="e">
        <f t="shared" si="772"/>
        <v>#DIV/0!</v>
      </c>
      <c r="AN982" s="2">
        <f t="shared" si="753"/>
        <v>0</v>
      </c>
      <c r="AO982" s="2" t="e">
        <f t="shared" si="754"/>
        <v>#DIV/0!</v>
      </c>
      <c r="AP982" s="2" t="e">
        <f t="shared" si="755"/>
        <v>#DIV/0!</v>
      </c>
      <c r="AQ982" s="2" t="e">
        <f t="shared" si="773"/>
        <v>#DIV/0!</v>
      </c>
      <c r="AR982" s="2" t="e">
        <f t="shared" si="739"/>
        <v>#DIV/0!</v>
      </c>
      <c r="AS982" s="2" t="e">
        <f t="shared" si="756"/>
        <v>#DIV/0!</v>
      </c>
      <c r="AT982" s="2" t="e">
        <f t="shared" si="757"/>
        <v>#DIV/0!</v>
      </c>
      <c r="AU982" s="2" t="e">
        <f t="shared" si="774"/>
        <v>#DIV/0!</v>
      </c>
      <c r="AV982" s="2" t="e">
        <f t="shared" si="758"/>
        <v>#DIV/0!</v>
      </c>
      <c r="AW982" s="2" t="e">
        <f t="shared" si="759"/>
        <v>#DIV/0!</v>
      </c>
      <c r="AX982" s="2" t="e">
        <f t="shared" si="760"/>
        <v>#DIV/0!</v>
      </c>
      <c r="AY982" s="2" t="e">
        <f t="shared" si="775"/>
        <v>#DIV/0!</v>
      </c>
      <c r="AZ982" s="2" t="e">
        <f t="shared" si="740"/>
        <v>#DIV/0!</v>
      </c>
      <c r="BA982" s="2" t="e">
        <f t="shared" si="761"/>
        <v>#DIV/0!</v>
      </c>
      <c r="BB982" s="2" t="e">
        <f t="shared" si="762"/>
        <v>#DIV/0!</v>
      </c>
      <c r="BC982" s="2" t="e">
        <f t="shared" si="776"/>
        <v>#DIV/0!</v>
      </c>
      <c r="BD982" s="2">
        <v>0</v>
      </c>
      <c r="BE982" s="2" t="e">
        <f t="shared" si="763"/>
        <v>#DIV/0!</v>
      </c>
      <c r="BF982" s="2" t="e">
        <f t="shared" si="764"/>
        <v>#DIV/0!</v>
      </c>
      <c r="BG982" s="2" t="e">
        <f t="shared" si="777"/>
        <v>#DIV/0!</v>
      </c>
      <c r="BH982" s="2" t="e">
        <f t="shared" si="741"/>
        <v>#DIV/0!</v>
      </c>
      <c r="BI982" s="2" t="e">
        <f t="shared" si="765"/>
        <v>#DIV/0!</v>
      </c>
      <c r="BJ982" s="2" t="e">
        <f t="shared" si="766"/>
        <v>#DIV/0!</v>
      </c>
      <c r="BK982" s="2" t="e">
        <f t="shared" si="778"/>
        <v>#DIV/0!</v>
      </c>
      <c r="BL982" s="2" t="e">
        <f t="shared" si="767"/>
        <v>#DIV/0!</v>
      </c>
      <c r="BM982" s="2" t="e">
        <f t="shared" si="768"/>
        <v>#DIV/0!</v>
      </c>
      <c r="BN982" s="2" t="e">
        <f t="shared" si="779"/>
        <v>#DIV/0!</v>
      </c>
    </row>
    <row r="983" spans="1:66" x14ac:dyDescent="0.25">
      <c r="A983" s="42">
        <v>980</v>
      </c>
      <c r="E983" s="6">
        <f t="shared" si="769"/>
        <v>0</v>
      </c>
      <c r="F983" s="5" t="str">
        <f t="shared" si="780"/>
        <v>Break Even</v>
      </c>
      <c r="G983" s="4">
        <f t="shared" si="781"/>
        <v>0</v>
      </c>
      <c r="N983" s="5">
        <f t="shared" si="782"/>
        <v>0</v>
      </c>
      <c r="O983" s="4" t="e">
        <f t="shared" si="783"/>
        <v>#DIV/0!</v>
      </c>
      <c r="P983" s="5">
        <f t="shared" si="742"/>
        <v>0</v>
      </c>
      <c r="R983" s="2">
        <f t="shared" si="737"/>
        <v>0</v>
      </c>
      <c r="T983" s="2">
        <f t="shared" si="770"/>
        <v>0</v>
      </c>
      <c r="V983" s="5">
        <f t="shared" si="784"/>
        <v>0</v>
      </c>
      <c r="W983" s="4" t="e">
        <f t="shared" si="785"/>
        <v>#DIV/0!</v>
      </c>
      <c r="X983" s="14">
        <f t="shared" si="743"/>
        <v>0</v>
      </c>
      <c r="Y983" s="5">
        <f t="shared" si="744"/>
        <v>0</v>
      </c>
      <c r="Z983" s="2">
        <f t="shared" si="745"/>
        <v>0</v>
      </c>
      <c r="AA983" s="4">
        <f t="shared" si="746"/>
        <v>0</v>
      </c>
      <c r="AB983" s="13">
        <f t="shared" si="747"/>
        <v>0</v>
      </c>
      <c r="AC983" s="10">
        <f>SUM($E$4:E983)</f>
        <v>-22024.091160220025</v>
      </c>
      <c r="AD983" s="20">
        <f>SUM($AB$4:AB983)</f>
        <v>13539.766460219998</v>
      </c>
      <c r="AF983" s="28" t="e">
        <f t="shared" si="748"/>
        <v>#DIV/0!</v>
      </c>
      <c r="AG983" s="2" t="e">
        <f t="shared" si="749"/>
        <v>#DIV/0!</v>
      </c>
      <c r="AH983" s="2" t="e">
        <f t="shared" si="750"/>
        <v>#DIV/0!</v>
      </c>
      <c r="AI983" s="2" t="e">
        <f t="shared" si="771"/>
        <v>#DIV/0!</v>
      </c>
      <c r="AJ983" s="2" t="e">
        <f t="shared" si="738"/>
        <v>#DIV/0!</v>
      </c>
      <c r="AK983" s="2" t="e">
        <f t="shared" si="751"/>
        <v>#DIV/0!</v>
      </c>
      <c r="AL983" s="2" t="e">
        <f t="shared" si="752"/>
        <v>#DIV/0!</v>
      </c>
      <c r="AM983" s="2" t="e">
        <f t="shared" si="772"/>
        <v>#DIV/0!</v>
      </c>
      <c r="AN983" s="2">
        <f t="shared" si="753"/>
        <v>0</v>
      </c>
      <c r="AO983" s="2" t="e">
        <f t="shared" si="754"/>
        <v>#DIV/0!</v>
      </c>
      <c r="AP983" s="2" t="e">
        <f t="shared" si="755"/>
        <v>#DIV/0!</v>
      </c>
      <c r="AQ983" s="2" t="e">
        <f t="shared" si="773"/>
        <v>#DIV/0!</v>
      </c>
      <c r="AR983" s="2" t="e">
        <f t="shared" si="739"/>
        <v>#DIV/0!</v>
      </c>
      <c r="AS983" s="2" t="e">
        <f t="shared" si="756"/>
        <v>#DIV/0!</v>
      </c>
      <c r="AT983" s="2" t="e">
        <f t="shared" si="757"/>
        <v>#DIV/0!</v>
      </c>
      <c r="AU983" s="2" t="e">
        <f t="shared" si="774"/>
        <v>#DIV/0!</v>
      </c>
      <c r="AV983" s="2" t="e">
        <f t="shared" si="758"/>
        <v>#DIV/0!</v>
      </c>
      <c r="AW983" s="2" t="e">
        <f t="shared" si="759"/>
        <v>#DIV/0!</v>
      </c>
      <c r="AX983" s="2" t="e">
        <f t="shared" si="760"/>
        <v>#DIV/0!</v>
      </c>
      <c r="AY983" s="2" t="e">
        <f t="shared" si="775"/>
        <v>#DIV/0!</v>
      </c>
      <c r="AZ983" s="2" t="e">
        <f t="shared" si="740"/>
        <v>#DIV/0!</v>
      </c>
      <c r="BA983" s="2" t="e">
        <f t="shared" si="761"/>
        <v>#DIV/0!</v>
      </c>
      <c r="BB983" s="2" t="e">
        <f t="shared" si="762"/>
        <v>#DIV/0!</v>
      </c>
      <c r="BC983" s="2" t="e">
        <f t="shared" si="776"/>
        <v>#DIV/0!</v>
      </c>
      <c r="BD983" s="2">
        <v>0</v>
      </c>
      <c r="BE983" s="2" t="e">
        <f t="shared" si="763"/>
        <v>#DIV/0!</v>
      </c>
      <c r="BF983" s="2" t="e">
        <f t="shared" si="764"/>
        <v>#DIV/0!</v>
      </c>
      <c r="BG983" s="2" t="e">
        <f t="shared" si="777"/>
        <v>#DIV/0!</v>
      </c>
      <c r="BH983" s="2" t="e">
        <f t="shared" si="741"/>
        <v>#DIV/0!</v>
      </c>
      <c r="BI983" s="2" t="e">
        <f t="shared" si="765"/>
        <v>#DIV/0!</v>
      </c>
      <c r="BJ983" s="2" t="e">
        <f t="shared" si="766"/>
        <v>#DIV/0!</v>
      </c>
      <c r="BK983" s="2" t="e">
        <f t="shared" si="778"/>
        <v>#DIV/0!</v>
      </c>
      <c r="BL983" s="2" t="e">
        <f t="shared" si="767"/>
        <v>#DIV/0!</v>
      </c>
      <c r="BM983" s="2" t="e">
        <f t="shared" si="768"/>
        <v>#DIV/0!</v>
      </c>
      <c r="BN983" s="2" t="e">
        <f t="shared" si="779"/>
        <v>#DIV/0!</v>
      </c>
    </row>
    <row r="984" spans="1:66" x14ac:dyDescent="0.25">
      <c r="A984" s="42">
        <v>981</v>
      </c>
      <c r="E984" s="6">
        <f t="shared" si="769"/>
        <v>0</v>
      </c>
      <c r="F984" s="5" t="str">
        <f t="shared" si="780"/>
        <v>Break Even</v>
      </c>
      <c r="G984" s="4">
        <f t="shared" si="781"/>
        <v>0</v>
      </c>
      <c r="N984" s="5">
        <f t="shared" si="782"/>
        <v>0</v>
      </c>
      <c r="O984" s="4" t="e">
        <f t="shared" si="783"/>
        <v>#DIV/0!</v>
      </c>
      <c r="P984" s="5">
        <f t="shared" si="742"/>
        <v>0</v>
      </c>
      <c r="R984" s="2">
        <f t="shared" si="737"/>
        <v>0</v>
      </c>
      <c r="T984" s="2">
        <f t="shared" si="770"/>
        <v>0</v>
      </c>
      <c r="V984" s="5">
        <f t="shared" si="784"/>
        <v>0</v>
      </c>
      <c r="W984" s="4" t="e">
        <f t="shared" si="785"/>
        <v>#DIV/0!</v>
      </c>
      <c r="X984" s="14">
        <f t="shared" si="743"/>
        <v>0</v>
      </c>
      <c r="Y984" s="5">
        <f t="shared" si="744"/>
        <v>0</v>
      </c>
      <c r="Z984" s="2">
        <f t="shared" si="745"/>
        <v>0</v>
      </c>
      <c r="AA984" s="4">
        <f t="shared" si="746"/>
        <v>0</v>
      </c>
      <c r="AB984" s="13">
        <f t="shared" si="747"/>
        <v>0</v>
      </c>
      <c r="AC984" s="10">
        <f>SUM($E$4:E984)</f>
        <v>-22024.091160220025</v>
      </c>
      <c r="AD984" s="20">
        <f>SUM($AB$4:AB984)</f>
        <v>13539.766460219998</v>
      </c>
      <c r="AF984" s="28" t="e">
        <f t="shared" si="748"/>
        <v>#DIV/0!</v>
      </c>
      <c r="AG984" s="2" t="e">
        <f t="shared" si="749"/>
        <v>#DIV/0!</v>
      </c>
      <c r="AH984" s="2" t="e">
        <f t="shared" si="750"/>
        <v>#DIV/0!</v>
      </c>
      <c r="AI984" s="2" t="e">
        <f t="shared" si="771"/>
        <v>#DIV/0!</v>
      </c>
      <c r="AJ984" s="2" t="e">
        <f t="shared" si="738"/>
        <v>#DIV/0!</v>
      </c>
      <c r="AK984" s="2" t="e">
        <f t="shared" si="751"/>
        <v>#DIV/0!</v>
      </c>
      <c r="AL984" s="2" t="e">
        <f t="shared" si="752"/>
        <v>#DIV/0!</v>
      </c>
      <c r="AM984" s="2" t="e">
        <f t="shared" si="772"/>
        <v>#DIV/0!</v>
      </c>
      <c r="AN984" s="2">
        <f t="shared" si="753"/>
        <v>0</v>
      </c>
      <c r="AO984" s="2" t="e">
        <f t="shared" si="754"/>
        <v>#DIV/0!</v>
      </c>
      <c r="AP984" s="2" t="e">
        <f t="shared" si="755"/>
        <v>#DIV/0!</v>
      </c>
      <c r="AQ984" s="2" t="e">
        <f t="shared" si="773"/>
        <v>#DIV/0!</v>
      </c>
      <c r="AR984" s="2" t="e">
        <f t="shared" si="739"/>
        <v>#DIV/0!</v>
      </c>
      <c r="AS984" s="2" t="e">
        <f t="shared" si="756"/>
        <v>#DIV/0!</v>
      </c>
      <c r="AT984" s="2" t="e">
        <f t="shared" si="757"/>
        <v>#DIV/0!</v>
      </c>
      <c r="AU984" s="2" t="e">
        <f t="shared" si="774"/>
        <v>#DIV/0!</v>
      </c>
      <c r="AV984" s="2" t="e">
        <f t="shared" si="758"/>
        <v>#DIV/0!</v>
      </c>
      <c r="AW984" s="2" t="e">
        <f t="shared" si="759"/>
        <v>#DIV/0!</v>
      </c>
      <c r="AX984" s="2" t="e">
        <f t="shared" si="760"/>
        <v>#DIV/0!</v>
      </c>
      <c r="AY984" s="2" t="e">
        <f t="shared" si="775"/>
        <v>#DIV/0!</v>
      </c>
      <c r="AZ984" s="2" t="e">
        <f t="shared" si="740"/>
        <v>#DIV/0!</v>
      </c>
      <c r="BA984" s="2" t="e">
        <f t="shared" si="761"/>
        <v>#DIV/0!</v>
      </c>
      <c r="BB984" s="2" t="e">
        <f t="shared" si="762"/>
        <v>#DIV/0!</v>
      </c>
      <c r="BC984" s="2" t="e">
        <f t="shared" si="776"/>
        <v>#DIV/0!</v>
      </c>
      <c r="BD984" s="2">
        <v>0</v>
      </c>
      <c r="BE984" s="2" t="e">
        <f t="shared" si="763"/>
        <v>#DIV/0!</v>
      </c>
      <c r="BF984" s="2" t="e">
        <f t="shared" si="764"/>
        <v>#DIV/0!</v>
      </c>
      <c r="BG984" s="2" t="e">
        <f t="shared" si="777"/>
        <v>#DIV/0!</v>
      </c>
      <c r="BH984" s="2" t="e">
        <f t="shared" si="741"/>
        <v>#DIV/0!</v>
      </c>
      <c r="BI984" s="2" t="e">
        <f t="shared" si="765"/>
        <v>#DIV/0!</v>
      </c>
      <c r="BJ984" s="2" t="e">
        <f t="shared" si="766"/>
        <v>#DIV/0!</v>
      </c>
      <c r="BK984" s="2" t="e">
        <f t="shared" si="778"/>
        <v>#DIV/0!</v>
      </c>
      <c r="BL984" s="2" t="e">
        <f t="shared" si="767"/>
        <v>#DIV/0!</v>
      </c>
      <c r="BM984" s="2" t="e">
        <f t="shared" si="768"/>
        <v>#DIV/0!</v>
      </c>
      <c r="BN984" s="2" t="e">
        <f t="shared" si="779"/>
        <v>#DIV/0!</v>
      </c>
    </row>
    <row r="985" spans="1:66" x14ac:dyDescent="0.25">
      <c r="A985" s="42">
        <v>982</v>
      </c>
      <c r="E985" s="6">
        <f t="shared" si="769"/>
        <v>0</v>
      </c>
      <c r="F985" s="5" t="str">
        <f t="shared" si="780"/>
        <v>Break Even</v>
      </c>
      <c r="G985" s="4">
        <f t="shared" si="781"/>
        <v>0</v>
      </c>
      <c r="N985" s="5">
        <f t="shared" si="782"/>
        <v>0</v>
      </c>
      <c r="O985" s="4" t="e">
        <f t="shared" si="783"/>
        <v>#DIV/0!</v>
      </c>
      <c r="P985" s="5">
        <f t="shared" si="742"/>
        <v>0</v>
      </c>
      <c r="R985" s="2">
        <f t="shared" si="737"/>
        <v>0</v>
      </c>
      <c r="T985" s="2">
        <f t="shared" si="770"/>
        <v>0</v>
      </c>
      <c r="V985" s="5">
        <f t="shared" si="784"/>
        <v>0</v>
      </c>
      <c r="W985" s="4" t="e">
        <f t="shared" si="785"/>
        <v>#DIV/0!</v>
      </c>
      <c r="X985" s="14">
        <f t="shared" si="743"/>
        <v>0</v>
      </c>
      <c r="Y985" s="5">
        <f t="shared" si="744"/>
        <v>0</v>
      </c>
      <c r="Z985" s="2">
        <f t="shared" si="745"/>
        <v>0</v>
      </c>
      <c r="AA985" s="4">
        <f t="shared" si="746"/>
        <v>0</v>
      </c>
      <c r="AB985" s="13">
        <f t="shared" si="747"/>
        <v>0</v>
      </c>
      <c r="AC985" s="10">
        <f>SUM($E$4:E985)</f>
        <v>-22024.091160220025</v>
      </c>
      <c r="AD985" s="20">
        <f>SUM($AB$4:AB985)</f>
        <v>13539.766460219998</v>
      </c>
      <c r="AF985" s="28" t="e">
        <f t="shared" si="748"/>
        <v>#DIV/0!</v>
      </c>
      <c r="AG985" s="2" t="e">
        <f t="shared" si="749"/>
        <v>#DIV/0!</v>
      </c>
      <c r="AH985" s="2" t="e">
        <f t="shared" si="750"/>
        <v>#DIV/0!</v>
      </c>
      <c r="AI985" s="2" t="e">
        <f t="shared" si="771"/>
        <v>#DIV/0!</v>
      </c>
      <c r="AJ985" s="2" t="e">
        <f t="shared" si="738"/>
        <v>#DIV/0!</v>
      </c>
      <c r="AK985" s="2" t="e">
        <f t="shared" si="751"/>
        <v>#DIV/0!</v>
      </c>
      <c r="AL985" s="2" t="e">
        <f t="shared" si="752"/>
        <v>#DIV/0!</v>
      </c>
      <c r="AM985" s="2" t="e">
        <f t="shared" si="772"/>
        <v>#DIV/0!</v>
      </c>
      <c r="AN985" s="2">
        <f t="shared" si="753"/>
        <v>0</v>
      </c>
      <c r="AO985" s="2" t="e">
        <f t="shared" si="754"/>
        <v>#DIV/0!</v>
      </c>
      <c r="AP985" s="2" t="e">
        <f t="shared" si="755"/>
        <v>#DIV/0!</v>
      </c>
      <c r="AQ985" s="2" t="e">
        <f t="shared" si="773"/>
        <v>#DIV/0!</v>
      </c>
      <c r="AR985" s="2" t="e">
        <f t="shared" si="739"/>
        <v>#DIV/0!</v>
      </c>
      <c r="AS985" s="2" t="e">
        <f t="shared" si="756"/>
        <v>#DIV/0!</v>
      </c>
      <c r="AT985" s="2" t="e">
        <f t="shared" si="757"/>
        <v>#DIV/0!</v>
      </c>
      <c r="AU985" s="2" t="e">
        <f t="shared" si="774"/>
        <v>#DIV/0!</v>
      </c>
      <c r="AV985" s="2" t="e">
        <f t="shared" si="758"/>
        <v>#DIV/0!</v>
      </c>
      <c r="AW985" s="2" t="e">
        <f t="shared" si="759"/>
        <v>#DIV/0!</v>
      </c>
      <c r="AX985" s="2" t="e">
        <f t="shared" si="760"/>
        <v>#DIV/0!</v>
      </c>
      <c r="AY985" s="2" t="e">
        <f t="shared" si="775"/>
        <v>#DIV/0!</v>
      </c>
      <c r="AZ985" s="2" t="e">
        <f t="shared" si="740"/>
        <v>#DIV/0!</v>
      </c>
      <c r="BA985" s="2" t="e">
        <f t="shared" si="761"/>
        <v>#DIV/0!</v>
      </c>
      <c r="BB985" s="2" t="e">
        <f t="shared" si="762"/>
        <v>#DIV/0!</v>
      </c>
      <c r="BC985" s="2" t="e">
        <f t="shared" si="776"/>
        <v>#DIV/0!</v>
      </c>
      <c r="BD985" s="2">
        <v>0</v>
      </c>
      <c r="BE985" s="2" t="e">
        <f t="shared" si="763"/>
        <v>#DIV/0!</v>
      </c>
      <c r="BF985" s="2" t="e">
        <f t="shared" si="764"/>
        <v>#DIV/0!</v>
      </c>
      <c r="BG985" s="2" t="e">
        <f t="shared" si="777"/>
        <v>#DIV/0!</v>
      </c>
      <c r="BH985" s="2" t="e">
        <f t="shared" si="741"/>
        <v>#DIV/0!</v>
      </c>
      <c r="BI985" s="2" t="e">
        <f t="shared" si="765"/>
        <v>#DIV/0!</v>
      </c>
      <c r="BJ985" s="2" t="e">
        <f t="shared" si="766"/>
        <v>#DIV/0!</v>
      </c>
      <c r="BK985" s="2" t="e">
        <f t="shared" si="778"/>
        <v>#DIV/0!</v>
      </c>
      <c r="BL985" s="2" t="e">
        <f t="shared" si="767"/>
        <v>#DIV/0!</v>
      </c>
      <c r="BM985" s="2" t="e">
        <f t="shared" si="768"/>
        <v>#DIV/0!</v>
      </c>
      <c r="BN985" s="2" t="e">
        <f t="shared" si="779"/>
        <v>#DIV/0!</v>
      </c>
    </row>
    <row r="986" spans="1:66" x14ac:dyDescent="0.25">
      <c r="A986" s="42">
        <v>983</v>
      </c>
      <c r="E986" s="6">
        <f t="shared" si="769"/>
        <v>0</v>
      </c>
      <c r="F986" s="5" t="str">
        <f t="shared" si="780"/>
        <v>Break Even</v>
      </c>
      <c r="G986" s="4">
        <f t="shared" si="781"/>
        <v>0</v>
      </c>
      <c r="N986" s="5">
        <f t="shared" si="782"/>
        <v>0</v>
      </c>
      <c r="O986" s="4" t="e">
        <f t="shared" si="783"/>
        <v>#DIV/0!</v>
      </c>
      <c r="P986" s="5">
        <f t="shared" si="742"/>
        <v>0</v>
      </c>
      <c r="R986" s="2">
        <f t="shared" si="737"/>
        <v>0</v>
      </c>
      <c r="T986" s="2">
        <f t="shared" si="770"/>
        <v>0</v>
      </c>
      <c r="V986" s="5">
        <f t="shared" si="784"/>
        <v>0</v>
      </c>
      <c r="W986" s="4" t="e">
        <f t="shared" si="785"/>
        <v>#DIV/0!</v>
      </c>
      <c r="X986" s="14">
        <f t="shared" si="743"/>
        <v>0</v>
      </c>
      <c r="Y986" s="5">
        <f t="shared" si="744"/>
        <v>0</v>
      </c>
      <c r="Z986" s="2">
        <f t="shared" si="745"/>
        <v>0</v>
      </c>
      <c r="AA986" s="4">
        <f t="shared" si="746"/>
        <v>0</v>
      </c>
      <c r="AB986" s="13">
        <f t="shared" si="747"/>
        <v>0</v>
      </c>
      <c r="AC986" s="10">
        <f>SUM($E$4:E986)</f>
        <v>-22024.091160220025</v>
      </c>
      <c r="AD986" s="20">
        <f>SUM($AB$4:AB986)</f>
        <v>13539.766460219998</v>
      </c>
      <c r="AF986" s="28" t="e">
        <f t="shared" si="748"/>
        <v>#DIV/0!</v>
      </c>
      <c r="AG986" s="2" t="e">
        <f t="shared" si="749"/>
        <v>#DIV/0!</v>
      </c>
      <c r="AH986" s="2" t="e">
        <f t="shared" si="750"/>
        <v>#DIV/0!</v>
      </c>
      <c r="AI986" s="2" t="e">
        <f t="shared" si="771"/>
        <v>#DIV/0!</v>
      </c>
      <c r="AJ986" s="2" t="e">
        <f t="shared" si="738"/>
        <v>#DIV/0!</v>
      </c>
      <c r="AK986" s="2" t="e">
        <f t="shared" si="751"/>
        <v>#DIV/0!</v>
      </c>
      <c r="AL986" s="2" t="e">
        <f t="shared" si="752"/>
        <v>#DIV/0!</v>
      </c>
      <c r="AM986" s="2" t="e">
        <f t="shared" si="772"/>
        <v>#DIV/0!</v>
      </c>
      <c r="AN986" s="2">
        <f t="shared" si="753"/>
        <v>0</v>
      </c>
      <c r="AO986" s="2" t="e">
        <f t="shared" si="754"/>
        <v>#DIV/0!</v>
      </c>
      <c r="AP986" s="2" t="e">
        <f t="shared" si="755"/>
        <v>#DIV/0!</v>
      </c>
      <c r="AQ986" s="2" t="e">
        <f t="shared" si="773"/>
        <v>#DIV/0!</v>
      </c>
      <c r="AR986" s="2" t="e">
        <f t="shared" si="739"/>
        <v>#DIV/0!</v>
      </c>
      <c r="AS986" s="2" t="e">
        <f t="shared" si="756"/>
        <v>#DIV/0!</v>
      </c>
      <c r="AT986" s="2" t="e">
        <f t="shared" si="757"/>
        <v>#DIV/0!</v>
      </c>
      <c r="AU986" s="2" t="e">
        <f t="shared" si="774"/>
        <v>#DIV/0!</v>
      </c>
      <c r="AV986" s="2" t="e">
        <f t="shared" si="758"/>
        <v>#DIV/0!</v>
      </c>
      <c r="AW986" s="2" t="e">
        <f t="shared" si="759"/>
        <v>#DIV/0!</v>
      </c>
      <c r="AX986" s="2" t="e">
        <f t="shared" si="760"/>
        <v>#DIV/0!</v>
      </c>
      <c r="AY986" s="2" t="e">
        <f t="shared" si="775"/>
        <v>#DIV/0!</v>
      </c>
      <c r="AZ986" s="2" t="e">
        <f t="shared" si="740"/>
        <v>#DIV/0!</v>
      </c>
      <c r="BA986" s="2" t="e">
        <f t="shared" si="761"/>
        <v>#DIV/0!</v>
      </c>
      <c r="BB986" s="2" t="e">
        <f t="shared" si="762"/>
        <v>#DIV/0!</v>
      </c>
      <c r="BC986" s="2" t="e">
        <f t="shared" si="776"/>
        <v>#DIV/0!</v>
      </c>
      <c r="BD986" s="2">
        <v>0</v>
      </c>
      <c r="BE986" s="2" t="e">
        <f t="shared" si="763"/>
        <v>#DIV/0!</v>
      </c>
      <c r="BF986" s="2" t="e">
        <f t="shared" si="764"/>
        <v>#DIV/0!</v>
      </c>
      <c r="BG986" s="2" t="e">
        <f t="shared" si="777"/>
        <v>#DIV/0!</v>
      </c>
      <c r="BH986" s="2" t="e">
        <f t="shared" si="741"/>
        <v>#DIV/0!</v>
      </c>
      <c r="BI986" s="2" t="e">
        <f t="shared" si="765"/>
        <v>#DIV/0!</v>
      </c>
      <c r="BJ986" s="2" t="e">
        <f t="shared" si="766"/>
        <v>#DIV/0!</v>
      </c>
      <c r="BK986" s="2" t="e">
        <f t="shared" si="778"/>
        <v>#DIV/0!</v>
      </c>
      <c r="BL986" s="2" t="e">
        <f t="shared" si="767"/>
        <v>#DIV/0!</v>
      </c>
      <c r="BM986" s="2" t="e">
        <f t="shared" si="768"/>
        <v>#DIV/0!</v>
      </c>
      <c r="BN986" s="2" t="e">
        <f t="shared" si="779"/>
        <v>#DIV/0!</v>
      </c>
    </row>
    <row r="987" spans="1:66" x14ac:dyDescent="0.25">
      <c r="A987" s="42">
        <v>984</v>
      </c>
      <c r="E987" s="6">
        <f t="shared" si="769"/>
        <v>0</v>
      </c>
      <c r="F987" s="5" t="str">
        <f t="shared" si="780"/>
        <v>Break Even</v>
      </c>
      <c r="G987" s="4">
        <f t="shared" si="781"/>
        <v>0</v>
      </c>
      <c r="N987" s="5">
        <f t="shared" si="782"/>
        <v>0</v>
      </c>
      <c r="O987" s="4" t="e">
        <f t="shared" si="783"/>
        <v>#DIV/0!</v>
      </c>
      <c r="P987" s="5">
        <f t="shared" si="742"/>
        <v>0</v>
      </c>
      <c r="R987" s="2">
        <f t="shared" si="737"/>
        <v>0</v>
      </c>
      <c r="T987" s="2">
        <f t="shared" si="770"/>
        <v>0</v>
      </c>
      <c r="V987" s="5">
        <f t="shared" si="784"/>
        <v>0</v>
      </c>
      <c r="W987" s="4" t="e">
        <f t="shared" si="785"/>
        <v>#DIV/0!</v>
      </c>
      <c r="X987" s="14">
        <f t="shared" si="743"/>
        <v>0</v>
      </c>
      <c r="Y987" s="5">
        <f t="shared" si="744"/>
        <v>0</v>
      </c>
      <c r="Z987" s="2">
        <f t="shared" si="745"/>
        <v>0</v>
      </c>
      <c r="AA987" s="4">
        <f t="shared" si="746"/>
        <v>0</v>
      </c>
      <c r="AB987" s="13">
        <f t="shared" si="747"/>
        <v>0</v>
      </c>
      <c r="AC987" s="10">
        <f>SUM($E$4:E987)</f>
        <v>-22024.091160220025</v>
      </c>
      <c r="AD987" s="20">
        <f>SUM($AB$4:AB987)</f>
        <v>13539.766460219998</v>
      </c>
      <c r="AF987" s="28" t="e">
        <f t="shared" si="748"/>
        <v>#DIV/0!</v>
      </c>
      <c r="AG987" s="2" t="e">
        <f t="shared" si="749"/>
        <v>#DIV/0!</v>
      </c>
      <c r="AH987" s="2" t="e">
        <f t="shared" si="750"/>
        <v>#DIV/0!</v>
      </c>
      <c r="AI987" s="2" t="e">
        <f t="shared" si="771"/>
        <v>#DIV/0!</v>
      </c>
      <c r="AJ987" s="2" t="e">
        <f t="shared" si="738"/>
        <v>#DIV/0!</v>
      </c>
      <c r="AK987" s="2" t="e">
        <f t="shared" si="751"/>
        <v>#DIV/0!</v>
      </c>
      <c r="AL987" s="2" t="e">
        <f t="shared" si="752"/>
        <v>#DIV/0!</v>
      </c>
      <c r="AM987" s="2" t="e">
        <f t="shared" si="772"/>
        <v>#DIV/0!</v>
      </c>
      <c r="AN987" s="2">
        <f t="shared" si="753"/>
        <v>0</v>
      </c>
      <c r="AO987" s="2" t="e">
        <f t="shared" si="754"/>
        <v>#DIV/0!</v>
      </c>
      <c r="AP987" s="2" t="e">
        <f t="shared" si="755"/>
        <v>#DIV/0!</v>
      </c>
      <c r="AQ987" s="2" t="e">
        <f t="shared" si="773"/>
        <v>#DIV/0!</v>
      </c>
      <c r="AR987" s="2" t="e">
        <f t="shared" si="739"/>
        <v>#DIV/0!</v>
      </c>
      <c r="AS987" s="2" t="e">
        <f t="shared" si="756"/>
        <v>#DIV/0!</v>
      </c>
      <c r="AT987" s="2" t="e">
        <f t="shared" si="757"/>
        <v>#DIV/0!</v>
      </c>
      <c r="AU987" s="2" t="e">
        <f t="shared" si="774"/>
        <v>#DIV/0!</v>
      </c>
      <c r="AV987" s="2" t="e">
        <f t="shared" si="758"/>
        <v>#DIV/0!</v>
      </c>
      <c r="AW987" s="2" t="e">
        <f t="shared" si="759"/>
        <v>#DIV/0!</v>
      </c>
      <c r="AX987" s="2" t="e">
        <f t="shared" si="760"/>
        <v>#DIV/0!</v>
      </c>
      <c r="AY987" s="2" t="e">
        <f t="shared" si="775"/>
        <v>#DIV/0!</v>
      </c>
      <c r="AZ987" s="2" t="e">
        <f t="shared" si="740"/>
        <v>#DIV/0!</v>
      </c>
      <c r="BA987" s="2" t="e">
        <f t="shared" si="761"/>
        <v>#DIV/0!</v>
      </c>
      <c r="BB987" s="2" t="e">
        <f t="shared" si="762"/>
        <v>#DIV/0!</v>
      </c>
      <c r="BC987" s="2" t="e">
        <f t="shared" si="776"/>
        <v>#DIV/0!</v>
      </c>
      <c r="BD987" s="2">
        <v>0</v>
      </c>
      <c r="BE987" s="2" t="e">
        <f t="shared" si="763"/>
        <v>#DIV/0!</v>
      </c>
      <c r="BF987" s="2" t="e">
        <f t="shared" si="764"/>
        <v>#DIV/0!</v>
      </c>
      <c r="BG987" s="2" t="e">
        <f t="shared" si="777"/>
        <v>#DIV/0!</v>
      </c>
      <c r="BH987" s="2" t="e">
        <f t="shared" si="741"/>
        <v>#DIV/0!</v>
      </c>
      <c r="BI987" s="2" t="e">
        <f t="shared" si="765"/>
        <v>#DIV/0!</v>
      </c>
      <c r="BJ987" s="2" t="e">
        <f t="shared" si="766"/>
        <v>#DIV/0!</v>
      </c>
      <c r="BK987" s="2" t="e">
        <f t="shared" si="778"/>
        <v>#DIV/0!</v>
      </c>
      <c r="BL987" s="2" t="e">
        <f t="shared" si="767"/>
        <v>#DIV/0!</v>
      </c>
      <c r="BM987" s="2" t="e">
        <f t="shared" si="768"/>
        <v>#DIV/0!</v>
      </c>
      <c r="BN987" s="2" t="e">
        <f t="shared" si="779"/>
        <v>#DIV/0!</v>
      </c>
    </row>
    <row r="988" spans="1:66" x14ac:dyDescent="0.25">
      <c r="A988" s="42">
        <v>985</v>
      </c>
      <c r="E988" s="6">
        <f t="shared" si="769"/>
        <v>0</v>
      </c>
      <c r="F988" s="5" t="str">
        <f t="shared" si="780"/>
        <v>Break Even</v>
      </c>
      <c r="G988" s="4">
        <f t="shared" si="781"/>
        <v>0</v>
      </c>
      <c r="N988" s="5">
        <f t="shared" si="782"/>
        <v>0</v>
      </c>
      <c r="O988" s="4" t="e">
        <f t="shared" si="783"/>
        <v>#DIV/0!</v>
      </c>
      <c r="P988" s="5">
        <f t="shared" si="742"/>
        <v>0</v>
      </c>
      <c r="R988" s="2">
        <f t="shared" si="737"/>
        <v>0</v>
      </c>
      <c r="T988" s="2">
        <f t="shared" si="770"/>
        <v>0</v>
      </c>
      <c r="V988" s="5">
        <f t="shared" si="784"/>
        <v>0</v>
      </c>
      <c r="W988" s="4" t="e">
        <f t="shared" si="785"/>
        <v>#DIV/0!</v>
      </c>
      <c r="X988" s="14">
        <f t="shared" si="743"/>
        <v>0</v>
      </c>
      <c r="Y988" s="5">
        <f t="shared" si="744"/>
        <v>0</v>
      </c>
      <c r="Z988" s="2">
        <f t="shared" si="745"/>
        <v>0</v>
      </c>
      <c r="AA988" s="4">
        <f t="shared" si="746"/>
        <v>0</v>
      </c>
      <c r="AB988" s="13">
        <f t="shared" si="747"/>
        <v>0</v>
      </c>
      <c r="AC988" s="10">
        <f>SUM($E$4:E988)</f>
        <v>-22024.091160220025</v>
      </c>
      <c r="AD988" s="20">
        <f>SUM($AB$4:AB988)</f>
        <v>13539.766460219998</v>
      </c>
      <c r="AF988" s="28" t="e">
        <f t="shared" si="748"/>
        <v>#DIV/0!</v>
      </c>
      <c r="AG988" s="2" t="e">
        <f t="shared" si="749"/>
        <v>#DIV/0!</v>
      </c>
      <c r="AH988" s="2" t="e">
        <f t="shared" si="750"/>
        <v>#DIV/0!</v>
      </c>
      <c r="AI988" s="2" t="e">
        <f t="shared" si="771"/>
        <v>#DIV/0!</v>
      </c>
      <c r="AJ988" s="2" t="e">
        <f t="shared" si="738"/>
        <v>#DIV/0!</v>
      </c>
      <c r="AK988" s="2" t="e">
        <f t="shared" si="751"/>
        <v>#DIV/0!</v>
      </c>
      <c r="AL988" s="2" t="e">
        <f t="shared" si="752"/>
        <v>#DIV/0!</v>
      </c>
      <c r="AM988" s="2" t="e">
        <f t="shared" si="772"/>
        <v>#DIV/0!</v>
      </c>
      <c r="AN988" s="2">
        <f t="shared" si="753"/>
        <v>0</v>
      </c>
      <c r="AO988" s="2" t="e">
        <f t="shared" si="754"/>
        <v>#DIV/0!</v>
      </c>
      <c r="AP988" s="2" t="e">
        <f t="shared" si="755"/>
        <v>#DIV/0!</v>
      </c>
      <c r="AQ988" s="2" t="e">
        <f t="shared" si="773"/>
        <v>#DIV/0!</v>
      </c>
      <c r="AR988" s="2" t="e">
        <f t="shared" si="739"/>
        <v>#DIV/0!</v>
      </c>
      <c r="AS988" s="2" t="e">
        <f t="shared" si="756"/>
        <v>#DIV/0!</v>
      </c>
      <c r="AT988" s="2" t="e">
        <f t="shared" si="757"/>
        <v>#DIV/0!</v>
      </c>
      <c r="AU988" s="2" t="e">
        <f t="shared" si="774"/>
        <v>#DIV/0!</v>
      </c>
      <c r="AV988" s="2" t="e">
        <f t="shared" si="758"/>
        <v>#DIV/0!</v>
      </c>
      <c r="AW988" s="2" t="e">
        <f t="shared" si="759"/>
        <v>#DIV/0!</v>
      </c>
      <c r="AX988" s="2" t="e">
        <f t="shared" si="760"/>
        <v>#DIV/0!</v>
      </c>
      <c r="AY988" s="2" t="e">
        <f t="shared" si="775"/>
        <v>#DIV/0!</v>
      </c>
      <c r="AZ988" s="2" t="e">
        <f t="shared" si="740"/>
        <v>#DIV/0!</v>
      </c>
      <c r="BA988" s="2" t="e">
        <f t="shared" si="761"/>
        <v>#DIV/0!</v>
      </c>
      <c r="BB988" s="2" t="e">
        <f t="shared" si="762"/>
        <v>#DIV/0!</v>
      </c>
      <c r="BC988" s="2" t="e">
        <f t="shared" si="776"/>
        <v>#DIV/0!</v>
      </c>
      <c r="BD988" s="2">
        <v>0</v>
      </c>
      <c r="BE988" s="2" t="e">
        <f t="shared" si="763"/>
        <v>#DIV/0!</v>
      </c>
      <c r="BF988" s="2" t="e">
        <f t="shared" si="764"/>
        <v>#DIV/0!</v>
      </c>
      <c r="BG988" s="2" t="e">
        <f t="shared" si="777"/>
        <v>#DIV/0!</v>
      </c>
      <c r="BH988" s="2" t="e">
        <f t="shared" si="741"/>
        <v>#DIV/0!</v>
      </c>
      <c r="BI988" s="2" t="e">
        <f t="shared" si="765"/>
        <v>#DIV/0!</v>
      </c>
      <c r="BJ988" s="2" t="e">
        <f t="shared" si="766"/>
        <v>#DIV/0!</v>
      </c>
      <c r="BK988" s="2" t="e">
        <f t="shared" si="778"/>
        <v>#DIV/0!</v>
      </c>
      <c r="BL988" s="2" t="e">
        <f t="shared" si="767"/>
        <v>#DIV/0!</v>
      </c>
      <c r="BM988" s="2" t="e">
        <f t="shared" si="768"/>
        <v>#DIV/0!</v>
      </c>
      <c r="BN988" s="2" t="e">
        <f t="shared" si="779"/>
        <v>#DIV/0!</v>
      </c>
    </row>
    <row r="989" spans="1:66" x14ac:dyDescent="0.25">
      <c r="A989" s="42">
        <v>986</v>
      </c>
      <c r="E989" s="6">
        <f t="shared" si="769"/>
        <v>0</v>
      </c>
      <c r="F989" s="5" t="str">
        <f t="shared" si="780"/>
        <v>Break Even</v>
      </c>
      <c r="G989" s="4">
        <f t="shared" si="781"/>
        <v>0</v>
      </c>
      <c r="N989" s="5">
        <f t="shared" si="782"/>
        <v>0</v>
      </c>
      <c r="O989" s="4" t="e">
        <f t="shared" si="783"/>
        <v>#DIV/0!</v>
      </c>
      <c r="P989" s="5">
        <f t="shared" si="742"/>
        <v>0</v>
      </c>
      <c r="R989" s="2">
        <f t="shared" si="737"/>
        <v>0</v>
      </c>
      <c r="T989" s="2">
        <f t="shared" si="770"/>
        <v>0</v>
      </c>
      <c r="V989" s="5">
        <f t="shared" si="784"/>
        <v>0</v>
      </c>
      <c r="W989" s="4" t="e">
        <f t="shared" si="785"/>
        <v>#DIV/0!</v>
      </c>
      <c r="X989" s="14">
        <f t="shared" si="743"/>
        <v>0</v>
      </c>
      <c r="Y989" s="5">
        <f t="shared" si="744"/>
        <v>0</v>
      </c>
      <c r="Z989" s="2">
        <f t="shared" si="745"/>
        <v>0</v>
      </c>
      <c r="AA989" s="4">
        <f t="shared" si="746"/>
        <v>0</v>
      </c>
      <c r="AB989" s="13">
        <f t="shared" si="747"/>
        <v>0</v>
      </c>
      <c r="AC989" s="10">
        <f>SUM($E$4:E989)</f>
        <v>-22024.091160220025</v>
      </c>
      <c r="AD989" s="20">
        <f>SUM($AB$4:AB989)</f>
        <v>13539.766460219998</v>
      </c>
      <c r="AF989" s="28" t="e">
        <f t="shared" si="748"/>
        <v>#DIV/0!</v>
      </c>
      <c r="AG989" s="2" t="e">
        <f t="shared" si="749"/>
        <v>#DIV/0!</v>
      </c>
      <c r="AH989" s="2" t="e">
        <f t="shared" si="750"/>
        <v>#DIV/0!</v>
      </c>
      <c r="AI989" s="2" t="e">
        <f t="shared" si="771"/>
        <v>#DIV/0!</v>
      </c>
      <c r="AJ989" s="2" t="e">
        <f t="shared" si="738"/>
        <v>#DIV/0!</v>
      </c>
      <c r="AK989" s="2" t="e">
        <f t="shared" si="751"/>
        <v>#DIV/0!</v>
      </c>
      <c r="AL989" s="2" t="e">
        <f t="shared" si="752"/>
        <v>#DIV/0!</v>
      </c>
      <c r="AM989" s="2" t="e">
        <f t="shared" si="772"/>
        <v>#DIV/0!</v>
      </c>
      <c r="AN989" s="2">
        <f t="shared" si="753"/>
        <v>0</v>
      </c>
      <c r="AO989" s="2" t="e">
        <f t="shared" si="754"/>
        <v>#DIV/0!</v>
      </c>
      <c r="AP989" s="2" t="e">
        <f t="shared" si="755"/>
        <v>#DIV/0!</v>
      </c>
      <c r="AQ989" s="2" t="e">
        <f t="shared" si="773"/>
        <v>#DIV/0!</v>
      </c>
      <c r="AR989" s="2" t="e">
        <f t="shared" si="739"/>
        <v>#DIV/0!</v>
      </c>
      <c r="AS989" s="2" t="e">
        <f t="shared" si="756"/>
        <v>#DIV/0!</v>
      </c>
      <c r="AT989" s="2" t="e">
        <f t="shared" si="757"/>
        <v>#DIV/0!</v>
      </c>
      <c r="AU989" s="2" t="e">
        <f t="shared" si="774"/>
        <v>#DIV/0!</v>
      </c>
      <c r="AV989" s="2" t="e">
        <f t="shared" si="758"/>
        <v>#DIV/0!</v>
      </c>
      <c r="AW989" s="2" t="e">
        <f t="shared" si="759"/>
        <v>#DIV/0!</v>
      </c>
      <c r="AX989" s="2" t="e">
        <f t="shared" si="760"/>
        <v>#DIV/0!</v>
      </c>
      <c r="AY989" s="2" t="e">
        <f t="shared" si="775"/>
        <v>#DIV/0!</v>
      </c>
      <c r="AZ989" s="2" t="e">
        <f t="shared" si="740"/>
        <v>#DIV/0!</v>
      </c>
      <c r="BA989" s="2" t="e">
        <f t="shared" si="761"/>
        <v>#DIV/0!</v>
      </c>
      <c r="BB989" s="2" t="e">
        <f t="shared" si="762"/>
        <v>#DIV/0!</v>
      </c>
      <c r="BC989" s="2" t="e">
        <f t="shared" si="776"/>
        <v>#DIV/0!</v>
      </c>
      <c r="BD989" s="2">
        <v>0</v>
      </c>
      <c r="BE989" s="2" t="e">
        <f t="shared" si="763"/>
        <v>#DIV/0!</v>
      </c>
      <c r="BF989" s="2" t="e">
        <f t="shared" si="764"/>
        <v>#DIV/0!</v>
      </c>
      <c r="BG989" s="2" t="e">
        <f t="shared" si="777"/>
        <v>#DIV/0!</v>
      </c>
      <c r="BH989" s="2" t="e">
        <f t="shared" si="741"/>
        <v>#DIV/0!</v>
      </c>
      <c r="BI989" s="2" t="e">
        <f t="shared" si="765"/>
        <v>#DIV/0!</v>
      </c>
      <c r="BJ989" s="2" t="e">
        <f t="shared" si="766"/>
        <v>#DIV/0!</v>
      </c>
      <c r="BK989" s="2" t="e">
        <f t="shared" si="778"/>
        <v>#DIV/0!</v>
      </c>
      <c r="BL989" s="2" t="e">
        <f t="shared" si="767"/>
        <v>#DIV/0!</v>
      </c>
      <c r="BM989" s="2" t="e">
        <f t="shared" si="768"/>
        <v>#DIV/0!</v>
      </c>
      <c r="BN989" s="2" t="e">
        <f t="shared" si="779"/>
        <v>#DIV/0!</v>
      </c>
    </row>
    <row r="990" spans="1:66" x14ac:dyDescent="0.25">
      <c r="A990" s="42">
        <v>987</v>
      </c>
      <c r="E990" s="6">
        <f t="shared" si="769"/>
        <v>0</v>
      </c>
      <c r="F990" s="5" t="str">
        <f t="shared" si="780"/>
        <v>Break Even</v>
      </c>
      <c r="G990" s="4">
        <f t="shared" si="781"/>
        <v>0</v>
      </c>
      <c r="N990" s="5">
        <f t="shared" si="782"/>
        <v>0</v>
      </c>
      <c r="O990" s="4" t="e">
        <f t="shared" si="783"/>
        <v>#DIV/0!</v>
      </c>
      <c r="P990" s="5">
        <f t="shared" si="742"/>
        <v>0</v>
      </c>
      <c r="R990" s="2">
        <f t="shared" si="737"/>
        <v>0</v>
      </c>
      <c r="T990" s="2">
        <f t="shared" si="770"/>
        <v>0</v>
      </c>
      <c r="V990" s="5">
        <f t="shared" si="784"/>
        <v>0</v>
      </c>
      <c r="W990" s="4" t="e">
        <f t="shared" si="785"/>
        <v>#DIV/0!</v>
      </c>
      <c r="X990" s="14">
        <f t="shared" si="743"/>
        <v>0</v>
      </c>
      <c r="Y990" s="5">
        <f t="shared" si="744"/>
        <v>0</v>
      </c>
      <c r="Z990" s="2">
        <f t="shared" si="745"/>
        <v>0</v>
      </c>
      <c r="AA990" s="4">
        <f t="shared" si="746"/>
        <v>0</v>
      </c>
      <c r="AB990" s="13">
        <f t="shared" si="747"/>
        <v>0</v>
      </c>
      <c r="AC990" s="10">
        <f>SUM($E$4:E990)</f>
        <v>-22024.091160220025</v>
      </c>
      <c r="AD990" s="20">
        <f>SUM($AB$4:AB990)</f>
        <v>13539.766460219998</v>
      </c>
      <c r="AF990" s="28" t="e">
        <f t="shared" si="748"/>
        <v>#DIV/0!</v>
      </c>
      <c r="AG990" s="2" t="e">
        <f t="shared" si="749"/>
        <v>#DIV/0!</v>
      </c>
      <c r="AH990" s="2" t="e">
        <f t="shared" si="750"/>
        <v>#DIV/0!</v>
      </c>
      <c r="AI990" s="2" t="e">
        <f t="shared" si="771"/>
        <v>#DIV/0!</v>
      </c>
      <c r="AJ990" s="2" t="e">
        <f t="shared" si="738"/>
        <v>#DIV/0!</v>
      </c>
      <c r="AK990" s="2" t="e">
        <f t="shared" si="751"/>
        <v>#DIV/0!</v>
      </c>
      <c r="AL990" s="2" t="e">
        <f t="shared" si="752"/>
        <v>#DIV/0!</v>
      </c>
      <c r="AM990" s="2" t="e">
        <f t="shared" si="772"/>
        <v>#DIV/0!</v>
      </c>
      <c r="AN990" s="2">
        <f t="shared" si="753"/>
        <v>0</v>
      </c>
      <c r="AO990" s="2" t="e">
        <f t="shared" si="754"/>
        <v>#DIV/0!</v>
      </c>
      <c r="AP990" s="2" t="e">
        <f t="shared" si="755"/>
        <v>#DIV/0!</v>
      </c>
      <c r="AQ990" s="2" t="e">
        <f t="shared" si="773"/>
        <v>#DIV/0!</v>
      </c>
      <c r="AR990" s="2" t="e">
        <f t="shared" si="739"/>
        <v>#DIV/0!</v>
      </c>
      <c r="AS990" s="2" t="e">
        <f t="shared" si="756"/>
        <v>#DIV/0!</v>
      </c>
      <c r="AT990" s="2" t="e">
        <f t="shared" si="757"/>
        <v>#DIV/0!</v>
      </c>
      <c r="AU990" s="2" t="e">
        <f t="shared" si="774"/>
        <v>#DIV/0!</v>
      </c>
      <c r="AV990" s="2" t="e">
        <f t="shared" si="758"/>
        <v>#DIV/0!</v>
      </c>
      <c r="AW990" s="2" t="e">
        <f t="shared" si="759"/>
        <v>#DIV/0!</v>
      </c>
      <c r="AX990" s="2" t="e">
        <f t="shared" si="760"/>
        <v>#DIV/0!</v>
      </c>
      <c r="AY990" s="2" t="e">
        <f t="shared" si="775"/>
        <v>#DIV/0!</v>
      </c>
      <c r="AZ990" s="2" t="e">
        <f t="shared" si="740"/>
        <v>#DIV/0!</v>
      </c>
      <c r="BA990" s="2" t="e">
        <f t="shared" si="761"/>
        <v>#DIV/0!</v>
      </c>
      <c r="BB990" s="2" t="e">
        <f t="shared" si="762"/>
        <v>#DIV/0!</v>
      </c>
      <c r="BC990" s="2" t="e">
        <f t="shared" si="776"/>
        <v>#DIV/0!</v>
      </c>
      <c r="BD990" s="2">
        <v>0</v>
      </c>
      <c r="BE990" s="2" t="e">
        <f t="shared" si="763"/>
        <v>#DIV/0!</v>
      </c>
      <c r="BF990" s="2" t="e">
        <f t="shared" si="764"/>
        <v>#DIV/0!</v>
      </c>
      <c r="BG990" s="2" t="e">
        <f t="shared" si="777"/>
        <v>#DIV/0!</v>
      </c>
      <c r="BH990" s="2" t="e">
        <f t="shared" si="741"/>
        <v>#DIV/0!</v>
      </c>
      <c r="BI990" s="2" t="e">
        <f t="shared" si="765"/>
        <v>#DIV/0!</v>
      </c>
      <c r="BJ990" s="2" t="e">
        <f t="shared" si="766"/>
        <v>#DIV/0!</v>
      </c>
      <c r="BK990" s="2" t="e">
        <f t="shared" si="778"/>
        <v>#DIV/0!</v>
      </c>
      <c r="BL990" s="2" t="e">
        <f t="shared" si="767"/>
        <v>#DIV/0!</v>
      </c>
      <c r="BM990" s="2" t="e">
        <f t="shared" si="768"/>
        <v>#DIV/0!</v>
      </c>
      <c r="BN990" s="2" t="e">
        <f t="shared" si="779"/>
        <v>#DIV/0!</v>
      </c>
    </row>
    <row r="991" spans="1:66" x14ac:dyDescent="0.25">
      <c r="A991" s="42">
        <v>988</v>
      </c>
      <c r="E991" s="6">
        <f t="shared" si="769"/>
        <v>0</v>
      </c>
      <c r="F991" s="5" t="str">
        <f t="shared" si="780"/>
        <v>Break Even</v>
      </c>
      <c r="G991" s="4">
        <f t="shared" si="781"/>
        <v>0</v>
      </c>
      <c r="N991" s="5">
        <f t="shared" si="782"/>
        <v>0</v>
      </c>
      <c r="O991" s="4" t="e">
        <f t="shared" si="783"/>
        <v>#DIV/0!</v>
      </c>
      <c r="P991" s="5">
        <f t="shared" si="742"/>
        <v>0</v>
      </c>
      <c r="R991" s="2">
        <f t="shared" si="737"/>
        <v>0</v>
      </c>
      <c r="T991" s="2">
        <f t="shared" si="770"/>
        <v>0</v>
      </c>
      <c r="V991" s="5">
        <f t="shared" si="784"/>
        <v>0</v>
      </c>
      <c r="W991" s="4" t="e">
        <f t="shared" si="785"/>
        <v>#DIV/0!</v>
      </c>
      <c r="X991" s="14">
        <f t="shared" si="743"/>
        <v>0</v>
      </c>
      <c r="Y991" s="5">
        <f t="shared" si="744"/>
        <v>0</v>
      </c>
      <c r="Z991" s="2">
        <f t="shared" si="745"/>
        <v>0</v>
      </c>
      <c r="AA991" s="4">
        <f t="shared" si="746"/>
        <v>0</v>
      </c>
      <c r="AB991" s="13">
        <f t="shared" si="747"/>
        <v>0</v>
      </c>
      <c r="AC991" s="10">
        <f>SUM($E$4:E991)</f>
        <v>-22024.091160220025</v>
      </c>
      <c r="AD991" s="20">
        <f>SUM($AB$4:AB991)</f>
        <v>13539.766460219998</v>
      </c>
      <c r="AF991" s="28" t="e">
        <f t="shared" si="748"/>
        <v>#DIV/0!</v>
      </c>
      <c r="AG991" s="2" t="e">
        <f t="shared" si="749"/>
        <v>#DIV/0!</v>
      </c>
      <c r="AH991" s="2" t="e">
        <f t="shared" si="750"/>
        <v>#DIV/0!</v>
      </c>
      <c r="AI991" s="2" t="e">
        <f t="shared" si="771"/>
        <v>#DIV/0!</v>
      </c>
      <c r="AJ991" s="2" t="e">
        <f t="shared" si="738"/>
        <v>#DIV/0!</v>
      </c>
      <c r="AK991" s="2" t="e">
        <f t="shared" si="751"/>
        <v>#DIV/0!</v>
      </c>
      <c r="AL991" s="2" t="e">
        <f t="shared" si="752"/>
        <v>#DIV/0!</v>
      </c>
      <c r="AM991" s="2" t="e">
        <f t="shared" si="772"/>
        <v>#DIV/0!</v>
      </c>
      <c r="AN991" s="2">
        <f t="shared" si="753"/>
        <v>0</v>
      </c>
      <c r="AO991" s="2" t="e">
        <f t="shared" si="754"/>
        <v>#DIV/0!</v>
      </c>
      <c r="AP991" s="2" t="e">
        <f t="shared" si="755"/>
        <v>#DIV/0!</v>
      </c>
      <c r="AQ991" s="2" t="e">
        <f t="shared" si="773"/>
        <v>#DIV/0!</v>
      </c>
      <c r="AR991" s="2" t="e">
        <f t="shared" si="739"/>
        <v>#DIV/0!</v>
      </c>
      <c r="AS991" s="2" t="e">
        <f t="shared" si="756"/>
        <v>#DIV/0!</v>
      </c>
      <c r="AT991" s="2" t="e">
        <f t="shared" si="757"/>
        <v>#DIV/0!</v>
      </c>
      <c r="AU991" s="2" t="e">
        <f t="shared" si="774"/>
        <v>#DIV/0!</v>
      </c>
      <c r="AV991" s="2" t="e">
        <f t="shared" si="758"/>
        <v>#DIV/0!</v>
      </c>
      <c r="AW991" s="2" t="e">
        <f t="shared" si="759"/>
        <v>#DIV/0!</v>
      </c>
      <c r="AX991" s="2" t="e">
        <f t="shared" si="760"/>
        <v>#DIV/0!</v>
      </c>
      <c r="AY991" s="2" t="e">
        <f t="shared" si="775"/>
        <v>#DIV/0!</v>
      </c>
      <c r="AZ991" s="2" t="e">
        <f t="shared" si="740"/>
        <v>#DIV/0!</v>
      </c>
      <c r="BA991" s="2" t="e">
        <f t="shared" si="761"/>
        <v>#DIV/0!</v>
      </c>
      <c r="BB991" s="2" t="e">
        <f t="shared" si="762"/>
        <v>#DIV/0!</v>
      </c>
      <c r="BC991" s="2" t="e">
        <f t="shared" si="776"/>
        <v>#DIV/0!</v>
      </c>
      <c r="BD991" s="2">
        <v>0</v>
      </c>
      <c r="BE991" s="2" t="e">
        <f t="shared" si="763"/>
        <v>#DIV/0!</v>
      </c>
      <c r="BF991" s="2" t="e">
        <f t="shared" si="764"/>
        <v>#DIV/0!</v>
      </c>
      <c r="BG991" s="2" t="e">
        <f t="shared" si="777"/>
        <v>#DIV/0!</v>
      </c>
      <c r="BH991" s="2" t="e">
        <f t="shared" si="741"/>
        <v>#DIV/0!</v>
      </c>
      <c r="BI991" s="2" t="e">
        <f t="shared" si="765"/>
        <v>#DIV/0!</v>
      </c>
      <c r="BJ991" s="2" t="e">
        <f t="shared" si="766"/>
        <v>#DIV/0!</v>
      </c>
      <c r="BK991" s="2" t="e">
        <f t="shared" si="778"/>
        <v>#DIV/0!</v>
      </c>
      <c r="BL991" s="2" t="e">
        <f t="shared" si="767"/>
        <v>#DIV/0!</v>
      </c>
      <c r="BM991" s="2" t="e">
        <f t="shared" si="768"/>
        <v>#DIV/0!</v>
      </c>
      <c r="BN991" s="2" t="e">
        <f t="shared" si="779"/>
        <v>#DIV/0!</v>
      </c>
    </row>
    <row r="992" spans="1:66" x14ac:dyDescent="0.25">
      <c r="A992" s="42">
        <v>989</v>
      </c>
      <c r="E992" s="6">
        <f t="shared" si="769"/>
        <v>0</v>
      </c>
      <c r="F992" s="5" t="str">
        <f t="shared" si="780"/>
        <v>Break Even</v>
      </c>
      <c r="G992" s="4">
        <f t="shared" si="781"/>
        <v>0</v>
      </c>
      <c r="N992" s="5">
        <f t="shared" si="782"/>
        <v>0</v>
      </c>
      <c r="O992" s="4" t="e">
        <f t="shared" si="783"/>
        <v>#DIV/0!</v>
      </c>
      <c r="P992" s="5">
        <f t="shared" si="742"/>
        <v>0</v>
      </c>
      <c r="R992" s="2">
        <f t="shared" si="737"/>
        <v>0</v>
      </c>
      <c r="T992" s="2">
        <f t="shared" si="770"/>
        <v>0</v>
      </c>
      <c r="V992" s="5">
        <f t="shared" si="784"/>
        <v>0</v>
      </c>
      <c r="W992" s="4" t="e">
        <f t="shared" si="785"/>
        <v>#DIV/0!</v>
      </c>
      <c r="X992" s="14">
        <f t="shared" si="743"/>
        <v>0</v>
      </c>
      <c r="Y992" s="5">
        <f t="shared" si="744"/>
        <v>0</v>
      </c>
      <c r="Z992" s="2">
        <f t="shared" si="745"/>
        <v>0</v>
      </c>
      <c r="AA992" s="4">
        <f t="shared" si="746"/>
        <v>0</v>
      </c>
      <c r="AB992" s="13">
        <f t="shared" si="747"/>
        <v>0</v>
      </c>
      <c r="AC992" s="10">
        <f>SUM($E$4:E992)</f>
        <v>-22024.091160220025</v>
      </c>
      <c r="AD992" s="20">
        <f>SUM($AB$4:AB992)</f>
        <v>13539.766460219998</v>
      </c>
      <c r="AF992" s="28" t="e">
        <f t="shared" si="748"/>
        <v>#DIV/0!</v>
      </c>
      <c r="AG992" s="2" t="e">
        <f t="shared" si="749"/>
        <v>#DIV/0!</v>
      </c>
      <c r="AH992" s="2" t="e">
        <f t="shared" si="750"/>
        <v>#DIV/0!</v>
      </c>
      <c r="AI992" s="2" t="e">
        <f t="shared" si="771"/>
        <v>#DIV/0!</v>
      </c>
      <c r="AJ992" s="2" t="e">
        <f t="shared" si="738"/>
        <v>#DIV/0!</v>
      </c>
      <c r="AK992" s="2" t="e">
        <f t="shared" si="751"/>
        <v>#DIV/0!</v>
      </c>
      <c r="AL992" s="2" t="e">
        <f t="shared" si="752"/>
        <v>#DIV/0!</v>
      </c>
      <c r="AM992" s="2" t="e">
        <f t="shared" si="772"/>
        <v>#DIV/0!</v>
      </c>
      <c r="AN992" s="2">
        <f t="shared" si="753"/>
        <v>0</v>
      </c>
      <c r="AO992" s="2" t="e">
        <f t="shared" si="754"/>
        <v>#DIV/0!</v>
      </c>
      <c r="AP992" s="2" t="e">
        <f t="shared" si="755"/>
        <v>#DIV/0!</v>
      </c>
      <c r="AQ992" s="2" t="e">
        <f t="shared" si="773"/>
        <v>#DIV/0!</v>
      </c>
      <c r="AR992" s="2" t="e">
        <f t="shared" si="739"/>
        <v>#DIV/0!</v>
      </c>
      <c r="AS992" s="2" t="e">
        <f t="shared" si="756"/>
        <v>#DIV/0!</v>
      </c>
      <c r="AT992" s="2" t="e">
        <f t="shared" si="757"/>
        <v>#DIV/0!</v>
      </c>
      <c r="AU992" s="2" t="e">
        <f t="shared" si="774"/>
        <v>#DIV/0!</v>
      </c>
      <c r="AV992" s="2" t="e">
        <f t="shared" si="758"/>
        <v>#DIV/0!</v>
      </c>
      <c r="AW992" s="2" t="e">
        <f t="shared" si="759"/>
        <v>#DIV/0!</v>
      </c>
      <c r="AX992" s="2" t="e">
        <f t="shared" si="760"/>
        <v>#DIV/0!</v>
      </c>
      <c r="AY992" s="2" t="e">
        <f t="shared" si="775"/>
        <v>#DIV/0!</v>
      </c>
      <c r="AZ992" s="2" t="e">
        <f t="shared" si="740"/>
        <v>#DIV/0!</v>
      </c>
      <c r="BA992" s="2" t="e">
        <f t="shared" si="761"/>
        <v>#DIV/0!</v>
      </c>
      <c r="BB992" s="2" t="e">
        <f t="shared" si="762"/>
        <v>#DIV/0!</v>
      </c>
      <c r="BC992" s="2" t="e">
        <f t="shared" si="776"/>
        <v>#DIV/0!</v>
      </c>
      <c r="BD992" s="2">
        <v>0</v>
      </c>
      <c r="BE992" s="2" t="e">
        <f t="shared" si="763"/>
        <v>#DIV/0!</v>
      </c>
      <c r="BF992" s="2" t="e">
        <f t="shared" si="764"/>
        <v>#DIV/0!</v>
      </c>
      <c r="BG992" s="2" t="e">
        <f t="shared" si="777"/>
        <v>#DIV/0!</v>
      </c>
      <c r="BH992" s="2" t="e">
        <f t="shared" si="741"/>
        <v>#DIV/0!</v>
      </c>
      <c r="BI992" s="2" t="e">
        <f t="shared" si="765"/>
        <v>#DIV/0!</v>
      </c>
      <c r="BJ992" s="2" t="e">
        <f t="shared" si="766"/>
        <v>#DIV/0!</v>
      </c>
      <c r="BK992" s="2" t="e">
        <f t="shared" si="778"/>
        <v>#DIV/0!</v>
      </c>
      <c r="BL992" s="2" t="e">
        <f t="shared" si="767"/>
        <v>#DIV/0!</v>
      </c>
      <c r="BM992" s="2" t="e">
        <f t="shared" si="768"/>
        <v>#DIV/0!</v>
      </c>
      <c r="BN992" s="2" t="e">
        <f t="shared" si="779"/>
        <v>#DIV/0!</v>
      </c>
    </row>
    <row r="993" spans="1:66" x14ac:dyDescent="0.25">
      <c r="A993" s="42">
        <v>990</v>
      </c>
      <c r="E993" s="6">
        <f t="shared" si="769"/>
        <v>0</v>
      </c>
      <c r="F993" s="5" t="str">
        <f t="shared" si="780"/>
        <v>Break Even</v>
      </c>
      <c r="G993" s="4">
        <f t="shared" si="781"/>
        <v>0</v>
      </c>
      <c r="N993" s="5">
        <f t="shared" si="782"/>
        <v>0</v>
      </c>
      <c r="O993" s="4" t="e">
        <f t="shared" si="783"/>
        <v>#DIV/0!</v>
      </c>
      <c r="P993" s="5">
        <f t="shared" si="742"/>
        <v>0</v>
      </c>
      <c r="R993" s="2">
        <f t="shared" si="737"/>
        <v>0</v>
      </c>
      <c r="T993" s="2">
        <f t="shared" si="770"/>
        <v>0</v>
      </c>
      <c r="V993" s="5">
        <f t="shared" si="784"/>
        <v>0</v>
      </c>
      <c r="W993" s="4" t="e">
        <f t="shared" si="785"/>
        <v>#DIV/0!</v>
      </c>
      <c r="X993" s="14">
        <f t="shared" si="743"/>
        <v>0</v>
      </c>
      <c r="Y993" s="5">
        <f t="shared" si="744"/>
        <v>0</v>
      </c>
      <c r="Z993" s="2">
        <f t="shared" si="745"/>
        <v>0</v>
      </c>
      <c r="AA993" s="4">
        <f t="shared" si="746"/>
        <v>0</v>
      </c>
      <c r="AB993" s="13">
        <f t="shared" si="747"/>
        <v>0</v>
      </c>
      <c r="AC993" s="10">
        <f>SUM($E$4:E993)</f>
        <v>-22024.091160220025</v>
      </c>
      <c r="AD993" s="20">
        <f>SUM($AB$4:AB993)</f>
        <v>13539.766460219998</v>
      </c>
      <c r="AF993" s="28" t="e">
        <f t="shared" si="748"/>
        <v>#DIV/0!</v>
      </c>
      <c r="AG993" s="2" t="e">
        <f t="shared" si="749"/>
        <v>#DIV/0!</v>
      </c>
      <c r="AH993" s="2" t="e">
        <f t="shared" si="750"/>
        <v>#DIV/0!</v>
      </c>
      <c r="AI993" s="2" t="e">
        <f t="shared" si="771"/>
        <v>#DIV/0!</v>
      </c>
      <c r="AJ993" s="2" t="e">
        <f t="shared" si="738"/>
        <v>#DIV/0!</v>
      </c>
      <c r="AK993" s="2" t="e">
        <f t="shared" si="751"/>
        <v>#DIV/0!</v>
      </c>
      <c r="AL993" s="2" t="e">
        <f t="shared" si="752"/>
        <v>#DIV/0!</v>
      </c>
      <c r="AM993" s="2" t="e">
        <f t="shared" si="772"/>
        <v>#DIV/0!</v>
      </c>
      <c r="AN993" s="2">
        <f t="shared" si="753"/>
        <v>0</v>
      </c>
      <c r="AO993" s="2" t="e">
        <f t="shared" si="754"/>
        <v>#DIV/0!</v>
      </c>
      <c r="AP993" s="2" t="e">
        <f t="shared" si="755"/>
        <v>#DIV/0!</v>
      </c>
      <c r="AQ993" s="2" t="e">
        <f t="shared" si="773"/>
        <v>#DIV/0!</v>
      </c>
      <c r="AR993" s="2" t="e">
        <f t="shared" si="739"/>
        <v>#DIV/0!</v>
      </c>
      <c r="AS993" s="2" t="e">
        <f t="shared" si="756"/>
        <v>#DIV/0!</v>
      </c>
      <c r="AT993" s="2" t="e">
        <f t="shared" si="757"/>
        <v>#DIV/0!</v>
      </c>
      <c r="AU993" s="2" t="e">
        <f t="shared" si="774"/>
        <v>#DIV/0!</v>
      </c>
      <c r="AV993" s="2" t="e">
        <f t="shared" si="758"/>
        <v>#DIV/0!</v>
      </c>
      <c r="AW993" s="2" t="e">
        <f t="shared" si="759"/>
        <v>#DIV/0!</v>
      </c>
      <c r="AX993" s="2" t="e">
        <f t="shared" si="760"/>
        <v>#DIV/0!</v>
      </c>
      <c r="AY993" s="2" t="e">
        <f t="shared" si="775"/>
        <v>#DIV/0!</v>
      </c>
      <c r="AZ993" s="2" t="e">
        <f t="shared" si="740"/>
        <v>#DIV/0!</v>
      </c>
      <c r="BA993" s="2" t="e">
        <f t="shared" si="761"/>
        <v>#DIV/0!</v>
      </c>
      <c r="BB993" s="2" t="e">
        <f t="shared" si="762"/>
        <v>#DIV/0!</v>
      </c>
      <c r="BC993" s="2" t="e">
        <f t="shared" si="776"/>
        <v>#DIV/0!</v>
      </c>
      <c r="BD993" s="2">
        <v>0</v>
      </c>
      <c r="BE993" s="2" t="e">
        <f t="shared" si="763"/>
        <v>#DIV/0!</v>
      </c>
      <c r="BF993" s="2" t="e">
        <f t="shared" si="764"/>
        <v>#DIV/0!</v>
      </c>
      <c r="BG993" s="2" t="e">
        <f t="shared" si="777"/>
        <v>#DIV/0!</v>
      </c>
      <c r="BH993" s="2" t="e">
        <f t="shared" si="741"/>
        <v>#DIV/0!</v>
      </c>
      <c r="BI993" s="2" t="e">
        <f t="shared" si="765"/>
        <v>#DIV/0!</v>
      </c>
      <c r="BJ993" s="2" t="e">
        <f t="shared" si="766"/>
        <v>#DIV/0!</v>
      </c>
      <c r="BK993" s="2" t="e">
        <f t="shared" si="778"/>
        <v>#DIV/0!</v>
      </c>
      <c r="BL993" s="2" t="e">
        <f t="shared" si="767"/>
        <v>#DIV/0!</v>
      </c>
      <c r="BM993" s="2" t="e">
        <f t="shared" si="768"/>
        <v>#DIV/0!</v>
      </c>
      <c r="BN993" s="2" t="e">
        <f t="shared" si="779"/>
        <v>#DIV/0!</v>
      </c>
    </row>
    <row r="994" spans="1:66" x14ac:dyDescent="0.25">
      <c r="A994" s="42">
        <v>991</v>
      </c>
      <c r="E994" s="6">
        <f t="shared" si="769"/>
        <v>0</v>
      </c>
      <c r="F994" s="5" t="str">
        <f t="shared" si="780"/>
        <v>Break Even</v>
      </c>
      <c r="G994" s="4">
        <f t="shared" si="781"/>
        <v>0</v>
      </c>
      <c r="N994" s="5">
        <f t="shared" si="782"/>
        <v>0</v>
      </c>
      <c r="O994" s="4" t="e">
        <f t="shared" si="783"/>
        <v>#DIV/0!</v>
      </c>
      <c r="P994" s="5">
        <f t="shared" si="742"/>
        <v>0</v>
      </c>
      <c r="R994" s="2">
        <f t="shared" si="737"/>
        <v>0</v>
      </c>
      <c r="T994" s="2">
        <f t="shared" si="770"/>
        <v>0</v>
      </c>
      <c r="V994" s="5">
        <f t="shared" si="784"/>
        <v>0</v>
      </c>
      <c r="W994" s="4" t="e">
        <f t="shared" si="785"/>
        <v>#DIV/0!</v>
      </c>
      <c r="X994" s="14">
        <f t="shared" si="743"/>
        <v>0</v>
      </c>
      <c r="Y994" s="5">
        <f t="shared" si="744"/>
        <v>0</v>
      </c>
      <c r="Z994" s="2">
        <f t="shared" si="745"/>
        <v>0</v>
      </c>
      <c r="AA994" s="4">
        <f t="shared" si="746"/>
        <v>0</v>
      </c>
      <c r="AB994" s="13">
        <f t="shared" si="747"/>
        <v>0</v>
      </c>
      <c r="AC994" s="10">
        <f>SUM($E$4:E994)</f>
        <v>-22024.091160220025</v>
      </c>
      <c r="AD994" s="20">
        <f>SUM($AB$4:AB994)</f>
        <v>13539.766460219998</v>
      </c>
      <c r="AF994" s="28" t="e">
        <f t="shared" si="748"/>
        <v>#DIV/0!</v>
      </c>
      <c r="AG994" s="2" t="e">
        <f t="shared" si="749"/>
        <v>#DIV/0!</v>
      </c>
      <c r="AH994" s="2" t="e">
        <f t="shared" si="750"/>
        <v>#DIV/0!</v>
      </c>
      <c r="AI994" s="2" t="e">
        <f t="shared" si="771"/>
        <v>#DIV/0!</v>
      </c>
      <c r="AJ994" s="2" t="e">
        <f t="shared" si="738"/>
        <v>#DIV/0!</v>
      </c>
      <c r="AK994" s="2" t="e">
        <f t="shared" si="751"/>
        <v>#DIV/0!</v>
      </c>
      <c r="AL994" s="2" t="e">
        <f t="shared" si="752"/>
        <v>#DIV/0!</v>
      </c>
      <c r="AM994" s="2" t="e">
        <f t="shared" si="772"/>
        <v>#DIV/0!</v>
      </c>
      <c r="AN994" s="2">
        <f t="shared" si="753"/>
        <v>0</v>
      </c>
      <c r="AO994" s="2" t="e">
        <f t="shared" si="754"/>
        <v>#DIV/0!</v>
      </c>
      <c r="AP994" s="2" t="e">
        <f t="shared" si="755"/>
        <v>#DIV/0!</v>
      </c>
      <c r="AQ994" s="2" t="e">
        <f t="shared" si="773"/>
        <v>#DIV/0!</v>
      </c>
      <c r="AR994" s="2" t="e">
        <f t="shared" si="739"/>
        <v>#DIV/0!</v>
      </c>
      <c r="AS994" s="2" t="e">
        <f t="shared" si="756"/>
        <v>#DIV/0!</v>
      </c>
      <c r="AT994" s="2" t="e">
        <f t="shared" si="757"/>
        <v>#DIV/0!</v>
      </c>
      <c r="AU994" s="2" t="e">
        <f t="shared" si="774"/>
        <v>#DIV/0!</v>
      </c>
      <c r="AV994" s="2" t="e">
        <f t="shared" si="758"/>
        <v>#DIV/0!</v>
      </c>
      <c r="AW994" s="2" t="e">
        <f t="shared" si="759"/>
        <v>#DIV/0!</v>
      </c>
      <c r="AX994" s="2" t="e">
        <f t="shared" si="760"/>
        <v>#DIV/0!</v>
      </c>
      <c r="AY994" s="2" t="e">
        <f t="shared" si="775"/>
        <v>#DIV/0!</v>
      </c>
      <c r="AZ994" s="2" t="e">
        <f t="shared" si="740"/>
        <v>#DIV/0!</v>
      </c>
      <c r="BA994" s="2" t="e">
        <f t="shared" si="761"/>
        <v>#DIV/0!</v>
      </c>
      <c r="BB994" s="2" t="e">
        <f t="shared" si="762"/>
        <v>#DIV/0!</v>
      </c>
      <c r="BC994" s="2" t="e">
        <f t="shared" si="776"/>
        <v>#DIV/0!</v>
      </c>
      <c r="BD994" s="2">
        <v>0</v>
      </c>
      <c r="BE994" s="2" t="e">
        <f t="shared" si="763"/>
        <v>#DIV/0!</v>
      </c>
      <c r="BF994" s="2" t="e">
        <f t="shared" si="764"/>
        <v>#DIV/0!</v>
      </c>
      <c r="BG994" s="2" t="e">
        <f t="shared" si="777"/>
        <v>#DIV/0!</v>
      </c>
      <c r="BH994" s="2" t="e">
        <f t="shared" si="741"/>
        <v>#DIV/0!</v>
      </c>
      <c r="BI994" s="2" t="e">
        <f t="shared" si="765"/>
        <v>#DIV/0!</v>
      </c>
      <c r="BJ994" s="2" t="e">
        <f t="shared" si="766"/>
        <v>#DIV/0!</v>
      </c>
      <c r="BK994" s="2" t="e">
        <f t="shared" si="778"/>
        <v>#DIV/0!</v>
      </c>
      <c r="BL994" s="2" t="e">
        <f t="shared" si="767"/>
        <v>#DIV/0!</v>
      </c>
      <c r="BM994" s="2" t="e">
        <f t="shared" si="768"/>
        <v>#DIV/0!</v>
      </c>
      <c r="BN994" s="2" t="e">
        <f t="shared" si="779"/>
        <v>#DIV/0!</v>
      </c>
    </row>
    <row r="995" spans="1:66" x14ac:dyDescent="0.25">
      <c r="A995" s="42">
        <v>992</v>
      </c>
      <c r="E995" s="6">
        <f t="shared" si="769"/>
        <v>0</v>
      </c>
      <c r="F995" s="5" t="str">
        <f t="shared" si="780"/>
        <v>Break Even</v>
      </c>
      <c r="G995" s="4">
        <f t="shared" si="781"/>
        <v>0</v>
      </c>
      <c r="N995" s="5">
        <f t="shared" si="782"/>
        <v>0</v>
      </c>
      <c r="O995" s="4" t="e">
        <f t="shared" si="783"/>
        <v>#DIV/0!</v>
      </c>
      <c r="P995" s="5">
        <f t="shared" si="742"/>
        <v>0</v>
      </c>
      <c r="R995" s="2">
        <f t="shared" si="737"/>
        <v>0</v>
      </c>
      <c r="T995" s="2">
        <f t="shared" si="770"/>
        <v>0</v>
      </c>
      <c r="V995" s="5">
        <f t="shared" si="784"/>
        <v>0</v>
      </c>
      <c r="W995" s="4" t="e">
        <f t="shared" si="785"/>
        <v>#DIV/0!</v>
      </c>
      <c r="X995" s="14">
        <f t="shared" si="743"/>
        <v>0</v>
      </c>
      <c r="Y995" s="5">
        <f t="shared" si="744"/>
        <v>0</v>
      </c>
      <c r="Z995" s="2">
        <f t="shared" si="745"/>
        <v>0</v>
      </c>
      <c r="AA995" s="4">
        <f t="shared" si="746"/>
        <v>0</v>
      </c>
      <c r="AB995" s="13">
        <f t="shared" si="747"/>
        <v>0</v>
      </c>
      <c r="AC995" s="10">
        <f>SUM($E$4:E995)</f>
        <v>-22024.091160220025</v>
      </c>
      <c r="AD995" s="20">
        <f>SUM($AB$4:AB995)</f>
        <v>13539.766460219998</v>
      </c>
      <c r="AF995" s="28" t="e">
        <f t="shared" si="748"/>
        <v>#DIV/0!</v>
      </c>
      <c r="AG995" s="2" t="e">
        <f t="shared" si="749"/>
        <v>#DIV/0!</v>
      </c>
      <c r="AH995" s="2" t="e">
        <f t="shared" si="750"/>
        <v>#DIV/0!</v>
      </c>
      <c r="AI995" s="2" t="e">
        <f t="shared" si="771"/>
        <v>#DIV/0!</v>
      </c>
      <c r="AJ995" s="2" t="e">
        <f t="shared" si="738"/>
        <v>#DIV/0!</v>
      </c>
      <c r="AK995" s="2" t="e">
        <f t="shared" si="751"/>
        <v>#DIV/0!</v>
      </c>
      <c r="AL995" s="2" t="e">
        <f t="shared" si="752"/>
        <v>#DIV/0!</v>
      </c>
      <c r="AM995" s="2" t="e">
        <f t="shared" si="772"/>
        <v>#DIV/0!</v>
      </c>
      <c r="AN995" s="2">
        <f t="shared" si="753"/>
        <v>0</v>
      </c>
      <c r="AO995" s="2" t="e">
        <f t="shared" si="754"/>
        <v>#DIV/0!</v>
      </c>
      <c r="AP995" s="2" t="e">
        <f t="shared" si="755"/>
        <v>#DIV/0!</v>
      </c>
      <c r="AQ995" s="2" t="e">
        <f t="shared" si="773"/>
        <v>#DIV/0!</v>
      </c>
      <c r="AR995" s="2" t="e">
        <f t="shared" si="739"/>
        <v>#DIV/0!</v>
      </c>
      <c r="AS995" s="2" t="e">
        <f t="shared" si="756"/>
        <v>#DIV/0!</v>
      </c>
      <c r="AT995" s="2" t="e">
        <f t="shared" si="757"/>
        <v>#DIV/0!</v>
      </c>
      <c r="AU995" s="2" t="e">
        <f t="shared" si="774"/>
        <v>#DIV/0!</v>
      </c>
      <c r="AV995" s="2" t="e">
        <f t="shared" si="758"/>
        <v>#DIV/0!</v>
      </c>
      <c r="AW995" s="2" t="e">
        <f t="shared" si="759"/>
        <v>#DIV/0!</v>
      </c>
      <c r="AX995" s="2" t="e">
        <f t="shared" si="760"/>
        <v>#DIV/0!</v>
      </c>
      <c r="AY995" s="2" t="e">
        <f t="shared" si="775"/>
        <v>#DIV/0!</v>
      </c>
      <c r="AZ995" s="2" t="e">
        <f t="shared" si="740"/>
        <v>#DIV/0!</v>
      </c>
      <c r="BA995" s="2" t="e">
        <f t="shared" si="761"/>
        <v>#DIV/0!</v>
      </c>
      <c r="BB995" s="2" t="e">
        <f t="shared" si="762"/>
        <v>#DIV/0!</v>
      </c>
      <c r="BC995" s="2" t="e">
        <f t="shared" si="776"/>
        <v>#DIV/0!</v>
      </c>
      <c r="BD995" s="2">
        <v>0</v>
      </c>
      <c r="BE995" s="2" t="e">
        <f t="shared" si="763"/>
        <v>#DIV/0!</v>
      </c>
      <c r="BF995" s="2" t="e">
        <f t="shared" si="764"/>
        <v>#DIV/0!</v>
      </c>
      <c r="BG995" s="2" t="e">
        <f t="shared" si="777"/>
        <v>#DIV/0!</v>
      </c>
      <c r="BH995" s="2" t="e">
        <f t="shared" si="741"/>
        <v>#DIV/0!</v>
      </c>
      <c r="BI995" s="2" t="e">
        <f t="shared" si="765"/>
        <v>#DIV/0!</v>
      </c>
      <c r="BJ995" s="2" t="e">
        <f t="shared" si="766"/>
        <v>#DIV/0!</v>
      </c>
      <c r="BK995" s="2" t="e">
        <f t="shared" si="778"/>
        <v>#DIV/0!</v>
      </c>
      <c r="BL995" s="2" t="e">
        <f t="shared" si="767"/>
        <v>#DIV/0!</v>
      </c>
      <c r="BM995" s="2" t="e">
        <f t="shared" si="768"/>
        <v>#DIV/0!</v>
      </c>
      <c r="BN995" s="2" t="e">
        <f t="shared" si="779"/>
        <v>#DIV/0!</v>
      </c>
    </row>
    <row r="996" spans="1:66" x14ac:dyDescent="0.25">
      <c r="A996" s="42">
        <v>993</v>
      </c>
      <c r="E996" s="6">
        <f t="shared" si="769"/>
        <v>0</v>
      </c>
      <c r="F996" s="5" t="str">
        <f t="shared" si="780"/>
        <v>Break Even</v>
      </c>
      <c r="G996" s="4">
        <f t="shared" si="781"/>
        <v>0</v>
      </c>
      <c r="N996" s="5">
        <f t="shared" si="782"/>
        <v>0</v>
      </c>
      <c r="O996" s="4" t="e">
        <f t="shared" si="783"/>
        <v>#DIV/0!</v>
      </c>
      <c r="P996" s="5">
        <f t="shared" si="742"/>
        <v>0</v>
      </c>
      <c r="R996" s="2">
        <f t="shared" si="737"/>
        <v>0</v>
      </c>
      <c r="T996" s="2">
        <f t="shared" si="770"/>
        <v>0</v>
      </c>
      <c r="V996" s="5">
        <f t="shared" si="784"/>
        <v>0</v>
      </c>
      <c r="W996" s="4" t="e">
        <f t="shared" si="785"/>
        <v>#DIV/0!</v>
      </c>
      <c r="X996" s="14">
        <f t="shared" si="743"/>
        <v>0</v>
      </c>
      <c r="Y996" s="5">
        <f t="shared" si="744"/>
        <v>0</v>
      </c>
      <c r="Z996" s="2">
        <f t="shared" si="745"/>
        <v>0</v>
      </c>
      <c r="AA996" s="4">
        <f t="shared" si="746"/>
        <v>0</v>
      </c>
      <c r="AB996" s="13">
        <f t="shared" si="747"/>
        <v>0</v>
      </c>
      <c r="AC996" s="10">
        <f>SUM($E$4:E996)</f>
        <v>-22024.091160220025</v>
      </c>
      <c r="AD996" s="20">
        <f>SUM($AB$4:AB996)</f>
        <v>13539.766460219998</v>
      </c>
      <c r="AF996" s="28" t="e">
        <f t="shared" si="748"/>
        <v>#DIV/0!</v>
      </c>
      <c r="AG996" s="2" t="e">
        <f t="shared" si="749"/>
        <v>#DIV/0!</v>
      </c>
      <c r="AH996" s="2" t="e">
        <f t="shared" si="750"/>
        <v>#DIV/0!</v>
      </c>
      <c r="AI996" s="2" t="e">
        <f t="shared" si="771"/>
        <v>#DIV/0!</v>
      </c>
      <c r="AJ996" s="2" t="e">
        <f t="shared" si="738"/>
        <v>#DIV/0!</v>
      </c>
      <c r="AK996" s="2" t="e">
        <f t="shared" si="751"/>
        <v>#DIV/0!</v>
      </c>
      <c r="AL996" s="2" t="e">
        <f t="shared" si="752"/>
        <v>#DIV/0!</v>
      </c>
      <c r="AM996" s="2" t="e">
        <f t="shared" si="772"/>
        <v>#DIV/0!</v>
      </c>
      <c r="AN996" s="2">
        <f t="shared" si="753"/>
        <v>0</v>
      </c>
      <c r="AO996" s="2" t="e">
        <f t="shared" si="754"/>
        <v>#DIV/0!</v>
      </c>
      <c r="AP996" s="2" t="e">
        <f t="shared" si="755"/>
        <v>#DIV/0!</v>
      </c>
      <c r="AQ996" s="2" t="e">
        <f t="shared" si="773"/>
        <v>#DIV/0!</v>
      </c>
      <c r="AR996" s="2" t="e">
        <f t="shared" si="739"/>
        <v>#DIV/0!</v>
      </c>
      <c r="AS996" s="2" t="e">
        <f t="shared" si="756"/>
        <v>#DIV/0!</v>
      </c>
      <c r="AT996" s="2" t="e">
        <f t="shared" si="757"/>
        <v>#DIV/0!</v>
      </c>
      <c r="AU996" s="2" t="e">
        <f t="shared" si="774"/>
        <v>#DIV/0!</v>
      </c>
      <c r="AV996" s="2" t="e">
        <f t="shared" si="758"/>
        <v>#DIV/0!</v>
      </c>
      <c r="AW996" s="2" t="e">
        <f t="shared" si="759"/>
        <v>#DIV/0!</v>
      </c>
      <c r="AX996" s="2" t="e">
        <f t="shared" si="760"/>
        <v>#DIV/0!</v>
      </c>
      <c r="AY996" s="2" t="e">
        <f t="shared" si="775"/>
        <v>#DIV/0!</v>
      </c>
      <c r="AZ996" s="2" t="e">
        <f t="shared" si="740"/>
        <v>#DIV/0!</v>
      </c>
      <c r="BA996" s="2" t="e">
        <f t="shared" si="761"/>
        <v>#DIV/0!</v>
      </c>
      <c r="BB996" s="2" t="e">
        <f t="shared" si="762"/>
        <v>#DIV/0!</v>
      </c>
      <c r="BC996" s="2" t="e">
        <f t="shared" si="776"/>
        <v>#DIV/0!</v>
      </c>
      <c r="BD996" s="2">
        <v>0</v>
      </c>
      <c r="BE996" s="2" t="e">
        <f t="shared" si="763"/>
        <v>#DIV/0!</v>
      </c>
      <c r="BF996" s="2" t="e">
        <f t="shared" si="764"/>
        <v>#DIV/0!</v>
      </c>
      <c r="BG996" s="2" t="e">
        <f t="shared" si="777"/>
        <v>#DIV/0!</v>
      </c>
      <c r="BH996" s="2" t="e">
        <f t="shared" si="741"/>
        <v>#DIV/0!</v>
      </c>
      <c r="BI996" s="2" t="e">
        <f t="shared" si="765"/>
        <v>#DIV/0!</v>
      </c>
      <c r="BJ996" s="2" t="e">
        <f t="shared" si="766"/>
        <v>#DIV/0!</v>
      </c>
      <c r="BK996" s="2" t="e">
        <f t="shared" si="778"/>
        <v>#DIV/0!</v>
      </c>
      <c r="BL996" s="2" t="e">
        <f t="shared" si="767"/>
        <v>#DIV/0!</v>
      </c>
      <c r="BM996" s="2" t="e">
        <f t="shared" si="768"/>
        <v>#DIV/0!</v>
      </c>
      <c r="BN996" s="2" t="e">
        <f t="shared" si="779"/>
        <v>#DIV/0!</v>
      </c>
    </row>
    <row r="997" spans="1:66" x14ac:dyDescent="0.25">
      <c r="A997" s="42">
        <v>994</v>
      </c>
      <c r="E997" s="6">
        <f t="shared" si="769"/>
        <v>0</v>
      </c>
      <c r="F997" s="5" t="str">
        <f t="shared" si="780"/>
        <v>Break Even</v>
      </c>
      <c r="G997" s="4">
        <f t="shared" si="781"/>
        <v>0</v>
      </c>
      <c r="N997" s="5">
        <f t="shared" si="782"/>
        <v>0</v>
      </c>
      <c r="O997" s="4" t="e">
        <f t="shared" si="783"/>
        <v>#DIV/0!</v>
      </c>
      <c r="P997" s="5">
        <f t="shared" si="742"/>
        <v>0</v>
      </c>
      <c r="R997" s="2">
        <f t="shared" si="737"/>
        <v>0</v>
      </c>
      <c r="T997" s="2">
        <f t="shared" si="770"/>
        <v>0</v>
      </c>
      <c r="V997" s="5">
        <f t="shared" si="784"/>
        <v>0</v>
      </c>
      <c r="W997" s="4" t="e">
        <f t="shared" si="785"/>
        <v>#DIV/0!</v>
      </c>
      <c r="X997" s="14">
        <f t="shared" si="743"/>
        <v>0</v>
      </c>
      <c r="Y997" s="5">
        <f t="shared" si="744"/>
        <v>0</v>
      </c>
      <c r="Z997" s="2">
        <f t="shared" si="745"/>
        <v>0</v>
      </c>
      <c r="AA997" s="4">
        <f t="shared" si="746"/>
        <v>0</v>
      </c>
      <c r="AB997" s="13">
        <f t="shared" si="747"/>
        <v>0</v>
      </c>
      <c r="AC997" s="10">
        <f>SUM($E$4:E997)</f>
        <v>-22024.091160220025</v>
      </c>
      <c r="AD997" s="20">
        <f>SUM($AB$4:AB997)</f>
        <v>13539.766460219998</v>
      </c>
      <c r="AF997" s="28" t="e">
        <f t="shared" si="748"/>
        <v>#DIV/0!</v>
      </c>
      <c r="AG997" s="2" t="e">
        <f t="shared" si="749"/>
        <v>#DIV/0!</v>
      </c>
      <c r="AH997" s="2" t="e">
        <f t="shared" si="750"/>
        <v>#DIV/0!</v>
      </c>
      <c r="AI997" s="2" t="e">
        <f t="shared" si="771"/>
        <v>#DIV/0!</v>
      </c>
      <c r="AJ997" s="2" t="e">
        <f t="shared" si="738"/>
        <v>#DIV/0!</v>
      </c>
      <c r="AK997" s="2" t="e">
        <f t="shared" si="751"/>
        <v>#DIV/0!</v>
      </c>
      <c r="AL997" s="2" t="e">
        <f t="shared" si="752"/>
        <v>#DIV/0!</v>
      </c>
      <c r="AM997" s="2" t="e">
        <f t="shared" si="772"/>
        <v>#DIV/0!</v>
      </c>
      <c r="AN997" s="2">
        <f t="shared" si="753"/>
        <v>0</v>
      </c>
      <c r="AO997" s="2" t="e">
        <f t="shared" si="754"/>
        <v>#DIV/0!</v>
      </c>
      <c r="AP997" s="2" t="e">
        <f t="shared" si="755"/>
        <v>#DIV/0!</v>
      </c>
      <c r="AQ997" s="2" t="e">
        <f t="shared" si="773"/>
        <v>#DIV/0!</v>
      </c>
      <c r="AR997" s="2" t="e">
        <f t="shared" si="739"/>
        <v>#DIV/0!</v>
      </c>
      <c r="AS997" s="2" t="e">
        <f t="shared" si="756"/>
        <v>#DIV/0!</v>
      </c>
      <c r="AT997" s="2" t="e">
        <f t="shared" si="757"/>
        <v>#DIV/0!</v>
      </c>
      <c r="AU997" s="2" t="e">
        <f t="shared" si="774"/>
        <v>#DIV/0!</v>
      </c>
      <c r="AV997" s="2" t="e">
        <f t="shared" si="758"/>
        <v>#DIV/0!</v>
      </c>
      <c r="AW997" s="2" t="e">
        <f t="shared" si="759"/>
        <v>#DIV/0!</v>
      </c>
      <c r="AX997" s="2" t="e">
        <f t="shared" si="760"/>
        <v>#DIV/0!</v>
      </c>
      <c r="AY997" s="2" t="e">
        <f t="shared" si="775"/>
        <v>#DIV/0!</v>
      </c>
      <c r="AZ997" s="2" t="e">
        <f t="shared" si="740"/>
        <v>#DIV/0!</v>
      </c>
      <c r="BA997" s="2" t="e">
        <f t="shared" si="761"/>
        <v>#DIV/0!</v>
      </c>
      <c r="BB997" s="2" t="e">
        <f t="shared" si="762"/>
        <v>#DIV/0!</v>
      </c>
      <c r="BC997" s="2" t="e">
        <f t="shared" si="776"/>
        <v>#DIV/0!</v>
      </c>
      <c r="BD997" s="2">
        <v>0</v>
      </c>
      <c r="BE997" s="2" t="e">
        <f t="shared" si="763"/>
        <v>#DIV/0!</v>
      </c>
      <c r="BF997" s="2" t="e">
        <f t="shared" si="764"/>
        <v>#DIV/0!</v>
      </c>
      <c r="BG997" s="2" t="e">
        <f t="shared" si="777"/>
        <v>#DIV/0!</v>
      </c>
      <c r="BH997" s="2" t="e">
        <f t="shared" si="741"/>
        <v>#DIV/0!</v>
      </c>
      <c r="BI997" s="2" t="e">
        <f t="shared" si="765"/>
        <v>#DIV/0!</v>
      </c>
      <c r="BJ997" s="2" t="e">
        <f t="shared" si="766"/>
        <v>#DIV/0!</v>
      </c>
      <c r="BK997" s="2" t="e">
        <f t="shared" si="778"/>
        <v>#DIV/0!</v>
      </c>
      <c r="BL997" s="2" t="e">
        <f t="shared" si="767"/>
        <v>#DIV/0!</v>
      </c>
      <c r="BM997" s="2" t="e">
        <f t="shared" si="768"/>
        <v>#DIV/0!</v>
      </c>
      <c r="BN997" s="2" t="e">
        <f t="shared" si="779"/>
        <v>#DIV/0!</v>
      </c>
    </row>
    <row r="998" spans="1:66" x14ac:dyDescent="0.25">
      <c r="A998" s="42">
        <v>995</v>
      </c>
      <c r="E998" s="6">
        <f t="shared" si="769"/>
        <v>0</v>
      </c>
      <c r="F998" s="5" t="str">
        <f t="shared" si="780"/>
        <v>Break Even</v>
      </c>
      <c r="G998" s="4">
        <f t="shared" si="781"/>
        <v>0</v>
      </c>
      <c r="N998" s="5">
        <f t="shared" si="782"/>
        <v>0</v>
      </c>
      <c r="O998" s="4" t="e">
        <f t="shared" si="783"/>
        <v>#DIV/0!</v>
      </c>
      <c r="P998" s="5">
        <f t="shared" si="742"/>
        <v>0</v>
      </c>
      <c r="R998" s="2">
        <f t="shared" si="737"/>
        <v>0</v>
      </c>
      <c r="T998" s="2">
        <f t="shared" si="770"/>
        <v>0</v>
      </c>
      <c r="V998" s="5">
        <f t="shared" si="784"/>
        <v>0</v>
      </c>
      <c r="W998" s="4" t="e">
        <f t="shared" si="785"/>
        <v>#DIV/0!</v>
      </c>
      <c r="X998" s="14">
        <f t="shared" si="743"/>
        <v>0</v>
      </c>
      <c r="Y998" s="5">
        <f t="shared" si="744"/>
        <v>0</v>
      </c>
      <c r="Z998" s="2">
        <f t="shared" si="745"/>
        <v>0</v>
      </c>
      <c r="AA998" s="4">
        <f t="shared" si="746"/>
        <v>0</v>
      </c>
      <c r="AB998" s="13">
        <f t="shared" si="747"/>
        <v>0</v>
      </c>
      <c r="AC998" s="10">
        <f>SUM($E$4:E998)</f>
        <v>-22024.091160220025</v>
      </c>
      <c r="AD998" s="20">
        <f>SUM($AB$4:AB998)</f>
        <v>13539.766460219998</v>
      </c>
      <c r="AF998" s="28" t="e">
        <f t="shared" si="748"/>
        <v>#DIV/0!</v>
      </c>
      <c r="AG998" s="2" t="e">
        <f t="shared" si="749"/>
        <v>#DIV/0!</v>
      </c>
      <c r="AH998" s="2" t="e">
        <f t="shared" si="750"/>
        <v>#DIV/0!</v>
      </c>
      <c r="AI998" s="2" t="e">
        <f t="shared" si="771"/>
        <v>#DIV/0!</v>
      </c>
      <c r="AJ998" s="2" t="e">
        <f t="shared" si="738"/>
        <v>#DIV/0!</v>
      </c>
      <c r="AK998" s="2" t="e">
        <f t="shared" si="751"/>
        <v>#DIV/0!</v>
      </c>
      <c r="AL998" s="2" t="e">
        <f t="shared" si="752"/>
        <v>#DIV/0!</v>
      </c>
      <c r="AM998" s="2" t="e">
        <f t="shared" si="772"/>
        <v>#DIV/0!</v>
      </c>
      <c r="AN998" s="2">
        <f t="shared" si="753"/>
        <v>0</v>
      </c>
      <c r="AO998" s="2" t="e">
        <f t="shared" si="754"/>
        <v>#DIV/0!</v>
      </c>
      <c r="AP998" s="2" t="e">
        <f t="shared" si="755"/>
        <v>#DIV/0!</v>
      </c>
      <c r="AQ998" s="2" t="e">
        <f t="shared" si="773"/>
        <v>#DIV/0!</v>
      </c>
      <c r="AR998" s="2" t="e">
        <f t="shared" si="739"/>
        <v>#DIV/0!</v>
      </c>
      <c r="AS998" s="2" t="e">
        <f t="shared" si="756"/>
        <v>#DIV/0!</v>
      </c>
      <c r="AT998" s="2" t="e">
        <f t="shared" si="757"/>
        <v>#DIV/0!</v>
      </c>
      <c r="AU998" s="2" t="e">
        <f t="shared" si="774"/>
        <v>#DIV/0!</v>
      </c>
      <c r="AV998" s="2" t="e">
        <f t="shared" si="758"/>
        <v>#DIV/0!</v>
      </c>
      <c r="AW998" s="2" t="e">
        <f t="shared" si="759"/>
        <v>#DIV/0!</v>
      </c>
      <c r="AX998" s="2" t="e">
        <f t="shared" si="760"/>
        <v>#DIV/0!</v>
      </c>
      <c r="AY998" s="2" t="e">
        <f t="shared" si="775"/>
        <v>#DIV/0!</v>
      </c>
      <c r="AZ998" s="2" t="e">
        <f t="shared" si="740"/>
        <v>#DIV/0!</v>
      </c>
      <c r="BA998" s="2" t="e">
        <f t="shared" si="761"/>
        <v>#DIV/0!</v>
      </c>
      <c r="BB998" s="2" t="e">
        <f t="shared" si="762"/>
        <v>#DIV/0!</v>
      </c>
      <c r="BC998" s="2" t="e">
        <f t="shared" si="776"/>
        <v>#DIV/0!</v>
      </c>
      <c r="BD998" s="2">
        <v>0</v>
      </c>
      <c r="BE998" s="2" t="e">
        <f t="shared" si="763"/>
        <v>#DIV/0!</v>
      </c>
      <c r="BF998" s="2" t="e">
        <f t="shared" si="764"/>
        <v>#DIV/0!</v>
      </c>
      <c r="BG998" s="2" t="e">
        <f t="shared" si="777"/>
        <v>#DIV/0!</v>
      </c>
      <c r="BH998" s="2" t="e">
        <f t="shared" si="741"/>
        <v>#DIV/0!</v>
      </c>
      <c r="BI998" s="2" t="e">
        <f t="shared" si="765"/>
        <v>#DIV/0!</v>
      </c>
      <c r="BJ998" s="2" t="e">
        <f t="shared" si="766"/>
        <v>#DIV/0!</v>
      </c>
      <c r="BK998" s="2" t="e">
        <f t="shared" si="778"/>
        <v>#DIV/0!</v>
      </c>
      <c r="BL998" s="2" t="e">
        <f t="shared" si="767"/>
        <v>#DIV/0!</v>
      </c>
      <c r="BM998" s="2" t="e">
        <f t="shared" si="768"/>
        <v>#DIV/0!</v>
      </c>
      <c r="BN998" s="2" t="e">
        <f t="shared" si="779"/>
        <v>#DIV/0!</v>
      </c>
    </row>
    <row r="999" spans="1:66" x14ac:dyDescent="0.25">
      <c r="A999" s="42">
        <v>996</v>
      </c>
      <c r="E999" s="6">
        <f t="shared" si="769"/>
        <v>0</v>
      </c>
      <c r="F999" s="5" t="str">
        <f t="shared" si="780"/>
        <v>Break Even</v>
      </c>
      <c r="G999" s="4">
        <f t="shared" si="781"/>
        <v>0</v>
      </c>
      <c r="N999" s="5">
        <f t="shared" si="782"/>
        <v>0</v>
      </c>
      <c r="O999" s="4" t="e">
        <f t="shared" si="783"/>
        <v>#DIV/0!</v>
      </c>
      <c r="P999" s="5">
        <f t="shared" si="742"/>
        <v>0</v>
      </c>
      <c r="R999" s="2">
        <f t="shared" si="737"/>
        <v>0</v>
      </c>
      <c r="T999" s="2">
        <f t="shared" si="770"/>
        <v>0</v>
      </c>
      <c r="V999" s="5">
        <f t="shared" si="784"/>
        <v>0</v>
      </c>
      <c r="W999" s="4" t="e">
        <f t="shared" si="785"/>
        <v>#DIV/0!</v>
      </c>
      <c r="X999" s="14">
        <f t="shared" si="743"/>
        <v>0</v>
      </c>
      <c r="Y999" s="5">
        <f t="shared" si="744"/>
        <v>0</v>
      </c>
      <c r="Z999" s="2">
        <f t="shared" si="745"/>
        <v>0</v>
      </c>
      <c r="AA999" s="4">
        <f t="shared" si="746"/>
        <v>0</v>
      </c>
      <c r="AB999" s="13">
        <f t="shared" si="747"/>
        <v>0</v>
      </c>
      <c r="AC999" s="10">
        <f>SUM($E$4:E999)</f>
        <v>-22024.091160220025</v>
      </c>
      <c r="AD999" s="20">
        <f>SUM($AB$4:AB999)</f>
        <v>13539.766460219998</v>
      </c>
      <c r="AF999" s="28" t="e">
        <f t="shared" si="748"/>
        <v>#DIV/0!</v>
      </c>
      <c r="AG999" s="2" t="e">
        <f t="shared" si="749"/>
        <v>#DIV/0!</v>
      </c>
      <c r="AH999" s="2" t="e">
        <f t="shared" si="750"/>
        <v>#DIV/0!</v>
      </c>
      <c r="AI999" s="2" t="e">
        <f t="shared" si="771"/>
        <v>#DIV/0!</v>
      </c>
      <c r="AJ999" s="2" t="e">
        <f t="shared" si="738"/>
        <v>#DIV/0!</v>
      </c>
      <c r="AK999" s="2" t="e">
        <f t="shared" si="751"/>
        <v>#DIV/0!</v>
      </c>
      <c r="AL999" s="2" t="e">
        <f t="shared" si="752"/>
        <v>#DIV/0!</v>
      </c>
      <c r="AM999" s="2" t="e">
        <f t="shared" si="772"/>
        <v>#DIV/0!</v>
      </c>
      <c r="AN999" s="2">
        <f t="shared" si="753"/>
        <v>0</v>
      </c>
      <c r="AO999" s="2" t="e">
        <f t="shared" si="754"/>
        <v>#DIV/0!</v>
      </c>
      <c r="AP999" s="2" t="e">
        <f t="shared" si="755"/>
        <v>#DIV/0!</v>
      </c>
      <c r="AQ999" s="2" t="e">
        <f t="shared" si="773"/>
        <v>#DIV/0!</v>
      </c>
      <c r="AR999" s="2" t="e">
        <f t="shared" si="739"/>
        <v>#DIV/0!</v>
      </c>
      <c r="AS999" s="2" t="e">
        <f t="shared" si="756"/>
        <v>#DIV/0!</v>
      </c>
      <c r="AT999" s="2" t="e">
        <f t="shared" si="757"/>
        <v>#DIV/0!</v>
      </c>
      <c r="AU999" s="2" t="e">
        <f t="shared" si="774"/>
        <v>#DIV/0!</v>
      </c>
      <c r="AV999" s="2" t="e">
        <f t="shared" si="758"/>
        <v>#DIV/0!</v>
      </c>
      <c r="AW999" s="2" t="e">
        <f t="shared" si="759"/>
        <v>#DIV/0!</v>
      </c>
      <c r="AX999" s="2" t="e">
        <f t="shared" si="760"/>
        <v>#DIV/0!</v>
      </c>
      <c r="AY999" s="2" t="e">
        <f t="shared" si="775"/>
        <v>#DIV/0!</v>
      </c>
      <c r="AZ999" s="2" t="e">
        <f t="shared" si="740"/>
        <v>#DIV/0!</v>
      </c>
      <c r="BA999" s="2" t="e">
        <f t="shared" si="761"/>
        <v>#DIV/0!</v>
      </c>
      <c r="BB999" s="2" t="e">
        <f t="shared" si="762"/>
        <v>#DIV/0!</v>
      </c>
      <c r="BC999" s="2" t="e">
        <f t="shared" si="776"/>
        <v>#DIV/0!</v>
      </c>
      <c r="BD999" s="2">
        <v>0</v>
      </c>
      <c r="BE999" s="2" t="e">
        <f t="shared" si="763"/>
        <v>#DIV/0!</v>
      </c>
      <c r="BF999" s="2" t="e">
        <f t="shared" si="764"/>
        <v>#DIV/0!</v>
      </c>
      <c r="BG999" s="2" t="e">
        <f t="shared" si="777"/>
        <v>#DIV/0!</v>
      </c>
      <c r="BH999" s="2" t="e">
        <f t="shared" si="741"/>
        <v>#DIV/0!</v>
      </c>
      <c r="BI999" s="2" t="e">
        <f t="shared" si="765"/>
        <v>#DIV/0!</v>
      </c>
      <c r="BJ999" s="2" t="e">
        <f t="shared" si="766"/>
        <v>#DIV/0!</v>
      </c>
      <c r="BK999" s="2" t="e">
        <f t="shared" si="778"/>
        <v>#DIV/0!</v>
      </c>
      <c r="BL999" s="2" t="e">
        <f t="shared" si="767"/>
        <v>#DIV/0!</v>
      </c>
      <c r="BM999" s="2" t="e">
        <f t="shared" si="768"/>
        <v>#DIV/0!</v>
      </c>
      <c r="BN999" s="2" t="e">
        <f t="shared" si="779"/>
        <v>#DIV/0!</v>
      </c>
    </row>
    <row r="1000" spans="1:66" x14ac:dyDescent="0.25">
      <c r="B1000" s="42"/>
    </row>
  </sheetData>
  <mergeCells count="42">
    <mergeCell ref="A1:A3"/>
    <mergeCell ref="N2:N3"/>
    <mergeCell ref="O2:O3"/>
    <mergeCell ref="Y1:AA1"/>
    <mergeCell ref="Y2:Y3"/>
    <mergeCell ref="Z2:Z3"/>
    <mergeCell ref="AA2:AA3"/>
    <mergeCell ref="X1:X3"/>
    <mergeCell ref="V2:V3"/>
    <mergeCell ref="D1:D3"/>
    <mergeCell ref="C1:C3"/>
    <mergeCell ref="E1:E3"/>
    <mergeCell ref="P1:W1"/>
    <mergeCell ref="P2:Q2"/>
    <mergeCell ref="R2:S2"/>
    <mergeCell ref="T2:U2"/>
    <mergeCell ref="AI2:AI3"/>
    <mergeCell ref="B1:B3"/>
    <mergeCell ref="W2:W3"/>
    <mergeCell ref="AB1:AB3"/>
    <mergeCell ref="F1:F3"/>
    <mergeCell ref="H2:I2"/>
    <mergeCell ref="J2:K2"/>
    <mergeCell ref="L2:M2"/>
    <mergeCell ref="H1:O1"/>
    <mergeCell ref="G1:G3"/>
    <mergeCell ref="BL1:BL3"/>
    <mergeCell ref="BM1:BM3"/>
    <mergeCell ref="BN1:BN3"/>
    <mergeCell ref="AC1:AC3"/>
    <mergeCell ref="AD1:AD3"/>
    <mergeCell ref="BD1:BK1"/>
    <mergeCell ref="BG2:BG3"/>
    <mergeCell ref="BK2:BK3"/>
    <mergeCell ref="AV1:BC1"/>
    <mergeCell ref="AY2:AY3"/>
    <mergeCell ref="BC2:BC3"/>
    <mergeCell ref="AQ2:AQ3"/>
    <mergeCell ref="AF1:AM1"/>
    <mergeCell ref="AM2:AM3"/>
    <mergeCell ref="AN1:AU1"/>
    <mergeCell ref="AU2:AU3"/>
  </mergeCells>
  <conditionalFormatting sqref="F4:F999">
    <cfRule type="containsText" dxfId="16" priority="407" operator="containsText" text="Break Even">
      <formula>NOT(ISERROR(SEARCH("Break Even",F4)))</formula>
    </cfRule>
    <cfRule type="containsText" dxfId="15" priority="408" operator="containsText" text="Win">
      <formula>NOT(ISERROR(SEARCH("Win",F4)))</formula>
    </cfRule>
    <cfRule type="containsText" dxfId="14" priority="409" operator="containsText" text="Loss">
      <formula>NOT(ISERROR(SEARCH("Loss",F4)))</formula>
    </cfRule>
  </conditionalFormatting>
  <conditionalFormatting sqref="G4:G999">
    <cfRule type="cellIs" dxfId="13" priority="404" operator="equal">
      <formula>0</formula>
    </cfRule>
    <cfRule type="cellIs" dxfId="12" priority="405" operator="lessThan">
      <formula>0</formula>
    </cfRule>
    <cfRule type="cellIs" dxfId="11" priority="406" operator="greaterThan">
      <formula>0</formula>
    </cfRule>
  </conditionalFormatting>
  <conditionalFormatting sqref="X4:AA999">
    <cfRule type="cellIs" dxfId="10" priority="401" operator="equal">
      <formula>0</formula>
    </cfRule>
    <cfRule type="cellIs" dxfId="9" priority="402" operator="lessThan">
      <formula>0</formula>
    </cfRule>
    <cfRule type="cellIs" dxfId="8" priority="403" operator="greaterThan">
      <formula>0</formula>
    </cfRule>
  </conditionalFormatting>
  <conditionalFormatting sqref="AC4:AC999">
    <cfRule type="cellIs" dxfId="7" priority="395" operator="equal">
      <formula>0</formula>
    </cfRule>
    <cfRule type="cellIs" dxfId="6" priority="396" operator="lessThan">
      <formula>0</formula>
    </cfRule>
    <cfRule type="cellIs" dxfId="5" priority="397" operator="greaterThan">
      <formula>0</formula>
    </cfRule>
  </conditionalFormatting>
  <conditionalFormatting sqref="E4:E999">
    <cfRule type="cellIs" dxfId="4" priority="1" operator="equal">
      <formula>0</formula>
    </cfRule>
    <cfRule type="cellIs" dxfId="3" priority="2" operator="lessThan">
      <formula>0</formula>
    </cfRule>
    <cfRule type="cellIs" dxfId="2" priority="3" operator="greaterThan">
      <formula>0</formula>
    </cfRule>
  </conditionalFormatting>
  <dataValidations count="2">
    <dataValidation type="list" allowBlank="1" showErrorMessage="1" sqref="C162:C1048576">
      <formula1>"EQ Intraday,Index Future,Stock Future,Index Option,Stock Option,EQ Delivery"</formula1>
    </dataValidation>
    <dataValidation type="list" allowBlank="1" showErrorMessage="1" sqref="C4:C161">
      <formula1>"EQ,Index Future,Stock Future,Index Option,Stock Option"</formula1>
    </dataValidation>
  </dataValidations>
  <pageMargins left="0.7" right="0.7" top="0.75" bottom="0.75" header="0.3" footer="0.3"/>
  <pageSetup orientation="portrait" horizontalDpi="1200" verticalDpi="1200" r:id="rId1"/>
  <ignoredErrors>
    <ignoredError sqref="G6" evalError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33"/>
  <sheetViews>
    <sheetView topLeftCell="A119" workbookViewId="0">
      <selection activeCell="D129" sqref="D129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8.28515625" bestFit="1" customWidth="1"/>
    <col min="4" max="19" width="8.42578125" customWidth="1"/>
    <col min="20" max="20" width="7.28515625" customWidth="1"/>
    <col min="21" max="21" width="8.42578125" customWidth="1"/>
    <col min="22" max="22" width="11.28515625" bestFit="1" customWidth="1"/>
  </cols>
  <sheetData>
    <row r="1" spans="1:2" x14ac:dyDescent="0.25">
      <c r="A1" s="15" t="s">
        <v>24</v>
      </c>
      <c r="B1" t="s">
        <v>321</v>
      </c>
    </row>
    <row r="2" spans="1:2" x14ac:dyDescent="0.25">
      <c r="A2" s="17">
        <v>42717</v>
      </c>
      <c r="B2" s="16">
        <v>-600.25612360938158</v>
      </c>
    </row>
    <row r="3" spans="1:2" x14ac:dyDescent="0.25">
      <c r="A3" s="17">
        <v>42718</v>
      </c>
      <c r="B3" s="16">
        <v>-1044.9647142031281</v>
      </c>
    </row>
    <row r="4" spans="1:2" x14ac:dyDescent="0.25">
      <c r="A4" s="17">
        <v>42719</v>
      </c>
      <c r="B4" s="16">
        <v>-347.71914374999363</v>
      </c>
    </row>
    <row r="5" spans="1:2" x14ac:dyDescent="0.25">
      <c r="A5" s="17">
        <v>42720</v>
      </c>
      <c r="B5" s="16">
        <v>358.79059999999998</v>
      </c>
    </row>
    <row r="6" spans="1:2" x14ac:dyDescent="0.25">
      <c r="A6" s="17">
        <v>42723</v>
      </c>
      <c r="B6" s="16">
        <v>-579.61944218749659</v>
      </c>
    </row>
    <row r="7" spans="1:2" x14ac:dyDescent="0.25">
      <c r="A7" s="17">
        <v>42725</v>
      </c>
      <c r="B7" s="16">
        <v>-1353.7025975000029</v>
      </c>
    </row>
    <row r="8" spans="1:2" x14ac:dyDescent="0.25">
      <c r="A8" s="17">
        <v>42726</v>
      </c>
      <c r="B8" s="16">
        <v>551.36195000000021</v>
      </c>
    </row>
    <row r="9" spans="1:2" x14ac:dyDescent="0.25">
      <c r="A9" s="17">
        <v>42727</v>
      </c>
      <c r="B9" s="16">
        <v>44.243967968750553</v>
      </c>
    </row>
    <row r="10" spans="1:2" x14ac:dyDescent="0.25">
      <c r="A10" s="17">
        <v>42730</v>
      </c>
      <c r="B10" s="16">
        <v>135.56119866666558</v>
      </c>
    </row>
    <row r="11" spans="1:2" x14ac:dyDescent="0.25">
      <c r="A11" s="17">
        <v>42731</v>
      </c>
      <c r="B11" s="16">
        <v>-747.0231867968738</v>
      </c>
    </row>
    <row r="12" spans="1:2" x14ac:dyDescent="0.25">
      <c r="A12" s="17">
        <v>42732</v>
      </c>
      <c r="B12" s="16">
        <v>807.48884375</v>
      </c>
    </row>
    <row r="13" spans="1:2" x14ac:dyDescent="0.25">
      <c r="A13" s="17">
        <v>42733</v>
      </c>
      <c r="B13" s="16">
        <v>186.37543968749884</v>
      </c>
    </row>
    <row r="14" spans="1:2" x14ac:dyDescent="0.25">
      <c r="A14" s="17">
        <v>42734</v>
      </c>
      <c r="B14" s="16">
        <v>-915.53425537500198</v>
      </c>
    </row>
    <row r="15" spans="1:2" x14ac:dyDescent="0.25">
      <c r="A15" s="17">
        <v>42737</v>
      </c>
      <c r="B15" s="16">
        <v>-253.86399312500131</v>
      </c>
    </row>
    <row r="16" spans="1:2" x14ac:dyDescent="0.25">
      <c r="A16" s="17">
        <v>42739</v>
      </c>
      <c r="B16" s="16">
        <v>-94.334256875000136</v>
      </c>
    </row>
    <row r="17" spans="1:2" x14ac:dyDescent="0.25">
      <c r="A17" s="17">
        <v>42740</v>
      </c>
      <c r="B17" s="16">
        <v>268.01613656249492</v>
      </c>
    </row>
    <row r="18" spans="1:2" x14ac:dyDescent="0.25">
      <c r="A18" s="17">
        <v>42744</v>
      </c>
      <c r="B18" s="16">
        <v>-137.01813249999589</v>
      </c>
    </row>
    <row r="19" spans="1:2" x14ac:dyDescent="0.25">
      <c r="A19" s="17">
        <v>46393</v>
      </c>
      <c r="B19" s="16">
        <v>-223.63646484374794</v>
      </c>
    </row>
    <row r="20" spans="1:2" x14ac:dyDescent="0.25">
      <c r="A20" s="18" t="s">
        <v>22</v>
      </c>
      <c r="B20" s="16">
        <v>0</v>
      </c>
    </row>
    <row r="21" spans="1:2" x14ac:dyDescent="0.25">
      <c r="A21" s="17">
        <v>42741</v>
      </c>
      <c r="B21" s="16">
        <v>-255.60839999999999</v>
      </c>
    </row>
    <row r="22" spans="1:2" x14ac:dyDescent="0.25">
      <c r="A22" s="17">
        <v>42745</v>
      </c>
      <c r="B22" s="16">
        <v>-389.11144906249979</v>
      </c>
    </row>
    <row r="23" spans="1:2" x14ac:dyDescent="0.25">
      <c r="A23" s="17">
        <v>42746</v>
      </c>
      <c r="B23" s="16">
        <v>6747.562715</v>
      </c>
    </row>
    <row r="24" spans="1:2" x14ac:dyDescent="0.25">
      <c r="A24" s="17">
        <v>42747</v>
      </c>
      <c r="B24" s="16">
        <v>-869.80067812499919</v>
      </c>
    </row>
    <row r="25" spans="1:2" x14ac:dyDescent="0.25">
      <c r="A25" s="17">
        <v>42752</v>
      </c>
      <c r="B25" s="16">
        <v>-731.24842000000001</v>
      </c>
    </row>
    <row r="26" spans="1:2" x14ac:dyDescent="0.25">
      <c r="A26" s="17">
        <v>42753</v>
      </c>
      <c r="B26" s="16">
        <v>508.729584375</v>
      </c>
    </row>
    <row r="27" spans="1:2" x14ac:dyDescent="0.25">
      <c r="A27" s="17">
        <v>42754</v>
      </c>
      <c r="B27" s="16">
        <v>-4086.9458486250023</v>
      </c>
    </row>
    <row r="28" spans="1:2" x14ac:dyDescent="0.25">
      <c r="A28" s="17">
        <v>42758</v>
      </c>
      <c r="B28" s="16">
        <v>1131.6559</v>
      </c>
    </row>
    <row r="29" spans="1:2" x14ac:dyDescent="0.25">
      <c r="A29" s="17">
        <v>42759</v>
      </c>
      <c r="B29" s="16">
        <v>1229.2705741562431</v>
      </c>
    </row>
    <row r="30" spans="1:2" x14ac:dyDescent="0.25">
      <c r="A30" s="17">
        <v>42760</v>
      </c>
      <c r="B30" s="16">
        <v>1264.8101875000007</v>
      </c>
    </row>
    <row r="31" spans="1:2" x14ac:dyDescent="0.25">
      <c r="A31" s="17">
        <v>42765</v>
      </c>
      <c r="B31" s="16">
        <v>-6218.6032291666725</v>
      </c>
    </row>
    <row r="32" spans="1:2" x14ac:dyDescent="0.25">
      <c r="A32" s="17">
        <v>42766</v>
      </c>
      <c r="B32" s="16">
        <v>2020.2454999999932</v>
      </c>
    </row>
    <row r="33" spans="1:2" x14ac:dyDescent="0.25">
      <c r="A33" s="17">
        <v>42767</v>
      </c>
      <c r="B33" s="16">
        <v>-2846.2869060000016</v>
      </c>
    </row>
    <row r="34" spans="1:2" x14ac:dyDescent="0.25">
      <c r="A34" s="17">
        <v>42768</v>
      </c>
      <c r="B34" s="16">
        <v>10119.820222187502</v>
      </c>
    </row>
    <row r="35" spans="1:2" x14ac:dyDescent="0.25">
      <c r="A35" s="17">
        <v>42776</v>
      </c>
      <c r="B35" s="16">
        <v>-2074.4331625</v>
      </c>
    </row>
    <row r="36" spans="1:2" x14ac:dyDescent="0.25">
      <c r="A36" s="17">
        <v>42781</v>
      </c>
      <c r="B36" s="16">
        <v>100.64510000000014</v>
      </c>
    </row>
    <row r="37" spans="1:2" x14ac:dyDescent="0.25">
      <c r="A37" s="17">
        <v>42782</v>
      </c>
      <c r="B37" s="16">
        <v>1401.8748399999999</v>
      </c>
    </row>
    <row r="38" spans="1:2" x14ac:dyDescent="0.25">
      <c r="A38" s="17">
        <v>42787</v>
      </c>
      <c r="B38" s="16">
        <v>-258.741175</v>
      </c>
    </row>
    <row r="39" spans="1:2" x14ac:dyDescent="0.25">
      <c r="A39" s="17">
        <v>42788</v>
      </c>
      <c r="B39" s="16">
        <v>-507.14540625000285</v>
      </c>
    </row>
    <row r="40" spans="1:2" x14ac:dyDescent="0.25">
      <c r="A40" s="17">
        <v>42789</v>
      </c>
      <c r="B40" s="16">
        <v>-1918.3195456250007</v>
      </c>
    </row>
    <row r="41" spans="1:2" x14ac:dyDescent="0.25">
      <c r="A41" s="17">
        <v>42793</v>
      </c>
      <c r="B41" s="16">
        <v>-686.36838749999663</v>
      </c>
    </row>
    <row r="42" spans="1:2" x14ac:dyDescent="0.25">
      <c r="A42" s="17">
        <v>42802</v>
      </c>
      <c r="B42" s="16">
        <v>-1408.2161437499863</v>
      </c>
    </row>
    <row r="43" spans="1:2" x14ac:dyDescent="0.25">
      <c r="A43" s="17">
        <v>42803</v>
      </c>
      <c r="B43" s="16">
        <v>-7061.5585821875011</v>
      </c>
    </row>
    <row r="44" spans="1:2" x14ac:dyDescent="0.25">
      <c r="A44" s="17">
        <v>42814</v>
      </c>
      <c r="B44" s="16">
        <v>301.23477020831365</v>
      </c>
    </row>
    <row r="45" spans="1:2" x14ac:dyDescent="0.25">
      <c r="A45" s="17">
        <v>42815</v>
      </c>
      <c r="B45" s="16">
        <v>1241.7045807291754</v>
      </c>
    </row>
    <row r="46" spans="1:2" x14ac:dyDescent="0.25">
      <c r="A46" s="17">
        <v>42845</v>
      </c>
      <c r="B46" s="16">
        <v>1985.338143749987</v>
      </c>
    </row>
    <row r="47" spans="1:2" x14ac:dyDescent="0.25">
      <c r="A47" s="17">
        <v>42846</v>
      </c>
      <c r="B47" s="16">
        <v>-1103.9351874999961</v>
      </c>
    </row>
    <row r="48" spans="1:2" x14ac:dyDescent="0.25">
      <c r="A48" s="17">
        <v>42816</v>
      </c>
      <c r="B48" s="16">
        <v>-2781.5973249999879</v>
      </c>
    </row>
    <row r="49" spans="1:2" x14ac:dyDescent="0.25">
      <c r="A49" s="17">
        <v>42817</v>
      </c>
      <c r="B49" s="16">
        <v>-792.28122500000109</v>
      </c>
    </row>
    <row r="50" spans="1:2" x14ac:dyDescent="0.25">
      <c r="A50" s="17">
        <v>42818</v>
      </c>
      <c r="B50" s="16">
        <v>-2596.5278783333333</v>
      </c>
    </row>
    <row r="51" spans="1:2" x14ac:dyDescent="0.25">
      <c r="A51" s="17">
        <v>42821</v>
      </c>
      <c r="B51" s="16">
        <v>-389.83748437500429</v>
      </c>
    </row>
    <row r="52" spans="1:2" x14ac:dyDescent="0.25">
      <c r="A52" s="17">
        <v>42843</v>
      </c>
      <c r="B52" s="16">
        <v>-609.97050000000002</v>
      </c>
    </row>
    <row r="53" spans="1:2" x14ac:dyDescent="0.25">
      <c r="A53" s="17">
        <v>42850</v>
      </c>
      <c r="B53" s="16">
        <v>-55.241585937507352</v>
      </c>
    </row>
    <row r="54" spans="1:2" x14ac:dyDescent="0.25">
      <c r="A54" s="17">
        <v>42851</v>
      </c>
      <c r="B54" s="16">
        <v>1932.4697876158361</v>
      </c>
    </row>
    <row r="55" spans="1:2" x14ac:dyDescent="0.25">
      <c r="A55" s="17">
        <v>42852</v>
      </c>
      <c r="B55" s="16">
        <v>1838.8674262500044</v>
      </c>
    </row>
    <row r="56" spans="1:2" x14ac:dyDescent="0.25">
      <c r="A56" s="17">
        <v>42853</v>
      </c>
      <c r="B56" s="16">
        <v>896.00325954999312</v>
      </c>
    </row>
    <row r="57" spans="1:2" x14ac:dyDescent="0.25">
      <c r="A57" s="17">
        <v>42857</v>
      </c>
      <c r="B57" s="16">
        <v>-25.182368281241708</v>
      </c>
    </row>
    <row r="58" spans="1:2" x14ac:dyDescent="0.25">
      <c r="A58" s="17">
        <v>42858</v>
      </c>
      <c r="B58" s="16">
        <v>-3117.6780145208386</v>
      </c>
    </row>
    <row r="59" spans="1:2" x14ac:dyDescent="0.25">
      <c r="A59" s="17">
        <v>42859</v>
      </c>
      <c r="B59" s="16">
        <v>-25.626028812499982</v>
      </c>
    </row>
    <row r="60" spans="1:2" x14ac:dyDescent="0.25">
      <c r="A60" s="17">
        <v>42860</v>
      </c>
      <c r="B60" s="16">
        <v>21.212004187499453</v>
      </c>
    </row>
    <row r="61" spans="1:2" x14ac:dyDescent="0.25">
      <c r="A61" s="17">
        <v>42863</v>
      </c>
      <c r="B61" s="16">
        <v>-153.02888481425106</v>
      </c>
    </row>
    <row r="62" spans="1:2" x14ac:dyDescent="0.25">
      <c r="A62" s="17">
        <v>42864</v>
      </c>
      <c r="B62" s="16">
        <v>-174.58523314687596</v>
      </c>
    </row>
    <row r="63" spans="1:2" x14ac:dyDescent="0.25">
      <c r="A63" s="17">
        <v>42865</v>
      </c>
      <c r="B63" s="16">
        <v>-397.50644146787772</v>
      </c>
    </row>
    <row r="64" spans="1:2" x14ac:dyDescent="0.25">
      <c r="A64" s="17">
        <v>42866</v>
      </c>
      <c r="B64" s="16">
        <v>-362.38600430208191</v>
      </c>
    </row>
    <row r="65" spans="1:2" x14ac:dyDescent="0.25">
      <c r="A65" s="17">
        <v>42867</v>
      </c>
      <c r="B65" s="16">
        <v>-134.44508565625063</v>
      </c>
    </row>
    <row r="66" spans="1:2" x14ac:dyDescent="0.25">
      <c r="A66" s="17">
        <v>42870</v>
      </c>
      <c r="B66" s="16">
        <v>-50.267876625000056</v>
      </c>
    </row>
    <row r="67" spans="1:2" x14ac:dyDescent="0.25">
      <c r="A67" s="17">
        <v>42871</v>
      </c>
      <c r="B67" s="16">
        <v>-14.726019343749876</v>
      </c>
    </row>
    <row r="68" spans="1:2" x14ac:dyDescent="0.25">
      <c r="A68" s="17">
        <v>42872</v>
      </c>
      <c r="B68" s="16">
        <v>-19.652389250000105</v>
      </c>
    </row>
    <row r="69" spans="1:2" x14ac:dyDescent="0.25">
      <c r="A69" s="17">
        <v>42873</v>
      </c>
      <c r="B69" s="16">
        <v>-7.0500313749998291</v>
      </c>
    </row>
    <row r="70" spans="1:2" x14ac:dyDescent="0.25">
      <c r="A70" s="17">
        <v>42874</v>
      </c>
      <c r="B70" s="16">
        <v>-8.1008125</v>
      </c>
    </row>
    <row r="71" spans="1:2" x14ac:dyDescent="0.25">
      <c r="A71" s="17">
        <v>42884</v>
      </c>
      <c r="B71" s="16">
        <v>-2516.5504876313967</v>
      </c>
    </row>
    <row r="72" spans="1:2" x14ac:dyDescent="0.25">
      <c r="A72" s="17">
        <v>42885</v>
      </c>
      <c r="B72" s="16">
        <v>439.09067389583021</v>
      </c>
    </row>
    <row r="73" spans="1:2" x14ac:dyDescent="0.25">
      <c r="A73" s="17">
        <v>42886</v>
      </c>
      <c r="B73" s="16">
        <v>-458.06607515625467</v>
      </c>
    </row>
    <row r="74" spans="1:2" x14ac:dyDescent="0.25">
      <c r="A74" s="17">
        <v>42888</v>
      </c>
      <c r="B74" s="16">
        <v>-257.88120625000028</v>
      </c>
    </row>
    <row r="75" spans="1:2" x14ac:dyDescent="0.25">
      <c r="A75" s="17">
        <v>42891</v>
      </c>
      <c r="B75" s="16">
        <v>-37.626575000002724</v>
      </c>
    </row>
    <row r="76" spans="1:2" x14ac:dyDescent="0.25">
      <c r="A76" s="17">
        <v>42892</v>
      </c>
      <c r="B76" s="16">
        <v>320.67798000000136</v>
      </c>
    </row>
    <row r="77" spans="1:2" x14ac:dyDescent="0.25">
      <c r="A77" s="17">
        <v>42893</v>
      </c>
      <c r="B77" s="16">
        <v>-255.19389000000001</v>
      </c>
    </row>
    <row r="78" spans="1:2" x14ac:dyDescent="0.25">
      <c r="A78" s="17">
        <v>42894</v>
      </c>
      <c r="B78" s="16">
        <v>212.82929009374618</v>
      </c>
    </row>
    <row r="79" spans="1:2" x14ac:dyDescent="0.25">
      <c r="A79" s="17">
        <v>42895</v>
      </c>
      <c r="B79" s="16">
        <v>-13.314751703124955</v>
      </c>
    </row>
    <row r="80" spans="1:2" x14ac:dyDescent="0.25">
      <c r="A80" s="17">
        <v>42899</v>
      </c>
      <c r="B80" s="16">
        <v>120.349147625</v>
      </c>
    </row>
    <row r="81" spans="1:2" x14ac:dyDescent="0.25">
      <c r="A81" s="17">
        <v>42898</v>
      </c>
      <c r="B81" s="16">
        <v>-241.69757696687313</v>
      </c>
    </row>
    <row r="82" spans="1:2" x14ac:dyDescent="0.25">
      <c r="A82" s="17">
        <v>42900</v>
      </c>
      <c r="B82" s="16">
        <v>-313.21186404293366</v>
      </c>
    </row>
    <row r="83" spans="1:2" x14ac:dyDescent="0.25">
      <c r="A83" s="17">
        <v>42901</v>
      </c>
      <c r="B83" s="16">
        <v>190.00635468749954</v>
      </c>
    </row>
    <row r="84" spans="1:2" x14ac:dyDescent="0.25">
      <c r="A84" s="17">
        <v>42902</v>
      </c>
      <c r="B84" s="16">
        <v>79.723959312498181</v>
      </c>
    </row>
    <row r="85" spans="1:2" x14ac:dyDescent="0.25">
      <c r="A85" s="17">
        <v>42905</v>
      </c>
      <c r="B85" s="16">
        <v>-449.46421154687414</v>
      </c>
    </row>
    <row r="86" spans="1:2" x14ac:dyDescent="0.25">
      <c r="A86" s="17">
        <v>42906</v>
      </c>
      <c r="B86" s="16">
        <v>-56.918445625000004</v>
      </c>
    </row>
    <row r="87" spans="1:2" x14ac:dyDescent="0.25">
      <c r="A87" s="17">
        <v>42907</v>
      </c>
      <c r="B87" s="16">
        <v>-214.75515499999995</v>
      </c>
    </row>
    <row r="88" spans="1:2" x14ac:dyDescent="0.25">
      <c r="A88" s="17">
        <v>42908</v>
      </c>
      <c r="B88" s="16">
        <v>-109.42464587500012</v>
      </c>
    </row>
    <row r="89" spans="1:2" x14ac:dyDescent="0.25">
      <c r="A89" s="17">
        <v>42909</v>
      </c>
      <c r="B89" s="16">
        <v>-74.377726562500499</v>
      </c>
    </row>
    <row r="90" spans="1:2" x14ac:dyDescent="0.25">
      <c r="A90" s="17">
        <v>42913</v>
      </c>
      <c r="B90" s="16">
        <v>-64.488072656250395</v>
      </c>
    </row>
    <row r="91" spans="1:2" x14ac:dyDescent="0.25">
      <c r="A91" s="17">
        <v>42914</v>
      </c>
      <c r="B91" s="16">
        <v>-7.2575610000000683</v>
      </c>
    </row>
    <row r="92" spans="1:2" x14ac:dyDescent="0.25">
      <c r="A92" s="17">
        <v>42915</v>
      </c>
      <c r="B92" s="16">
        <v>-11.936079656250151</v>
      </c>
    </row>
    <row r="93" spans="1:2" x14ac:dyDescent="0.25">
      <c r="A93" s="17">
        <v>42916</v>
      </c>
      <c r="B93" s="16">
        <v>110.26262356249987</v>
      </c>
    </row>
    <row r="94" spans="1:2" x14ac:dyDescent="0.25">
      <c r="A94" s="17">
        <v>42919</v>
      </c>
      <c r="B94" s="16">
        <v>48.489639580000222</v>
      </c>
    </row>
    <row r="95" spans="1:2" x14ac:dyDescent="0.25">
      <c r="A95" s="17">
        <v>42920</v>
      </c>
      <c r="B95" s="16">
        <v>-8.6495181275001141</v>
      </c>
    </row>
    <row r="96" spans="1:2" x14ac:dyDescent="0.25">
      <c r="A96" s="17">
        <v>42921</v>
      </c>
      <c r="B96" s="16">
        <v>-0.67556426249997714</v>
      </c>
    </row>
    <row r="97" spans="1:2" x14ac:dyDescent="0.25">
      <c r="A97" s="17">
        <v>42922</v>
      </c>
      <c r="B97" s="16">
        <v>-12.918599885000091</v>
      </c>
    </row>
    <row r="98" spans="1:2" x14ac:dyDescent="0.25">
      <c r="A98" s="17">
        <v>42926</v>
      </c>
      <c r="B98" s="16">
        <v>1.6386903575</v>
      </c>
    </row>
    <row r="99" spans="1:2" x14ac:dyDescent="0.25">
      <c r="A99" s="17">
        <v>42927</v>
      </c>
      <c r="B99" s="16">
        <v>-72.218122612500522</v>
      </c>
    </row>
    <row r="100" spans="1:2" x14ac:dyDescent="0.25">
      <c r="A100" s="17">
        <v>42928</v>
      </c>
      <c r="B100" s="16">
        <v>-43.897084749999223</v>
      </c>
    </row>
    <row r="101" spans="1:2" x14ac:dyDescent="0.25">
      <c r="A101" s="17">
        <v>42929</v>
      </c>
      <c r="B101" s="16">
        <v>-4.0626086062500795</v>
      </c>
    </row>
    <row r="102" spans="1:2" x14ac:dyDescent="0.25">
      <c r="A102" s="17">
        <v>42930</v>
      </c>
      <c r="B102" s="16">
        <v>-42.446301463750004</v>
      </c>
    </row>
    <row r="103" spans="1:2" x14ac:dyDescent="0.25">
      <c r="A103" s="17">
        <v>42933</v>
      </c>
      <c r="B103" s="16">
        <v>-3.3494986500000001</v>
      </c>
    </row>
    <row r="104" spans="1:2" x14ac:dyDescent="0.25">
      <c r="A104" s="17">
        <v>42934</v>
      </c>
      <c r="B104" s="16">
        <v>25.976875662499921</v>
      </c>
    </row>
    <row r="105" spans="1:2" x14ac:dyDescent="0.25">
      <c r="A105" s="17">
        <v>42935</v>
      </c>
      <c r="B105" s="16">
        <v>-0.79903764499998864</v>
      </c>
    </row>
    <row r="106" spans="1:2" x14ac:dyDescent="0.25">
      <c r="A106" s="17">
        <v>42936</v>
      </c>
      <c r="B106" s="16">
        <v>7.5896939341666174</v>
      </c>
    </row>
    <row r="107" spans="1:2" x14ac:dyDescent="0.25">
      <c r="A107" s="17">
        <v>42937</v>
      </c>
      <c r="B107" s="16">
        <v>-6.1846747125000636</v>
      </c>
    </row>
    <row r="108" spans="1:2" x14ac:dyDescent="0.25">
      <c r="A108" s="17">
        <v>42940</v>
      </c>
      <c r="B108" s="16">
        <v>34.961155362500165</v>
      </c>
    </row>
    <row r="109" spans="1:2" x14ac:dyDescent="0.25">
      <c r="A109" s="17">
        <v>42941</v>
      </c>
      <c r="B109" s="16">
        <v>30.560831542500114</v>
      </c>
    </row>
    <row r="110" spans="1:2" x14ac:dyDescent="0.25">
      <c r="A110" s="17">
        <v>42942</v>
      </c>
      <c r="B110" s="16">
        <v>-82.406876361666036</v>
      </c>
    </row>
    <row r="111" spans="1:2" x14ac:dyDescent="0.25">
      <c r="A111" s="17">
        <v>42943</v>
      </c>
      <c r="B111" s="16">
        <v>-57.869661312500099</v>
      </c>
    </row>
    <row r="112" spans="1:2" x14ac:dyDescent="0.25">
      <c r="A112" s="17">
        <v>42944</v>
      </c>
      <c r="B112" s="16">
        <v>191.241590745</v>
      </c>
    </row>
    <row r="113" spans="1:2" x14ac:dyDescent="0.25">
      <c r="A113" s="17">
        <v>42947</v>
      </c>
      <c r="B113" s="16">
        <v>145.07148652750018</v>
      </c>
    </row>
    <row r="114" spans="1:2" x14ac:dyDescent="0.25">
      <c r="A114" s="17">
        <v>42948</v>
      </c>
      <c r="B114" s="16">
        <v>-120.3146882949997</v>
      </c>
    </row>
    <row r="115" spans="1:2" x14ac:dyDescent="0.25">
      <c r="A115" s="17">
        <v>42949</v>
      </c>
      <c r="B115" s="16">
        <v>10.394055269999591</v>
      </c>
    </row>
    <row r="116" spans="1:2" x14ac:dyDescent="0.25">
      <c r="A116" s="17">
        <v>42950</v>
      </c>
      <c r="B116" s="16">
        <v>82.027299747500237</v>
      </c>
    </row>
    <row r="117" spans="1:2" x14ac:dyDescent="0.25">
      <c r="A117" s="17">
        <v>42951</v>
      </c>
      <c r="B117" s="16">
        <v>-68.491324427499251</v>
      </c>
    </row>
    <row r="118" spans="1:2" x14ac:dyDescent="0.25">
      <c r="A118" s="17">
        <v>42954</v>
      </c>
      <c r="B118" s="16">
        <v>44.979018700000516</v>
      </c>
    </row>
    <row r="119" spans="1:2" x14ac:dyDescent="0.25">
      <c r="A119" s="17">
        <v>42955</v>
      </c>
      <c r="B119" s="16">
        <v>1.2355636250004807</v>
      </c>
    </row>
    <row r="120" spans="1:2" x14ac:dyDescent="0.25">
      <c r="A120" s="17">
        <v>42957</v>
      </c>
      <c r="B120" s="16">
        <v>67.912743349999886</v>
      </c>
    </row>
    <row r="121" spans="1:2" x14ac:dyDescent="0.25">
      <c r="A121" s="17">
        <v>42958</v>
      </c>
      <c r="B121" s="16">
        <v>-40.461712879166086</v>
      </c>
    </row>
    <row r="122" spans="1:2" x14ac:dyDescent="0.25">
      <c r="A122" s="17">
        <v>42979</v>
      </c>
      <c r="B122" s="16">
        <v>-17.730006100000089</v>
      </c>
    </row>
    <row r="123" spans="1:2" x14ac:dyDescent="0.25">
      <c r="A123" s="17">
        <v>42982</v>
      </c>
      <c r="B123" s="16">
        <v>-39.455824033333329</v>
      </c>
    </row>
    <row r="124" spans="1:2" x14ac:dyDescent="0.25">
      <c r="A124" s="17">
        <v>42983</v>
      </c>
      <c r="B124" s="16">
        <v>-84.135130875000002</v>
      </c>
    </row>
    <row r="125" spans="1:2" x14ac:dyDescent="0.25">
      <c r="A125" s="17">
        <v>42991</v>
      </c>
      <c r="B125" s="16">
        <v>-3820.3316369033919</v>
      </c>
    </row>
    <row r="126" spans="1:2" x14ac:dyDescent="0.25">
      <c r="A126" s="17">
        <v>42999</v>
      </c>
      <c r="B126" s="16">
        <v>101.38724825</v>
      </c>
    </row>
    <row r="127" spans="1:2" x14ac:dyDescent="0.25">
      <c r="A127" s="17">
        <v>43000</v>
      </c>
      <c r="B127" s="16">
        <v>255.94297966183149</v>
      </c>
    </row>
    <row r="128" spans="1:2" x14ac:dyDescent="0.25">
      <c r="A128" s="17">
        <v>43003</v>
      </c>
      <c r="B128" s="16">
        <v>0.14022550500055786</v>
      </c>
    </row>
    <row r="129" spans="1:2" x14ac:dyDescent="0.25">
      <c r="A129" s="17">
        <v>43004</v>
      </c>
      <c r="B129" s="16">
        <v>-1322.1625548000009</v>
      </c>
    </row>
    <row r="130" spans="1:2" x14ac:dyDescent="0.25">
      <c r="A130" s="17">
        <v>43038</v>
      </c>
      <c r="B130" s="16">
        <v>-160.36016456426489</v>
      </c>
    </row>
    <row r="131" spans="1:2" x14ac:dyDescent="0.25">
      <c r="A131" s="17">
        <v>43039</v>
      </c>
      <c r="B131" s="16">
        <v>-94.563840782500492</v>
      </c>
    </row>
    <row r="132" spans="1:2" x14ac:dyDescent="0.25">
      <c r="A132" s="17">
        <v>43040</v>
      </c>
      <c r="B132" s="16">
        <v>-24.528241842500055</v>
      </c>
    </row>
    <row r="133" spans="1:2" x14ac:dyDescent="0.25">
      <c r="A133" s="18" t="s">
        <v>23</v>
      </c>
      <c r="B133" s="16">
        <v>-22024.091160220029</v>
      </c>
    </row>
  </sheetData>
  <conditionalFormatting sqref="B1 B134:B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workbookViewId="0">
      <selection activeCell="I7" sqref="I7"/>
    </sheetView>
  </sheetViews>
  <sheetFormatPr defaultRowHeight="15" x14ac:dyDescent="0.25"/>
  <cols>
    <col min="1" max="1" width="27.5703125" bestFit="1" customWidth="1"/>
    <col min="2" max="2" width="11.140625" bestFit="1" customWidth="1"/>
    <col min="5" max="5" width="11.28515625" bestFit="1" customWidth="1"/>
    <col min="7" max="7" width="13.28515625" bestFit="1" customWidth="1"/>
    <col min="8" max="8" width="13" customWidth="1"/>
    <col min="9" max="9" width="8" bestFit="1" customWidth="1"/>
    <col min="10" max="10" width="7.7109375" bestFit="1" customWidth="1"/>
    <col min="11" max="11" width="11.28515625" bestFit="1" customWidth="1"/>
  </cols>
  <sheetData>
    <row r="1" spans="1:11" x14ac:dyDescent="0.25">
      <c r="A1" s="83" t="s">
        <v>52</v>
      </c>
      <c r="B1" s="83" t="s">
        <v>53</v>
      </c>
      <c r="C1" s="83"/>
      <c r="D1" s="83"/>
      <c r="E1" s="83"/>
      <c r="G1" s="31"/>
      <c r="H1" s="32" t="s">
        <v>50</v>
      </c>
      <c r="I1" s="32" t="s">
        <v>54</v>
      </c>
      <c r="J1" s="32" t="s">
        <v>55</v>
      </c>
      <c r="K1" s="32" t="s">
        <v>51</v>
      </c>
    </row>
    <row r="2" spans="1:11" x14ac:dyDescent="0.25">
      <c r="A2" s="83"/>
      <c r="B2" s="32" t="s">
        <v>50</v>
      </c>
      <c r="C2" s="32" t="s">
        <v>54</v>
      </c>
      <c r="D2" s="32" t="s">
        <v>55</v>
      </c>
      <c r="E2" s="32" t="s">
        <v>51</v>
      </c>
      <c r="G2" s="32" t="s">
        <v>91</v>
      </c>
      <c r="H2" s="31">
        <f>IF($I$7="A",B3,IF($I$7="B",B12,IF($I$7="C",B11,IF($I$7="D",B4,IF($I$7="E",B5,IF($I$7="F",B6,IF($I$7="G",B31,IF($I$7="H",B33,IF($I$7="I",B34,IF($I$7="J",B36,"Error"))))))))))</f>
        <v>6.0000000000000002E-5</v>
      </c>
      <c r="I2" s="31">
        <f t="shared" ref="I2:K2" si="0">IF($I$7="A",C3,IF($I$7="B",C12,IF($I$7="C",C11,IF($I$7="D",C4,IF($I$7="E",C5,IF($I$7="F",C6,IF($I$7="G",C31,IF($I$7="H",C33,IF($I$7="I",C34,IF($I$7="J",C36,"Error"))))))))))</f>
        <v>6.0000000000000002E-5</v>
      </c>
      <c r="J2" s="31">
        <f t="shared" si="0"/>
        <v>6.0000000000000002E-5</v>
      </c>
      <c r="K2" s="31">
        <f t="shared" si="0"/>
        <v>6.0000000000000002E-5</v>
      </c>
    </row>
    <row r="3" spans="1:11" x14ac:dyDescent="0.25">
      <c r="A3" s="33" t="s">
        <v>56</v>
      </c>
      <c r="B3" s="33">
        <v>3.0000000000000001E-5</v>
      </c>
      <c r="C3" s="33">
        <v>3.0000000000000001E-5</v>
      </c>
      <c r="D3" s="33">
        <v>3.0000000000000001E-5</v>
      </c>
      <c r="E3" s="33">
        <v>3.0000000000000001E-5</v>
      </c>
    </row>
    <row r="4" spans="1:11" x14ac:dyDescent="0.25">
      <c r="A4" s="34" t="s">
        <v>57</v>
      </c>
      <c r="B4" s="34">
        <v>5.0000000000000002E-5</v>
      </c>
      <c r="C4" s="34">
        <v>5.0000000000000002E-5</v>
      </c>
      <c r="D4" s="34">
        <v>5.0000000000000002E-5</v>
      </c>
      <c r="E4" s="34">
        <v>5.0000000000000002E-5</v>
      </c>
    </row>
    <row r="5" spans="1:11" x14ac:dyDescent="0.25">
      <c r="A5" s="35" t="s">
        <v>58</v>
      </c>
      <c r="B5" s="35">
        <v>4.0000000000000003E-5</v>
      </c>
      <c r="C5" s="35">
        <v>4.0000000000000003E-5</v>
      </c>
      <c r="D5" s="35">
        <v>4.0000000000000003E-5</v>
      </c>
      <c r="E5" s="35">
        <v>4.0000000000000003E-5</v>
      </c>
    </row>
    <row r="6" spans="1:11" x14ac:dyDescent="0.25">
      <c r="A6" s="31" t="s">
        <v>59</v>
      </c>
      <c r="B6" s="31">
        <v>1.8000000000000001E-4</v>
      </c>
      <c r="C6" s="31">
        <v>1.8000000000000001E-4</v>
      </c>
      <c r="D6" s="31">
        <v>1.8000000000000001E-4</v>
      </c>
      <c r="E6" s="31">
        <v>1.8000000000000001E-4</v>
      </c>
    </row>
    <row r="7" spans="1:11" x14ac:dyDescent="0.25">
      <c r="A7" s="33" t="s">
        <v>60</v>
      </c>
      <c r="B7" s="33">
        <v>3.0000000000000001E-5</v>
      </c>
      <c r="C7" s="33">
        <v>3.0000000000000001E-5</v>
      </c>
      <c r="D7" s="33">
        <v>3.0000000000000001E-5</v>
      </c>
      <c r="E7" s="33">
        <v>3.0000000000000001E-5</v>
      </c>
      <c r="H7" s="32" t="s">
        <v>94</v>
      </c>
      <c r="I7" s="31" t="str">
        <f>IF(OR(Intro!$C$10="Andaman and Nicobar Islands",Intro!$C$10="Bihar",Intro!$C$10="Chandigarh",Intro!$C$10="Chhattisgarh",Intro!$C$10="Dadra and Nagar Haveli",Intro!$C$10="Haryana",Intro!$C$10="Himachal Pradesh",Intro!$C$10="Jharkhand",Intro!$C$10="Karnataka",Intro!$C$10="Lakshadweep",Intro!$C$10="Manipur",Intro!$C$10="Mizoram",Intro!$C$10="Nagaland",Intro!$C$10="Puducherry",Intro!$C$10="Punjab",Intro!$C$10="Sikkim",Intro!$C$10="Tripura",Intro!$C$10="Uttarakhand"),"A",IF(OR(Intro!$C$10="Delhi",Intro!$C$10="Gujarat",Intro!$C$10="Jammu and Kashmir",Intro!$C$10="Kerala",Intro!$C$10="Madhya Pradesh",Intro!$C$10="Maharashtra",Intro!$C$10="West Bengal"),"B",IF(OR(Intro!$C$10="Daman and Diu",Intro!$C$10="Goa"),"C",IF(OR(Intro!$C$10="Andhra Pradesh",Intro!$C$10="Odisha"),"D",IF(OR(Intro!$C$10="Arunachal Pradesh",Intro!$C$10="Meghalaya"),"E",IF(Intro!$C$10="Assam","F",IF(Intro!$C$10="Rajasthan","G",IF(Intro!$C$10="Tamil Nadu","H",IF(Intro!$C$10="Telengana","I",IF(Intro!$C$10="Uttar Pradesh","J","Error"))))))))))</f>
        <v>H</v>
      </c>
    </row>
    <row r="8" spans="1:11" x14ac:dyDescent="0.25">
      <c r="A8" s="33" t="s">
        <v>61</v>
      </c>
      <c r="B8" s="33">
        <v>3.0000000000000001E-5</v>
      </c>
      <c r="C8" s="33">
        <v>3.0000000000000001E-5</v>
      </c>
      <c r="D8" s="33">
        <v>3.0000000000000001E-5</v>
      </c>
      <c r="E8" s="33">
        <v>3.0000000000000001E-5</v>
      </c>
      <c r="H8" s="33"/>
      <c r="I8" s="31" t="s">
        <v>95</v>
      </c>
    </row>
    <row r="9" spans="1:11" x14ac:dyDescent="0.25">
      <c r="A9" s="33" t="s">
        <v>62</v>
      </c>
      <c r="B9" s="33">
        <v>3.0000000000000001E-5</v>
      </c>
      <c r="C9" s="33">
        <v>3.0000000000000001E-5</v>
      </c>
      <c r="D9" s="33">
        <v>3.0000000000000001E-5</v>
      </c>
      <c r="E9" s="33">
        <v>3.0000000000000001E-5</v>
      </c>
      <c r="H9" s="37"/>
      <c r="I9" s="31" t="s">
        <v>96</v>
      </c>
    </row>
    <row r="10" spans="1:11" x14ac:dyDescent="0.25">
      <c r="A10" s="33" t="s">
        <v>63</v>
      </c>
      <c r="B10" s="33">
        <v>3.0000000000000001E-5</v>
      </c>
      <c r="C10" s="33">
        <v>3.0000000000000001E-5</v>
      </c>
      <c r="D10" s="33">
        <v>3.0000000000000001E-5</v>
      </c>
      <c r="E10" s="33">
        <v>3.0000000000000001E-5</v>
      </c>
      <c r="H10" s="36"/>
      <c r="I10" s="31" t="s">
        <v>97</v>
      </c>
    </row>
    <row r="11" spans="1:11" x14ac:dyDescent="0.25">
      <c r="A11" s="36" t="s">
        <v>64</v>
      </c>
      <c r="B11" s="36">
        <v>1E-4</v>
      </c>
      <c r="C11" s="36">
        <v>1E-4</v>
      </c>
      <c r="D11" s="36">
        <v>1E-4</v>
      </c>
      <c r="E11" s="36">
        <v>1E-4</v>
      </c>
      <c r="H11" s="34"/>
      <c r="I11" s="31" t="s">
        <v>98</v>
      </c>
    </row>
    <row r="12" spans="1:11" x14ac:dyDescent="0.25">
      <c r="A12" s="37" t="s">
        <v>65</v>
      </c>
      <c r="B12" s="37">
        <v>2.0000000000000002E-5</v>
      </c>
      <c r="C12" s="37">
        <v>2.0000000000000002E-5</v>
      </c>
      <c r="D12" s="37">
        <v>2.0000000000000002E-5</v>
      </c>
      <c r="E12" s="37">
        <v>1E-4</v>
      </c>
      <c r="H12" s="35"/>
      <c r="I12" s="31" t="s">
        <v>99</v>
      </c>
    </row>
    <row r="13" spans="1:11" x14ac:dyDescent="0.25">
      <c r="A13" s="36" t="s">
        <v>66</v>
      </c>
      <c r="B13" s="36">
        <v>1E-4</v>
      </c>
      <c r="C13" s="36">
        <v>1E-4</v>
      </c>
      <c r="D13" s="36">
        <v>1E-4</v>
      </c>
      <c r="E13" s="36">
        <v>1E-4</v>
      </c>
      <c r="H13" s="31" t="s">
        <v>59</v>
      </c>
      <c r="I13" s="38" t="s">
        <v>100</v>
      </c>
    </row>
    <row r="14" spans="1:11" x14ac:dyDescent="0.25">
      <c r="A14" s="37" t="s">
        <v>67</v>
      </c>
      <c r="B14" s="37">
        <v>2.0000000000000002E-5</v>
      </c>
      <c r="C14" s="37">
        <v>2.0000000000000002E-5</v>
      </c>
      <c r="D14" s="37">
        <v>2.0000000000000002E-5</v>
      </c>
      <c r="E14" s="37">
        <v>1E-4</v>
      </c>
      <c r="H14" s="31" t="s">
        <v>84</v>
      </c>
      <c r="I14" s="38" t="s">
        <v>101</v>
      </c>
    </row>
    <row r="15" spans="1:11" x14ac:dyDescent="0.25">
      <c r="A15" s="33" t="s">
        <v>68</v>
      </c>
      <c r="B15" s="33">
        <v>3.0000000000000001E-5</v>
      </c>
      <c r="C15" s="33">
        <v>3.0000000000000001E-5</v>
      </c>
      <c r="D15" s="33">
        <v>3.0000000000000001E-5</v>
      </c>
      <c r="E15" s="33">
        <v>3.0000000000000001E-5</v>
      </c>
      <c r="H15" s="31" t="s">
        <v>86</v>
      </c>
      <c r="I15" s="38" t="s">
        <v>102</v>
      </c>
    </row>
    <row r="16" spans="1:11" x14ac:dyDescent="0.25">
      <c r="A16" s="33" t="s">
        <v>69</v>
      </c>
      <c r="B16" s="33">
        <v>3.0000000000000001E-5</v>
      </c>
      <c r="C16" s="33">
        <v>3.0000000000000001E-5</v>
      </c>
      <c r="D16" s="33">
        <v>3.0000000000000001E-5</v>
      </c>
      <c r="E16" s="33">
        <v>3.0000000000000001E-5</v>
      </c>
      <c r="H16" s="31" t="s">
        <v>92</v>
      </c>
      <c r="I16" s="38" t="s">
        <v>103</v>
      </c>
    </row>
    <row r="17" spans="1:9" x14ac:dyDescent="0.25">
      <c r="A17" s="37" t="s">
        <v>70</v>
      </c>
      <c r="B17" s="37">
        <v>2.0000000000000002E-5</v>
      </c>
      <c r="C17" s="37">
        <v>2.0000000000000002E-5</v>
      </c>
      <c r="D17" s="37">
        <v>2.0000000000000002E-5</v>
      </c>
      <c r="E17" s="37">
        <v>1E-4</v>
      </c>
      <c r="H17" s="31" t="s">
        <v>88</v>
      </c>
      <c r="I17" s="38" t="s">
        <v>104</v>
      </c>
    </row>
    <row r="18" spans="1:9" x14ac:dyDescent="0.25">
      <c r="A18" s="33" t="s">
        <v>71</v>
      </c>
      <c r="B18" s="33">
        <v>3.0000000000000001E-5</v>
      </c>
      <c r="C18" s="33">
        <v>3.0000000000000001E-5</v>
      </c>
      <c r="D18" s="33">
        <v>3.0000000000000001E-5</v>
      </c>
      <c r="E18" s="33">
        <v>3.0000000000000001E-5</v>
      </c>
    </row>
    <row r="19" spans="1:9" x14ac:dyDescent="0.25">
      <c r="A19" s="33" t="s">
        <v>72</v>
      </c>
      <c r="B19" s="33">
        <v>3.0000000000000001E-5</v>
      </c>
      <c r="C19" s="33">
        <v>3.0000000000000001E-5</v>
      </c>
      <c r="D19" s="33">
        <v>3.0000000000000001E-5</v>
      </c>
      <c r="E19" s="33">
        <v>3.0000000000000001E-5</v>
      </c>
    </row>
    <row r="20" spans="1:9" x14ac:dyDescent="0.25">
      <c r="A20" s="37" t="s">
        <v>73</v>
      </c>
      <c r="B20" s="37">
        <v>2.0000000000000002E-5</v>
      </c>
      <c r="C20" s="37">
        <v>2.0000000000000002E-5</v>
      </c>
      <c r="D20" s="37">
        <v>2.0000000000000002E-5</v>
      </c>
      <c r="E20" s="37">
        <v>1E-4</v>
      </c>
    </row>
    <row r="21" spans="1:9" x14ac:dyDescent="0.25">
      <c r="A21" s="33" t="s">
        <v>74</v>
      </c>
      <c r="B21" s="33">
        <v>3.0000000000000001E-5</v>
      </c>
      <c r="C21" s="33">
        <v>3.0000000000000001E-5</v>
      </c>
      <c r="D21" s="33">
        <v>3.0000000000000001E-5</v>
      </c>
      <c r="E21" s="33">
        <v>3.0000000000000001E-5</v>
      </c>
    </row>
    <row r="22" spans="1:9" x14ac:dyDescent="0.25">
      <c r="A22" s="37" t="s">
        <v>75</v>
      </c>
      <c r="B22" s="37">
        <v>2.0000000000000002E-5</v>
      </c>
      <c r="C22" s="37">
        <v>2.0000000000000002E-5</v>
      </c>
      <c r="D22" s="37">
        <v>2.0000000000000002E-5</v>
      </c>
      <c r="E22" s="37">
        <v>1E-4</v>
      </c>
    </row>
    <row r="23" spans="1:9" x14ac:dyDescent="0.25">
      <c r="A23" s="37" t="s">
        <v>76</v>
      </c>
      <c r="B23" s="37">
        <v>2.0000000000000002E-5</v>
      </c>
      <c r="C23" s="37">
        <v>2.0000000000000002E-5</v>
      </c>
      <c r="D23" s="37">
        <v>2.0000000000000002E-5</v>
      </c>
      <c r="E23" s="37">
        <v>1E-4</v>
      </c>
    </row>
    <row r="24" spans="1:9" x14ac:dyDescent="0.25">
      <c r="A24" s="33" t="s">
        <v>77</v>
      </c>
      <c r="B24" s="33">
        <v>3.0000000000000001E-5</v>
      </c>
      <c r="C24" s="33">
        <v>3.0000000000000001E-5</v>
      </c>
      <c r="D24" s="33">
        <v>3.0000000000000001E-5</v>
      </c>
      <c r="E24" s="33">
        <v>3.0000000000000001E-5</v>
      </c>
    </row>
    <row r="25" spans="1:9" x14ac:dyDescent="0.25">
      <c r="A25" s="35" t="s">
        <v>78</v>
      </c>
      <c r="B25" s="35">
        <v>4.0000000000000002E-4</v>
      </c>
      <c r="C25" s="35">
        <v>4.0000000000000002E-4</v>
      </c>
      <c r="D25" s="35">
        <v>4.0000000000000002E-4</v>
      </c>
      <c r="E25" s="35">
        <v>4.0000000000000002E-4</v>
      </c>
    </row>
    <row r="26" spans="1:9" x14ac:dyDescent="0.25">
      <c r="A26" s="33" t="s">
        <v>79</v>
      </c>
      <c r="B26" s="33">
        <v>3.0000000000000001E-5</v>
      </c>
      <c r="C26" s="33">
        <v>3.0000000000000001E-5</v>
      </c>
      <c r="D26" s="33">
        <v>3.0000000000000001E-5</v>
      </c>
      <c r="E26" s="33">
        <v>3.0000000000000001E-5</v>
      </c>
    </row>
    <row r="27" spans="1:9" x14ac:dyDescent="0.25">
      <c r="A27" s="33" t="s">
        <v>80</v>
      </c>
      <c r="B27" s="33">
        <v>3.0000000000000001E-5</v>
      </c>
      <c r="C27" s="33">
        <v>3.0000000000000001E-5</v>
      </c>
      <c r="D27" s="33">
        <v>3.0000000000000001E-5</v>
      </c>
      <c r="E27" s="33">
        <v>3.0000000000000001E-5</v>
      </c>
    </row>
    <row r="28" spans="1:9" x14ac:dyDescent="0.25">
      <c r="A28" s="34" t="s">
        <v>81</v>
      </c>
      <c r="B28" s="34">
        <v>5.0000000000000002E-5</v>
      </c>
      <c r="C28" s="34">
        <v>5.0000000000000002E-5</v>
      </c>
      <c r="D28" s="34">
        <v>5.0000000000000002E-5</v>
      </c>
      <c r="E28" s="34">
        <v>5.0000000000000002E-5</v>
      </c>
    </row>
    <row r="29" spans="1:9" x14ac:dyDescent="0.25">
      <c r="A29" s="33" t="s">
        <v>82</v>
      </c>
      <c r="B29" s="33">
        <v>3.0000000000000001E-5</v>
      </c>
      <c r="C29" s="33">
        <v>3.0000000000000001E-5</v>
      </c>
      <c r="D29" s="33">
        <v>3.0000000000000001E-5</v>
      </c>
      <c r="E29" s="33">
        <v>3.0000000000000001E-5</v>
      </c>
    </row>
    <row r="30" spans="1:9" x14ac:dyDescent="0.25">
      <c r="A30" s="33" t="s">
        <v>83</v>
      </c>
      <c r="B30" s="33">
        <v>3.0000000000000001E-5</v>
      </c>
      <c r="C30" s="33">
        <v>3.0000000000000001E-5</v>
      </c>
      <c r="D30" s="33">
        <v>3.0000000000000001E-5</v>
      </c>
      <c r="E30" s="33">
        <v>3.0000000000000001E-5</v>
      </c>
    </row>
    <row r="31" spans="1:9" x14ac:dyDescent="0.25">
      <c r="A31" s="31" t="s">
        <v>84</v>
      </c>
      <c r="B31" s="31">
        <v>2.5000000000000001E-5</v>
      </c>
      <c r="C31" s="31">
        <v>2.0000000000000002E-5</v>
      </c>
      <c r="D31" s="31">
        <v>1.0000000000000001E-5</v>
      </c>
      <c r="E31" s="31">
        <v>1E-4</v>
      </c>
    </row>
    <row r="32" spans="1:9" x14ac:dyDescent="0.25">
      <c r="A32" s="33" t="s">
        <v>85</v>
      </c>
      <c r="B32" s="33">
        <v>3.0000000000000001E-5</v>
      </c>
      <c r="C32" s="33">
        <v>3.0000000000000001E-5</v>
      </c>
      <c r="D32" s="33">
        <v>3.0000000000000001E-5</v>
      </c>
      <c r="E32" s="33">
        <v>3.0000000000000001E-5</v>
      </c>
    </row>
    <row r="33" spans="1:5" x14ac:dyDescent="0.25">
      <c r="A33" s="31" t="s">
        <v>86</v>
      </c>
      <c r="B33" s="31">
        <v>6.0000000000000002E-5</v>
      </c>
      <c r="C33" s="31">
        <v>6.0000000000000002E-5</v>
      </c>
      <c r="D33" s="31">
        <v>6.0000000000000002E-5</v>
      </c>
      <c r="E33" s="31">
        <v>6.0000000000000002E-5</v>
      </c>
    </row>
    <row r="34" spans="1:5" x14ac:dyDescent="0.25">
      <c r="A34" s="31" t="s">
        <v>92</v>
      </c>
      <c r="B34" s="31">
        <v>1E-4</v>
      </c>
      <c r="C34" s="31">
        <v>1E-4</v>
      </c>
      <c r="D34" s="31">
        <v>1E-4</v>
      </c>
      <c r="E34" s="31">
        <v>1E-4</v>
      </c>
    </row>
    <row r="35" spans="1:5" x14ac:dyDescent="0.25">
      <c r="A35" s="33" t="s">
        <v>87</v>
      </c>
      <c r="B35" s="33">
        <v>3.0000000000000001E-5</v>
      </c>
      <c r="C35" s="33">
        <v>3.0000000000000001E-5</v>
      </c>
      <c r="D35" s="33">
        <v>3.0000000000000001E-5</v>
      </c>
      <c r="E35" s="33">
        <v>3.0000000000000001E-5</v>
      </c>
    </row>
    <row r="36" spans="1:5" x14ac:dyDescent="0.25">
      <c r="A36" s="31" t="s">
        <v>88</v>
      </c>
      <c r="B36" s="31">
        <v>2.0000000000000002E-5</v>
      </c>
      <c r="C36" s="31">
        <v>2.0000000000000002E-5</v>
      </c>
      <c r="D36" s="31">
        <v>2.0000000000000002E-5</v>
      </c>
      <c r="E36" s="31">
        <v>2.0000000000000002E-5</v>
      </c>
    </row>
    <row r="37" spans="1:5" x14ac:dyDescent="0.25">
      <c r="A37" s="33" t="s">
        <v>89</v>
      </c>
      <c r="B37" s="33">
        <v>3.0000000000000001E-5</v>
      </c>
      <c r="C37" s="33">
        <v>3.0000000000000001E-5</v>
      </c>
      <c r="D37" s="33">
        <v>3.0000000000000001E-5</v>
      </c>
      <c r="E37" s="33">
        <v>3.0000000000000001E-5</v>
      </c>
    </row>
    <row r="38" spans="1:5" x14ac:dyDescent="0.25">
      <c r="A38" s="37" t="s">
        <v>90</v>
      </c>
      <c r="B38" s="37">
        <v>2.0000000000000002E-5</v>
      </c>
      <c r="C38" s="37">
        <v>2.0000000000000002E-5</v>
      </c>
      <c r="D38" s="37">
        <v>2.0000000000000002E-5</v>
      </c>
      <c r="E38" s="37">
        <v>1E-4</v>
      </c>
    </row>
  </sheetData>
  <mergeCells count="2">
    <mergeCell ref="B1:E1"/>
    <mergeCell ref="A1:A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Trade Data</vt:lpstr>
      <vt:lpstr>Daily Performance</vt:lpstr>
      <vt:lpstr>P&amp;L Graph</vt:lpstr>
      <vt:lpstr>States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Armur</dc:creator>
  <cp:lastModifiedBy>Armur</cp:lastModifiedBy>
  <dcterms:created xsi:type="dcterms:W3CDTF">2016-12-29T13:34:20Z</dcterms:created>
  <dcterms:modified xsi:type="dcterms:W3CDTF">2017-11-01T10:03:22Z</dcterms:modified>
</cp:coreProperties>
</file>